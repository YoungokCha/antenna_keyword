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3052876B-8BA9-B94A-A4FE-CD64F7FCF69D}" xr6:coauthVersionLast="47" xr6:coauthVersionMax="47" xr10:uidLastSave="{1E3057D7-F2F4-1248-BB64-EB6111591FFA}"/>
  <bookViews>
    <workbookView xWindow="13800" yWindow="9900" windowWidth="27640" windowHeight="16940" xr2:uid="{507D1486-5389-AE4E-9DB3-1FCEC9681666}"/>
  </bookViews>
  <sheets>
    <sheet name="1998"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Y2" i="1"/>
  <c r="AM2" i="1"/>
  <c r="AN2" i="1"/>
  <c r="AU2" i="1" s="1"/>
  <c r="AV2" i="1"/>
  <c r="AW2" i="1"/>
  <c r="S3" i="1"/>
  <c r="U3" i="1"/>
  <c r="AM3" i="1" s="1"/>
  <c r="AN3" i="1" s="1"/>
  <c r="Y3" i="1"/>
  <c r="S4" i="1"/>
  <c r="U4" i="1"/>
  <c r="AM4" i="1" s="1"/>
  <c r="AN4" i="1" s="1"/>
  <c r="Y4" i="1"/>
  <c r="S5" i="1"/>
  <c r="U5" i="1"/>
  <c r="Y5" i="1"/>
  <c r="AM5" i="1"/>
  <c r="AN5" i="1" s="1"/>
  <c r="S6" i="1"/>
  <c r="U6" i="1"/>
  <c r="AM6" i="1" s="1"/>
  <c r="AN6" i="1" s="1"/>
  <c r="Y6" i="1"/>
  <c r="S7" i="1"/>
  <c r="U7" i="1"/>
  <c r="Y7" i="1"/>
  <c r="AM7" i="1"/>
  <c r="AN7" i="1"/>
  <c r="AU7" i="1" s="1"/>
  <c r="AV7" i="1"/>
  <c r="AW7" i="1"/>
  <c r="S8" i="1"/>
  <c r="U8" i="1"/>
  <c r="Y8" i="1"/>
  <c r="AM8" i="1"/>
  <c r="AN8" i="1"/>
  <c r="AV8" i="1" s="1"/>
  <c r="S9" i="1"/>
  <c r="U9" i="1"/>
  <c r="AM9" i="1" s="1"/>
  <c r="AN9" i="1" s="1"/>
  <c r="Y9" i="1"/>
  <c r="S10" i="1"/>
  <c r="U10" i="1"/>
  <c r="Y10" i="1"/>
  <c r="AM10" i="1"/>
  <c r="AN10" i="1"/>
  <c r="AU10" i="1" s="1"/>
  <c r="AV10" i="1"/>
  <c r="AW10" i="1"/>
  <c r="S11" i="1"/>
  <c r="U11" i="1"/>
  <c r="Y11" i="1"/>
  <c r="AM11" i="1"/>
  <c r="AN11" i="1" s="1"/>
  <c r="AU11" i="1" s="1"/>
  <c r="S12" i="1"/>
  <c r="U12" i="1"/>
  <c r="Y12" i="1"/>
  <c r="AM12" i="1"/>
  <c r="AN12" i="1" s="1"/>
  <c r="S13" i="1"/>
  <c r="U13" i="1"/>
  <c r="AM13" i="1" s="1"/>
  <c r="AN13" i="1" s="1"/>
  <c r="Y13" i="1"/>
  <c r="S14" i="1"/>
  <c r="U14" i="1"/>
  <c r="AM14" i="1" s="1"/>
  <c r="AN14" i="1" s="1"/>
  <c r="Y14" i="1"/>
  <c r="S15" i="1"/>
  <c r="U15" i="1"/>
  <c r="Y15" i="1"/>
  <c r="AM15" i="1"/>
  <c r="AN15" i="1"/>
  <c r="AU15" i="1" s="1"/>
  <c r="S16" i="1"/>
  <c r="U16" i="1"/>
  <c r="Y16" i="1"/>
  <c r="AM16" i="1"/>
  <c r="AN16" i="1" s="1"/>
  <c r="AU16" i="1" s="1"/>
  <c r="S17" i="1"/>
  <c r="U17" i="1"/>
  <c r="Y17" i="1"/>
  <c r="AM17" i="1"/>
  <c r="AN17" i="1" s="1"/>
  <c r="S18" i="1"/>
  <c r="U18" i="1"/>
  <c r="Y18" i="1"/>
  <c r="AM18" i="1"/>
  <c r="AN18" i="1"/>
  <c r="AV18" i="1" s="1"/>
  <c r="AW18" i="1"/>
  <c r="S19" i="1"/>
  <c r="U19" i="1"/>
  <c r="AM19" i="1" s="1"/>
  <c r="AN19" i="1" s="1"/>
  <c r="Y19" i="1"/>
  <c r="S20" i="1"/>
  <c r="U20" i="1"/>
  <c r="AM20" i="1" s="1"/>
  <c r="AN20" i="1" s="1"/>
  <c r="Y20" i="1"/>
  <c r="S21" i="1"/>
  <c r="U21" i="1"/>
  <c r="Y21" i="1"/>
  <c r="AM21" i="1"/>
  <c r="AN21" i="1" s="1"/>
  <c r="S22" i="1"/>
  <c r="U22" i="1"/>
  <c r="Y22" i="1"/>
  <c r="AM22" i="1"/>
  <c r="AN22" i="1"/>
  <c r="AU22" i="1" s="1"/>
  <c r="AW22" i="1"/>
  <c r="S23" i="1"/>
  <c r="U23" i="1"/>
  <c r="AM23" i="1" s="1"/>
  <c r="AN23" i="1" s="1"/>
  <c r="Y23" i="1"/>
  <c r="S24" i="1"/>
  <c r="U24" i="1"/>
  <c r="AM24" i="1" s="1"/>
  <c r="AN24" i="1" s="1"/>
  <c r="Y24" i="1"/>
  <c r="AU24" i="1" s="1"/>
  <c r="S25" i="1"/>
  <c r="U25" i="1"/>
  <c r="AM25" i="1" s="1"/>
  <c r="AN25" i="1" s="1"/>
  <c r="Y25" i="1"/>
  <c r="S26" i="1"/>
  <c r="U26" i="1"/>
  <c r="Y26" i="1"/>
  <c r="AM26" i="1"/>
  <c r="AN26" i="1"/>
  <c r="S27" i="1"/>
  <c r="U27" i="1"/>
  <c r="AM27" i="1" s="1"/>
  <c r="AN27" i="1" s="1"/>
  <c r="Y27" i="1"/>
  <c r="S28" i="1"/>
  <c r="U28" i="1"/>
  <c r="Y28" i="1"/>
  <c r="AM28" i="1"/>
  <c r="AN28" i="1"/>
  <c r="AW28" i="1" s="1"/>
  <c r="AV28" i="1"/>
  <c r="S29" i="1"/>
  <c r="U29" i="1"/>
  <c r="AM29" i="1" s="1"/>
  <c r="AN29" i="1" s="1"/>
  <c r="Y29" i="1"/>
  <c r="S30" i="1"/>
  <c r="U30" i="1"/>
  <c r="AM30" i="1" s="1"/>
  <c r="AN30" i="1" s="1"/>
  <c r="Y30" i="1"/>
  <c r="S31" i="1"/>
  <c r="U31" i="1"/>
  <c r="AM31" i="1" s="1"/>
  <c r="AN31" i="1" s="1"/>
  <c r="Y31" i="1"/>
  <c r="S32" i="1"/>
  <c r="U32" i="1"/>
  <c r="Y32" i="1"/>
  <c r="AM32" i="1"/>
  <c r="AN32" i="1"/>
  <c r="AV32" i="1"/>
  <c r="S33" i="1"/>
  <c r="U33" i="1"/>
  <c r="Y33" i="1"/>
  <c r="AM33" i="1"/>
  <c r="AN33" i="1" s="1"/>
  <c r="S34" i="1"/>
  <c r="U34" i="1"/>
  <c r="AM34" i="1" s="1"/>
  <c r="AN34" i="1" s="1"/>
  <c r="Y34" i="1"/>
  <c r="S35" i="1"/>
  <c r="U35" i="1"/>
  <c r="AM35" i="1" s="1"/>
  <c r="AN35" i="1" s="1"/>
  <c r="Y35" i="1"/>
  <c r="S36" i="1"/>
  <c r="U36" i="1"/>
  <c r="Y36" i="1"/>
  <c r="AM36" i="1"/>
  <c r="AN36" i="1"/>
  <c r="S37" i="1"/>
  <c r="U37" i="1"/>
  <c r="Y37" i="1"/>
  <c r="AM37" i="1"/>
  <c r="AN37" i="1" s="1"/>
  <c r="AV37" i="1" s="1"/>
  <c r="S38" i="1"/>
  <c r="U38" i="1"/>
  <c r="Y38" i="1"/>
  <c r="AM38" i="1"/>
  <c r="AN38" i="1" s="1"/>
  <c r="S39" i="1"/>
  <c r="U39" i="1"/>
  <c r="AM39" i="1" s="1"/>
  <c r="AN39" i="1" s="1"/>
  <c r="Y39" i="1"/>
  <c r="S40" i="1"/>
  <c r="U40" i="1"/>
  <c r="Y40" i="1"/>
  <c r="AM40" i="1"/>
  <c r="AN40" i="1"/>
  <c r="S41" i="1"/>
  <c r="U41" i="1"/>
  <c r="AM41" i="1" s="1"/>
  <c r="AN41" i="1" s="1"/>
  <c r="Y41" i="1"/>
  <c r="S42" i="1"/>
  <c r="U42" i="1"/>
  <c r="Y42" i="1"/>
  <c r="AM42" i="1"/>
  <c r="AN42" i="1" s="1"/>
  <c r="S43" i="1"/>
  <c r="U43" i="1"/>
  <c r="Y43" i="1"/>
  <c r="AV43" i="1" s="1"/>
  <c r="AM43" i="1"/>
  <c r="AN43" i="1"/>
  <c r="AW43" i="1" s="1"/>
  <c r="S44" i="1"/>
  <c r="U44" i="1"/>
  <c r="AM44" i="1" s="1"/>
  <c r="AN44" i="1" s="1"/>
  <c r="Y44" i="1"/>
  <c r="AU44" i="1" s="1"/>
  <c r="S45" i="1"/>
  <c r="U45" i="1"/>
  <c r="Y45" i="1"/>
  <c r="AM45" i="1"/>
  <c r="AN45" i="1" s="1"/>
  <c r="S46" i="1"/>
  <c r="U46" i="1"/>
  <c r="Y46" i="1"/>
  <c r="AM46" i="1"/>
  <c r="AN46" i="1" s="1"/>
  <c r="S47" i="1"/>
  <c r="U47" i="1"/>
  <c r="Y47" i="1"/>
  <c r="AM47" i="1"/>
  <c r="AN47" i="1"/>
  <c r="AV47" i="1"/>
  <c r="S48" i="1"/>
  <c r="U48" i="1"/>
  <c r="AM48" i="1" s="1"/>
  <c r="AN48" i="1" s="1"/>
  <c r="Y48" i="1"/>
  <c r="S49" i="1"/>
  <c r="U49" i="1"/>
  <c r="AM49" i="1" s="1"/>
  <c r="AN49" i="1" s="1"/>
  <c r="Y49" i="1"/>
  <c r="S50" i="1"/>
  <c r="U50" i="1"/>
  <c r="Y50" i="1"/>
  <c r="AM50" i="1"/>
  <c r="AN50" i="1" s="1"/>
  <c r="S51" i="1"/>
  <c r="U51" i="1"/>
  <c r="Y51" i="1"/>
  <c r="AM51" i="1"/>
  <c r="AN51" i="1"/>
  <c r="S52" i="1"/>
  <c r="U52" i="1"/>
  <c r="AM52" i="1" s="1"/>
  <c r="AN52" i="1" s="1"/>
  <c r="Y52" i="1"/>
  <c r="AU52" i="1" s="1"/>
  <c r="S53" i="1"/>
  <c r="U53" i="1"/>
  <c r="Y53" i="1"/>
  <c r="AM53" i="1"/>
  <c r="AN53" i="1"/>
  <c r="AW53" i="1" s="1"/>
  <c r="S54" i="1"/>
  <c r="U54" i="1"/>
  <c r="AM54" i="1" s="1"/>
  <c r="AN54" i="1" s="1"/>
  <c r="Y54" i="1"/>
  <c r="S55" i="1"/>
  <c r="U55" i="1"/>
  <c r="AM55" i="1" s="1"/>
  <c r="AN55" i="1" s="1"/>
  <c r="Y55" i="1"/>
  <c r="S56" i="1"/>
  <c r="U56" i="1"/>
  <c r="Y56" i="1"/>
  <c r="AM56" i="1"/>
  <c r="AN56" i="1"/>
  <c r="S57" i="1"/>
  <c r="U57" i="1"/>
  <c r="AM57" i="1" s="1"/>
  <c r="AN57" i="1" s="1"/>
  <c r="Y57" i="1"/>
  <c r="AU57" i="1" s="1"/>
  <c r="S58" i="1"/>
  <c r="U58" i="1"/>
  <c r="Y58" i="1"/>
  <c r="AM58" i="1"/>
  <c r="AN58" i="1"/>
  <c r="AW58" i="1" s="1"/>
  <c r="S59" i="1"/>
  <c r="U59" i="1"/>
  <c r="AM59" i="1" s="1"/>
  <c r="AN59" i="1" s="1"/>
  <c r="Y59" i="1"/>
  <c r="S60" i="1"/>
  <c r="U60" i="1"/>
  <c r="Y60" i="1"/>
  <c r="AM60" i="1"/>
  <c r="AN60" i="1" s="1"/>
  <c r="S61" i="1"/>
  <c r="U61" i="1"/>
  <c r="Y61" i="1"/>
  <c r="AM61" i="1"/>
  <c r="AN61" i="1" s="1"/>
  <c r="S62" i="1"/>
  <c r="U62" i="1"/>
  <c r="AM62" i="1" s="1"/>
  <c r="AN62" i="1" s="1"/>
  <c r="Y62" i="1"/>
  <c r="S63" i="1"/>
  <c r="U63" i="1"/>
  <c r="Y63" i="1"/>
  <c r="AM63" i="1"/>
  <c r="AN63" i="1"/>
  <c r="AW63" i="1" s="1"/>
  <c r="S64" i="1"/>
  <c r="U64" i="1"/>
  <c r="AM64" i="1" s="1"/>
  <c r="AN64" i="1" s="1"/>
  <c r="Y64" i="1"/>
  <c r="S65" i="1"/>
  <c r="U65" i="1"/>
  <c r="Y65" i="1"/>
  <c r="AM65" i="1"/>
  <c r="AN65" i="1" s="1"/>
  <c r="S66" i="1"/>
  <c r="U66" i="1"/>
  <c r="Y66" i="1"/>
  <c r="AM66" i="1"/>
  <c r="AN66" i="1"/>
  <c r="S67" i="1"/>
  <c r="U67" i="1"/>
  <c r="AM67" i="1" s="1"/>
  <c r="AN67" i="1" s="1"/>
  <c r="Y67" i="1"/>
  <c r="S68" i="1"/>
  <c r="U68" i="1"/>
  <c r="Y68" i="1"/>
  <c r="AM68" i="1"/>
  <c r="AN68" i="1" s="1"/>
  <c r="S69" i="1"/>
  <c r="U69" i="1"/>
  <c r="AM69" i="1" s="1"/>
  <c r="AN69" i="1" s="1"/>
  <c r="Y69" i="1"/>
  <c r="S70" i="1"/>
  <c r="U70" i="1"/>
  <c r="Y70" i="1"/>
  <c r="AM70" i="1"/>
  <c r="AN70" i="1" s="1"/>
  <c r="S71" i="1"/>
  <c r="U71" i="1"/>
  <c r="Y71" i="1"/>
  <c r="AM71" i="1"/>
  <c r="AN71" i="1"/>
  <c r="S72" i="1"/>
  <c r="U72" i="1"/>
  <c r="AM72" i="1" s="1"/>
  <c r="AN72" i="1" s="1"/>
  <c r="Y72" i="1"/>
  <c r="S73" i="1"/>
  <c r="U73" i="1"/>
  <c r="AM73" i="1" s="1"/>
  <c r="AN73" i="1" s="1"/>
  <c r="Y73" i="1"/>
  <c r="S74" i="1"/>
  <c r="U74" i="1"/>
  <c r="AM74" i="1" s="1"/>
  <c r="AN74" i="1" s="1"/>
  <c r="Y74" i="1"/>
  <c r="AU74" i="1" s="1"/>
  <c r="S75" i="1"/>
  <c r="U75" i="1"/>
  <c r="Y75" i="1"/>
  <c r="AM75" i="1"/>
  <c r="AN75" i="1"/>
  <c r="S76" i="1"/>
  <c r="U76" i="1"/>
  <c r="Y76" i="1"/>
  <c r="AM76" i="1"/>
  <c r="AN76" i="1" s="1"/>
  <c r="S77" i="1"/>
  <c r="U77" i="1"/>
  <c r="AM77" i="1" s="1"/>
  <c r="AN77" i="1" s="1"/>
  <c r="Y77" i="1"/>
  <c r="S78" i="1"/>
  <c r="U78" i="1"/>
  <c r="AM78" i="1" s="1"/>
  <c r="AN78" i="1" s="1"/>
  <c r="Y78" i="1"/>
  <c r="S79" i="1"/>
  <c r="U79" i="1"/>
  <c r="AM79" i="1" s="1"/>
  <c r="AN79" i="1" s="1"/>
  <c r="Y79" i="1"/>
  <c r="S80" i="1"/>
  <c r="U80" i="1"/>
  <c r="Y80" i="1"/>
  <c r="AM80" i="1"/>
  <c r="AN80" i="1"/>
  <c r="S81" i="1"/>
  <c r="U81" i="1"/>
  <c r="AM81" i="1" s="1"/>
  <c r="AN81" i="1" s="1"/>
  <c r="Y81" i="1"/>
  <c r="S82" i="1"/>
  <c r="U82" i="1"/>
  <c r="AM82" i="1" s="1"/>
  <c r="AN82" i="1" s="1"/>
  <c r="Y82" i="1"/>
  <c r="S83" i="1"/>
  <c r="U83" i="1"/>
  <c r="Y83" i="1"/>
  <c r="AV83" i="1" s="1"/>
  <c r="AM83" i="1"/>
  <c r="AN83" i="1" s="1"/>
  <c r="AW83" i="1" s="1"/>
  <c r="S84" i="1"/>
  <c r="U84" i="1"/>
  <c r="AM84" i="1" s="1"/>
  <c r="AN84" i="1" s="1"/>
  <c r="Y84" i="1"/>
  <c r="S85" i="1"/>
  <c r="U85" i="1"/>
  <c r="Y85" i="1"/>
  <c r="AM85" i="1"/>
  <c r="AN85" i="1"/>
  <c r="S86" i="1"/>
  <c r="U86" i="1"/>
  <c r="Y86" i="1"/>
  <c r="AM86" i="1"/>
  <c r="AN86" i="1"/>
  <c r="S87" i="1"/>
  <c r="U87" i="1"/>
  <c r="AM87" i="1" s="1"/>
  <c r="AN87" i="1" s="1"/>
  <c r="Y87" i="1"/>
  <c r="S88" i="1"/>
  <c r="U88" i="1"/>
  <c r="AM88" i="1" s="1"/>
  <c r="AN88" i="1" s="1"/>
  <c r="Y88" i="1"/>
  <c r="S89" i="1"/>
  <c r="U89" i="1"/>
  <c r="AM89" i="1" s="1"/>
  <c r="AN89" i="1" s="1"/>
  <c r="Y89" i="1"/>
  <c r="S90" i="1"/>
  <c r="U90" i="1"/>
  <c r="Y90" i="1"/>
  <c r="AM90" i="1"/>
  <c r="AN90" i="1" s="1"/>
  <c r="S91" i="1"/>
  <c r="U91" i="1"/>
  <c r="Y91" i="1"/>
  <c r="AM91" i="1"/>
  <c r="AN91" i="1" s="1"/>
  <c r="S92" i="1"/>
  <c r="U92" i="1"/>
  <c r="AM92" i="1" s="1"/>
  <c r="AN92" i="1" s="1"/>
  <c r="Y92" i="1"/>
  <c r="S93" i="1"/>
  <c r="U93" i="1"/>
  <c r="AM93" i="1" s="1"/>
  <c r="AN93" i="1" s="1"/>
  <c r="Y93" i="1"/>
  <c r="S94" i="1"/>
  <c r="U94" i="1"/>
  <c r="AM94" i="1" s="1"/>
  <c r="AN94" i="1" s="1"/>
  <c r="Y94" i="1"/>
  <c r="S95" i="1"/>
  <c r="U95" i="1"/>
  <c r="Y95" i="1"/>
  <c r="AM95" i="1"/>
  <c r="AN95" i="1"/>
  <c r="S96" i="1"/>
  <c r="U96" i="1"/>
  <c r="AM96" i="1" s="1"/>
  <c r="AN96" i="1" s="1"/>
  <c r="Y96" i="1"/>
  <c r="S97" i="1"/>
  <c r="U97" i="1"/>
  <c r="AM97" i="1" s="1"/>
  <c r="AN97" i="1" s="1"/>
  <c r="Y97" i="1"/>
  <c r="S98" i="1"/>
  <c r="U98" i="1"/>
  <c r="Y98" i="1"/>
  <c r="AM98" i="1"/>
  <c r="AN98" i="1" s="1"/>
  <c r="AW98" i="1" s="1"/>
  <c r="S99" i="1"/>
  <c r="U99" i="1"/>
  <c r="AM99" i="1" s="1"/>
  <c r="AN99" i="1" s="1"/>
  <c r="Y99" i="1"/>
  <c r="S100" i="1"/>
  <c r="U100" i="1"/>
  <c r="Y100" i="1"/>
  <c r="AM100" i="1"/>
  <c r="AN100" i="1"/>
  <c r="S101" i="1"/>
  <c r="U101" i="1"/>
  <c r="AM101" i="1" s="1"/>
  <c r="AN101" i="1" s="1"/>
  <c r="Y101" i="1"/>
  <c r="S102" i="1"/>
  <c r="U102" i="1"/>
  <c r="AM102" i="1" s="1"/>
  <c r="AN102" i="1" s="1"/>
  <c r="Y102" i="1"/>
  <c r="AU102" i="1" s="1"/>
  <c r="S103" i="1"/>
  <c r="U103" i="1"/>
  <c r="Y103" i="1"/>
  <c r="AM103" i="1"/>
  <c r="AN103" i="1" s="1"/>
  <c r="AW103" i="1" s="1"/>
  <c r="S104" i="1"/>
  <c r="U104" i="1"/>
  <c r="AM104" i="1" s="1"/>
  <c r="AN104" i="1" s="1"/>
  <c r="Y104" i="1"/>
  <c r="S105" i="1"/>
  <c r="U105" i="1"/>
  <c r="AM105" i="1" s="1"/>
  <c r="AN105" i="1" s="1"/>
  <c r="Y105" i="1"/>
  <c r="S106" i="1"/>
  <c r="U106" i="1"/>
  <c r="Y106" i="1"/>
  <c r="AM106" i="1"/>
  <c r="AN106" i="1"/>
  <c r="S107" i="1"/>
  <c r="U107" i="1"/>
  <c r="AM107" i="1" s="1"/>
  <c r="AN107" i="1" s="1"/>
  <c r="Y107" i="1"/>
  <c r="AU107" i="1" s="1"/>
  <c r="S108" i="1"/>
  <c r="U108" i="1"/>
  <c r="Y108" i="1"/>
  <c r="AM108" i="1"/>
  <c r="AN108" i="1" s="1"/>
  <c r="S109" i="1"/>
  <c r="U109" i="1"/>
  <c r="AM109" i="1" s="1"/>
  <c r="AN109" i="1" s="1"/>
  <c r="Y109" i="1"/>
  <c r="S110" i="1"/>
  <c r="U110" i="1"/>
  <c r="AM110" i="1" s="1"/>
  <c r="AN110" i="1" s="1"/>
  <c r="Y110" i="1"/>
  <c r="S111" i="1"/>
  <c r="U111" i="1"/>
  <c r="AM111" i="1" s="1"/>
  <c r="AN111" i="1" s="1"/>
  <c r="Y111" i="1"/>
  <c r="S112" i="1"/>
  <c r="U112" i="1"/>
  <c r="AM112" i="1" s="1"/>
  <c r="AN112" i="1" s="1"/>
  <c r="Y112" i="1"/>
  <c r="S113" i="1"/>
  <c r="U113" i="1"/>
  <c r="AM113" i="1" s="1"/>
  <c r="AN113" i="1" s="1"/>
  <c r="Y113" i="1"/>
  <c r="AV113" i="1" s="1"/>
  <c r="S114" i="1"/>
  <c r="U114" i="1"/>
  <c r="AM114" i="1" s="1"/>
  <c r="AN114" i="1" s="1"/>
  <c r="Y114" i="1"/>
  <c r="S115" i="1"/>
  <c r="U115" i="1"/>
  <c r="Y115" i="1"/>
  <c r="AM115" i="1"/>
  <c r="AN115" i="1"/>
  <c r="S116" i="1"/>
  <c r="U116" i="1"/>
  <c r="Y116" i="1"/>
  <c r="AM116" i="1"/>
  <c r="AN116" i="1" s="1"/>
  <c r="AV116" i="1" s="1"/>
  <c r="S117" i="1"/>
  <c r="U117" i="1"/>
  <c r="AM117" i="1" s="1"/>
  <c r="AN117" i="1" s="1"/>
  <c r="AV117" i="1" s="1"/>
  <c r="Y117" i="1"/>
  <c r="S118" i="1"/>
  <c r="U118" i="1"/>
  <c r="Y118" i="1"/>
  <c r="AM118" i="1"/>
  <c r="AN118" i="1" s="1"/>
  <c r="AW118" i="1" s="1"/>
  <c r="S119" i="1"/>
  <c r="U119" i="1"/>
  <c r="AM119" i="1" s="1"/>
  <c r="AN119" i="1" s="1"/>
  <c r="Y119" i="1"/>
  <c r="AU119" i="1" s="1"/>
  <c r="S120" i="1"/>
  <c r="U120" i="1"/>
  <c r="Y120" i="1"/>
  <c r="AM120" i="1"/>
  <c r="AN120" i="1" s="1"/>
  <c r="S121" i="1"/>
  <c r="U121" i="1"/>
  <c r="Y121" i="1"/>
  <c r="AM121" i="1"/>
  <c r="AN121" i="1" s="1"/>
  <c r="AV121" i="1" s="1"/>
  <c r="S122" i="1"/>
  <c r="U122" i="1"/>
  <c r="AM122" i="1" s="1"/>
  <c r="AN122" i="1" s="1"/>
  <c r="AV122" i="1" s="1"/>
  <c r="Y122" i="1"/>
  <c r="S123" i="1"/>
  <c r="U123" i="1"/>
  <c r="AM123" i="1" s="1"/>
  <c r="AN123" i="1" s="1"/>
  <c r="Y123" i="1"/>
  <c r="S124" i="1"/>
  <c r="U124" i="1"/>
  <c r="AM124" i="1" s="1"/>
  <c r="AN124" i="1" s="1"/>
  <c r="Y124" i="1"/>
  <c r="AU124" i="1" s="1"/>
  <c r="S125" i="1"/>
  <c r="U125" i="1"/>
  <c r="Y125" i="1"/>
  <c r="AM125" i="1"/>
  <c r="AN125" i="1"/>
  <c r="S126" i="1"/>
  <c r="U126" i="1"/>
  <c r="Y126" i="1"/>
  <c r="AM126" i="1"/>
  <c r="AN126" i="1" s="1"/>
  <c r="AV126" i="1" s="1"/>
  <c r="S127" i="1"/>
  <c r="U127" i="1"/>
  <c r="AM127" i="1" s="1"/>
  <c r="AN127" i="1" s="1"/>
  <c r="AV127" i="1" s="1"/>
  <c r="Y127" i="1"/>
  <c r="S128" i="1"/>
  <c r="U128" i="1"/>
  <c r="Y128" i="1"/>
  <c r="AM128" i="1"/>
  <c r="AN128" i="1"/>
  <c r="AW128" i="1" s="1"/>
  <c r="AV128" i="1"/>
  <c r="S129" i="1"/>
  <c r="U129" i="1"/>
  <c r="AM129" i="1" s="1"/>
  <c r="AN129" i="1" s="1"/>
  <c r="Y129" i="1"/>
  <c r="S130" i="1"/>
  <c r="U130" i="1"/>
  <c r="AM130" i="1" s="1"/>
  <c r="AN130" i="1" s="1"/>
  <c r="Y130" i="1"/>
  <c r="S131" i="1"/>
  <c r="U131" i="1"/>
  <c r="Y131" i="1"/>
  <c r="AM131" i="1"/>
  <c r="AN131" i="1" s="1"/>
  <c r="S132" i="1"/>
  <c r="U132" i="1"/>
  <c r="AM132" i="1" s="1"/>
  <c r="AN132" i="1" s="1"/>
  <c r="Y132" i="1"/>
  <c r="AU132" i="1" s="1"/>
  <c r="S133" i="1"/>
  <c r="U133" i="1"/>
  <c r="Y133" i="1"/>
  <c r="AM133" i="1"/>
  <c r="AN133" i="1" s="1"/>
  <c r="AV133" i="1" s="1"/>
  <c r="S134" i="1"/>
  <c r="U134" i="1"/>
  <c r="AM134" i="1" s="1"/>
  <c r="AN134" i="1" s="1"/>
  <c r="Y134" i="1"/>
  <c r="S135" i="1"/>
  <c r="U135" i="1"/>
  <c r="Y135" i="1"/>
  <c r="AU135" i="1" s="1"/>
  <c r="AM135" i="1"/>
  <c r="AN135" i="1"/>
  <c r="S136" i="1"/>
  <c r="U136" i="1"/>
  <c r="AM136" i="1" s="1"/>
  <c r="AN136" i="1" s="1"/>
  <c r="AV136" i="1" s="1"/>
  <c r="Y136" i="1"/>
  <c r="S137" i="1"/>
  <c r="U137" i="1"/>
  <c r="AM137" i="1" s="1"/>
  <c r="AN137" i="1" s="1"/>
  <c r="Y137" i="1"/>
  <c r="AU137" i="1" s="1"/>
  <c r="S138" i="1"/>
  <c r="U138" i="1"/>
  <c r="Y138" i="1"/>
  <c r="AM138" i="1"/>
  <c r="AN138" i="1"/>
  <c r="AV138" i="1"/>
  <c r="S139" i="1"/>
  <c r="U139" i="1"/>
  <c r="AM139" i="1" s="1"/>
  <c r="AN139" i="1" s="1"/>
  <c r="Y139" i="1"/>
  <c r="S140" i="1"/>
  <c r="U140" i="1"/>
  <c r="Y140" i="1"/>
  <c r="AU140" i="1" s="1"/>
  <c r="AM140" i="1"/>
  <c r="AN140" i="1" s="1"/>
  <c r="S141" i="1"/>
  <c r="U141" i="1"/>
  <c r="Y141" i="1"/>
  <c r="AM141" i="1"/>
  <c r="AN141" i="1"/>
  <c r="AV141" i="1"/>
  <c r="S142" i="1"/>
  <c r="U142" i="1"/>
  <c r="AM142" i="1" s="1"/>
  <c r="AN142" i="1" s="1"/>
  <c r="Y142" i="1"/>
  <c r="S143" i="1"/>
  <c r="U143" i="1"/>
  <c r="Y143" i="1"/>
  <c r="AM143" i="1"/>
  <c r="AN143" i="1" s="1"/>
  <c r="AV143" i="1" s="1"/>
  <c r="S144" i="1"/>
  <c r="U144" i="1"/>
  <c r="AM144" i="1" s="1"/>
  <c r="AN144" i="1" s="1"/>
  <c r="Y144" i="1"/>
  <c r="S145" i="1"/>
  <c r="U145" i="1"/>
  <c r="AM145" i="1" s="1"/>
  <c r="AN145" i="1" s="1"/>
  <c r="Y145" i="1"/>
  <c r="S146" i="1"/>
  <c r="U146" i="1"/>
  <c r="Y146" i="1"/>
  <c r="AM146" i="1"/>
  <c r="AN146" i="1" s="1"/>
  <c r="AV146" i="1" s="1"/>
  <c r="S147" i="1"/>
  <c r="U147" i="1"/>
  <c r="AM147" i="1" s="1"/>
  <c r="AN147" i="1" s="1"/>
  <c r="Y147" i="1"/>
  <c r="S148" i="1"/>
  <c r="U148" i="1"/>
  <c r="AM148" i="1" s="1"/>
  <c r="AN148" i="1" s="1"/>
  <c r="Y148" i="1"/>
  <c r="S149" i="1"/>
  <c r="U149" i="1"/>
  <c r="AM149" i="1" s="1"/>
  <c r="AN149" i="1" s="1"/>
  <c r="Y149" i="1"/>
  <c r="S150" i="1"/>
  <c r="U150" i="1"/>
  <c r="AM150" i="1" s="1"/>
  <c r="AN150" i="1" s="1"/>
  <c r="Y150" i="1"/>
  <c r="AU150" i="1" s="1"/>
  <c r="S151" i="1"/>
  <c r="U151" i="1"/>
  <c r="Y151" i="1"/>
  <c r="AM151" i="1"/>
  <c r="AN151" i="1" s="1"/>
  <c r="AV151" i="1" s="1"/>
  <c r="S152" i="1"/>
  <c r="U152" i="1"/>
  <c r="AM152" i="1" s="1"/>
  <c r="AN152" i="1" s="1"/>
  <c r="Y152" i="1"/>
  <c r="S153" i="1"/>
  <c r="U153" i="1"/>
  <c r="Y153" i="1"/>
  <c r="AM153" i="1"/>
  <c r="AN153" i="1" s="1"/>
  <c r="AV153" i="1" s="1"/>
  <c r="S154" i="1"/>
  <c r="U154" i="1"/>
  <c r="AM154" i="1" s="1"/>
  <c r="AN154" i="1" s="1"/>
  <c r="Y154" i="1"/>
  <c r="S155" i="1"/>
  <c r="U155" i="1"/>
  <c r="AM155" i="1" s="1"/>
  <c r="AN155" i="1" s="1"/>
  <c r="Y155" i="1"/>
  <c r="S156" i="1"/>
  <c r="U156" i="1"/>
  <c r="AM156" i="1" s="1"/>
  <c r="AN156" i="1" s="1"/>
  <c r="AV156" i="1" s="1"/>
  <c r="Y156" i="1"/>
  <c r="S157" i="1"/>
  <c r="U157" i="1"/>
  <c r="AM157" i="1" s="1"/>
  <c r="AN157" i="1" s="1"/>
  <c r="Y157" i="1"/>
  <c r="S158" i="1"/>
  <c r="U158" i="1"/>
  <c r="Y158" i="1"/>
  <c r="AM158" i="1"/>
  <c r="AN158" i="1" s="1"/>
  <c r="AV158" i="1" s="1"/>
  <c r="S159" i="1"/>
  <c r="U159" i="1"/>
  <c r="AM159" i="1" s="1"/>
  <c r="AN159" i="1" s="1"/>
  <c r="Y159" i="1"/>
  <c r="S160" i="1"/>
  <c r="U160" i="1"/>
  <c r="AM160" i="1" s="1"/>
  <c r="AN160" i="1" s="1"/>
  <c r="Y160" i="1"/>
  <c r="S161" i="1"/>
  <c r="U161" i="1"/>
  <c r="Y161" i="1"/>
  <c r="AM161" i="1"/>
  <c r="AN161" i="1"/>
  <c r="AV161" i="1" s="1"/>
  <c r="S162" i="1"/>
  <c r="U162" i="1"/>
  <c r="AM162" i="1" s="1"/>
  <c r="AN162" i="1" s="1"/>
  <c r="Y162" i="1"/>
  <c r="S163" i="1"/>
  <c r="U163" i="1"/>
  <c r="Y163" i="1"/>
  <c r="AM163" i="1"/>
  <c r="AN163" i="1" s="1"/>
  <c r="AV163" i="1" s="1"/>
  <c r="S164" i="1"/>
  <c r="U164" i="1"/>
  <c r="AM164" i="1" s="1"/>
  <c r="AN164" i="1" s="1"/>
  <c r="Y164" i="1"/>
  <c r="S165" i="1"/>
  <c r="U165" i="1"/>
  <c r="AM165" i="1" s="1"/>
  <c r="AN165" i="1" s="1"/>
  <c r="Y165" i="1"/>
  <c r="S166" i="1"/>
  <c r="U166" i="1"/>
  <c r="Y166" i="1"/>
  <c r="AM166" i="1"/>
  <c r="AN166" i="1"/>
  <c r="S167" i="1"/>
  <c r="U167" i="1"/>
  <c r="AM167" i="1" s="1"/>
  <c r="AN167" i="1" s="1"/>
  <c r="Y167" i="1"/>
  <c r="S168" i="1"/>
  <c r="U168" i="1"/>
  <c r="Y168" i="1"/>
  <c r="AM168" i="1"/>
  <c r="AN168" i="1" s="1"/>
  <c r="S169" i="1"/>
  <c r="U169" i="1"/>
  <c r="AM169" i="1" s="1"/>
  <c r="AN169" i="1" s="1"/>
  <c r="Y169" i="1"/>
  <c r="AV169" i="1" s="1"/>
  <c r="S170" i="1"/>
  <c r="U170" i="1"/>
  <c r="AM170" i="1" s="1"/>
  <c r="AN170" i="1" s="1"/>
  <c r="Y170" i="1"/>
  <c r="S171" i="1"/>
  <c r="U171" i="1"/>
  <c r="Y171" i="1"/>
  <c r="AM171" i="1"/>
  <c r="AN171" i="1"/>
  <c r="S172" i="1"/>
  <c r="U172" i="1"/>
  <c r="AM172" i="1" s="1"/>
  <c r="AN172" i="1" s="1"/>
  <c r="Y172" i="1"/>
  <c r="AV172" i="1" s="1"/>
  <c r="S173" i="1"/>
  <c r="U173" i="1"/>
  <c r="Y173" i="1"/>
  <c r="AM173" i="1"/>
  <c r="AN173" i="1" s="1"/>
  <c r="AV173" i="1" s="1"/>
  <c r="S174" i="1"/>
  <c r="U174" i="1"/>
  <c r="AM174" i="1" s="1"/>
  <c r="AN174" i="1" s="1"/>
  <c r="Y174" i="1"/>
  <c r="AV174" i="1" s="1"/>
  <c r="S175" i="1"/>
  <c r="U175" i="1"/>
  <c r="AM175" i="1" s="1"/>
  <c r="AN175" i="1" s="1"/>
  <c r="Y175" i="1"/>
  <c r="S176" i="1"/>
  <c r="U176" i="1"/>
  <c r="Y176" i="1"/>
  <c r="AM176" i="1"/>
  <c r="AN176" i="1" s="1"/>
  <c r="AV176" i="1" s="1"/>
  <c r="S177" i="1"/>
  <c r="U177" i="1"/>
  <c r="AM177" i="1" s="1"/>
  <c r="AN177" i="1" s="1"/>
  <c r="Y177" i="1"/>
  <c r="AV177" i="1" s="1"/>
  <c r="S178" i="1"/>
  <c r="U178" i="1"/>
  <c r="AM178" i="1" s="1"/>
  <c r="AN178" i="1" s="1"/>
  <c r="AV178" i="1" s="1"/>
  <c r="Y178" i="1"/>
  <c r="S179" i="1"/>
  <c r="U179" i="1"/>
  <c r="AM179" i="1" s="1"/>
  <c r="AN179" i="1" s="1"/>
  <c r="Y179" i="1"/>
  <c r="S180" i="1"/>
  <c r="U180" i="1"/>
  <c r="AM180" i="1" s="1"/>
  <c r="AN180" i="1" s="1"/>
  <c r="Y180" i="1"/>
  <c r="S181" i="1"/>
  <c r="U181" i="1"/>
  <c r="Y181" i="1"/>
  <c r="AM181" i="1"/>
  <c r="AN181" i="1" s="1"/>
  <c r="S182" i="1"/>
  <c r="U182" i="1"/>
  <c r="AM182" i="1" s="1"/>
  <c r="AN182" i="1" s="1"/>
  <c r="Y182" i="1"/>
  <c r="S183" i="1"/>
  <c r="U183" i="1"/>
  <c r="Y183" i="1"/>
  <c r="AM183" i="1"/>
  <c r="AN183" i="1"/>
  <c r="S184" i="1"/>
  <c r="U184" i="1"/>
  <c r="AM184" i="1" s="1"/>
  <c r="AN184" i="1" s="1"/>
  <c r="Y184" i="1"/>
  <c r="S185" i="1"/>
  <c r="U185" i="1"/>
  <c r="AM185" i="1" s="1"/>
  <c r="AN185" i="1" s="1"/>
  <c r="Y185" i="1"/>
  <c r="S186" i="1"/>
  <c r="U186" i="1"/>
  <c r="AM186" i="1" s="1"/>
  <c r="AN186" i="1" s="1"/>
  <c r="Y186" i="1"/>
  <c r="S187" i="1"/>
  <c r="U187" i="1"/>
  <c r="AM187" i="1" s="1"/>
  <c r="AN187" i="1" s="1"/>
  <c r="Y187" i="1"/>
  <c r="S188" i="1"/>
  <c r="U188" i="1"/>
  <c r="Y188" i="1"/>
  <c r="AM188" i="1"/>
  <c r="AN188" i="1"/>
  <c r="AV188" i="1" s="1"/>
  <c r="S189" i="1"/>
  <c r="U189" i="1"/>
  <c r="AM189" i="1" s="1"/>
  <c r="AN189" i="1" s="1"/>
  <c r="Y189" i="1"/>
  <c r="S190" i="1"/>
  <c r="U190" i="1"/>
  <c r="AM190" i="1" s="1"/>
  <c r="Y190" i="1"/>
  <c r="AN190" i="1"/>
  <c r="AV190" i="1"/>
  <c r="S191" i="1"/>
  <c r="U191" i="1"/>
  <c r="Y191" i="1"/>
  <c r="AM191" i="1"/>
  <c r="AN191" i="1" s="1"/>
  <c r="S192" i="1"/>
  <c r="U192" i="1"/>
  <c r="AM192" i="1" s="1"/>
  <c r="AN192" i="1" s="1"/>
  <c r="Y192" i="1"/>
  <c r="AV192" i="1"/>
  <c r="S193" i="1"/>
  <c r="U193" i="1"/>
  <c r="Y193" i="1"/>
  <c r="AM193" i="1"/>
  <c r="AN193" i="1"/>
  <c r="S194" i="1"/>
  <c r="U194" i="1"/>
  <c r="AM194" i="1" s="1"/>
  <c r="AN194" i="1" s="1"/>
  <c r="Y194" i="1"/>
  <c r="S195" i="1"/>
  <c r="U195" i="1"/>
  <c r="AM195" i="1" s="1"/>
  <c r="AN195" i="1" s="1"/>
  <c r="Y195" i="1"/>
  <c r="S196" i="1"/>
  <c r="U196" i="1"/>
  <c r="Y196" i="1"/>
  <c r="AM196" i="1"/>
  <c r="AN196" i="1" s="1"/>
  <c r="AV196" i="1" s="1"/>
  <c r="S197" i="1"/>
  <c r="U197" i="1"/>
  <c r="AM197" i="1" s="1"/>
  <c r="AN197" i="1" s="1"/>
  <c r="Y197" i="1"/>
  <c r="S198" i="1"/>
  <c r="U198" i="1"/>
  <c r="Y198" i="1"/>
  <c r="AM198" i="1"/>
  <c r="AN198" i="1"/>
  <c r="AV198" i="1" s="1"/>
  <c r="S199" i="1"/>
  <c r="U199" i="1"/>
  <c r="AM199" i="1" s="1"/>
  <c r="AN199" i="1" s="1"/>
  <c r="Y199" i="1"/>
  <c r="AV199" i="1" s="1"/>
  <c r="S200" i="1"/>
  <c r="U200" i="1"/>
  <c r="AM200" i="1" s="1"/>
  <c r="AN200" i="1" s="1"/>
  <c r="AV200" i="1" s="1"/>
  <c r="Y200" i="1"/>
  <c r="S201" i="1"/>
  <c r="U201" i="1"/>
  <c r="AM201" i="1" s="1"/>
  <c r="AN201" i="1" s="1"/>
  <c r="AV201" i="1" s="1"/>
  <c r="Y201" i="1"/>
  <c r="S202" i="1"/>
  <c r="U202" i="1"/>
  <c r="AM202" i="1" s="1"/>
  <c r="AN202" i="1" s="1"/>
  <c r="Y202" i="1"/>
  <c r="AV202" i="1"/>
  <c r="S203" i="1"/>
  <c r="U203" i="1"/>
  <c r="AM203" i="1" s="1"/>
  <c r="AN203" i="1" s="1"/>
  <c r="Y203" i="1"/>
  <c r="S204" i="1"/>
  <c r="U204" i="1"/>
  <c r="AM204" i="1" s="1"/>
  <c r="AN204" i="1" s="1"/>
  <c r="Y204" i="1"/>
  <c r="AV204" i="1"/>
  <c r="S205" i="1"/>
  <c r="U205" i="1"/>
  <c r="AM205" i="1" s="1"/>
  <c r="AN205" i="1" s="1"/>
  <c r="Y205" i="1"/>
  <c r="S206" i="1"/>
  <c r="U206" i="1"/>
  <c r="Y206" i="1"/>
  <c r="AM206" i="1"/>
  <c r="AN206" i="1" s="1"/>
  <c r="S207" i="1"/>
  <c r="U207" i="1"/>
  <c r="AM207" i="1" s="1"/>
  <c r="AN207" i="1" s="1"/>
  <c r="Y207" i="1"/>
  <c r="S208" i="1"/>
  <c r="U208" i="1"/>
  <c r="AM208" i="1" s="1"/>
  <c r="AN208" i="1" s="1"/>
  <c r="Y208" i="1"/>
  <c r="S209" i="1"/>
  <c r="U209" i="1"/>
  <c r="AM209" i="1" s="1"/>
  <c r="AN209" i="1" s="1"/>
  <c r="Y209" i="1"/>
  <c r="AV209" i="1"/>
  <c r="S210" i="1"/>
  <c r="U210" i="1"/>
  <c r="AM210" i="1" s="1"/>
  <c r="AN210" i="1" s="1"/>
  <c r="Y210" i="1"/>
  <c r="S211" i="1"/>
  <c r="U211" i="1"/>
  <c r="AM211" i="1" s="1"/>
  <c r="AN211" i="1" s="1"/>
  <c r="Y211" i="1"/>
  <c r="S212" i="1"/>
  <c r="U212" i="1"/>
  <c r="AM212" i="1" s="1"/>
  <c r="AN212" i="1" s="1"/>
  <c r="Y212" i="1"/>
  <c r="S213" i="1"/>
  <c r="U213" i="1"/>
  <c r="Y213" i="1"/>
  <c r="AM213" i="1"/>
  <c r="AN213" i="1" s="1"/>
  <c r="S214" i="1"/>
  <c r="U214" i="1"/>
  <c r="AM214" i="1" s="1"/>
  <c r="AN214" i="1" s="1"/>
  <c r="Y214" i="1"/>
  <c r="S215" i="1"/>
  <c r="U215" i="1"/>
  <c r="AM215" i="1" s="1"/>
  <c r="AN215" i="1" s="1"/>
  <c r="Y215" i="1"/>
  <c r="S216" i="1"/>
  <c r="U216" i="1"/>
  <c r="AM216" i="1" s="1"/>
  <c r="AN216" i="1" s="1"/>
  <c r="Y216" i="1"/>
  <c r="S217" i="1"/>
  <c r="U217" i="1"/>
  <c r="AM217" i="1" s="1"/>
  <c r="AN217" i="1" s="1"/>
  <c r="Y217" i="1"/>
  <c r="AV217" i="1" s="1"/>
  <c r="S218" i="1"/>
  <c r="U218" i="1"/>
  <c r="Y218" i="1"/>
  <c r="AM218" i="1"/>
  <c r="AN218" i="1" s="1"/>
  <c r="AV218" i="1" s="1"/>
  <c r="S219" i="1"/>
  <c r="U219" i="1"/>
  <c r="AM219" i="1" s="1"/>
  <c r="AN219" i="1" s="1"/>
  <c r="Y219" i="1"/>
  <c r="S220" i="1"/>
  <c r="U220" i="1"/>
  <c r="AM220" i="1" s="1"/>
  <c r="Y220" i="1"/>
  <c r="AN220" i="1"/>
  <c r="S221" i="1"/>
  <c r="U221" i="1"/>
  <c r="AM221" i="1" s="1"/>
  <c r="AN221" i="1" s="1"/>
  <c r="Y221" i="1"/>
  <c r="S222" i="1"/>
  <c r="U222" i="1"/>
  <c r="AM222" i="1" s="1"/>
  <c r="AN222" i="1" s="1"/>
  <c r="Y222" i="1"/>
  <c r="AV222" i="1"/>
  <c r="S223" i="1"/>
  <c r="U223" i="1"/>
  <c r="Y223" i="1"/>
  <c r="AM223" i="1"/>
  <c r="AN223" i="1" s="1"/>
  <c r="S224" i="1"/>
  <c r="U224" i="1"/>
  <c r="AM224" i="1" s="1"/>
  <c r="AN224" i="1" s="1"/>
  <c r="Y224" i="1"/>
  <c r="S225" i="1"/>
  <c r="U225" i="1"/>
  <c r="AM225" i="1" s="1"/>
  <c r="AN225" i="1" s="1"/>
  <c r="Y225" i="1"/>
  <c r="S226" i="1"/>
  <c r="U226" i="1"/>
  <c r="AM226" i="1" s="1"/>
  <c r="AN226" i="1" s="1"/>
  <c r="Y226" i="1"/>
  <c r="S227" i="1"/>
  <c r="U227" i="1"/>
  <c r="AM227" i="1" s="1"/>
  <c r="AN227" i="1" s="1"/>
  <c r="Y227" i="1"/>
  <c r="S228" i="1"/>
  <c r="U228" i="1"/>
  <c r="Y228" i="1"/>
  <c r="AM228" i="1"/>
  <c r="AN228" i="1"/>
  <c r="AU228" i="1" s="1"/>
  <c r="AV228" i="1"/>
  <c r="AW228" i="1"/>
  <c r="S229" i="1"/>
  <c r="U229" i="1"/>
  <c r="AM229" i="1" s="1"/>
  <c r="AN229" i="1" s="1"/>
  <c r="Y229" i="1"/>
  <c r="AV229" i="1" s="1"/>
  <c r="S230" i="1"/>
  <c r="U230" i="1"/>
  <c r="AM230" i="1" s="1"/>
  <c r="Y230" i="1"/>
  <c r="AN230" i="1"/>
  <c r="AV230" i="1" s="1"/>
  <c r="S231" i="1"/>
  <c r="U231" i="1"/>
  <c r="AM231" i="1" s="1"/>
  <c r="AN231" i="1" s="1"/>
  <c r="Y231" i="1"/>
  <c r="S232" i="1"/>
  <c r="U232" i="1"/>
  <c r="AM232" i="1" s="1"/>
  <c r="AN232" i="1" s="1"/>
  <c r="Y232" i="1"/>
  <c r="S233" i="1"/>
  <c r="U233" i="1"/>
  <c r="Y233" i="1"/>
  <c r="AM233" i="1"/>
  <c r="AN233" i="1" s="1"/>
  <c r="AU233" i="1" s="1"/>
  <c r="S234" i="1"/>
  <c r="U234" i="1"/>
  <c r="AM234" i="1" s="1"/>
  <c r="AN234" i="1" s="1"/>
  <c r="Y234" i="1"/>
  <c r="S235" i="1"/>
  <c r="U235" i="1"/>
  <c r="AM235" i="1" s="1"/>
  <c r="AN235" i="1" s="1"/>
  <c r="Y235" i="1"/>
  <c r="S236" i="1"/>
  <c r="U236" i="1"/>
  <c r="Y236" i="1"/>
  <c r="AM236" i="1"/>
  <c r="AN236" i="1" s="1"/>
  <c r="S237" i="1"/>
  <c r="U237" i="1"/>
  <c r="AM237" i="1" s="1"/>
  <c r="AN237" i="1" s="1"/>
  <c r="Y237" i="1"/>
  <c r="S238" i="1"/>
  <c r="U238" i="1"/>
  <c r="AM238" i="1" s="1"/>
  <c r="AN238" i="1" s="1"/>
  <c r="Y238" i="1"/>
  <c r="S239" i="1"/>
  <c r="U239" i="1"/>
  <c r="Y239" i="1"/>
  <c r="AM239" i="1"/>
  <c r="AN239" i="1" s="1"/>
  <c r="S240" i="1"/>
  <c r="U240" i="1"/>
  <c r="AM240" i="1" s="1"/>
  <c r="AN240" i="1" s="1"/>
  <c r="AU240" i="1" s="1"/>
  <c r="Y240" i="1"/>
  <c r="S241" i="1"/>
  <c r="U241" i="1"/>
  <c r="Y241" i="1"/>
  <c r="AM241" i="1"/>
  <c r="AN241" i="1"/>
  <c r="AU241" i="1" s="1"/>
  <c r="AV241" i="1"/>
  <c r="S242" i="1"/>
  <c r="U242" i="1"/>
  <c r="AM242" i="1" s="1"/>
  <c r="AN242" i="1" s="1"/>
  <c r="Y242" i="1"/>
  <c r="S243" i="1"/>
  <c r="U243" i="1"/>
  <c r="AM243" i="1" s="1"/>
  <c r="AN243" i="1" s="1"/>
  <c r="Y243" i="1"/>
  <c r="S244" i="1"/>
  <c r="U244" i="1"/>
  <c r="Y244" i="1"/>
  <c r="AM244" i="1"/>
  <c r="AN244" i="1" s="1"/>
  <c r="S245" i="1"/>
  <c r="U245" i="1"/>
  <c r="AM245" i="1" s="1"/>
  <c r="AN245" i="1" s="1"/>
  <c r="Y245" i="1"/>
  <c r="S246" i="1"/>
  <c r="U246" i="1"/>
  <c r="Y246" i="1"/>
  <c r="AM246" i="1"/>
  <c r="AN246" i="1" s="1"/>
  <c r="S247" i="1"/>
  <c r="U247" i="1"/>
  <c r="AM247" i="1" s="1"/>
  <c r="AN247" i="1" s="1"/>
  <c r="Y247" i="1"/>
  <c r="S248" i="1"/>
  <c r="U248" i="1"/>
  <c r="AM248" i="1" s="1"/>
  <c r="AN248" i="1" s="1"/>
  <c r="Y248" i="1"/>
  <c r="S249" i="1"/>
  <c r="U249" i="1"/>
  <c r="AM249" i="1" s="1"/>
  <c r="AN249" i="1" s="1"/>
  <c r="AV249" i="1" s="1"/>
  <c r="Y249" i="1"/>
  <c r="S250" i="1"/>
  <c r="U250" i="1"/>
  <c r="AM250" i="1" s="1"/>
  <c r="AN250" i="1" s="1"/>
  <c r="AU250" i="1" s="1"/>
  <c r="Y250" i="1"/>
  <c r="S251" i="1"/>
  <c r="U251" i="1"/>
  <c r="Y251" i="1"/>
  <c r="AM251" i="1"/>
  <c r="AN251" i="1" s="1"/>
  <c r="S252" i="1"/>
  <c r="U252" i="1"/>
  <c r="AM252" i="1" s="1"/>
  <c r="AN252" i="1" s="1"/>
  <c r="Y252" i="1"/>
  <c r="AU252" i="1" s="1"/>
  <c r="S253" i="1"/>
  <c r="U253" i="1"/>
  <c r="AM253" i="1" s="1"/>
  <c r="AN253" i="1" s="1"/>
  <c r="Y253" i="1"/>
  <c r="AU253" i="1" s="1"/>
  <c r="S254" i="1"/>
  <c r="U254" i="1"/>
  <c r="AM254" i="1" s="1"/>
  <c r="AN254" i="1" s="1"/>
  <c r="AV254" i="1" s="1"/>
  <c r="Y254" i="1"/>
  <c r="S255" i="1"/>
  <c r="U255" i="1"/>
  <c r="AM255" i="1" s="1"/>
  <c r="AN255" i="1" s="1"/>
  <c r="AU255" i="1" s="1"/>
  <c r="Y255" i="1"/>
  <c r="S256" i="1"/>
  <c r="U256" i="1"/>
  <c r="Y256" i="1"/>
  <c r="AM256" i="1"/>
  <c r="AN256" i="1"/>
  <c r="AU256" i="1" s="1"/>
  <c r="S257" i="1"/>
  <c r="U257" i="1"/>
  <c r="AM257" i="1" s="1"/>
  <c r="AN257" i="1" s="1"/>
  <c r="Y257" i="1"/>
  <c r="S258" i="1"/>
  <c r="U258" i="1"/>
  <c r="AM258" i="1" s="1"/>
  <c r="AN258" i="1" s="1"/>
  <c r="Y258" i="1"/>
  <c r="AU258" i="1" s="1"/>
  <c r="S259" i="1"/>
  <c r="U259" i="1"/>
  <c r="Y259" i="1"/>
  <c r="AM259" i="1"/>
  <c r="AN259" i="1" s="1"/>
  <c r="AV259" i="1" s="1"/>
  <c r="S260" i="1"/>
  <c r="U260" i="1"/>
  <c r="AM260" i="1" s="1"/>
  <c r="AN260" i="1" s="1"/>
  <c r="Y260" i="1"/>
  <c r="S261" i="1"/>
  <c r="U261" i="1"/>
  <c r="Y261" i="1"/>
  <c r="AM261" i="1"/>
  <c r="AN261" i="1" s="1"/>
  <c r="AU261" i="1" s="1"/>
  <c r="S262" i="1"/>
  <c r="U262" i="1"/>
  <c r="AM262" i="1" s="1"/>
  <c r="AN262" i="1" s="1"/>
  <c r="Y262" i="1"/>
  <c r="AU262" i="1" s="1"/>
  <c r="S263" i="1"/>
  <c r="U263" i="1"/>
  <c r="AM263" i="1" s="1"/>
  <c r="AN263" i="1" s="1"/>
  <c r="Y263" i="1"/>
  <c r="S264" i="1"/>
  <c r="U264" i="1"/>
  <c r="Y264" i="1"/>
  <c r="AM264" i="1"/>
  <c r="AN264" i="1" s="1"/>
  <c r="S265" i="1"/>
  <c r="U265" i="1"/>
  <c r="AM265" i="1" s="1"/>
  <c r="AN265" i="1" s="1"/>
  <c r="Y265" i="1"/>
  <c r="S266" i="1"/>
  <c r="U266" i="1"/>
  <c r="Y266" i="1"/>
  <c r="AM266" i="1"/>
  <c r="AN266" i="1" s="1"/>
  <c r="AU266" i="1" s="1"/>
  <c r="S267" i="1"/>
  <c r="U267" i="1"/>
  <c r="AM267" i="1" s="1"/>
  <c r="AN267" i="1" s="1"/>
  <c r="Y267" i="1"/>
  <c r="S268" i="1"/>
  <c r="U268" i="1"/>
  <c r="AM268" i="1" s="1"/>
  <c r="AN268" i="1" s="1"/>
  <c r="Y268" i="1"/>
  <c r="S269" i="1"/>
  <c r="U269" i="1"/>
  <c r="Y269" i="1"/>
  <c r="AM269" i="1"/>
  <c r="AN269" i="1" s="1"/>
  <c r="S270" i="1"/>
  <c r="U270" i="1"/>
  <c r="AM270" i="1" s="1"/>
  <c r="AN270" i="1" s="1"/>
  <c r="Y270" i="1"/>
  <c r="S271" i="1"/>
  <c r="U271" i="1"/>
  <c r="AM271" i="1" s="1"/>
  <c r="AN271" i="1" s="1"/>
  <c r="Y271" i="1"/>
  <c r="S272" i="1"/>
  <c r="U272" i="1"/>
  <c r="AM272" i="1" s="1"/>
  <c r="AN272" i="1" s="1"/>
  <c r="Y272" i="1"/>
  <c r="AU272" i="1" s="1"/>
  <c r="S273" i="1"/>
  <c r="U273" i="1"/>
  <c r="AM273" i="1" s="1"/>
  <c r="AN273" i="1" s="1"/>
  <c r="Y273" i="1"/>
  <c r="S274" i="1"/>
  <c r="U274" i="1"/>
  <c r="AM274" i="1" s="1"/>
  <c r="AN274" i="1" s="1"/>
  <c r="AV274" i="1" s="1"/>
  <c r="Y274" i="1"/>
  <c r="S275" i="1"/>
  <c r="U275" i="1"/>
  <c r="Y275" i="1"/>
  <c r="AM275" i="1"/>
  <c r="AN275" i="1"/>
  <c r="AU275" i="1"/>
  <c r="S276" i="1"/>
  <c r="U276" i="1"/>
  <c r="Y276" i="1"/>
  <c r="AM276" i="1"/>
  <c r="AN276" i="1"/>
  <c r="AU276" i="1" s="1"/>
  <c r="S277" i="1"/>
  <c r="U277" i="1"/>
  <c r="AM277" i="1" s="1"/>
  <c r="AN277" i="1" s="1"/>
  <c r="Y277" i="1"/>
  <c r="AU277" i="1" s="1"/>
  <c r="S278" i="1"/>
  <c r="U278" i="1"/>
  <c r="AM278" i="1" s="1"/>
  <c r="AN278" i="1" s="1"/>
  <c r="Y278" i="1"/>
  <c r="S279" i="1"/>
  <c r="U279" i="1"/>
  <c r="AM279" i="1" s="1"/>
  <c r="AN279" i="1" s="1"/>
  <c r="Y279" i="1"/>
  <c r="S280" i="1"/>
  <c r="U280" i="1"/>
  <c r="Y280" i="1"/>
  <c r="AM280" i="1"/>
  <c r="AN280" i="1"/>
  <c r="AU280" i="1"/>
  <c r="S281" i="1"/>
  <c r="U281" i="1"/>
  <c r="Y281" i="1"/>
  <c r="AM281" i="1"/>
  <c r="AN281" i="1" s="1"/>
  <c r="AU281" i="1" s="1"/>
  <c r="S282" i="1"/>
  <c r="U282" i="1"/>
  <c r="AM282" i="1" s="1"/>
  <c r="AN282" i="1" s="1"/>
  <c r="Y282" i="1"/>
  <c r="S283" i="1"/>
  <c r="U283" i="1"/>
  <c r="AM283" i="1" s="1"/>
  <c r="AN283" i="1" s="1"/>
  <c r="Y283" i="1"/>
  <c r="S284" i="1"/>
  <c r="U284" i="1"/>
  <c r="AM284" i="1" s="1"/>
  <c r="AN284" i="1" s="1"/>
  <c r="Y284" i="1"/>
  <c r="S285" i="1"/>
  <c r="U285" i="1"/>
  <c r="Y285" i="1"/>
  <c r="AM285" i="1"/>
  <c r="AN285" i="1" s="1"/>
  <c r="AU285" i="1" s="1"/>
  <c r="S286" i="1"/>
  <c r="U286" i="1"/>
  <c r="AM286" i="1" s="1"/>
  <c r="Y286" i="1"/>
  <c r="AN286" i="1"/>
  <c r="AU286" i="1" s="1"/>
  <c r="S287" i="1"/>
  <c r="U287" i="1"/>
  <c r="AM287" i="1" s="1"/>
  <c r="AN287" i="1" s="1"/>
  <c r="Y287" i="1"/>
  <c r="S288" i="1"/>
  <c r="U288" i="1"/>
  <c r="AM288" i="1" s="1"/>
  <c r="AN288" i="1" s="1"/>
  <c r="Y288" i="1"/>
  <c r="AU288" i="1" s="1"/>
  <c r="S289" i="1"/>
  <c r="U289" i="1"/>
  <c r="AM289" i="1" s="1"/>
  <c r="AN289" i="1" s="1"/>
  <c r="Y289" i="1"/>
  <c r="S290" i="1"/>
  <c r="U290" i="1"/>
  <c r="Y290" i="1"/>
  <c r="AM290" i="1"/>
  <c r="AN290" i="1" s="1"/>
  <c r="AU290" i="1" s="1"/>
  <c r="S291" i="1"/>
  <c r="U291" i="1"/>
  <c r="Y291" i="1"/>
  <c r="AM291" i="1"/>
  <c r="AN291" i="1"/>
  <c r="AU291" i="1" s="1"/>
  <c r="S292" i="1"/>
  <c r="U292" i="1"/>
  <c r="AM292" i="1" s="1"/>
  <c r="AN292" i="1" s="1"/>
  <c r="Y292" i="1"/>
  <c r="S293" i="1"/>
  <c r="U293" i="1"/>
  <c r="AM293" i="1" s="1"/>
  <c r="AN293" i="1" s="1"/>
  <c r="Y293" i="1"/>
  <c r="S294" i="1"/>
  <c r="U294" i="1"/>
  <c r="Y294" i="1"/>
  <c r="AM294" i="1"/>
  <c r="AN294" i="1" s="1"/>
  <c r="S295" i="1"/>
  <c r="U295" i="1"/>
  <c r="Y295" i="1"/>
  <c r="AM295" i="1"/>
  <c r="AN295" i="1" s="1"/>
  <c r="AU295" i="1" s="1"/>
  <c r="S296" i="1"/>
  <c r="U296" i="1"/>
  <c r="Y296" i="1"/>
  <c r="AM296" i="1"/>
  <c r="AN296" i="1" s="1"/>
  <c r="S297" i="1"/>
  <c r="U297" i="1"/>
  <c r="AM297" i="1" s="1"/>
  <c r="AN297" i="1" s="1"/>
  <c r="Y297" i="1"/>
  <c r="S298" i="1"/>
  <c r="U298" i="1"/>
  <c r="AM298" i="1" s="1"/>
  <c r="AN298" i="1" s="1"/>
  <c r="Y298" i="1"/>
  <c r="S299" i="1"/>
  <c r="U299" i="1"/>
  <c r="Y299" i="1"/>
  <c r="AM299" i="1"/>
  <c r="AN299" i="1" s="1"/>
  <c r="AV299" i="1" s="1"/>
  <c r="S300" i="1"/>
  <c r="U300" i="1"/>
  <c r="Y300" i="1"/>
  <c r="AM300" i="1"/>
  <c r="AN300" i="1" s="1"/>
  <c r="AU300" i="1" s="1"/>
  <c r="S301" i="1"/>
  <c r="U301" i="1"/>
  <c r="Y301" i="1"/>
  <c r="AM301" i="1"/>
  <c r="AN301" i="1" s="1"/>
  <c r="AU301" i="1" s="1"/>
  <c r="S302" i="1"/>
  <c r="U302" i="1"/>
  <c r="AM302" i="1" s="1"/>
  <c r="AN302" i="1" s="1"/>
  <c r="Y302" i="1"/>
  <c r="S303" i="1"/>
  <c r="U303" i="1"/>
  <c r="AM303" i="1" s="1"/>
  <c r="AN303" i="1" s="1"/>
  <c r="Y303" i="1"/>
  <c r="S304" i="1"/>
  <c r="U304" i="1"/>
  <c r="AM304" i="1" s="1"/>
  <c r="AN304" i="1" s="1"/>
  <c r="AV304" i="1" s="1"/>
  <c r="Y304" i="1"/>
  <c r="S305" i="1"/>
  <c r="U305" i="1"/>
  <c r="Y305" i="1"/>
  <c r="AM305" i="1"/>
  <c r="AN305" i="1" s="1"/>
  <c r="S306" i="1"/>
  <c r="U306" i="1"/>
  <c r="Y306" i="1"/>
  <c r="AM306" i="1"/>
  <c r="AN306" i="1"/>
  <c r="AU306" i="1" s="1"/>
  <c r="S307" i="1"/>
  <c r="U307" i="1"/>
  <c r="AM307" i="1" s="1"/>
  <c r="AN307" i="1" s="1"/>
  <c r="Y307" i="1"/>
  <c r="S308" i="1"/>
  <c r="U308" i="1"/>
  <c r="AM308" i="1" s="1"/>
  <c r="AN308" i="1" s="1"/>
  <c r="Y308" i="1"/>
  <c r="S309" i="1"/>
  <c r="U309" i="1"/>
  <c r="Y309" i="1"/>
  <c r="AM309" i="1"/>
  <c r="AN309" i="1" s="1"/>
  <c r="AV309" i="1" s="1"/>
  <c r="S310" i="1"/>
  <c r="U310" i="1"/>
  <c r="Y310" i="1"/>
  <c r="AM310" i="1"/>
  <c r="AN310" i="1" s="1"/>
  <c r="AU310" i="1" s="1"/>
  <c r="S311" i="1"/>
  <c r="U311" i="1"/>
  <c r="AM311" i="1" s="1"/>
  <c r="AN311" i="1" s="1"/>
  <c r="Y311" i="1"/>
  <c r="S312" i="1"/>
  <c r="U312" i="1"/>
  <c r="Y312" i="1"/>
  <c r="AM312" i="1"/>
  <c r="AN312" i="1" s="1"/>
  <c r="S313" i="1"/>
  <c r="U313" i="1"/>
  <c r="AM313" i="1" s="1"/>
  <c r="AN313" i="1" s="1"/>
  <c r="Y313" i="1"/>
  <c r="AU313" i="1" s="1"/>
  <c r="S314" i="1"/>
  <c r="U314" i="1"/>
  <c r="Y314" i="1"/>
  <c r="AM314" i="1"/>
  <c r="AN314" i="1" s="1"/>
  <c r="AV314" i="1" s="1"/>
  <c r="S315" i="1"/>
  <c r="U315" i="1"/>
  <c r="Y315" i="1"/>
  <c r="AM315" i="1"/>
  <c r="AN315" i="1" s="1"/>
  <c r="AU315" i="1" s="1"/>
  <c r="S316" i="1"/>
  <c r="U316" i="1"/>
  <c r="Y316" i="1"/>
  <c r="AM316" i="1"/>
  <c r="AN316" i="1" s="1"/>
  <c r="AU316" i="1" s="1"/>
  <c r="S317" i="1"/>
  <c r="U317" i="1"/>
  <c r="Y317" i="1"/>
  <c r="AM317" i="1"/>
  <c r="AN317" i="1" s="1"/>
  <c r="S318" i="1"/>
  <c r="U318" i="1"/>
  <c r="AM318" i="1" s="1"/>
  <c r="AN318" i="1" s="1"/>
  <c r="Y318" i="1"/>
  <c r="S319" i="1"/>
  <c r="U319" i="1"/>
  <c r="AM319" i="1" s="1"/>
  <c r="Y319" i="1"/>
  <c r="AN319" i="1"/>
  <c r="AV319" i="1"/>
  <c r="S320" i="1"/>
  <c r="U320" i="1"/>
  <c r="AM320" i="1" s="1"/>
  <c r="AN320" i="1" s="1"/>
  <c r="Y320" i="1"/>
  <c r="S321" i="1"/>
  <c r="U321" i="1"/>
  <c r="AM321" i="1" s="1"/>
  <c r="AN321" i="1" s="1"/>
  <c r="AV321" i="1" s="1"/>
  <c r="Y321" i="1"/>
  <c r="S322" i="1"/>
  <c r="U322" i="1"/>
  <c r="AM322" i="1" s="1"/>
  <c r="AN322" i="1" s="1"/>
  <c r="Y322" i="1"/>
  <c r="S323" i="1"/>
  <c r="U323" i="1"/>
  <c r="AM323" i="1" s="1"/>
  <c r="AN323" i="1" s="1"/>
  <c r="Y323" i="1"/>
  <c r="S324" i="1"/>
  <c r="U324" i="1"/>
  <c r="Y324" i="1"/>
  <c r="AM324" i="1"/>
  <c r="AN324" i="1"/>
  <c r="S325" i="1"/>
  <c r="U325" i="1"/>
  <c r="AM325" i="1" s="1"/>
  <c r="AN325" i="1" s="1"/>
  <c r="Y325" i="1"/>
  <c r="S326" i="1"/>
  <c r="U326" i="1"/>
  <c r="Y326" i="1"/>
  <c r="AM326" i="1"/>
  <c r="AN326" i="1"/>
  <c r="S327" i="1"/>
  <c r="U327" i="1"/>
  <c r="AM327" i="1" s="1"/>
  <c r="Y327" i="1"/>
  <c r="AN327" i="1"/>
  <c r="AV327" i="1" s="1"/>
  <c r="S328" i="1"/>
  <c r="U328" i="1"/>
  <c r="AM328" i="1" s="1"/>
  <c r="AN328" i="1" s="1"/>
  <c r="Y328" i="1"/>
  <c r="S329" i="1"/>
  <c r="U329" i="1"/>
  <c r="AM329" i="1" s="1"/>
  <c r="AN329" i="1" s="1"/>
  <c r="Y329" i="1"/>
  <c r="AV329" i="1" s="1"/>
  <c r="S330" i="1"/>
  <c r="U330" i="1"/>
  <c r="Y330" i="1"/>
  <c r="AM330" i="1"/>
  <c r="AN330" i="1" s="1"/>
  <c r="AU330" i="1" s="1"/>
  <c r="S331" i="1"/>
  <c r="U331" i="1"/>
  <c r="Y331" i="1"/>
  <c r="AM331" i="1"/>
  <c r="AN331" i="1" s="1"/>
  <c r="AV331" i="1" s="1"/>
  <c r="S332" i="1"/>
  <c r="U332" i="1"/>
  <c r="AM332" i="1" s="1"/>
  <c r="AN332" i="1" s="1"/>
  <c r="Y332" i="1"/>
  <c r="AU332" i="1" s="1"/>
  <c r="S333" i="1"/>
  <c r="U333" i="1"/>
  <c r="AM333" i="1" s="1"/>
  <c r="AN333" i="1" s="1"/>
  <c r="Y333" i="1"/>
  <c r="S334" i="1"/>
  <c r="U334" i="1"/>
  <c r="Y334" i="1"/>
  <c r="AM334" i="1"/>
  <c r="AN334" i="1"/>
  <c r="AV334" i="1" s="1"/>
  <c r="S335" i="1"/>
  <c r="U335" i="1"/>
  <c r="AM335" i="1" s="1"/>
  <c r="AN335" i="1" s="1"/>
  <c r="Y335" i="1"/>
  <c r="S336" i="1"/>
  <c r="U336" i="1"/>
  <c r="Y336" i="1"/>
  <c r="AM336" i="1"/>
  <c r="AN336" i="1"/>
  <c r="AV336" i="1" s="1"/>
  <c r="S337" i="1"/>
  <c r="U337" i="1"/>
  <c r="AM337" i="1" s="1"/>
  <c r="AN337" i="1" s="1"/>
  <c r="Y337" i="1"/>
  <c r="AU337" i="1" s="1"/>
  <c r="AW337" i="1"/>
  <c r="S338" i="1"/>
  <c r="U338" i="1"/>
  <c r="AM338" i="1" s="1"/>
  <c r="AN338" i="1" s="1"/>
  <c r="Y338" i="1"/>
  <c r="S339" i="1"/>
  <c r="U339" i="1"/>
  <c r="Y339" i="1"/>
  <c r="AM339" i="1"/>
  <c r="AN339" i="1"/>
  <c r="S340" i="1"/>
  <c r="U340" i="1"/>
  <c r="Y340" i="1"/>
  <c r="AM340" i="1"/>
  <c r="AN340" i="1" s="1"/>
  <c r="S341" i="1"/>
  <c r="U341" i="1"/>
  <c r="Y341" i="1"/>
  <c r="AM341" i="1"/>
  <c r="AN341" i="1" s="1"/>
  <c r="S342" i="1"/>
  <c r="U342" i="1"/>
  <c r="AM342" i="1" s="1"/>
  <c r="AN342" i="1" s="1"/>
  <c r="Y342" i="1"/>
  <c r="S343" i="1"/>
  <c r="U343" i="1"/>
  <c r="AM343" i="1" s="1"/>
  <c r="AN343" i="1" s="1"/>
  <c r="Y343" i="1"/>
  <c r="S344" i="1"/>
  <c r="U344" i="1"/>
  <c r="Y344" i="1"/>
  <c r="AM344" i="1"/>
  <c r="AN344" i="1" s="1"/>
  <c r="AV344" i="1" s="1"/>
  <c r="S345" i="1"/>
  <c r="U345" i="1"/>
  <c r="Y345" i="1"/>
  <c r="AM345" i="1"/>
  <c r="AN345" i="1"/>
  <c r="AU345" i="1" s="1"/>
  <c r="S346" i="1"/>
  <c r="U346" i="1"/>
  <c r="Y346" i="1"/>
  <c r="AM346" i="1"/>
  <c r="AN346" i="1" s="1"/>
  <c r="S347" i="1"/>
  <c r="U347" i="1"/>
  <c r="AM347" i="1" s="1"/>
  <c r="Y347" i="1"/>
  <c r="AN347" i="1"/>
  <c r="AV347" i="1" s="1"/>
  <c r="S348" i="1"/>
  <c r="U348" i="1"/>
  <c r="AM348" i="1" s="1"/>
  <c r="AN348" i="1" s="1"/>
  <c r="Y348" i="1"/>
  <c r="S349" i="1"/>
  <c r="U349" i="1"/>
  <c r="Y349" i="1"/>
  <c r="AM349" i="1"/>
  <c r="AN349" i="1" s="1"/>
  <c r="AU349" i="1" s="1"/>
  <c r="S350" i="1"/>
  <c r="U350" i="1"/>
  <c r="Y350" i="1"/>
  <c r="AM350" i="1"/>
  <c r="AN350" i="1" s="1"/>
  <c r="S351" i="1"/>
  <c r="U351" i="1"/>
  <c r="AM351" i="1" s="1"/>
  <c r="AN351" i="1" s="1"/>
  <c r="Y351" i="1"/>
  <c r="S352" i="1"/>
  <c r="U352" i="1"/>
  <c r="Y352" i="1"/>
  <c r="AM352" i="1"/>
  <c r="AN352" i="1" s="1"/>
  <c r="AV352" i="1" s="1"/>
  <c r="S353" i="1"/>
  <c r="U353" i="1"/>
  <c r="AM353" i="1" s="1"/>
  <c r="AN353" i="1" s="1"/>
  <c r="Y353" i="1"/>
  <c r="S354" i="1"/>
  <c r="U354" i="1"/>
  <c r="Y354" i="1"/>
  <c r="AM354" i="1"/>
  <c r="AN354" i="1"/>
  <c r="S355" i="1"/>
  <c r="U355" i="1"/>
  <c r="AM355" i="1" s="1"/>
  <c r="AN355" i="1" s="1"/>
  <c r="Y355" i="1"/>
  <c r="S356" i="1"/>
  <c r="U356" i="1"/>
  <c r="AM356" i="1" s="1"/>
  <c r="AN356" i="1" s="1"/>
  <c r="AU356" i="1" s="1"/>
  <c r="Y356" i="1"/>
  <c r="S357" i="1"/>
  <c r="U357" i="1"/>
  <c r="AM357" i="1" s="1"/>
  <c r="AN357" i="1" s="1"/>
  <c r="Y357" i="1"/>
  <c r="S358" i="1"/>
  <c r="U358" i="1"/>
  <c r="AM358" i="1" s="1"/>
  <c r="AN358" i="1" s="1"/>
  <c r="Y358" i="1"/>
  <c r="S359" i="1"/>
  <c r="U359" i="1"/>
  <c r="Y359" i="1"/>
  <c r="AM359" i="1"/>
  <c r="AN359" i="1" s="1"/>
  <c r="AW359" i="1" s="1"/>
  <c r="S360" i="1"/>
  <c r="U360" i="1"/>
  <c r="AM360" i="1" s="1"/>
  <c r="AN360" i="1" s="1"/>
  <c r="Y360" i="1"/>
  <c r="S361" i="1"/>
  <c r="U361" i="1"/>
  <c r="Y361" i="1"/>
  <c r="AM361" i="1"/>
  <c r="AN361" i="1" s="1"/>
  <c r="S362" i="1"/>
  <c r="U362" i="1"/>
  <c r="AM362" i="1" s="1"/>
  <c r="AN362" i="1" s="1"/>
  <c r="Y362" i="1"/>
  <c r="AV362" i="1" s="1"/>
  <c r="S363" i="1"/>
  <c r="U363" i="1"/>
  <c r="AM363" i="1" s="1"/>
  <c r="AN363" i="1" s="1"/>
  <c r="Y363" i="1"/>
  <c r="AU363" i="1" s="1"/>
  <c r="S364" i="1"/>
  <c r="U364" i="1"/>
  <c r="AM364" i="1" s="1"/>
  <c r="AN364" i="1" s="1"/>
  <c r="Y364" i="1"/>
  <c r="S365" i="1"/>
  <c r="U365" i="1"/>
  <c r="AM365" i="1" s="1"/>
  <c r="AN365" i="1" s="1"/>
  <c r="Y365" i="1"/>
  <c r="S366" i="1"/>
  <c r="U366" i="1"/>
  <c r="Y366" i="1"/>
  <c r="AM366" i="1"/>
  <c r="AN366" i="1" s="1"/>
  <c r="S367" i="1"/>
  <c r="U367" i="1"/>
  <c r="Y367" i="1"/>
  <c r="AV367" i="1" s="1"/>
  <c r="AM367" i="1"/>
  <c r="AN367" i="1" s="1"/>
  <c r="S368" i="1"/>
  <c r="U368" i="1"/>
  <c r="AM368" i="1" s="1"/>
  <c r="AN368" i="1" s="1"/>
  <c r="AW368" i="1" s="1"/>
  <c r="Y368" i="1"/>
  <c r="S369" i="1"/>
  <c r="U369" i="1"/>
  <c r="Y369" i="1"/>
  <c r="AM369" i="1"/>
  <c r="AN369" i="1" s="1"/>
  <c r="S370" i="1"/>
  <c r="U370" i="1"/>
  <c r="AM370" i="1" s="1"/>
  <c r="AN370" i="1" s="1"/>
  <c r="Y370" i="1"/>
  <c r="S371" i="1"/>
  <c r="U371" i="1"/>
  <c r="Y371" i="1"/>
  <c r="AM371" i="1"/>
  <c r="AN371" i="1" s="1"/>
  <c r="S372" i="1"/>
  <c r="U372" i="1"/>
  <c r="AM372" i="1" s="1"/>
  <c r="AN372" i="1" s="1"/>
  <c r="Y372" i="1"/>
  <c r="S373" i="1"/>
  <c r="U373" i="1"/>
  <c r="AM373" i="1" s="1"/>
  <c r="AN373" i="1" s="1"/>
  <c r="Y373" i="1"/>
  <c r="S374" i="1"/>
  <c r="U374" i="1"/>
  <c r="AM374" i="1" s="1"/>
  <c r="AN374" i="1" s="1"/>
  <c r="Y374" i="1"/>
  <c r="S375" i="1"/>
  <c r="U375" i="1"/>
  <c r="AM375" i="1" s="1"/>
  <c r="AN375" i="1" s="1"/>
  <c r="Y375" i="1"/>
  <c r="S376" i="1"/>
  <c r="U376" i="1"/>
  <c r="Y376" i="1"/>
  <c r="AM376" i="1"/>
  <c r="AN376" i="1"/>
  <c r="S377" i="1"/>
  <c r="U377" i="1"/>
  <c r="AM377" i="1" s="1"/>
  <c r="AN377" i="1" s="1"/>
  <c r="Y377" i="1"/>
  <c r="S378" i="1"/>
  <c r="U378" i="1"/>
  <c r="AM378" i="1" s="1"/>
  <c r="AN378" i="1" s="1"/>
  <c r="AW378" i="1" s="1"/>
  <c r="Y378" i="1"/>
  <c r="S379" i="1"/>
  <c r="U379" i="1"/>
  <c r="Y379" i="1"/>
  <c r="AM379" i="1"/>
  <c r="AN379" i="1" s="1"/>
  <c r="S380" i="1"/>
  <c r="U380" i="1"/>
  <c r="Y380" i="1"/>
  <c r="AM380" i="1"/>
  <c r="AN380" i="1" s="1"/>
  <c r="S381" i="1"/>
  <c r="U381" i="1"/>
  <c r="AM381" i="1" s="1"/>
  <c r="AN381" i="1" s="1"/>
  <c r="Y381" i="1"/>
  <c r="S382" i="1"/>
  <c r="U382" i="1"/>
  <c r="AM382" i="1" s="1"/>
  <c r="AN382" i="1" s="1"/>
  <c r="Y382" i="1"/>
  <c r="S383" i="1"/>
  <c r="U383" i="1"/>
  <c r="AM383" i="1" s="1"/>
  <c r="AN383" i="1" s="1"/>
  <c r="Y383" i="1"/>
  <c r="S384" i="1"/>
  <c r="U384" i="1"/>
  <c r="AM384" i="1" s="1"/>
  <c r="AN384" i="1" s="1"/>
  <c r="Y384" i="1"/>
  <c r="S385" i="1"/>
  <c r="U385" i="1"/>
  <c r="Y385" i="1"/>
  <c r="AM385" i="1"/>
  <c r="AN385" i="1"/>
  <c r="S386" i="1"/>
  <c r="U386" i="1"/>
  <c r="AM386" i="1" s="1"/>
  <c r="AN386" i="1" s="1"/>
  <c r="Y386" i="1"/>
  <c r="S387" i="1"/>
  <c r="U387" i="1"/>
  <c r="AM387" i="1" s="1"/>
  <c r="AN387" i="1" s="1"/>
  <c r="Y387" i="1"/>
  <c r="S388" i="1"/>
  <c r="U388" i="1"/>
  <c r="AM388" i="1" s="1"/>
  <c r="AN388" i="1" s="1"/>
  <c r="Y388" i="1"/>
  <c r="AU388" i="1" s="1"/>
  <c r="S389" i="1"/>
  <c r="U389" i="1"/>
  <c r="Y389" i="1"/>
  <c r="AM389" i="1"/>
  <c r="AN389" i="1" s="1"/>
  <c r="S390" i="1"/>
  <c r="U390" i="1"/>
  <c r="AM390" i="1" s="1"/>
  <c r="AN390" i="1" s="1"/>
  <c r="Y390" i="1"/>
  <c r="S391" i="1"/>
  <c r="U391" i="1"/>
  <c r="AM391" i="1" s="1"/>
  <c r="AN391" i="1" s="1"/>
  <c r="AV391" i="1" s="1"/>
  <c r="Y391" i="1"/>
  <c r="S392" i="1"/>
  <c r="U392" i="1"/>
  <c r="AM392" i="1" s="1"/>
  <c r="AN392" i="1" s="1"/>
  <c r="Y392" i="1"/>
  <c r="S393" i="1"/>
  <c r="U393" i="1"/>
  <c r="AM393" i="1" s="1"/>
  <c r="AN393" i="1" s="1"/>
  <c r="Y393" i="1"/>
  <c r="AU393" i="1" s="1"/>
  <c r="S394" i="1"/>
  <c r="U394" i="1"/>
  <c r="Y394" i="1"/>
  <c r="AM394" i="1"/>
  <c r="AN394" i="1"/>
  <c r="S395" i="1"/>
  <c r="U395" i="1"/>
  <c r="AM395" i="1" s="1"/>
  <c r="AN395" i="1" s="1"/>
  <c r="AU395" i="1" s="1"/>
  <c r="Y395" i="1"/>
  <c r="S396" i="1"/>
  <c r="U396" i="1"/>
  <c r="AM396" i="1" s="1"/>
  <c r="AN396" i="1" s="1"/>
  <c r="Y396" i="1"/>
  <c r="S397" i="1"/>
  <c r="U397" i="1"/>
  <c r="AM397" i="1" s="1"/>
  <c r="AN397" i="1" s="1"/>
  <c r="Y397" i="1"/>
  <c r="AU397" i="1" s="1"/>
  <c r="S398" i="1"/>
  <c r="U398" i="1"/>
  <c r="AM398" i="1" s="1"/>
  <c r="AN398" i="1" s="1"/>
  <c r="Y398" i="1"/>
  <c r="AU398" i="1" s="1"/>
  <c r="S399" i="1"/>
  <c r="U399" i="1"/>
  <c r="AM399" i="1" s="1"/>
  <c r="AN399" i="1" s="1"/>
  <c r="AV399" i="1" s="1"/>
  <c r="Y399" i="1"/>
  <c r="S400" i="1"/>
  <c r="U400" i="1"/>
  <c r="AM400" i="1" s="1"/>
  <c r="AN400" i="1" s="1"/>
  <c r="Y400" i="1"/>
  <c r="S401" i="1"/>
  <c r="U401" i="1"/>
  <c r="AM401" i="1" s="1"/>
  <c r="AN401" i="1" s="1"/>
  <c r="Y401" i="1"/>
  <c r="S402" i="1"/>
  <c r="U402" i="1"/>
  <c r="Y402" i="1"/>
  <c r="AM402" i="1"/>
  <c r="AN402" i="1"/>
  <c r="AV402" i="1" s="1"/>
  <c r="S403" i="1"/>
  <c r="U403" i="1"/>
  <c r="AM403" i="1" s="1"/>
  <c r="AN403" i="1" s="1"/>
  <c r="Y403" i="1"/>
  <c r="S404" i="1"/>
  <c r="U404" i="1"/>
  <c r="AM404" i="1" s="1"/>
  <c r="AN404" i="1" s="1"/>
  <c r="Y404" i="1"/>
  <c r="S405" i="1"/>
  <c r="U405" i="1"/>
  <c r="AM405" i="1" s="1"/>
  <c r="AN405" i="1" s="1"/>
  <c r="Y405" i="1"/>
  <c r="S406" i="1"/>
  <c r="U406" i="1"/>
  <c r="Y406" i="1"/>
  <c r="AM406" i="1"/>
  <c r="AN406" i="1" s="1"/>
  <c r="S407" i="1"/>
  <c r="U407" i="1"/>
  <c r="AM407" i="1" s="1"/>
  <c r="AN407" i="1" s="1"/>
  <c r="Y407" i="1"/>
  <c r="S408" i="1"/>
  <c r="U408" i="1"/>
  <c r="AM408" i="1" s="1"/>
  <c r="AN408" i="1" s="1"/>
  <c r="AV408" i="1" s="1"/>
  <c r="Y408" i="1"/>
  <c r="S409" i="1"/>
  <c r="U409" i="1"/>
  <c r="AM409" i="1" s="1"/>
  <c r="AN409" i="1" s="1"/>
  <c r="AU409" i="1" s="1"/>
  <c r="Y409" i="1"/>
  <c r="S410" i="1"/>
  <c r="U410" i="1"/>
  <c r="AM410" i="1" s="1"/>
  <c r="AN410" i="1" s="1"/>
  <c r="Y410" i="1"/>
  <c r="S411" i="1"/>
  <c r="U411" i="1"/>
  <c r="Y411" i="1"/>
  <c r="AM411" i="1"/>
  <c r="AN411" i="1"/>
  <c r="AU411" i="1" s="1"/>
  <c r="AV411" i="1"/>
  <c r="S412" i="1"/>
  <c r="U412" i="1"/>
  <c r="AM412" i="1" s="1"/>
  <c r="AN412" i="1" s="1"/>
  <c r="Y412" i="1"/>
  <c r="S413" i="1"/>
  <c r="U413" i="1"/>
  <c r="AM413" i="1" s="1"/>
  <c r="AN413" i="1" s="1"/>
  <c r="AW413" i="1" s="1"/>
  <c r="Y413" i="1"/>
  <c r="S414" i="1"/>
  <c r="U414" i="1"/>
  <c r="Y414" i="1"/>
  <c r="AM414" i="1"/>
  <c r="AN414" i="1" s="1"/>
  <c r="S415" i="1"/>
  <c r="U415" i="1"/>
  <c r="AM415" i="1" s="1"/>
  <c r="AN415" i="1" s="1"/>
  <c r="AU415" i="1" s="1"/>
  <c r="Y415" i="1"/>
  <c r="S416" i="1"/>
  <c r="U416" i="1"/>
  <c r="Y416" i="1"/>
  <c r="AM416" i="1"/>
  <c r="AN416" i="1" s="1"/>
  <c r="S417" i="1"/>
  <c r="U417" i="1"/>
  <c r="AM417" i="1" s="1"/>
  <c r="AN417" i="1" s="1"/>
  <c r="Y417" i="1"/>
  <c r="S418" i="1"/>
  <c r="U418" i="1"/>
  <c r="AM418" i="1" s="1"/>
  <c r="AN418" i="1" s="1"/>
  <c r="AW418" i="1" s="1"/>
  <c r="Y418" i="1"/>
  <c r="AV418" i="1" s="1"/>
  <c r="S419" i="1"/>
  <c r="U419" i="1"/>
  <c r="Y419" i="1"/>
  <c r="AM419" i="1"/>
  <c r="AN419" i="1" s="1"/>
  <c r="AU419" i="1" s="1"/>
  <c r="S420" i="1"/>
  <c r="U420" i="1"/>
  <c r="AM420" i="1" s="1"/>
  <c r="AN420" i="1" s="1"/>
  <c r="Y420" i="1"/>
  <c r="S421" i="1"/>
  <c r="U421" i="1"/>
  <c r="Y421" i="1"/>
  <c r="AM421" i="1"/>
  <c r="AN421" i="1" s="1"/>
  <c r="S422" i="1"/>
  <c r="U422" i="1"/>
  <c r="AM422" i="1" s="1"/>
  <c r="AN422" i="1" s="1"/>
  <c r="Y422" i="1"/>
  <c r="S423" i="1"/>
  <c r="U423" i="1"/>
  <c r="AM423" i="1" s="1"/>
  <c r="AN423" i="1" s="1"/>
  <c r="Y423" i="1"/>
  <c r="S424" i="1"/>
  <c r="U424" i="1"/>
  <c r="AM424" i="1" s="1"/>
  <c r="AN424" i="1" s="1"/>
  <c r="Y424" i="1"/>
  <c r="S425" i="1"/>
  <c r="U425" i="1"/>
  <c r="AM425" i="1" s="1"/>
  <c r="AN425" i="1" s="1"/>
  <c r="Y425" i="1"/>
  <c r="S426" i="1"/>
  <c r="U426" i="1"/>
  <c r="AM426" i="1" s="1"/>
  <c r="AN426" i="1" s="1"/>
  <c r="Y426" i="1"/>
  <c r="S427" i="1"/>
  <c r="U427" i="1"/>
  <c r="AM427" i="1" s="1"/>
  <c r="AN427" i="1" s="1"/>
  <c r="Y427" i="1"/>
  <c r="S428" i="1"/>
  <c r="U428" i="1"/>
  <c r="AM428" i="1" s="1"/>
  <c r="AN428" i="1" s="1"/>
  <c r="Y428" i="1"/>
  <c r="S429" i="1"/>
  <c r="U429" i="1"/>
  <c r="AM429" i="1" s="1"/>
  <c r="AN429" i="1" s="1"/>
  <c r="Y429" i="1"/>
  <c r="S430" i="1"/>
  <c r="U430" i="1"/>
  <c r="AM430" i="1" s="1"/>
  <c r="AN430" i="1" s="1"/>
  <c r="Y430" i="1"/>
  <c r="S431" i="1"/>
  <c r="U431" i="1"/>
  <c r="AM431" i="1" s="1"/>
  <c r="AN431" i="1" s="1"/>
  <c r="Y431" i="1"/>
  <c r="S432" i="1"/>
  <c r="U432" i="1"/>
  <c r="Y432" i="1"/>
  <c r="AM432" i="1"/>
  <c r="AN432" i="1" s="1"/>
  <c r="S433" i="1"/>
  <c r="U433" i="1"/>
  <c r="AM433" i="1" s="1"/>
  <c r="AN433" i="1" s="1"/>
  <c r="Y433" i="1"/>
  <c r="S434" i="1"/>
  <c r="U434" i="1"/>
  <c r="AM434" i="1" s="1"/>
  <c r="AN434" i="1" s="1"/>
  <c r="Y434" i="1"/>
  <c r="S435" i="1"/>
  <c r="U435" i="1"/>
  <c r="AM435" i="1" s="1"/>
  <c r="AN435" i="1" s="1"/>
  <c r="Y435" i="1"/>
  <c r="S436" i="1"/>
  <c r="U436" i="1"/>
  <c r="AM436" i="1" s="1"/>
  <c r="AN436" i="1" s="1"/>
  <c r="Y436" i="1"/>
  <c r="AW436" i="1" s="1"/>
  <c r="S437" i="1"/>
  <c r="U437" i="1"/>
  <c r="Y437" i="1"/>
  <c r="AM437" i="1"/>
  <c r="AN437" i="1" s="1"/>
  <c r="S438" i="1"/>
  <c r="U438" i="1"/>
  <c r="AM438" i="1" s="1"/>
  <c r="AN438" i="1" s="1"/>
  <c r="Y438" i="1"/>
  <c r="S439" i="1"/>
  <c r="U439" i="1"/>
  <c r="AM439" i="1" s="1"/>
  <c r="AN439" i="1" s="1"/>
  <c r="Y439" i="1"/>
  <c r="S440" i="1"/>
  <c r="U440" i="1"/>
  <c r="AM440" i="1" s="1"/>
  <c r="AN440" i="1" s="1"/>
  <c r="Y440" i="1"/>
  <c r="S441" i="1"/>
  <c r="U441" i="1"/>
  <c r="AM441" i="1" s="1"/>
  <c r="AN441" i="1" s="1"/>
  <c r="Y441" i="1"/>
  <c r="AV441" i="1" s="1"/>
  <c r="S442" i="1"/>
  <c r="U442" i="1"/>
  <c r="AM442" i="1" s="1"/>
  <c r="AN442" i="1" s="1"/>
  <c r="Y442" i="1"/>
  <c r="S443" i="1"/>
  <c r="U443" i="1"/>
  <c r="AM443" i="1" s="1"/>
  <c r="AN443" i="1" s="1"/>
  <c r="Y443" i="1"/>
  <c r="S444" i="1"/>
  <c r="U444" i="1"/>
  <c r="AM444" i="1" s="1"/>
  <c r="AN444" i="1" s="1"/>
  <c r="Y444" i="1"/>
  <c r="S445" i="1"/>
  <c r="U445" i="1"/>
  <c r="Y445" i="1"/>
  <c r="AM445" i="1"/>
  <c r="AN445" i="1" s="1"/>
  <c r="AV445" i="1" s="1"/>
  <c r="AU445" i="1"/>
  <c r="S446" i="1"/>
  <c r="U446" i="1"/>
  <c r="AM446" i="1" s="1"/>
  <c r="AN446" i="1" s="1"/>
  <c r="Y446" i="1"/>
  <c r="S447" i="1"/>
  <c r="U447" i="1"/>
  <c r="Y447" i="1"/>
  <c r="AM447" i="1"/>
  <c r="AN447" i="1" s="1"/>
  <c r="S448" i="1"/>
  <c r="U448" i="1"/>
  <c r="AM448" i="1" s="1"/>
  <c r="AN448" i="1" s="1"/>
  <c r="Y448" i="1"/>
  <c r="S449" i="1"/>
  <c r="U449" i="1"/>
  <c r="AM449" i="1" s="1"/>
  <c r="AN449" i="1" s="1"/>
  <c r="Y449" i="1"/>
  <c r="S450" i="1"/>
  <c r="U450" i="1"/>
  <c r="AM450" i="1" s="1"/>
  <c r="AN450" i="1" s="1"/>
  <c r="Y450" i="1"/>
  <c r="AU450" i="1" s="1"/>
  <c r="S451" i="1"/>
  <c r="U451" i="1"/>
  <c r="AM451" i="1" s="1"/>
  <c r="AN451" i="1" s="1"/>
  <c r="Y451" i="1"/>
  <c r="AV451" i="1" s="1"/>
  <c r="S452" i="1"/>
  <c r="U452" i="1"/>
  <c r="Y452" i="1"/>
  <c r="AM452" i="1"/>
  <c r="AN452" i="1" s="1"/>
  <c r="S453" i="1"/>
  <c r="U453" i="1"/>
  <c r="AM453" i="1" s="1"/>
  <c r="AN453" i="1" s="1"/>
  <c r="Y453" i="1"/>
  <c r="S454" i="1"/>
  <c r="U454" i="1"/>
  <c r="AM454" i="1" s="1"/>
  <c r="AN454" i="1" s="1"/>
  <c r="Y454" i="1"/>
  <c r="S455" i="1"/>
  <c r="U455" i="1"/>
  <c r="AM455" i="1" s="1"/>
  <c r="AN455" i="1" s="1"/>
  <c r="AV455" i="1" s="1"/>
  <c r="Y455" i="1"/>
  <c r="S456" i="1"/>
  <c r="U456" i="1"/>
  <c r="AM456" i="1" s="1"/>
  <c r="AN456" i="1" s="1"/>
  <c r="Y456" i="1"/>
  <c r="S457" i="1"/>
  <c r="U457" i="1"/>
  <c r="AM457" i="1" s="1"/>
  <c r="AN457" i="1" s="1"/>
  <c r="Y457" i="1"/>
  <c r="S458" i="1"/>
  <c r="U458" i="1"/>
  <c r="Y458" i="1"/>
  <c r="AM458" i="1"/>
  <c r="AN458" i="1" s="1"/>
  <c r="S459" i="1"/>
  <c r="U459" i="1"/>
  <c r="AM459" i="1" s="1"/>
  <c r="AN459" i="1" s="1"/>
  <c r="Y459" i="1"/>
  <c r="S460" i="1"/>
  <c r="U460" i="1"/>
  <c r="Y460" i="1"/>
  <c r="AM460" i="1"/>
  <c r="AN460" i="1" s="1"/>
  <c r="AV460" i="1" s="1"/>
  <c r="S461" i="1"/>
  <c r="U461" i="1"/>
  <c r="Y461" i="1"/>
  <c r="AM461" i="1"/>
  <c r="AN461" i="1" s="1"/>
  <c r="S462" i="1"/>
  <c r="U462" i="1"/>
  <c r="AM462" i="1" s="1"/>
  <c r="AN462" i="1" s="1"/>
  <c r="Y462" i="1"/>
  <c r="S463" i="1"/>
  <c r="U463" i="1"/>
  <c r="Y463" i="1"/>
  <c r="AM463" i="1"/>
  <c r="AN463" i="1"/>
  <c r="AV463" i="1" s="1"/>
  <c r="AW463" i="1"/>
  <c r="S464" i="1"/>
  <c r="U464" i="1"/>
  <c r="AM464" i="1" s="1"/>
  <c r="AN464" i="1" s="1"/>
  <c r="Y464" i="1"/>
  <c r="S465" i="1"/>
  <c r="U465" i="1"/>
  <c r="AM465" i="1" s="1"/>
  <c r="AN465" i="1" s="1"/>
  <c r="AV465" i="1" s="1"/>
  <c r="Y465" i="1"/>
  <c r="S466" i="1"/>
  <c r="U466" i="1"/>
  <c r="AM466" i="1" s="1"/>
  <c r="AN466" i="1" s="1"/>
  <c r="Y466" i="1"/>
  <c r="S467" i="1"/>
  <c r="U467" i="1"/>
  <c r="Y467" i="1"/>
  <c r="AM467" i="1"/>
  <c r="AN467" i="1" s="1"/>
  <c r="S468" i="1"/>
  <c r="U468" i="1"/>
  <c r="AM468" i="1" s="1"/>
  <c r="AN468" i="1" s="1"/>
  <c r="Y468" i="1"/>
  <c r="S469" i="1"/>
  <c r="U469" i="1"/>
  <c r="AM469" i="1" s="1"/>
  <c r="AN469" i="1" s="1"/>
  <c r="Y469" i="1"/>
  <c r="S470" i="1"/>
  <c r="U470" i="1"/>
  <c r="AM470" i="1" s="1"/>
  <c r="AN470" i="1" s="1"/>
  <c r="Y470" i="1"/>
  <c r="S471" i="1"/>
  <c r="U471" i="1"/>
  <c r="AM471" i="1" s="1"/>
  <c r="AN471" i="1" s="1"/>
  <c r="AU471" i="1" s="1"/>
  <c r="Y471" i="1"/>
  <c r="S472" i="1"/>
  <c r="U472" i="1"/>
  <c r="Y472" i="1"/>
  <c r="AM472" i="1"/>
  <c r="AN472" i="1" s="1"/>
  <c r="S473" i="1"/>
  <c r="U473" i="1"/>
  <c r="AM473" i="1" s="1"/>
  <c r="AN473" i="1" s="1"/>
  <c r="Y473" i="1"/>
  <c r="S474" i="1"/>
  <c r="U474" i="1"/>
  <c r="AM474" i="1" s="1"/>
  <c r="AN474" i="1" s="1"/>
  <c r="Y474" i="1"/>
  <c r="S475" i="1"/>
  <c r="U475" i="1"/>
  <c r="AM475" i="1" s="1"/>
  <c r="AN475" i="1" s="1"/>
  <c r="Y475" i="1"/>
  <c r="S476" i="1"/>
  <c r="U476" i="1"/>
  <c r="AM476" i="1" s="1"/>
  <c r="AN476" i="1" s="1"/>
  <c r="Y476" i="1"/>
  <c r="S477" i="1"/>
  <c r="U477" i="1"/>
  <c r="AM477" i="1" s="1"/>
  <c r="AN477" i="1" s="1"/>
  <c r="Y477" i="1"/>
  <c r="S478" i="1"/>
  <c r="U478" i="1"/>
  <c r="AM478" i="1" s="1"/>
  <c r="AN478" i="1" s="1"/>
  <c r="Y478" i="1"/>
  <c r="S479" i="1"/>
  <c r="U479" i="1"/>
  <c r="AM479" i="1" s="1"/>
  <c r="AN479" i="1" s="1"/>
  <c r="Y479" i="1"/>
  <c r="S480" i="1"/>
  <c r="U480" i="1"/>
  <c r="AM480" i="1" s="1"/>
  <c r="AN480" i="1" s="1"/>
  <c r="Y480" i="1"/>
  <c r="AW480" i="1" s="1"/>
  <c r="S481" i="1"/>
  <c r="U481" i="1"/>
  <c r="AM481" i="1" s="1"/>
  <c r="AN481" i="1" s="1"/>
  <c r="Y481" i="1"/>
  <c r="S482" i="1"/>
  <c r="U482" i="1"/>
  <c r="Y482" i="1"/>
  <c r="AM482" i="1"/>
  <c r="AN482" i="1" s="1"/>
  <c r="AW482" i="1" s="1"/>
  <c r="S483" i="1"/>
  <c r="U483" i="1"/>
  <c r="AM483" i="1" s="1"/>
  <c r="AN483" i="1" s="1"/>
  <c r="AU483" i="1" s="1"/>
  <c r="Y483" i="1"/>
  <c r="S484" i="1"/>
  <c r="U484" i="1"/>
  <c r="AM484" i="1" s="1"/>
  <c r="AN484" i="1" s="1"/>
  <c r="Y484" i="1"/>
  <c r="S485" i="1"/>
  <c r="U485" i="1"/>
  <c r="Y485" i="1"/>
  <c r="AM485" i="1"/>
  <c r="AN485" i="1"/>
  <c r="AV485" i="1" s="1"/>
  <c r="AW485" i="1"/>
  <c r="S486" i="1"/>
  <c r="U486" i="1"/>
  <c r="AM486" i="1" s="1"/>
  <c r="AN486" i="1" s="1"/>
  <c r="Y486" i="1"/>
  <c r="S487" i="1"/>
  <c r="U487" i="1"/>
  <c r="Y487" i="1"/>
  <c r="AM487" i="1"/>
  <c r="AN487" i="1" s="1"/>
  <c r="AW487" i="1" s="1"/>
  <c r="S488" i="1"/>
  <c r="U488" i="1"/>
  <c r="AM488" i="1" s="1"/>
  <c r="AN488" i="1" s="1"/>
  <c r="Y488" i="1"/>
  <c r="S489" i="1"/>
  <c r="U489" i="1"/>
  <c r="AM489" i="1" s="1"/>
  <c r="AN489" i="1" s="1"/>
  <c r="Y489" i="1"/>
  <c r="S490" i="1"/>
  <c r="U490" i="1"/>
  <c r="AM490" i="1" s="1"/>
  <c r="AN490" i="1" s="1"/>
  <c r="Y490" i="1"/>
  <c r="S491" i="1"/>
  <c r="U491" i="1"/>
  <c r="AM491" i="1" s="1"/>
  <c r="AN491" i="1" s="1"/>
  <c r="AV491" i="1" s="1"/>
  <c r="Y491" i="1"/>
  <c r="S492" i="1"/>
  <c r="U492" i="1"/>
  <c r="Y492" i="1"/>
  <c r="AM492" i="1"/>
  <c r="AN492" i="1" s="1"/>
  <c r="AW492" i="1" s="1"/>
  <c r="S493" i="1"/>
  <c r="U493" i="1"/>
  <c r="Y493" i="1"/>
  <c r="AM493" i="1"/>
  <c r="AN493" i="1" s="1"/>
  <c r="S494" i="1"/>
  <c r="U494" i="1"/>
  <c r="AM494" i="1" s="1"/>
  <c r="AN494" i="1" s="1"/>
  <c r="Y494" i="1"/>
  <c r="S495" i="1"/>
  <c r="U495" i="1"/>
  <c r="AM495" i="1" s="1"/>
  <c r="AN495" i="1" s="1"/>
  <c r="Y495" i="1"/>
  <c r="S496" i="1"/>
  <c r="U496" i="1"/>
  <c r="AM496" i="1" s="1"/>
  <c r="AN496" i="1" s="1"/>
  <c r="Y496" i="1"/>
  <c r="S497" i="1"/>
  <c r="U497" i="1"/>
  <c r="Y497" i="1"/>
  <c r="AM497" i="1"/>
  <c r="AN497" i="1" s="1"/>
  <c r="S498" i="1"/>
  <c r="U498" i="1"/>
  <c r="Y498" i="1"/>
  <c r="AM498" i="1"/>
  <c r="AN498" i="1" s="1"/>
  <c r="AU498" i="1" s="1"/>
  <c r="S499" i="1"/>
  <c r="U499" i="1"/>
  <c r="AM499" i="1" s="1"/>
  <c r="AN499" i="1" s="1"/>
  <c r="Y499" i="1"/>
  <c r="S500" i="1"/>
  <c r="U500" i="1"/>
  <c r="AM500" i="1" s="1"/>
  <c r="AN500" i="1" s="1"/>
  <c r="Y500" i="1"/>
  <c r="S501" i="1"/>
  <c r="U501" i="1"/>
  <c r="Y501" i="1"/>
  <c r="AM501" i="1"/>
  <c r="AN501" i="1"/>
  <c r="AV501" i="1" s="1"/>
  <c r="S502" i="1"/>
  <c r="U502" i="1"/>
  <c r="AM502" i="1" s="1"/>
  <c r="AN502" i="1" s="1"/>
  <c r="Y502" i="1"/>
  <c r="S503" i="1"/>
  <c r="U503" i="1"/>
  <c r="AM503" i="1" s="1"/>
  <c r="AN503" i="1" s="1"/>
  <c r="Y503" i="1"/>
  <c r="S504" i="1"/>
  <c r="U504" i="1"/>
  <c r="AM504" i="1" s="1"/>
  <c r="AN504" i="1" s="1"/>
  <c r="Y504" i="1"/>
  <c r="S505" i="1"/>
  <c r="U505" i="1"/>
  <c r="AM505" i="1" s="1"/>
  <c r="AN505" i="1" s="1"/>
  <c r="Y505" i="1"/>
  <c r="S506" i="1"/>
  <c r="U506" i="1"/>
  <c r="AM506" i="1" s="1"/>
  <c r="AN506" i="1" s="1"/>
  <c r="Y506" i="1"/>
  <c r="S507" i="1"/>
  <c r="U507" i="1"/>
  <c r="Y507" i="1"/>
  <c r="AM507" i="1"/>
  <c r="AN507" i="1" s="1"/>
  <c r="S508" i="1"/>
  <c r="U508" i="1"/>
  <c r="Y508" i="1"/>
  <c r="AM508" i="1"/>
  <c r="AN508" i="1" s="1"/>
  <c r="S509" i="1"/>
  <c r="U509" i="1"/>
  <c r="AM509" i="1" s="1"/>
  <c r="AN509" i="1" s="1"/>
  <c r="Y509" i="1"/>
  <c r="S510" i="1"/>
  <c r="U510" i="1"/>
  <c r="AM510" i="1" s="1"/>
  <c r="AN510" i="1" s="1"/>
  <c r="AU510" i="1" s="1"/>
  <c r="Y510" i="1"/>
  <c r="S511" i="1"/>
  <c r="U511" i="1"/>
  <c r="AM511" i="1" s="1"/>
  <c r="AN511" i="1" s="1"/>
  <c r="Y511" i="1"/>
  <c r="S512" i="1"/>
  <c r="U512" i="1"/>
  <c r="AM512" i="1" s="1"/>
  <c r="AN512" i="1" s="1"/>
  <c r="Y512" i="1"/>
  <c r="S513" i="1"/>
  <c r="U513" i="1"/>
  <c r="AM513" i="1" s="1"/>
  <c r="AN513" i="1" s="1"/>
  <c r="Y513" i="1"/>
  <c r="S514" i="1"/>
  <c r="U514" i="1"/>
  <c r="AM514" i="1" s="1"/>
  <c r="AN514" i="1" s="1"/>
  <c r="Y514" i="1"/>
  <c r="S515" i="1"/>
  <c r="U515" i="1"/>
  <c r="AM515" i="1" s="1"/>
  <c r="AN515" i="1" s="1"/>
  <c r="Y515" i="1"/>
  <c r="S516" i="1"/>
  <c r="U516" i="1"/>
  <c r="AM516" i="1" s="1"/>
  <c r="AN516" i="1" s="1"/>
  <c r="Y516" i="1"/>
  <c r="S517" i="1"/>
  <c r="U517" i="1"/>
  <c r="AM517" i="1" s="1"/>
  <c r="AN517" i="1" s="1"/>
  <c r="Y517" i="1"/>
  <c r="AW517" i="1"/>
  <c r="S518" i="1"/>
  <c r="U518" i="1"/>
  <c r="AM518" i="1" s="1"/>
  <c r="AN518" i="1" s="1"/>
  <c r="AU518" i="1" s="1"/>
  <c r="Y518" i="1"/>
  <c r="S519" i="1"/>
  <c r="U519" i="1"/>
  <c r="AM519" i="1" s="1"/>
  <c r="AN519" i="1" s="1"/>
  <c r="Y519" i="1"/>
  <c r="AW519" i="1" s="1"/>
  <c r="S520" i="1"/>
  <c r="U520" i="1"/>
  <c r="AM520" i="1" s="1"/>
  <c r="AN520" i="1" s="1"/>
  <c r="Y520" i="1"/>
  <c r="S521" i="1"/>
  <c r="U521" i="1"/>
  <c r="Y521" i="1"/>
  <c r="AM521" i="1"/>
  <c r="AN521" i="1"/>
  <c r="AU521" i="1" s="1"/>
  <c r="S522" i="1"/>
  <c r="U522" i="1"/>
  <c r="AM522" i="1" s="1"/>
  <c r="AN522" i="1" s="1"/>
  <c r="AU522" i="1" s="1"/>
  <c r="Y522" i="1"/>
  <c r="S523" i="1"/>
  <c r="U523" i="1"/>
  <c r="AM523" i="1" s="1"/>
  <c r="AN523" i="1" s="1"/>
  <c r="AW523" i="1" s="1"/>
  <c r="Y523" i="1"/>
  <c r="S524" i="1"/>
  <c r="U524" i="1"/>
  <c r="AM524" i="1" s="1"/>
  <c r="AN524" i="1" s="1"/>
  <c r="Y524" i="1"/>
  <c r="S525" i="1"/>
  <c r="U525" i="1"/>
  <c r="AM525" i="1" s="1"/>
  <c r="AN525" i="1" s="1"/>
  <c r="Y525" i="1"/>
  <c r="S526" i="1"/>
  <c r="U526" i="1"/>
  <c r="AM526" i="1" s="1"/>
  <c r="AN526" i="1" s="1"/>
  <c r="Y526" i="1"/>
  <c r="S527" i="1"/>
  <c r="U527" i="1"/>
  <c r="Y527" i="1"/>
  <c r="AM527" i="1"/>
  <c r="AN527" i="1" s="1"/>
  <c r="S528" i="1"/>
  <c r="U528" i="1"/>
  <c r="AM528" i="1" s="1"/>
  <c r="AN528" i="1" s="1"/>
  <c r="Y528" i="1"/>
  <c r="AV528" i="1" s="1"/>
  <c r="S529" i="1"/>
  <c r="U529" i="1"/>
  <c r="AM529" i="1" s="1"/>
  <c r="AN529" i="1" s="1"/>
  <c r="Y529" i="1"/>
  <c r="S530" i="1"/>
  <c r="U530" i="1"/>
  <c r="AM530" i="1" s="1"/>
  <c r="AN530" i="1" s="1"/>
  <c r="Y530" i="1"/>
  <c r="S531" i="1"/>
  <c r="U531" i="1"/>
  <c r="Y531" i="1"/>
  <c r="AM531" i="1"/>
  <c r="AN531" i="1" s="1"/>
  <c r="AU531" i="1" s="1"/>
  <c r="S532" i="1"/>
  <c r="U532" i="1"/>
  <c r="Y532" i="1"/>
  <c r="AM532" i="1"/>
  <c r="AN532" i="1" s="1"/>
  <c r="S533" i="1"/>
  <c r="U533" i="1"/>
  <c r="AM533" i="1" s="1"/>
  <c r="AN533" i="1" s="1"/>
  <c r="Y533" i="1"/>
  <c r="S534" i="1"/>
  <c r="U534" i="1"/>
  <c r="AM534" i="1" s="1"/>
  <c r="AN534" i="1" s="1"/>
  <c r="Y534" i="1"/>
  <c r="AU534" i="1" s="1"/>
  <c r="S535" i="1"/>
  <c r="U535" i="1"/>
  <c r="AM535" i="1" s="1"/>
  <c r="AN535" i="1" s="1"/>
  <c r="Y535" i="1"/>
  <c r="S536" i="1"/>
  <c r="U536" i="1"/>
  <c r="AM536" i="1" s="1"/>
  <c r="AN536" i="1" s="1"/>
  <c r="Y536" i="1"/>
  <c r="S537" i="1"/>
  <c r="U537" i="1"/>
  <c r="Y537" i="1"/>
  <c r="AM537" i="1"/>
  <c r="AN537" i="1" s="1"/>
  <c r="S538" i="1"/>
  <c r="U538" i="1"/>
  <c r="AM538" i="1" s="1"/>
  <c r="AN538" i="1" s="1"/>
  <c r="Y538" i="1"/>
  <c r="S539" i="1"/>
  <c r="U539" i="1"/>
  <c r="AM539" i="1" s="1"/>
  <c r="AN539" i="1" s="1"/>
  <c r="Y539" i="1"/>
  <c r="AU539" i="1" s="1"/>
  <c r="S540" i="1"/>
  <c r="U540" i="1"/>
  <c r="AM540" i="1" s="1"/>
  <c r="AN540" i="1" s="1"/>
  <c r="Y540" i="1"/>
  <c r="S541" i="1"/>
  <c r="U541" i="1"/>
  <c r="AM541" i="1" s="1"/>
  <c r="AN541" i="1" s="1"/>
  <c r="Y541" i="1"/>
  <c r="S542" i="1"/>
  <c r="U542" i="1"/>
  <c r="Y542" i="1"/>
  <c r="AM542" i="1"/>
  <c r="AN542" i="1" s="1"/>
  <c r="S543" i="1"/>
  <c r="U543" i="1"/>
  <c r="Y543" i="1"/>
  <c r="AM543" i="1"/>
  <c r="AN543" i="1" s="1"/>
  <c r="AV543" i="1" s="1"/>
  <c r="S544" i="1"/>
  <c r="U544" i="1"/>
  <c r="AM544" i="1" s="1"/>
  <c r="AN544" i="1" s="1"/>
  <c r="Y544" i="1"/>
  <c r="AU544" i="1" s="1"/>
  <c r="AV544" i="1"/>
  <c r="AW544" i="1"/>
  <c r="S545" i="1"/>
  <c r="U545" i="1"/>
  <c r="AM545" i="1" s="1"/>
  <c r="AN545" i="1" s="1"/>
  <c r="Y545" i="1"/>
  <c r="S546" i="1"/>
  <c r="U546" i="1"/>
  <c r="AM546" i="1" s="1"/>
  <c r="AN546" i="1" s="1"/>
  <c r="Y546" i="1"/>
  <c r="S547" i="1"/>
  <c r="U547" i="1"/>
  <c r="AM547" i="1" s="1"/>
  <c r="AN547" i="1" s="1"/>
  <c r="Y547" i="1"/>
  <c r="S548" i="1"/>
  <c r="U548" i="1"/>
  <c r="AM548" i="1" s="1"/>
  <c r="AN548" i="1" s="1"/>
  <c r="Y548" i="1"/>
  <c r="S549" i="1"/>
  <c r="U549" i="1"/>
  <c r="AM549" i="1" s="1"/>
  <c r="AN549" i="1" s="1"/>
  <c r="Y549" i="1"/>
  <c r="S550" i="1"/>
  <c r="U550" i="1"/>
  <c r="Y550" i="1"/>
  <c r="AM550" i="1"/>
  <c r="AN550" i="1"/>
  <c r="AU550" i="1" s="1"/>
  <c r="S551" i="1"/>
  <c r="U551" i="1"/>
  <c r="AM551" i="1" s="1"/>
  <c r="AN551" i="1" s="1"/>
  <c r="Y551" i="1"/>
  <c r="S552" i="1"/>
  <c r="U552" i="1"/>
  <c r="AM552" i="1" s="1"/>
  <c r="AN552" i="1" s="1"/>
  <c r="Y552" i="1"/>
  <c r="S553" i="1"/>
  <c r="U553" i="1"/>
  <c r="Y553" i="1"/>
  <c r="AM553" i="1"/>
  <c r="AN553" i="1" s="1"/>
  <c r="S554" i="1"/>
  <c r="U554" i="1"/>
  <c r="AM554" i="1" s="1"/>
  <c r="AN554" i="1" s="1"/>
  <c r="Y554" i="1"/>
  <c r="AU554" i="1" s="1"/>
  <c r="AW554" i="1"/>
  <c r="S555" i="1"/>
  <c r="U555" i="1"/>
  <c r="AM555" i="1" s="1"/>
  <c r="AN555" i="1" s="1"/>
  <c r="AU555" i="1" s="1"/>
  <c r="Y555" i="1"/>
  <c r="S556" i="1"/>
  <c r="U556" i="1"/>
  <c r="AM556" i="1" s="1"/>
  <c r="AN556" i="1" s="1"/>
  <c r="Y556" i="1"/>
  <c r="S557" i="1"/>
  <c r="U557" i="1"/>
  <c r="AM557" i="1" s="1"/>
  <c r="AN557" i="1" s="1"/>
  <c r="Y557" i="1"/>
  <c r="S558" i="1"/>
  <c r="U558" i="1"/>
  <c r="Y558" i="1"/>
  <c r="AM558" i="1"/>
  <c r="AN558" i="1"/>
  <c r="AU558" i="1"/>
  <c r="AV558" i="1"/>
  <c r="AW558" i="1"/>
  <c r="S559" i="1"/>
  <c r="U559" i="1"/>
  <c r="AM559" i="1" s="1"/>
  <c r="AN559" i="1" s="1"/>
  <c r="Y559" i="1"/>
  <c r="AU559" i="1" s="1"/>
  <c r="S560" i="1"/>
  <c r="U560" i="1"/>
  <c r="AM560" i="1" s="1"/>
  <c r="AN560" i="1" s="1"/>
  <c r="Y560" i="1"/>
  <c r="S561" i="1"/>
  <c r="U561" i="1"/>
  <c r="Y561" i="1"/>
  <c r="AM561" i="1"/>
  <c r="AN561" i="1" s="1"/>
  <c r="S562" i="1"/>
  <c r="U562" i="1"/>
  <c r="AM562" i="1" s="1"/>
  <c r="AN562" i="1" s="1"/>
  <c r="Y562" i="1"/>
  <c r="S563" i="1"/>
  <c r="U563" i="1"/>
  <c r="Y563" i="1"/>
  <c r="AM563" i="1"/>
  <c r="AN563" i="1"/>
  <c r="AV563" i="1" s="1"/>
  <c r="AU563" i="1"/>
  <c r="AW563" i="1"/>
  <c r="S564" i="1"/>
  <c r="U564" i="1"/>
  <c r="AM564" i="1" s="1"/>
  <c r="AN564" i="1" s="1"/>
  <c r="Y564" i="1"/>
  <c r="S565" i="1"/>
  <c r="U565" i="1"/>
  <c r="AM565" i="1" s="1"/>
  <c r="AN565" i="1" s="1"/>
  <c r="AU565" i="1" s="1"/>
  <c r="Y565" i="1"/>
  <c r="S566" i="1"/>
  <c r="U566" i="1"/>
  <c r="Y566" i="1"/>
  <c r="AM566" i="1"/>
  <c r="AN566" i="1" s="1"/>
  <c r="S567" i="1"/>
  <c r="U567" i="1"/>
  <c r="Y567" i="1"/>
  <c r="AM567" i="1"/>
  <c r="AN567" i="1" s="1"/>
  <c r="AV567" i="1" s="1"/>
  <c r="S568" i="1"/>
  <c r="U568" i="1"/>
  <c r="AM568" i="1" s="1"/>
  <c r="AN568" i="1" s="1"/>
  <c r="Y568" i="1"/>
  <c r="S569" i="1"/>
  <c r="U569" i="1"/>
  <c r="AM569" i="1" s="1"/>
  <c r="AN569" i="1" s="1"/>
  <c r="Y569" i="1"/>
  <c r="S570" i="1"/>
  <c r="U570" i="1"/>
  <c r="AM570" i="1" s="1"/>
  <c r="AN570" i="1" s="1"/>
  <c r="Y570" i="1"/>
  <c r="S571" i="1"/>
  <c r="U571" i="1"/>
  <c r="AM571" i="1" s="1"/>
  <c r="AN571" i="1" s="1"/>
  <c r="Y571" i="1"/>
  <c r="S572" i="1"/>
  <c r="U572" i="1"/>
  <c r="Y572" i="1"/>
  <c r="AM572" i="1"/>
  <c r="AN572" i="1" s="1"/>
  <c r="S573" i="1"/>
  <c r="U573" i="1"/>
  <c r="AM573" i="1" s="1"/>
  <c r="AN573" i="1" s="1"/>
  <c r="Y573" i="1"/>
  <c r="S574" i="1"/>
  <c r="U574" i="1"/>
  <c r="AM574" i="1" s="1"/>
  <c r="AN574" i="1" s="1"/>
  <c r="Y574" i="1"/>
  <c r="S575" i="1"/>
  <c r="U575" i="1"/>
  <c r="AM575" i="1" s="1"/>
  <c r="AN575" i="1" s="1"/>
  <c r="Y575" i="1"/>
  <c r="S576" i="1"/>
  <c r="U576" i="1"/>
  <c r="Y576" i="1"/>
  <c r="AM576" i="1"/>
  <c r="AN576" i="1" s="1"/>
  <c r="S577" i="1"/>
  <c r="U577" i="1"/>
  <c r="AM577" i="1" s="1"/>
  <c r="AN577" i="1" s="1"/>
  <c r="Y577" i="1"/>
  <c r="S578" i="1"/>
  <c r="U578" i="1"/>
  <c r="AM578" i="1" s="1"/>
  <c r="AN578" i="1" s="1"/>
  <c r="Y578" i="1"/>
  <c r="S579" i="1"/>
  <c r="U579" i="1"/>
  <c r="AM579" i="1" s="1"/>
  <c r="AN579" i="1" s="1"/>
  <c r="Y579" i="1"/>
  <c r="AW579" i="1" s="1"/>
  <c r="S580" i="1"/>
  <c r="U580" i="1"/>
  <c r="AM580" i="1" s="1"/>
  <c r="AN580" i="1" s="1"/>
  <c r="Y580" i="1"/>
  <c r="S581" i="1"/>
  <c r="U581" i="1"/>
  <c r="Y581" i="1"/>
  <c r="AM581" i="1"/>
  <c r="AN581" i="1" s="1"/>
  <c r="S582" i="1"/>
  <c r="U582" i="1"/>
  <c r="Y582" i="1"/>
  <c r="AM582" i="1"/>
  <c r="AN582" i="1" s="1"/>
  <c r="AU582" i="1" s="1"/>
  <c r="S583" i="1"/>
  <c r="U583" i="1"/>
  <c r="AM583" i="1" s="1"/>
  <c r="AN583" i="1" s="1"/>
  <c r="Y583" i="1"/>
  <c r="S584" i="1"/>
  <c r="U584" i="1"/>
  <c r="AM584" i="1" s="1"/>
  <c r="AN584" i="1" s="1"/>
  <c r="Y584" i="1"/>
  <c r="AU584" i="1" s="1"/>
  <c r="S585" i="1"/>
  <c r="U585" i="1"/>
  <c r="Y585" i="1"/>
  <c r="AM585" i="1"/>
  <c r="AN585" i="1" s="1"/>
  <c r="S586" i="1"/>
  <c r="U586" i="1"/>
  <c r="AM586" i="1" s="1"/>
  <c r="AN586" i="1" s="1"/>
  <c r="Y586" i="1"/>
  <c r="S587" i="1"/>
  <c r="U587" i="1"/>
  <c r="AM587" i="1" s="1"/>
  <c r="AN587" i="1" s="1"/>
  <c r="Y587" i="1"/>
  <c r="S588" i="1"/>
  <c r="U588" i="1"/>
  <c r="Y588" i="1"/>
  <c r="AM588" i="1"/>
  <c r="AN588" i="1" s="1"/>
  <c r="S589" i="1"/>
  <c r="U589" i="1"/>
  <c r="AM589" i="1" s="1"/>
  <c r="AN589" i="1" s="1"/>
  <c r="Y589" i="1"/>
  <c r="AW589" i="1"/>
  <c r="S590" i="1"/>
  <c r="U590" i="1"/>
  <c r="AM590" i="1" s="1"/>
  <c r="AN590" i="1" s="1"/>
  <c r="Y590" i="1"/>
  <c r="S591" i="1"/>
  <c r="U591" i="1"/>
  <c r="AM591" i="1" s="1"/>
  <c r="AN591" i="1" s="1"/>
  <c r="Y591" i="1"/>
  <c r="S592" i="1"/>
  <c r="U592" i="1"/>
  <c r="AM592" i="1" s="1"/>
  <c r="AN592" i="1" s="1"/>
  <c r="AU592" i="1" s="1"/>
  <c r="Y592" i="1"/>
  <c r="S593" i="1"/>
  <c r="U593" i="1"/>
  <c r="AM593" i="1" s="1"/>
  <c r="AN593" i="1" s="1"/>
  <c r="Y593" i="1"/>
  <c r="S594" i="1"/>
  <c r="U594" i="1"/>
  <c r="AM594" i="1" s="1"/>
  <c r="AN594" i="1" s="1"/>
  <c r="Y594" i="1"/>
  <c r="AU594" i="1" s="1"/>
  <c r="S595" i="1"/>
  <c r="U595" i="1"/>
  <c r="AM595" i="1" s="1"/>
  <c r="AN595" i="1" s="1"/>
  <c r="Y595" i="1"/>
  <c r="S596" i="1"/>
  <c r="U596" i="1"/>
  <c r="Y596" i="1"/>
  <c r="AM596" i="1"/>
  <c r="AN596" i="1"/>
  <c r="AU596" i="1" s="1"/>
  <c r="S597" i="1"/>
  <c r="U597" i="1"/>
  <c r="AM597" i="1" s="1"/>
  <c r="AN597" i="1" s="1"/>
  <c r="Y597" i="1"/>
  <c r="S598" i="1"/>
  <c r="U598" i="1"/>
  <c r="AM598" i="1" s="1"/>
  <c r="AN598" i="1" s="1"/>
  <c r="Y598" i="1"/>
  <c r="S599" i="1"/>
  <c r="U599" i="1"/>
  <c r="AM599" i="1" s="1"/>
  <c r="AN599" i="1" s="1"/>
  <c r="Y599" i="1"/>
  <c r="AU599" i="1" s="1"/>
  <c r="AV599" i="1"/>
  <c r="AW599" i="1"/>
  <c r="S600" i="1"/>
  <c r="U600" i="1"/>
  <c r="AM600" i="1" s="1"/>
  <c r="AN600" i="1" s="1"/>
  <c r="Y600" i="1"/>
  <c r="S601" i="1"/>
  <c r="U601" i="1"/>
  <c r="Y601" i="1"/>
  <c r="AM601" i="1"/>
  <c r="AN601" i="1" s="1"/>
  <c r="S602" i="1"/>
  <c r="U602" i="1"/>
  <c r="AM602" i="1" s="1"/>
  <c r="AN602" i="1" s="1"/>
  <c r="Y602" i="1"/>
  <c r="S603" i="1"/>
  <c r="U603" i="1"/>
  <c r="AM603" i="1" s="1"/>
  <c r="AN603" i="1" s="1"/>
  <c r="Y603" i="1"/>
  <c r="S604" i="1"/>
  <c r="U604" i="1"/>
  <c r="Y604" i="1"/>
  <c r="AM604" i="1"/>
  <c r="AN604" i="1" s="1"/>
  <c r="S605" i="1"/>
  <c r="U605" i="1"/>
  <c r="AM605" i="1" s="1"/>
  <c r="AN605" i="1" s="1"/>
  <c r="Y605" i="1"/>
  <c r="AW605" i="1" s="1"/>
  <c r="S606" i="1"/>
  <c r="U606" i="1"/>
  <c r="AM606" i="1" s="1"/>
  <c r="AN606" i="1" s="1"/>
  <c r="Y606" i="1"/>
  <c r="S607" i="1"/>
  <c r="U607" i="1"/>
  <c r="AM607" i="1" s="1"/>
  <c r="AN607" i="1" s="1"/>
  <c r="Y607" i="1"/>
  <c r="S608" i="1"/>
  <c r="U608" i="1"/>
  <c r="AM608" i="1" s="1"/>
  <c r="AN608" i="1" s="1"/>
  <c r="Y608" i="1"/>
  <c r="S609" i="1"/>
  <c r="U609" i="1"/>
  <c r="Y609" i="1"/>
  <c r="AM609" i="1"/>
  <c r="AN609" i="1" s="1"/>
  <c r="S610" i="1"/>
  <c r="U610" i="1"/>
  <c r="Y610" i="1"/>
  <c r="AM610" i="1"/>
  <c r="AN610" i="1" s="1"/>
  <c r="S611" i="1"/>
  <c r="U611" i="1"/>
  <c r="AM611" i="1" s="1"/>
  <c r="AN611" i="1" s="1"/>
  <c r="Y611" i="1"/>
  <c r="S612" i="1"/>
  <c r="U612" i="1"/>
  <c r="AM612" i="1" s="1"/>
  <c r="AN612" i="1" s="1"/>
  <c r="Y612" i="1"/>
  <c r="S613" i="1"/>
  <c r="U613" i="1"/>
  <c r="AM613" i="1" s="1"/>
  <c r="AN613" i="1" s="1"/>
  <c r="Y613" i="1"/>
  <c r="S614" i="1"/>
  <c r="U614" i="1"/>
  <c r="Y614" i="1"/>
  <c r="AM614" i="1"/>
  <c r="AN614" i="1" s="1"/>
  <c r="S615" i="1"/>
  <c r="U615" i="1"/>
  <c r="Y615" i="1"/>
  <c r="AM615" i="1"/>
  <c r="AN615" i="1" s="1"/>
  <c r="S616" i="1"/>
  <c r="U616" i="1"/>
  <c r="AM616" i="1" s="1"/>
  <c r="AN616" i="1" s="1"/>
  <c r="Y616" i="1"/>
  <c r="S617" i="1"/>
  <c r="U617" i="1"/>
  <c r="AM617" i="1" s="1"/>
  <c r="AN617" i="1" s="1"/>
  <c r="AU617" i="1" s="1"/>
  <c r="Y617" i="1"/>
  <c r="S618" i="1"/>
  <c r="U618" i="1"/>
  <c r="AM618" i="1" s="1"/>
  <c r="AN618" i="1" s="1"/>
  <c r="Y618" i="1"/>
  <c r="S619" i="1"/>
  <c r="U619" i="1"/>
  <c r="Y619" i="1"/>
  <c r="AM619" i="1"/>
  <c r="AN619" i="1" s="1"/>
  <c r="S620" i="1"/>
  <c r="U620" i="1"/>
  <c r="AM620" i="1" s="1"/>
  <c r="AN620" i="1" s="1"/>
  <c r="Y620" i="1"/>
  <c r="S621" i="1"/>
  <c r="U621" i="1"/>
  <c r="Y621" i="1"/>
  <c r="AM621" i="1"/>
  <c r="AN621" i="1" s="1"/>
  <c r="S622" i="1"/>
  <c r="U622" i="1"/>
  <c r="AM622" i="1" s="1"/>
  <c r="AN622" i="1" s="1"/>
  <c r="Y622" i="1"/>
  <c r="S623" i="1"/>
  <c r="U623" i="1"/>
  <c r="AM623" i="1" s="1"/>
  <c r="AN623" i="1" s="1"/>
  <c r="Y623" i="1"/>
  <c r="S624" i="1"/>
  <c r="U624" i="1"/>
  <c r="Y624" i="1"/>
  <c r="AM624" i="1"/>
  <c r="AN624" i="1" s="1"/>
  <c r="S625" i="1"/>
  <c r="U625" i="1"/>
  <c r="Y625" i="1"/>
  <c r="AM625" i="1"/>
  <c r="AN625" i="1" s="1"/>
  <c r="S626" i="1"/>
  <c r="U626" i="1"/>
  <c r="Y626" i="1"/>
  <c r="AM626" i="1"/>
  <c r="AN626" i="1" s="1"/>
  <c r="S627" i="1"/>
  <c r="U627" i="1"/>
  <c r="AM627" i="1" s="1"/>
  <c r="AN627" i="1" s="1"/>
  <c r="Y627" i="1"/>
  <c r="S628" i="1"/>
  <c r="U628" i="1"/>
  <c r="AM628" i="1" s="1"/>
  <c r="AN628" i="1" s="1"/>
  <c r="Y628" i="1"/>
  <c r="S629" i="1"/>
  <c r="U629" i="1"/>
  <c r="Y629" i="1"/>
  <c r="AM629" i="1"/>
  <c r="AN629" i="1" s="1"/>
  <c r="S630" i="1"/>
  <c r="U630" i="1"/>
  <c r="AM630" i="1" s="1"/>
  <c r="AN630" i="1" s="1"/>
  <c r="Y630" i="1"/>
  <c r="S631" i="1"/>
  <c r="U631" i="1"/>
  <c r="AM631" i="1" s="1"/>
  <c r="AN631" i="1" s="1"/>
  <c r="Y631" i="1"/>
  <c r="S632" i="1"/>
  <c r="U632" i="1"/>
  <c r="AM632" i="1" s="1"/>
  <c r="AN632" i="1" s="1"/>
  <c r="Y632" i="1"/>
  <c r="AV632" i="1" s="1"/>
  <c r="S633" i="1"/>
  <c r="U633" i="1"/>
  <c r="AM633" i="1" s="1"/>
  <c r="AN633" i="1" s="1"/>
  <c r="Y633" i="1"/>
  <c r="AU633" i="1" s="1"/>
  <c r="S634" i="1"/>
  <c r="U634" i="1"/>
  <c r="AM634" i="1" s="1"/>
  <c r="AN634" i="1" s="1"/>
  <c r="Y634" i="1"/>
  <c r="S635" i="1"/>
  <c r="U635" i="1"/>
  <c r="AM635" i="1" s="1"/>
  <c r="AN635" i="1" s="1"/>
  <c r="Y635" i="1"/>
  <c r="S636" i="1"/>
  <c r="U636" i="1"/>
  <c r="AM636" i="1" s="1"/>
  <c r="AN636" i="1" s="1"/>
  <c r="Y636" i="1"/>
  <c r="S637" i="1"/>
  <c r="U637" i="1"/>
  <c r="AM637" i="1" s="1"/>
  <c r="AN637" i="1" s="1"/>
  <c r="Y637" i="1"/>
  <c r="S638" i="1"/>
  <c r="U638" i="1"/>
  <c r="AM638" i="1" s="1"/>
  <c r="AN638" i="1" s="1"/>
  <c r="Y638" i="1"/>
  <c r="AU638" i="1" s="1"/>
  <c r="S639" i="1"/>
  <c r="U639" i="1"/>
  <c r="AM639" i="1" s="1"/>
  <c r="AN639" i="1" s="1"/>
  <c r="Y639" i="1"/>
  <c r="S640" i="1"/>
  <c r="U640" i="1"/>
  <c r="AM640" i="1" s="1"/>
  <c r="AN640" i="1" s="1"/>
  <c r="Y640" i="1"/>
  <c r="S641" i="1"/>
  <c r="U641" i="1"/>
  <c r="AM641" i="1" s="1"/>
  <c r="AN641" i="1" s="1"/>
  <c r="Y641" i="1"/>
  <c r="S642" i="1"/>
  <c r="U642" i="1"/>
  <c r="AM642" i="1" s="1"/>
  <c r="AN642" i="1" s="1"/>
  <c r="Y642" i="1"/>
  <c r="S643" i="1"/>
  <c r="U643" i="1"/>
  <c r="AM643" i="1" s="1"/>
  <c r="AN643" i="1" s="1"/>
  <c r="Y643" i="1"/>
  <c r="S644" i="1"/>
  <c r="U644" i="1"/>
  <c r="AM644" i="1" s="1"/>
  <c r="AN644" i="1" s="1"/>
  <c r="Y644" i="1"/>
  <c r="S645" i="1"/>
  <c r="U645" i="1"/>
  <c r="AM645" i="1" s="1"/>
  <c r="AN645" i="1" s="1"/>
  <c r="AV645" i="1" s="1"/>
  <c r="Y645" i="1"/>
  <c r="S646" i="1"/>
  <c r="U646" i="1"/>
  <c r="Y646" i="1"/>
  <c r="AM646" i="1"/>
  <c r="AN646" i="1" s="1"/>
  <c r="S647" i="1"/>
  <c r="U647" i="1"/>
  <c r="AM647" i="1" s="1"/>
  <c r="AN647" i="1" s="1"/>
  <c r="Y647" i="1"/>
  <c r="S648" i="1"/>
  <c r="U648" i="1"/>
  <c r="AM648" i="1" s="1"/>
  <c r="AN648" i="1" s="1"/>
  <c r="Y648" i="1"/>
  <c r="S649" i="1"/>
  <c r="U649" i="1"/>
  <c r="AM649" i="1" s="1"/>
  <c r="AN649" i="1" s="1"/>
  <c r="Y649" i="1"/>
  <c r="S650" i="1"/>
  <c r="U650" i="1"/>
  <c r="Y650" i="1"/>
  <c r="AM650" i="1"/>
  <c r="AN650" i="1" s="1"/>
  <c r="S651" i="1"/>
  <c r="U651" i="1"/>
  <c r="AM651" i="1" s="1"/>
  <c r="AN651" i="1" s="1"/>
  <c r="Y651" i="1"/>
  <c r="S652" i="1"/>
  <c r="U652" i="1"/>
  <c r="Y652" i="1"/>
  <c r="AM652" i="1"/>
  <c r="AN652" i="1"/>
  <c r="AU652" i="1" s="1"/>
  <c r="S653" i="1"/>
  <c r="U653" i="1"/>
  <c r="AM653" i="1" s="1"/>
  <c r="AN653" i="1" s="1"/>
  <c r="Y653" i="1"/>
  <c r="S654" i="1"/>
  <c r="U654" i="1"/>
  <c r="Y654" i="1"/>
  <c r="AM654" i="1"/>
  <c r="AN654" i="1" s="1"/>
  <c r="S655" i="1"/>
  <c r="U655" i="1"/>
  <c r="Y655" i="1"/>
  <c r="AM655" i="1"/>
  <c r="AN655" i="1" s="1"/>
  <c r="S656" i="1"/>
  <c r="U656" i="1"/>
  <c r="AM656" i="1" s="1"/>
  <c r="AN656" i="1" s="1"/>
  <c r="Y656" i="1"/>
  <c r="S657" i="1"/>
  <c r="U657" i="1"/>
  <c r="Y657" i="1"/>
  <c r="AM657" i="1"/>
  <c r="AN657" i="1" s="1"/>
  <c r="AU657" i="1" s="1"/>
  <c r="S658" i="1"/>
  <c r="U658" i="1"/>
  <c r="AM658" i="1" s="1"/>
  <c r="AN658" i="1" s="1"/>
  <c r="Y658" i="1"/>
  <c r="S659" i="1"/>
  <c r="U659" i="1"/>
  <c r="Y659" i="1"/>
  <c r="AM659" i="1"/>
  <c r="AN659" i="1" s="1"/>
  <c r="S660" i="1"/>
  <c r="U660" i="1"/>
  <c r="Y660" i="1"/>
  <c r="AM660" i="1"/>
  <c r="AN660" i="1" s="1"/>
  <c r="S661" i="1"/>
  <c r="U661" i="1"/>
  <c r="Y661" i="1"/>
  <c r="AM661" i="1"/>
  <c r="AN661" i="1" s="1"/>
  <c r="S662" i="1"/>
  <c r="U662" i="1"/>
  <c r="Y662" i="1"/>
  <c r="AM662" i="1"/>
  <c r="AN662" i="1"/>
  <c r="AV662" i="1" s="1"/>
  <c r="S663" i="1"/>
  <c r="U663" i="1"/>
  <c r="AM663" i="1" s="1"/>
  <c r="AN663" i="1" s="1"/>
  <c r="Y663" i="1"/>
  <c r="AU663" i="1" s="1"/>
  <c r="S664" i="1"/>
  <c r="U664" i="1"/>
  <c r="Y664" i="1"/>
  <c r="AM664" i="1"/>
  <c r="AN664" i="1" s="1"/>
  <c r="S665" i="1"/>
  <c r="U665" i="1"/>
  <c r="AM665" i="1" s="1"/>
  <c r="AN665" i="1" s="1"/>
  <c r="Y665" i="1"/>
  <c r="AV665" i="1" s="1"/>
  <c r="S666" i="1"/>
  <c r="U666" i="1"/>
  <c r="Y666" i="1"/>
  <c r="AM666" i="1"/>
  <c r="AN666" i="1" s="1"/>
  <c r="S667" i="1"/>
  <c r="U667" i="1"/>
  <c r="AM667" i="1" s="1"/>
  <c r="Y667" i="1"/>
  <c r="AN667" i="1"/>
  <c r="AV667" i="1" s="1"/>
  <c r="S668" i="1"/>
  <c r="U668" i="1"/>
  <c r="AM668" i="1" s="1"/>
  <c r="AN668" i="1" s="1"/>
  <c r="Y668" i="1"/>
  <c r="S669" i="1"/>
  <c r="U669" i="1"/>
  <c r="AM669" i="1" s="1"/>
  <c r="AN669" i="1" s="1"/>
  <c r="Y669" i="1"/>
  <c r="S670" i="1"/>
  <c r="U670" i="1"/>
  <c r="Y670" i="1"/>
  <c r="AM670" i="1"/>
  <c r="AN670" i="1" s="1"/>
  <c r="S671" i="1"/>
  <c r="U671" i="1"/>
  <c r="Y671" i="1"/>
  <c r="AM671" i="1"/>
  <c r="AN671" i="1" s="1"/>
  <c r="S672" i="1"/>
  <c r="U672" i="1"/>
  <c r="Y672" i="1"/>
  <c r="AM672" i="1"/>
  <c r="AN672" i="1"/>
  <c r="AV672" i="1" s="1"/>
  <c r="S673" i="1"/>
  <c r="U673" i="1"/>
  <c r="AM673" i="1" s="1"/>
  <c r="AN673" i="1" s="1"/>
  <c r="Y673" i="1"/>
  <c r="S674" i="1"/>
  <c r="U674" i="1"/>
  <c r="AM674" i="1" s="1"/>
  <c r="AN674" i="1" s="1"/>
  <c r="Y674" i="1"/>
  <c r="S675" i="1"/>
  <c r="U675" i="1"/>
  <c r="Y675" i="1"/>
  <c r="AM675" i="1"/>
  <c r="AN675" i="1" s="1"/>
  <c r="AV675" i="1" s="1"/>
  <c r="S676" i="1"/>
  <c r="U676" i="1"/>
  <c r="Y676" i="1"/>
  <c r="AM676" i="1"/>
  <c r="AN676" i="1" s="1"/>
  <c r="S677" i="1"/>
  <c r="U677" i="1"/>
  <c r="Y677" i="1"/>
  <c r="AM677" i="1"/>
  <c r="AN677" i="1" s="1"/>
  <c r="AV677" i="1" s="1"/>
  <c r="S678" i="1"/>
  <c r="U678" i="1"/>
  <c r="AM678" i="1" s="1"/>
  <c r="AN678" i="1" s="1"/>
  <c r="Y678" i="1"/>
  <c r="S679" i="1"/>
  <c r="U679" i="1"/>
  <c r="AM679" i="1" s="1"/>
  <c r="AN679" i="1" s="1"/>
  <c r="AU679" i="1" s="1"/>
  <c r="Y679" i="1"/>
  <c r="S680" i="1"/>
  <c r="U680" i="1"/>
  <c r="AM680" i="1" s="1"/>
  <c r="AN680" i="1" s="1"/>
  <c r="Y680" i="1"/>
  <c r="S681" i="1"/>
  <c r="U681" i="1"/>
  <c r="AM681" i="1" s="1"/>
  <c r="AN681" i="1" s="1"/>
  <c r="Y681" i="1"/>
  <c r="S682" i="1"/>
  <c r="U682" i="1"/>
  <c r="Y682" i="1"/>
  <c r="AM682" i="1"/>
  <c r="AN682" i="1"/>
  <c r="AV682" i="1" s="1"/>
  <c r="S683" i="1"/>
  <c r="U683" i="1"/>
  <c r="AM683" i="1" s="1"/>
  <c r="AN683" i="1" s="1"/>
  <c r="Y683" i="1"/>
  <c r="S684" i="1"/>
  <c r="U684" i="1"/>
  <c r="AM684" i="1" s="1"/>
  <c r="AN684" i="1" s="1"/>
  <c r="AU684" i="1" s="1"/>
  <c r="Y684" i="1"/>
  <c r="S685" i="1"/>
  <c r="U685" i="1"/>
  <c r="Y685" i="1"/>
  <c r="AM685" i="1"/>
  <c r="AN685" i="1"/>
  <c r="S686" i="1"/>
  <c r="U686" i="1"/>
  <c r="AM686" i="1" s="1"/>
  <c r="AN686" i="1" s="1"/>
  <c r="Y686" i="1"/>
  <c r="S687" i="1"/>
  <c r="U687" i="1"/>
  <c r="AM687" i="1" s="1"/>
  <c r="AN687" i="1" s="1"/>
  <c r="Y687" i="1"/>
  <c r="S688" i="1"/>
  <c r="U688" i="1"/>
  <c r="AM688" i="1" s="1"/>
  <c r="AN688" i="1" s="1"/>
  <c r="Y688" i="1"/>
  <c r="S689" i="1"/>
  <c r="U689" i="1"/>
  <c r="AM689" i="1" s="1"/>
  <c r="AN689" i="1" s="1"/>
  <c r="Y689" i="1"/>
  <c r="S690" i="1"/>
  <c r="U690" i="1"/>
  <c r="AM690" i="1" s="1"/>
  <c r="AN690" i="1" s="1"/>
  <c r="AV690" i="1" s="1"/>
  <c r="Y690" i="1"/>
  <c r="S691" i="1"/>
  <c r="U691" i="1"/>
  <c r="Y691" i="1"/>
  <c r="AM691" i="1"/>
  <c r="AN691" i="1" s="1"/>
  <c r="S692" i="1"/>
  <c r="U692" i="1"/>
  <c r="AM692" i="1" s="1"/>
  <c r="AN692" i="1" s="1"/>
  <c r="Y692" i="1"/>
  <c r="S693" i="1"/>
  <c r="U693" i="1"/>
  <c r="AM693" i="1" s="1"/>
  <c r="AN693" i="1" s="1"/>
  <c r="Y693" i="1"/>
  <c r="S694" i="1"/>
  <c r="U694" i="1"/>
  <c r="Y694" i="1"/>
  <c r="AM694" i="1"/>
  <c r="AN694" i="1" s="1"/>
  <c r="AU694" i="1" s="1"/>
  <c r="AV694" i="1"/>
  <c r="AW694" i="1"/>
  <c r="S695" i="1"/>
  <c r="U695" i="1"/>
  <c r="AM695" i="1" s="1"/>
  <c r="AN695" i="1" s="1"/>
  <c r="Y695" i="1"/>
  <c r="S696" i="1"/>
  <c r="U696" i="1"/>
  <c r="Y696" i="1"/>
  <c r="AM696" i="1"/>
  <c r="AN696" i="1" s="1"/>
  <c r="S697" i="1"/>
  <c r="U697" i="1"/>
  <c r="Y697" i="1"/>
  <c r="AM697" i="1"/>
  <c r="AN697" i="1" s="1"/>
  <c r="AV697" i="1" s="1"/>
  <c r="S698" i="1"/>
  <c r="U698" i="1"/>
  <c r="AM698" i="1" s="1"/>
  <c r="AN698" i="1" s="1"/>
  <c r="Y698" i="1"/>
  <c r="S699" i="1"/>
  <c r="U699" i="1"/>
  <c r="AM699" i="1" s="1"/>
  <c r="AN699" i="1" s="1"/>
  <c r="Y699" i="1"/>
  <c r="S700" i="1"/>
  <c r="U700" i="1"/>
  <c r="AM700" i="1" s="1"/>
  <c r="AN700" i="1" s="1"/>
  <c r="Y700" i="1"/>
  <c r="S701" i="1"/>
  <c r="U701" i="1"/>
  <c r="AM701" i="1" s="1"/>
  <c r="AN701" i="1" s="1"/>
  <c r="Y701" i="1"/>
  <c r="S702" i="1"/>
  <c r="U702" i="1"/>
  <c r="AM702" i="1" s="1"/>
  <c r="AN702" i="1" s="1"/>
  <c r="Y702" i="1"/>
  <c r="S703" i="1"/>
  <c r="U703" i="1"/>
  <c r="AM703" i="1" s="1"/>
  <c r="AN703" i="1" s="1"/>
  <c r="Y703" i="1"/>
  <c r="S704" i="1"/>
  <c r="U704" i="1"/>
  <c r="AM704" i="1" s="1"/>
  <c r="AN704" i="1" s="1"/>
  <c r="Y704" i="1"/>
  <c r="S705" i="1"/>
  <c r="U705" i="1"/>
  <c r="AM705" i="1" s="1"/>
  <c r="AN705" i="1" s="1"/>
  <c r="Y705" i="1"/>
  <c r="AV705" i="1" s="1"/>
  <c r="S706" i="1"/>
  <c r="U706" i="1"/>
  <c r="Y706" i="1"/>
  <c r="AM706" i="1"/>
  <c r="AN706" i="1"/>
  <c r="AU706" i="1" s="1"/>
  <c r="S707" i="1"/>
  <c r="U707" i="1"/>
  <c r="AM707" i="1" s="1"/>
  <c r="AN707" i="1" s="1"/>
  <c r="AV707" i="1" s="1"/>
  <c r="Y707" i="1"/>
  <c r="S708" i="1"/>
  <c r="U708" i="1"/>
  <c r="AM708" i="1" s="1"/>
  <c r="AN708" i="1" s="1"/>
  <c r="Y708" i="1"/>
  <c r="S709" i="1"/>
  <c r="U709" i="1"/>
  <c r="AM709" i="1" s="1"/>
  <c r="AN709" i="1" s="1"/>
  <c r="Y709" i="1"/>
  <c r="S710" i="1"/>
  <c r="U710" i="1"/>
  <c r="Y710" i="1"/>
  <c r="AM710" i="1"/>
  <c r="AN710" i="1" s="1"/>
  <c r="AV710" i="1" s="1"/>
  <c r="S711" i="1"/>
  <c r="U711" i="1"/>
  <c r="AM711" i="1" s="1"/>
  <c r="AN711" i="1" s="1"/>
  <c r="Y711" i="1"/>
  <c r="S712" i="1"/>
  <c r="U712" i="1"/>
  <c r="Y712" i="1"/>
  <c r="AM712" i="1"/>
  <c r="AN712" i="1"/>
  <c r="S713" i="1"/>
  <c r="U713" i="1"/>
  <c r="AM713" i="1" s="1"/>
  <c r="AN713" i="1" s="1"/>
  <c r="Y713" i="1"/>
  <c r="S714" i="1"/>
  <c r="U714" i="1"/>
  <c r="AM714" i="1" s="1"/>
  <c r="AN714" i="1" s="1"/>
  <c r="Y714" i="1"/>
  <c r="S715" i="1"/>
  <c r="U715" i="1"/>
  <c r="Y715" i="1"/>
  <c r="AM715" i="1"/>
  <c r="AN715" i="1" s="1"/>
  <c r="AV715" i="1" s="1"/>
  <c r="S716" i="1"/>
  <c r="U716" i="1"/>
  <c r="AM716" i="1" s="1"/>
  <c r="AN716" i="1" s="1"/>
  <c r="Y716" i="1"/>
  <c r="AV716" i="1" s="1"/>
  <c r="S717" i="1"/>
  <c r="U717" i="1"/>
  <c r="Y717" i="1"/>
  <c r="AM717" i="1"/>
  <c r="AN717" i="1"/>
  <c r="S718" i="1"/>
  <c r="U718" i="1"/>
  <c r="AM718" i="1" s="1"/>
  <c r="AN718" i="1" s="1"/>
  <c r="Y718" i="1"/>
  <c r="S719" i="1"/>
  <c r="U719" i="1"/>
  <c r="AM719" i="1" s="1"/>
  <c r="AN719" i="1" s="1"/>
  <c r="Y719" i="1"/>
  <c r="S720" i="1"/>
  <c r="U720" i="1"/>
  <c r="Y720" i="1"/>
  <c r="AM720" i="1"/>
  <c r="AN720" i="1"/>
  <c r="S721" i="1"/>
  <c r="U721" i="1"/>
  <c r="AM721" i="1" s="1"/>
  <c r="AN721" i="1" s="1"/>
  <c r="Y721" i="1"/>
  <c r="S722" i="1"/>
  <c r="U722" i="1"/>
  <c r="AM722" i="1" s="1"/>
  <c r="AN722" i="1" s="1"/>
  <c r="Y722" i="1"/>
  <c r="S723" i="1"/>
  <c r="U723" i="1"/>
  <c r="AM723" i="1" s="1"/>
  <c r="AN723" i="1" s="1"/>
  <c r="Y723" i="1"/>
  <c r="S724" i="1"/>
  <c r="U724" i="1"/>
  <c r="AM724" i="1" s="1"/>
  <c r="AN724" i="1" s="1"/>
  <c r="Y724" i="1"/>
  <c r="S725" i="1"/>
  <c r="U725" i="1"/>
  <c r="Y725" i="1"/>
  <c r="AM725" i="1"/>
  <c r="AN725" i="1" s="1"/>
  <c r="S726" i="1"/>
  <c r="U726" i="1"/>
  <c r="AM726" i="1" s="1"/>
  <c r="AN726" i="1" s="1"/>
  <c r="Y726" i="1"/>
  <c r="AV726" i="1" s="1"/>
  <c r="S727" i="1"/>
  <c r="U727" i="1"/>
  <c r="Y727" i="1"/>
  <c r="AM727" i="1"/>
  <c r="AN727" i="1" s="1"/>
  <c r="S728" i="1"/>
  <c r="U728" i="1"/>
  <c r="AM728" i="1" s="1"/>
  <c r="AN728" i="1" s="1"/>
  <c r="Y728" i="1"/>
  <c r="S729" i="1"/>
  <c r="U729" i="1"/>
  <c r="AM729" i="1" s="1"/>
  <c r="AN729" i="1" s="1"/>
  <c r="Y729" i="1"/>
  <c r="AW729" i="1" s="1"/>
  <c r="S730" i="1"/>
  <c r="U730" i="1"/>
  <c r="AM730" i="1" s="1"/>
  <c r="AN730" i="1" s="1"/>
  <c r="AU730" i="1" s="1"/>
  <c r="Y730" i="1"/>
  <c r="S731" i="1"/>
  <c r="U731" i="1"/>
  <c r="AM731" i="1" s="1"/>
  <c r="AN731" i="1" s="1"/>
  <c r="Y731" i="1"/>
  <c r="S732" i="1"/>
  <c r="U732" i="1"/>
  <c r="Y732" i="1"/>
  <c r="AM732" i="1"/>
  <c r="AN732" i="1" s="1"/>
  <c r="S733" i="1"/>
  <c r="U733" i="1"/>
  <c r="AM733" i="1" s="1"/>
  <c r="AN733" i="1" s="1"/>
  <c r="Y733" i="1"/>
  <c r="S734" i="1"/>
  <c r="U734" i="1"/>
  <c r="AM734" i="1" s="1"/>
  <c r="AN734" i="1" s="1"/>
  <c r="Y734" i="1"/>
  <c r="AU734" i="1" s="1"/>
  <c r="S735" i="1"/>
  <c r="U735" i="1"/>
  <c r="AM735" i="1" s="1"/>
  <c r="AN735" i="1" s="1"/>
  <c r="AV735" i="1" s="1"/>
  <c r="Y735" i="1"/>
  <c r="S736" i="1"/>
  <c r="U736" i="1"/>
  <c r="AM736" i="1" s="1"/>
  <c r="AN736" i="1" s="1"/>
  <c r="AU736" i="1" s="1"/>
  <c r="Y736" i="1"/>
  <c r="S737" i="1"/>
  <c r="U737" i="1"/>
  <c r="AM737" i="1" s="1"/>
  <c r="AN737" i="1" s="1"/>
  <c r="Y737" i="1"/>
  <c r="S738" i="1"/>
  <c r="U738" i="1"/>
  <c r="AM738" i="1" s="1"/>
  <c r="AN738" i="1" s="1"/>
  <c r="Y738" i="1"/>
  <c r="S739" i="1"/>
  <c r="U739" i="1"/>
  <c r="AM739" i="1" s="1"/>
  <c r="AN739" i="1" s="1"/>
  <c r="Y739" i="1"/>
  <c r="S740" i="1"/>
  <c r="U740" i="1"/>
  <c r="AM740" i="1" s="1"/>
  <c r="AN740" i="1" s="1"/>
  <c r="Y740" i="1"/>
  <c r="S741" i="1"/>
  <c r="U741" i="1"/>
  <c r="AM741" i="1" s="1"/>
  <c r="AN741" i="1" s="1"/>
  <c r="Y741" i="1"/>
  <c r="S742" i="1"/>
  <c r="U742" i="1"/>
  <c r="AM742" i="1" s="1"/>
  <c r="AN742" i="1" s="1"/>
  <c r="Y742" i="1"/>
  <c r="S743" i="1"/>
  <c r="U743" i="1"/>
  <c r="AM743" i="1" s="1"/>
  <c r="AN743" i="1" s="1"/>
  <c r="Y743" i="1"/>
  <c r="S744" i="1"/>
  <c r="U744" i="1"/>
  <c r="AM744" i="1" s="1"/>
  <c r="Y744" i="1"/>
  <c r="AN744" i="1"/>
  <c r="S745" i="1"/>
  <c r="U745" i="1"/>
  <c r="AM745" i="1" s="1"/>
  <c r="AN745" i="1" s="1"/>
  <c r="Y745" i="1"/>
  <c r="S746" i="1"/>
  <c r="U746" i="1"/>
  <c r="Y746" i="1"/>
  <c r="AM746" i="1"/>
  <c r="AN746" i="1" s="1"/>
  <c r="S747" i="1"/>
  <c r="U747" i="1"/>
  <c r="AM747" i="1" s="1"/>
  <c r="AN747" i="1" s="1"/>
  <c r="Y747" i="1"/>
  <c r="S748" i="1"/>
  <c r="U748" i="1"/>
  <c r="AM748" i="1" s="1"/>
  <c r="AN748" i="1" s="1"/>
  <c r="Y748" i="1"/>
  <c r="S749" i="1"/>
  <c r="U749" i="1"/>
  <c r="AM749" i="1" s="1"/>
  <c r="AN749" i="1" s="1"/>
  <c r="Y749" i="1"/>
  <c r="S750" i="1"/>
  <c r="U750" i="1"/>
  <c r="AM750" i="1" s="1"/>
  <c r="AN750" i="1" s="1"/>
  <c r="Y750" i="1"/>
  <c r="S751" i="1"/>
  <c r="U751" i="1"/>
  <c r="AM751" i="1" s="1"/>
  <c r="AN751" i="1" s="1"/>
  <c r="Y751" i="1"/>
  <c r="S752" i="1"/>
  <c r="U752" i="1"/>
  <c r="Y752" i="1"/>
  <c r="AM752" i="1"/>
  <c r="AN752" i="1" s="1"/>
  <c r="S753" i="1"/>
  <c r="U753" i="1"/>
  <c r="AM753" i="1" s="1"/>
  <c r="AN753" i="1" s="1"/>
  <c r="Y753" i="1"/>
  <c r="S754" i="1"/>
  <c r="U754" i="1"/>
  <c r="AM754" i="1" s="1"/>
  <c r="AN754" i="1" s="1"/>
  <c r="Y754" i="1"/>
  <c r="S755" i="1"/>
  <c r="U755" i="1"/>
  <c r="AM755" i="1" s="1"/>
  <c r="AN755" i="1" s="1"/>
  <c r="Y755" i="1"/>
  <c r="S756" i="1"/>
  <c r="U756" i="1"/>
  <c r="AM756" i="1" s="1"/>
  <c r="AN756" i="1" s="1"/>
  <c r="Y756" i="1"/>
  <c r="S757" i="1"/>
  <c r="U757" i="1"/>
  <c r="AM757" i="1" s="1"/>
  <c r="AN757" i="1" s="1"/>
  <c r="Y757" i="1"/>
  <c r="S758" i="1"/>
  <c r="U758" i="1"/>
  <c r="AM758" i="1" s="1"/>
  <c r="AN758" i="1" s="1"/>
  <c r="Y758" i="1"/>
  <c r="S759" i="1"/>
  <c r="U759" i="1"/>
  <c r="AM759" i="1" s="1"/>
  <c r="AN759" i="1" s="1"/>
  <c r="Y759" i="1"/>
  <c r="AW759" i="1" s="1"/>
  <c r="AU759" i="1"/>
  <c r="AV759" i="1"/>
  <c r="S760" i="1"/>
  <c r="U760" i="1"/>
  <c r="AM760" i="1" s="1"/>
  <c r="AN760" i="1" s="1"/>
  <c r="Y760" i="1"/>
  <c r="S761" i="1"/>
  <c r="U761" i="1"/>
  <c r="AM761" i="1" s="1"/>
  <c r="AN761" i="1" s="1"/>
  <c r="Y761" i="1"/>
  <c r="S762" i="1"/>
  <c r="U762" i="1"/>
  <c r="Y762" i="1"/>
  <c r="AM762" i="1"/>
  <c r="AN762" i="1" s="1"/>
  <c r="AU762" i="1" s="1"/>
  <c r="AW762" i="1"/>
  <c r="S763" i="1"/>
  <c r="U763" i="1"/>
  <c r="AM763" i="1" s="1"/>
  <c r="AN763" i="1" s="1"/>
  <c r="Y763" i="1"/>
  <c r="S764" i="1"/>
  <c r="U764" i="1"/>
  <c r="Y764" i="1"/>
  <c r="AM764" i="1"/>
  <c r="AN764" i="1" s="1"/>
  <c r="S765" i="1"/>
  <c r="U765" i="1"/>
  <c r="AM765" i="1" s="1"/>
  <c r="AN765" i="1" s="1"/>
  <c r="Y765" i="1"/>
  <c r="S766" i="1"/>
  <c r="U766" i="1"/>
  <c r="Y766" i="1"/>
  <c r="AM766" i="1"/>
  <c r="AN766" i="1" s="1"/>
  <c r="S767" i="1"/>
  <c r="U767" i="1"/>
  <c r="AM767" i="1" s="1"/>
  <c r="AN767" i="1" s="1"/>
  <c r="Y767" i="1"/>
  <c r="S768" i="1"/>
  <c r="U768" i="1"/>
  <c r="AM768" i="1" s="1"/>
  <c r="AN768" i="1" s="1"/>
  <c r="Y768" i="1"/>
  <c r="S769" i="1"/>
  <c r="U769" i="1"/>
  <c r="Y769" i="1"/>
  <c r="AM769" i="1"/>
  <c r="AN769" i="1" s="1"/>
  <c r="S770" i="1"/>
  <c r="U770" i="1"/>
  <c r="AM770" i="1" s="1"/>
  <c r="AN770" i="1" s="1"/>
  <c r="Y770" i="1"/>
  <c r="S771" i="1"/>
  <c r="U771" i="1"/>
  <c r="AM771" i="1" s="1"/>
  <c r="AN771" i="1" s="1"/>
  <c r="Y771" i="1"/>
  <c r="S772" i="1"/>
  <c r="U772" i="1"/>
  <c r="AM772" i="1" s="1"/>
  <c r="AN772" i="1" s="1"/>
  <c r="Y772" i="1"/>
  <c r="S773" i="1"/>
  <c r="U773" i="1"/>
  <c r="AM773" i="1" s="1"/>
  <c r="AN773" i="1" s="1"/>
  <c r="Y773" i="1"/>
  <c r="AW773" i="1" s="1"/>
  <c r="S774" i="1"/>
  <c r="U774" i="1"/>
  <c r="AM774" i="1" s="1"/>
  <c r="AN774" i="1" s="1"/>
  <c r="Y774" i="1"/>
  <c r="S775" i="1"/>
  <c r="U775" i="1"/>
  <c r="AM775" i="1" s="1"/>
  <c r="AN775" i="1" s="1"/>
  <c r="Y775" i="1"/>
  <c r="S776" i="1"/>
  <c r="U776" i="1"/>
  <c r="AM776" i="1" s="1"/>
  <c r="AN776" i="1" s="1"/>
  <c r="Y776" i="1"/>
  <c r="S777" i="1"/>
  <c r="U777" i="1"/>
  <c r="AM777" i="1" s="1"/>
  <c r="AN777" i="1" s="1"/>
  <c r="Y777" i="1"/>
  <c r="S778" i="1"/>
  <c r="U778" i="1"/>
  <c r="AM778" i="1" s="1"/>
  <c r="AN778" i="1" s="1"/>
  <c r="Y778" i="1"/>
  <c r="AW778" i="1"/>
  <c r="S779" i="1"/>
  <c r="U779" i="1"/>
  <c r="AM779" i="1" s="1"/>
  <c r="AN779" i="1" s="1"/>
  <c r="Y779" i="1"/>
  <c r="S780" i="1"/>
  <c r="U780" i="1"/>
  <c r="AM780" i="1" s="1"/>
  <c r="AN780" i="1" s="1"/>
  <c r="Y780" i="1"/>
  <c r="AU780" i="1" s="1"/>
  <c r="S781" i="1"/>
  <c r="U781" i="1"/>
  <c r="Y781" i="1"/>
  <c r="AM781" i="1"/>
  <c r="AN781" i="1" s="1"/>
  <c r="S782" i="1"/>
  <c r="U782" i="1"/>
  <c r="Y782" i="1"/>
  <c r="AM782" i="1"/>
  <c r="AN782" i="1" s="1"/>
  <c r="AW782" i="1" s="1"/>
  <c r="S783" i="1"/>
  <c r="U783" i="1"/>
  <c r="AM783" i="1" s="1"/>
  <c r="AN783" i="1" s="1"/>
  <c r="Y783" i="1"/>
  <c r="S784" i="1"/>
  <c r="U784" i="1"/>
  <c r="Y784" i="1"/>
  <c r="AM784" i="1"/>
  <c r="AN784" i="1" s="1"/>
  <c r="S785" i="1"/>
  <c r="U785" i="1"/>
  <c r="Y785" i="1"/>
  <c r="AM785" i="1"/>
  <c r="AN785" i="1" s="1"/>
  <c r="S786" i="1"/>
  <c r="U786" i="1"/>
  <c r="Y786" i="1"/>
  <c r="AM786" i="1"/>
  <c r="AN786" i="1" s="1"/>
  <c r="S787" i="1"/>
  <c r="U787" i="1"/>
  <c r="AM787" i="1" s="1"/>
  <c r="AN787" i="1" s="1"/>
  <c r="Y787" i="1"/>
  <c r="S788" i="1"/>
  <c r="U788" i="1"/>
  <c r="AM788" i="1" s="1"/>
  <c r="AN788" i="1" s="1"/>
  <c r="Y788" i="1"/>
  <c r="AW788" i="1" s="1"/>
  <c r="S789" i="1"/>
  <c r="U789" i="1"/>
  <c r="AM789" i="1" s="1"/>
  <c r="AN789" i="1" s="1"/>
  <c r="Y789" i="1"/>
  <c r="S790" i="1"/>
  <c r="U790" i="1"/>
  <c r="AM790" i="1" s="1"/>
  <c r="AN790" i="1" s="1"/>
  <c r="Y790" i="1"/>
  <c r="S791" i="1"/>
  <c r="U791" i="1"/>
  <c r="AM791" i="1" s="1"/>
  <c r="AN791" i="1" s="1"/>
  <c r="Y791" i="1"/>
  <c r="S792" i="1"/>
  <c r="U792" i="1"/>
  <c r="AM792" i="1" s="1"/>
  <c r="AN792" i="1" s="1"/>
  <c r="Y792" i="1"/>
  <c r="AW88" i="1" l="1"/>
  <c r="AV88" i="1"/>
  <c r="AU25" i="1"/>
  <c r="AV25" i="1"/>
  <c r="AW25" i="1"/>
  <c r="AU211" i="1"/>
  <c r="AV211" i="1"/>
  <c r="AU17" i="1"/>
  <c r="AV17" i="1"/>
  <c r="AW17" i="1"/>
  <c r="AU528" i="1"/>
  <c r="AW528" i="1"/>
  <c r="AV98" i="1"/>
  <c r="AU553" i="1"/>
  <c r="AV553" i="1"/>
  <c r="AW553" i="1"/>
  <c r="AV505" i="1"/>
  <c r="AW505" i="1"/>
  <c r="AW48" i="1"/>
  <c r="AV48" i="1"/>
  <c r="AV213" i="1"/>
  <c r="AW213" i="1"/>
  <c r="AV679" i="1"/>
  <c r="AV183" i="1"/>
  <c r="AU264" i="1"/>
  <c r="AU271" i="1"/>
  <c r="AW448" i="1"/>
  <c r="AV531" i="1"/>
  <c r="AU463" i="1"/>
  <c r="AV376" i="1"/>
  <c r="AU323" i="1"/>
  <c r="AU296" i="1"/>
  <c r="AU251" i="1"/>
  <c r="AW218" i="1"/>
  <c r="AV182" i="1"/>
  <c r="AV148" i="1"/>
  <c r="AU86" i="1"/>
  <c r="AU81" i="1"/>
  <c r="AU270" i="1"/>
  <c r="AU721" i="1"/>
  <c r="AV687" i="1"/>
  <c r="AU632" i="1"/>
  <c r="AU502" i="1"/>
  <c r="AU410" i="1"/>
  <c r="AU387" i="1"/>
  <c r="AU381" i="1"/>
  <c r="AU370" i="1"/>
  <c r="AU312" i="1"/>
  <c r="AU245" i="1"/>
  <c r="AV234" i="1"/>
  <c r="AU223" i="1"/>
  <c r="AV187" i="1"/>
  <c r="AV22" i="1"/>
  <c r="AU6" i="1"/>
  <c r="AU647" i="1"/>
  <c r="AU401" i="1"/>
  <c r="AU741" i="1"/>
  <c r="AU764" i="1"/>
  <c r="AV87" i="1"/>
  <c r="AU602" i="1"/>
  <c r="AU573" i="1"/>
  <c r="AU501" i="1"/>
  <c r="AW398" i="1"/>
  <c r="AU392" i="1"/>
  <c r="AU279" i="1"/>
  <c r="AV244" i="1"/>
  <c r="AU239" i="1"/>
  <c r="AV197" i="1"/>
  <c r="AU41" i="1"/>
  <c r="AU265" i="1"/>
  <c r="AU622" i="1"/>
  <c r="AV92" i="1"/>
  <c r="AU627" i="1"/>
  <c r="AU193" i="1"/>
  <c r="AU637" i="1"/>
  <c r="AU485" i="1"/>
  <c r="AU26" i="1"/>
  <c r="AU465" i="1"/>
  <c r="AU435" i="1"/>
  <c r="AV709" i="1"/>
  <c r="AU643" i="1"/>
  <c r="AV566" i="1"/>
  <c r="AW512" i="1"/>
  <c r="AV342" i="1"/>
  <c r="AU311" i="1"/>
  <c r="AV284" i="1"/>
  <c r="AV186" i="1"/>
  <c r="AU105" i="1"/>
  <c r="AV205" i="1"/>
  <c r="AV539" i="1"/>
  <c r="AU360" i="1"/>
  <c r="AU405" i="1"/>
  <c r="AU731" i="1"/>
  <c r="AV685" i="1"/>
  <c r="AW402" i="1"/>
  <c r="AV326" i="1"/>
  <c r="AV180" i="1"/>
  <c r="AW8" i="1"/>
  <c r="AV470" i="1"/>
  <c r="AW113" i="1"/>
  <c r="AV784" i="1"/>
  <c r="AV761" i="1"/>
  <c r="AV736" i="1"/>
  <c r="AV714" i="1"/>
  <c r="AV670" i="1"/>
  <c r="AV630" i="1"/>
  <c r="AU607" i="1"/>
  <c r="AW472" i="1"/>
  <c r="AV450" i="1"/>
  <c r="AV413" i="1"/>
  <c r="AW408" i="1"/>
  <c r="AV341" i="1"/>
  <c r="AU305" i="1"/>
  <c r="AV294" i="1"/>
  <c r="AV289" i="1"/>
  <c r="AV168" i="1"/>
  <c r="AU130" i="1"/>
  <c r="AU79" i="1"/>
  <c r="AV63" i="1"/>
  <c r="AV58" i="1"/>
  <c r="AV53" i="1"/>
  <c r="AU423" i="1"/>
  <c r="AV640" i="1"/>
  <c r="AV719" i="1"/>
  <c r="AV702" i="1"/>
  <c r="AW679" i="1"/>
  <c r="AU648" i="1"/>
  <c r="AU642" i="1"/>
  <c r="AU612" i="1"/>
  <c r="AU589" i="1"/>
  <c r="AU461" i="1"/>
  <c r="AV396" i="1"/>
  <c r="AV232" i="1"/>
  <c r="AW73" i="1"/>
  <c r="AW615" i="1"/>
  <c r="AV756" i="1"/>
  <c r="AW455" i="1"/>
  <c r="AU8" i="1"/>
  <c r="AV516" i="1"/>
  <c r="AV746" i="1"/>
  <c r="AW757" i="1"/>
  <c r="AU789" i="1"/>
  <c r="AU653" i="1"/>
  <c r="AW635" i="1"/>
  <c r="AU134" i="1"/>
  <c r="AU67" i="1"/>
  <c r="AU39" i="1"/>
  <c r="AW655" i="1"/>
  <c r="AV655" i="1"/>
  <c r="AU525" i="1"/>
  <c r="AV525" i="1"/>
  <c r="AW525" i="1"/>
  <c r="AU90" i="1"/>
  <c r="AU726" i="1"/>
  <c r="AU749" i="1"/>
  <c r="AV749" i="1"/>
  <c r="AW749" i="1"/>
  <c r="AW680" i="1"/>
  <c r="AV680" i="1"/>
  <c r="AW660" i="1"/>
  <c r="AV660" i="1"/>
  <c r="AU506" i="1"/>
  <c r="AU572" i="1"/>
  <c r="AU216" i="1"/>
  <c r="AV216" i="1"/>
  <c r="AW216" i="1"/>
  <c r="AW68" i="1"/>
  <c r="AV68" i="1"/>
  <c r="AU30" i="1"/>
  <c r="AU12" i="1"/>
  <c r="AV12" i="1"/>
  <c r="AW12" i="1"/>
  <c r="AU511" i="1"/>
  <c r="AV511" i="1"/>
  <c r="AU206" i="1"/>
  <c r="AV583" i="1"/>
  <c r="AU583" i="1"/>
  <c r="AW583" i="1"/>
  <c r="AU545" i="1"/>
  <c r="AV545" i="1"/>
  <c r="AV522" i="1"/>
  <c r="AW522" i="1"/>
  <c r="AV764" i="1"/>
  <c r="AU259" i="1"/>
  <c r="AW108" i="1"/>
  <c r="AV108" i="1"/>
  <c r="AW33" i="1"/>
  <c r="AV33" i="1"/>
  <c r="AU711" i="1"/>
  <c r="AV711" i="1"/>
  <c r="AV721" i="1"/>
  <c r="AU716" i="1"/>
  <c r="AU543" i="1"/>
  <c r="AU458" i="1"/>
  <c r="AW458" i="1"/>
  <c r="AU497" i="1"/>
  <c r="AV497" i="1"/>
  <c r="AW497" i="1"/>
  <c r="AV381" i="1"/>
  <c r="AV13" i="1"/>
  <c r="AW13" i="1"/>
  <c r="AW650" i="1"/>
  <c r="AW610" i="1"/>
  <c r="AU517" i="1"/>
  <c r="AV517" i="1"/>
  <c r="AV351" i="1"/>
  <c r="AW351" i="1"/>
  <c r="AU100" i="1"/>
  <c r="AU95" i="1"/>
  <c r="AU781" i="1"/>
  <c r="AV741" i="1"/>
  <c r="AU735" i="1"/>
  <c r="AV730" i="1"/>
  <c r="AV699" i="1"/>
  <c r="AU689" i="1"/>
  <c r="AU434" i="1"/>
  <c r="AU351" i="1"/>
  <c r="AV264" i="1"/>
  <c r="AV220" i="1"/>
  <c r="AV215" i="1"/>
  <c r="AW38" i="1"/>
  <c r="AV689" i="1"/>
  <c r="AW689" i="1"/>
  <c r="AW675" i="1"/>
  <c r="AU394" i="1"/>
  <c r="AV394" i="1"/>
  <c r="AW394" i="1"/>
  <c r="AW373" i="1"/>
  <c r="AV373" i="1"/>
  <c r="AV225" i="1"/>
  <c r="AW225" i="1"/>
  <c r="AU38" i="1"/>
  <c r="AV38" i="1"/>
  <c r="AV684" i="1"/>
  <c r="AW684" i="1"/>
  <c r="AU536" i="1"/>
  <c r="AV536" i="1"/>
  <c r="AU505" i="1"/>
  <c r="AU480" i="1"/>
  <c r="AV440" i="1"/>
  <c r="AU367" i="1"/>
  <c r="AU246" i="1"/>
  <c r="AV246" i="1"/>
  <c r="AV179" i="1"/>
  <c r="AU143" i="1"/>
  <c r="AU109" i="1"/>
  <c r="AU104" i="1"/>
  <c r="AV774" i="1"/>
  <c r="AU746" i="1"/>
  <c r="AU587" i="1"/>
  <c r="AV510" i="1"/>
  <c r="AW510" i="1"/>
  <c r="AU399" i="1"/>
  <c r="AV382" i="1"/>
  <c r="AW382" i="1"/>
  <c r="AU361" i="1"/>
  <c r="AV361" i="1"/>
  <c r="AV269" i="1"/>
  <c r="AV184" i="1"/>
  <c r="AU148" i="1"/>
  <c r="AU55" i="1"/>
  <c r="AU669" i="1"/>
  <c r="AV669" i="1"/>
  <c r="AW669" i="1"/>
  <c r="AU153" i="1"/>
  <c r="AU42" i="1"/>
  <c r="AV42" i="1"/>
  <c r="AU33" i="1"/>
  <c r="AU20" i="1"/>
  <c r="AV20" i="1"/>
  <c r="AW20" i="1"/>
  <c r="AW785" i="1"/>
  <c r="AU751" i="1"/>
  <c r="AV751" i="1"/>
  <c r="AU674" i="1"/>
  <c r="AV674" i="1"/>
  <c r="AW674" i="1"/>
  <c r="AV592" i="1"/>
  <c r="AV535" i="1"/>
  <c r="AU535" i="1"/>
  <c r="AW393" i="1"/>
  <c r="AU355" i="1"/>
  <c r="AV224" i="1"/>
  <c r="AW123" i="1"/>
  <c r="AV123" i="1"/>
  <c r="AU118" i="1"/>
  <c r="AV118" i="1"/>
  <c r="AV103" i="1"/>
  <c r="AW93" i="1"/>
  <c r="AV93" i="1"/>
  <c r="AU50" i="1"/>
  <c r="AU46" i="1"/>
  <c r="AV575" i="1"/>
  <c r="AU575" i="1"/>
  <c r="AU564" i="1"/>
  <c r="AV564" i="1"/>
  <c r="AW564" i="1"/>
  <c r="AW555" i="1"/>
  <c r="AW550" i="1"/>
  <c r="AW445" i="1"/>
  <c r="AV398" i="1"/>
  <c r="AU158" i="1"/>
  <c r="AU54" i="1"/>
  <c r="AW630" i="1"/>
  <c r="AV550" i="1"/>
  <c r="AW534" i="1"/>
  <c r="AW529" i="1"/>
  <c r="AU520" i="1"/>
  <c r="AV520" i="1"/>
  <c r="AW520" i="1"/>
  <c r="AU478" i="1"/>
  <c r="AU403" i="1"/>
  <c r="AV403" i="1"/>
  <c r="AW403" i="1"/>
  <c r="AU376" i="1"/>
  <c r="AU366" i="1"/>
  <c r="AV366" i="1"/>
  <c r="AW366" i="1"/>
  <c r="AU354" i="1"/>
  <c r="AU325" i="1"/>
  <c r="AW223" i="1"/>
  <c r="AU168" i="1"/>
  <c r="AU37" i="1"/>
  <c r="AW15" i="1"/>
  <c r="AV692" i="1"/>
  <c r="AV534" i="1"/>
  <c r="AW483" i="1"/>
  <c r="AU466" i="1"/>
  <c r="AV466" i="1"/>
  <c r="AV386" i="1"/>
  <c r="AU371" i="1"/>
  <c r="AV279" i="1"/>
  <c r="AU274" i="1"/>
  <c r="AV223" i="1"/>
  <c r="AU117" i="1"/>
  <c r="AU113" i="1"/>
  <c r="AU108" i="1"/>
  <c r="AU73" i="1"/>
  <c r="AV73" i="1"/>
  <c r="AU23" i="1"/>
  <c r="AV23" i="1"/>
  <c r="AW23" i="1"/>
  <c r="AV15" i="1"/>
  <c r="AV635" i="1"/>
  <c r="AV596" i="1"/>
  <c r="AU569" i="1"/>
  <c r="AV569" i="1"/>
  <c r="AW569" i="1"/>
  <c r="AW78" i="1"/>
  <c r="AV78" i="1"/>
  <c r="AU784" i="1"/>
  <c r="AV722" i="1"/>
  <c r="AW722" i="1"/>
  <c r="AU131" i="1"/>
  <c r="AV131" i="1"/>
  <c r="AU68" i="1"/>
  <c r="AU45" i="1"/>
  <c r="AV498" i="1"/>
  <c r="AW498" i="1"/>
  <c r="AU359" i="1"/>
  <c r="AV233" i="1"/>
  <c r="AW198" i="1"/>
  <c r="AU27" i="1"/>
  <c r="AV27" i="1"/>
  <c r="AW27" i="1"/>
  <c r="AV771" i="1"/>
  <c r="AU771" i="1"/>
  <c r="AW771" i="1"/>
  <c r="AV717" i="1"/>
  <c r="AV712" i="1"/>
  <c r="AU672" i="1"/>
  <c r="AV77" i="1"/>
  <c r="AV72" i="1"/>
  <c r="AU63" i="1"/>
  <c r="AU58" i="1"/>
  <c r="AW640" i="1"/>
  <c r="AU507" i="1"/>
  <c r="AW507" i="1"/>
  <c r="AU385" i="1"/>
  <c r="AU126" i="1"/>
  <c r="AU91" i="1"/>
  <c r="AV82" i="1"/>
  <c r="AV731" i="1"/>
  <c r="AW572" i="1"/>
  <c r="AW518" i="1"/>
  <c r="AW502" i="1"/>
  <c r="AU470" i="1"/>
  <c r="AU402" i="1"/>
  <c r="AU364" i="1"/>
  <c r="AU358" i="1"/>
  <c r="AU282" i="1"/>
  <c r="AV260" i="1"/>
  <c r="AU260" i="1"/>
  <c r="AV207" i="1"/>
  <c r="AV67" i="1"/>
  <c r="AV572" i="1"/>
  <c r="AU379" i="1"/>
  <c r="AV379" i="1"/>
  <c r="AV700" i="1"/>
  <c r="AV650" i="1"/>
  <c r="AW645" i="1"/>
  <c r="AU567" i="1"/>
  <c r="AU390" i="1"/>
  <c r="AU248" i="1"/>
  <c r="AU76" i="1"/>
  <c r="AW768" i="1"/>
  <c r="AU744" i="1"/>
  <c r="AW734" i="1"/>
  <c r="AU658" i="1"/>
  <c r="AW426" i="1"/>
  <c r="AV392" i="1"/>
  <c r="AW388" i="1"/>
  <c r="AW362" i="1"/>
  <c r="AU121" i="1"/>
  <c r="AU85" i="1"/>
  <c r="AW690" i="1"/>
  <c r="AU667" i="1"/>
  <c r="AW524" i="1"/>
  <c r="AW477" i="1"/>
  <c r="AU327" i="1"/>
  <c r="AV214" i="1"/>
  <c r="AV210" i="1"/>
  <c r="AV191" i="1"/>
  <c r="AV152" i="1"/>
  <c r="AV147" i="1"/>
  <c r="AV112" i="1"/>
  <c r="AU103" i="1"/>
  <c r="AU71" i="1"/>
  <c r="AV62" i="1"/>
  <c r="AU53" i="1"/>
  <c r="AU18" i="1"/>
  <c r="AV157" i="1"/>
  <c r="AU138" i="1"/>
  <c r="AU125" i="1"/>
  <c r="AU80" i="1"/>
  <c r="AU729" i="1"/>
  <c r="AU682" i="1"/>
  <c r="AU662" i="1"/>
  <c r="AV589" i="1"/>
  <c r="AU549" i="1"/>
  <c r="AW391" i="1"/>
  <c r="AW383" i="1"/>
  <c r="AU375" i="1"/>
  <c r="AU340" i="1"/>
  <c r="AW241" i="1"/>
  <c r="AV227" i="1"/>
  <c r="AU218" i="1"/>
  <c r="AV167" i="1"/>
  <c r="AV162" i="1"/>
  <c r="AV142" i="1"/>
  <c r="AU116" i="1"/>
  <c r="AV107" i="1"/>
  <c r="AU98" i="1"/>
  <c r="AU66" i="1"/>
  <c r="AV57" i="1"/>
  <c r="AU48" i="1"/>
  <c r="AU28" i="1"/>
  <c r="AV706" i="1"/>
  <c r="AV594" i="1"/>
  <c r="AV584" i="1"/>
  <c r="AV401" i="1"/>
  <c r="AU396" i="1"/>
  <c r="AU322" i="1"/>
  <c r="AU75" i="1"/>
  <c r="AU40" i="1"/>
  <c r="AU36" i="1"/>
  <c r="AU32" i="1"/>
  <c r="AU21" i="1"/>
  <c r="AW670" i="1"/>
  <c r="AW352" i="1"/>
  <c r="AU314" i="1"/>
  <c r="AV305" i="1"/>
  <c r="AV300" i="1"/>
  <c r="AV295" i="1"/>
  <c r="AU146" i="1"/>
  <c r="AU133" i="1"/>
  <c r="AU120" i="1"/>
  <c r="AU111" i="1"/>
  <c r="AV102" i="1"/>
  <c r="AU93" i="1"/>
  <c r="AU61" i="1"/>
  <c r="AV52" i="1"/>
  <c r="AW470" i="1"/>
  <c r="AV290" i="1"/>
  <c r="AV137" i="1"/>
  <c r="AU70" i="1"/>
  <c r="AU757" i="1"/>
  <c r="AU747" i="1"/>
  <c r="AW685" i="1"/>
  <c r="AU574" i="1"/>
  <c r="AV565" i="1"/>
  <c r="AU548" i="1"/>
  <c r="AW539" i="1"/>
  <c r="AU523" i="1"/>
  <c r="AU503" i="1"/>
  <c r="AW465" i="1"/>
  <c r="AV461" i="1"/>
  <c r="AU424" i="1"/>
  <c r="AU404" i="1"/>
  <c r="AU400" i="1"/>
  <c r="AU391" i="1"/>
  <c r="AW386" i="1"/>
  <c r="AU374" i="1"/>
  <c r="AV285" i="1"/>
  <c r="AV195" i="1"/>
  <c r="AV171" i="1"/>
  <c r="AV166" i="1"/>
  <c r="AU106" i="1"/>
  <c r="AV97" i="1"/>
  <c r="AU88" i="1"/>
  <c r="AU56" i="1"/>
  <c r="AU782" i="1"/>
  <c r="AU593" i="1"/>
  <c r="AU556" i="1"/>
  <c r="AU451" i="1"/>
  <c r="AW446" i="1"/>
  <c r="AV409" i="1"/>
  <c r="AV378" i="1"/>
  <c r="AV280" i="1"/>
  <c r="AU141" i="1"/>
  <c r="AU128" i="1"/>
  <c r="AU115" i="1"/>
  <c r="AU92" i="1"/>
  <c r="AU65" i="1"/>
  <c r="AU43" i="1"/>
  <c r="AU727" i="1"/>
  <c r="AU677" i="1"/>
  <c r="AU579" i="1"/>
  <c r="AU382" i="1"/>
  <c r="AU378" i="1"/>
  <c r="AU343" i="1"/>
  <c r="AU309" i="1"/>
  <c r="AU294" i="1"/>
  <c r="AV275" i="1"/>
  <c r="AU221" i="1"/>
  <c r="AV194" i="1"/>
  <c r="AU155" i="1"/>
  <c r="AV132" i="1"/>
  <c r="AU101" i="1"/>
  <c r="AU83" i="1"/>
  <c r="AU51" i="1"/>
  <c r="AU47" i="1"/>
  <c r="AU35" i="1"/>
  <c r="AU31" i="1"/>
  <c r="AU413" i="1"/>
  <c r="AU365" i="1"/>
  <c r="AV270" i="1"/>
  <c r="AU208" i="1"/>
  <c r="AV189" i="1"/>
  <c r="AU165" i="1"/>
  <c r="AU160" i="1"/>
  <c r="AU145" i="1"/>
  <c r="AU110" i="1"/>
  <c r="AU60" i="1"/>
  <c r="AU13" i="1"/>
  <c r="AW765" i="1"/>
  <c r="AU692" i="1"/>
  <c r="AW665" i="1"/>
  <c r="AV573" i="1"/>
  <c r="AU526" i="1"/>
  <c r="AU386" i="1"/>
  <c r="AU373" i="1"/>
  <c r="AU368" i="1"/>
  <c r="AU338" i="1"/>
  <c r="AV265" i="1"/>
  <c r="AV212" i="1"/>
  <c r="AU203" i="1"/>
  <c r="AU136" i="1"/>
  <c r="AU123" i="1"/>
  <c r="AU96" i="1"/>
  <c r="AU78" i="1"/>
  <c r="AU770" i="1"/>
  <c r="AV770" i="1"/>
  <c r="AU775" i="1"/>
  <c r="AV775" i="1"/>
  <c r="AU750" i="1"/>
  <c r="AU755" i="1"/>
  <c r="AU790" i="1"/>
  <c r="AV790" i="1"/>
  <c r="AU769" i="1"/>
  <c r="AU745" i="1"/>
  <c r="AU740" i="1"/>
  <c r="AV740" i="1"/>
  <c r="AU774" i="1"/>
  <c r="AW774" i="1"/>
  <c r="AU754" i="1"/>
  <c r="AU739" i="1"/>
  <c r="AU725" i="1"/>
  <c r="AV725" i="1"/>
  <c r="AV739" i="1"/>
  <c r="AW739" i="1"/>
  <c r="AU779" i="1"/>
  <c r="AV779" i="1"/>
  <c r="AW779" i="1"/>
  <c r="AU772" i="1"/>
  <c r="AV772" i="1"/>
  <c r="AW772" i="1"/>
  <c r="AU767" i="1"/>
  <c r="AV767" i="1"/>
  <c r="AW767" i="1"/>
  <c r="AU752" i="1"/>
  <c r="AV752" i="1"/>
  <c r="AW752" i="1"/>
  <c r="AV737" i="1"/>
  <c r="AU766" i="1"/>
  <c r="AV766" i="1"/>
  <c r="AW766" i="1"/>
  <c r="AU732" i="1"/>
  <c r="AV732" i="1"/>
  <c r="AW732" i="1"/>
  <c r="AU787" i="1"/>
  <c r="AV787" i="1"/>
  <c r="AW787" i="1"/>
  <c r="AV777" i="1"/>
  <c r="AU742" i="1"/>
  <c r="AV742" i="1"/>
  <c r="AW742" i="1"/>
  <c r="AU786" i="1"/>
  <c r="AV786" i="1"/>
  <c r="AW786" i="1"/>
  <c r="AU792" i="1"/>
  <c r="AV792" i="1"/>
  <c r="AW792" i="1"/>
  <c r="AU776" i="1"/>
  <c r="AV776" i="1"/>
  <c r="AW776" i="1"/>
  <c r="AU791" i="1"/>
  <c r="AV791" i="1"/>
  <c r="AW791" i="1"/>
  <c r="AU783" i="1"/>
  <c r="AV783" i="1"/>
  <c r="AU777" i="1"/>
  <c r="AU763" i="1"/>
  <c r="AV763" i="1"/>
  <c r="AU737" i="1"/>
  <c r="AV734" i="1"/>
  <c r="AU724" i="1"/>
  <c r="AW724" i="1"/>
  <c r="AU688" i="1"/>
  <c r="AV688" i="1"/>
  <c r="AW688" i="1"/>
  <c r="AU676" i="1"/>
  <c r="AV676" i="1"/>
  <c r="AW676" i="1"/>
  <c r="AU646" i="1"/>
  <c r="AV646" i="1"/>
  <c r="AW646" i="1"/>
  <c r="AU641" i="1"/>
  <c r="AV641" i="1"/>
  <c r="AW641" i="1"/>
  <c r="AU636" i="1"/>
  <c r="AV636" i="1"/>
  <c r="AW636" i="1"/>
  <c r="AU530" i="1"/>
  <c r="AW760" i="1"/>
  <c r="AW720" i="1"/>
  <c r="AU720" i="1"/>
  <c r="AU704" i="1"/>
  <c r="AW704" i="1"/>
  <c r="AU631" i="1"/>
  <c r="AV631" i="1"/>
  <c r="AW631" i="1"/>
  <c r="AU626" i="1"/>
  <c r="AV626" i="1"/>
  <c r="AW626" i="1"/>
  <c r="AU621" i="1"/>
  <c r="AV621" i="1"/>
  <c r="AW621" i="1"/>
  <c r="AU616" i="1"/>
  <c r="AV616" i="1"/>
  <c r="AW616" i="1"/>
  <c r="AU611" i="1"/>
  <c r="AV611" i="1"/>
  <c r="AW611" i="1"/>
  <c r="AU606" i="1"/>
  <c r="AV606" i="1"/>
  <c r="AW606" i="1"/>
  <c r="AU601" i="1"/>
  <c r="AV601" i="1"/>
  <c r="AW601" i="1"/>
  <c r="AU551" i="1"/>
  <c r="AV551" i="1"/>
  <c r="AU538" i="1"/>
  <c r="AU753" i="1"/>
  <c r="AV753" i="1"/>
  <c r="AW753" i="1"/>
  <c r="AU723" i="1"/>
  <c r="AV723" i="1"/>
  <c r="AW723" i="1"/>
  <c r="AW695" i="1"/>
  <c r="AU695" i="1"/>
  <c r="AU691" i="1"/>
  <c r="AV691" i="1"/>
  <c r="AW691" i="1"/>
  <c r="AU664" i="1"/>
  <c r="AV664" i="1"/>
  <c r="AW664" i="1"/>
  <c r="AU568" i="1"/>
  <c r="AV493" i="1"/>
  <c r="AW493" i="1"/>
  <c r="AU488" i="1"/>
  <c r="AV488" i="1"/>
  <c r="AW488" i="1"/>
  <c r="AW780" i="1"/>
  <c r="AU756" i="1"/>
  <c r="AW756" i="1"/>
  <c r="AW750" i="1"/>
  <c r="AU703" i="1"/>
  <c r="AV703" i="1"/>
  <c r="AW703" i="1"/>
  <c r="AU591" i="1"/>
  <c r="AV591" i="1"/>
  <c r="AU586" i="1"/>
  <c r="AV586" i="1"/>
  <c r="AU577" i="1"/>
  <c r="AV577" i="1"/>
  <c r="AW577" i="1"/>
  <c r="AU546" i="1"/>
  <c r="AU493" i="1"/>
  <c r="AV785" i="1"/>
  <c r="AV782" i="1"/>
  <c r="AV765" i="1"/>
  <c r="AV762" i="1"/>
  <c r="AU743" i="1"/>
  <c r="AV743" i="1"/>
  <c r="AW743" i="1"/>
  <c r="AU707" i="1"/>
  <c r="AW707" i="1"/>
  <c r="AU699" i="1"/>
  <c r="AW699" i="1"/>
  <c r="AU668" i="1"/>
  <c r="AU659" i="1"/>
  <c r="AV659" i="1"/>
  <c r="AW659" i="1"/>
  <c r="AU542" i="1"/>
  <c r="AV542" i="1"/>
  <c r="AW542" i="1"/>
  <c r="AU537" i="1"/>
  <c r="AV537" i="1"/>
  <c r="AW537" i="1"/>
  <c r="AU473" i="1"/>
  <c r="AV473" i="1"/>
  <c r="AW473" i="1"/>
  <c r="AU468" i="1"/>
  <c r="AV468" i="1"/>
  <c r="AW468" i="1"/>
  <c r="AU788" i="1"/>
  <c r="AV788" i="1"/>
  <c r="AU785" i="1"/>
  <c r="AU768" i="1"/>
  <c r="AV768" i="1"/>
  <c r="AU765" i="1"/>
  <c r="AW740" i="1"/>
  <c r="AU733" i="1"/>
  <c r="AV733" i="1"/>
  <c r="AW733" i="1"/>
  <c r="AU687" i="1"/>
  <c r="AU625" i="1"/>
  <c r="AV625" i="1"/>
  <c r="AU620" i="1"/>
  <c r="AV620" i="1"/>
  <c r="AU615" i="1"/>
  <c r="AV615" i="1"/>
  <c r="AU610" i="1"/>
  <c r="AV610" i="1"/>
  <c r="AU605" i="1"/>
  <c r="AV605" i="1"/>
  <c r="AU600" i="1"/>
  <c r="AV600" i="1"/>
  <c r="AU513" i="1"/>
  <c r="AV513" i="1"/>
  <c r="AW513" i="1"/>
  <c r="AW730" i="1"/>
  <c r="AU719" i="1"/>
  <c r="AW719" i="1"/>
  <c r="AW715" i="1"/>
  <c r="AU715" i="1"/>
  <c r="AU698" i="1"/>
  <c r="AV698" i="1"/>
  <c r="AW698" i="1"/>
  <c r="AU683" i="1"/>
  <c r="AV683" i="1"/>
  <c r="AW683" i="1"/>
  <c r="AU671" i="1"/>
  <c r="AV671" i="1"/>
  <c r="AW671" i="1"/>
  <c r="AU654" i="1"/>
  <c r="AV654" i="1"/>
  <c r="AW654" i="1"/>
  <c r="AW625" i="1"/>
  <c r="AW620" i="1"/>
  <c r="AW600" i="1"/>
  <c r="AU581" i="1"/>
  <c r="AV581" i="1"/>
  <c r="AV755" i="1"/>
  <c r="AU718" i="1"/>
  <c r="AV718" i="1"/>
  <c r="AW718" i="1"/>
  <c r="AU686" i="1"/>
  <c r="AV686" i="1"/>
  <c r="AW686" i="1"/>
  <c r="AU649" i="1"/>
  <c r="AV649" i="1"/>
  <c r="AW649" i="1"/>
  <c r="AU644" i="1"/>
  <c r="AV644" i="1"/>
  <c r="AW644" i="1"/>
  <c r="AU639" i="1"/>
  <c r="AV639" i="1"/>
  <c r="AW639" i="1"/>
  <c r="AU634" i="1"/>
  <c r="AV634" i="1"/>
  <c r="AW634" i="1"/>
  <c r="AU595" i="1"/>
  <c r="AU590" i="1"/>
  <c r="AV590" i="1"/>
  <c r="AW590" i="1"/>
  <c r="AU585" i="1"/>
  <c r="AU533" i="1"/>
  <c r="AV533" i="1"/>
  <c r="AW533" i="1"/>
  <c r="AU486" i="1"/>
  <c r="AV486" i="1"/>
  <c r="AU722" i="1"/>
  <c r="AU702" i="1"/>
  <c r="AW702" i="1"/>
  <c r="AU629" i="1"/>
  <c r="AV629" i="1"/>
  <c r="AW629" i="1"/>
  <c r="AU624" i="1"/>
  <c r="AV624" i="1"/>
  <c r="AW624" i="1"/>
  <c r="AU619" i="1"/>
  <c r="AV619" i="1"/>
  <c r="AW619" i="1"/>
  <c r="AU614" i="1"/>
  <c r="AV614" i="1"/>
  <c r="AW614" i="1"/>
  <c r="AU609" i="1"/>
  <c r="AV609" i="1"/>
  <c r="AW609" i="1"/>
  <c r="AU604" i="1"/>
  <c r="AV604" i="1"/>
  <c r="AW604" i="1"/>
  <c r="AU508" i="1"/>
  <c r="AV508" i="1"/>
  <c r="AW508" i="1"/>
  <c r="AU443" i="1"/>
  <c r="AW443" i="1"/>
  <c r="AV443" i="1"/>
  <c r="AU773" i="1"/>
  <c r="AV773" i="1"/>
  <c r="AV745" i="1"/>
  <c r="AV729" i="1"/>
  <c r="AU532" i="1"/>
  <c r="AV532" i="1"/>
  <c r="AW532" i="1"/>
  <c r="AV500" i="1"/>
  <c r="AW500" i="1"/>
  <c r="AU500" i="1"/>
  <c r="AW453" i="1"/>
  <c r="AU453" i="1"/>
  <c r="AV453" i="1"/>
  <c r="AW784" i="1"/>
  <c r="AW781" i="1"/>
  <c r="AW764" i="1"/>
  <c r="AU758" i="1"/>
  <c r="AV758" i="1"/>
  <c r="AW758" i="1"/>
  <c r="AU714" i="1"/>
  <c r="AW714" i="1"/>
  <c r="AW710" i="1"/>
  <c r="AU710" i="1"/>
  <c r="AU580" i="1"/>
  <c r="AV580" i="1"/>
  <c r="AW580" i="1"/>
  <c r="AU571" i="1"/>
  <c r="AV571" i="1"/>
  <c r="AU566" i="1"/>
  <c r="AU562" i="1"/>
  <c r="AV562" i="1"/>
  <c r="AW562" i="1"/>
  <c r="AU557" i="1"/>
  <c r="AU540" i="1"/>
  <c r="AV540" i="1"/>
  <c r="AW540" i="1"/>
  <c r="AU496" i="1"/>
  <c r="AV496" i="1"/>
  <c r="AU491" i="1"/>
  <c r="AV781" i="1"/>
  <c r="AU761" i="1"/>
  <c r="AW761" i="1"/>
  <c r="AW755" i="1"/>
  <c r="AU701" i="1"/>
  <c r="AV701" i="1"/>
  <c r="AW701" i="1"/>
  <c r="AU697" i="1"/>
  <c r="AW697" i="1"/>
  <c r="AU678" i="1"/>
  <c r="AV678" i="1"/>
  <c r="AW678" i="1"/>
  <c r="AU666" i="1"/>
  <c r="AV666" i="1"/>
  <c r="AW666" i="1"/>
  <c r="AW790" i="1"/>
  <c r="AW770" i="1"/>
  <c r="AU748" i="1"/>
  <c r="AV748" i="1"/>
  <c r="AW748" i="1"/>
  <c r="AU713" i="1"/>
  <c r="AV713" i="1"/>
  <c r="AW713" i="1"/>
  <c r="AU693" i="1"/>
  <c r="AV693" i="1"/>
  <c r="AW693" i="1"/>
  <c r="AU628" i="1"/>
  <c r="AU623" i="1"/>
  <c r="AU618" i="1"/>
  <c r="AU613" i="1"/>
  <c r="AU608" i="1"/>
  <c r="AU603" i="1"/>
  <c r="AU570" i="1"/>
  <c r="AU561" i="1"/>
  <c r="AV561" i="1"/>
  <c r="AU527" i="1"/>
  <c r="AV527" i="1"/>
  <c r="AW527" i="1"/>
  <c r="AW745" i="1"/>
  <c r="AU728" i="1"/>
  <c r="AV728" i="1"/>
  <c r="AW728" i="1"/>
  <c r="AU717" i="1"/>
  <c r="AW717" i="1"/>
  <c r="AU681" i="1"/>
  <c r="AV681" i="1"/>
  <c r="AW681" i="1"/>
  <c r="AU661" i="1"/>
  <c r="AV661" i="1"/>
  <c r="AW661" i="1"/>
  <c r="AV548" i="1"/>
  <c r="AW548" i="1"/>
  <c r="AU490" i="1"/>
  <c r="AV490" i="1"/>
  <c r="AW490" i="1"/>
  <c r="AU476" i="1"/>
  <c r="AV476" i="1"/>
  <c r="AU778" i="1"/>
  <c r="AV778" i="1"/>
  <c r="AV757" i="1"/>
  <c r="AW754" i="1"/>
  <c r="AU738" i="1"/>
  <c r="AV738" i="1"/>
  <c r="AW738" i="1"/>
  <c r="AW725" i="1"/>
  <c r="AU696" i="1"/>
  <c r="AV696" i="1"/>
  <c r="AW696" i="1"/>
  <c r="AU516" i="1"/>
  <c r="AU495" i="1"/>
  <c r="AV495" i="1"/>
  <c r="AW495" i="1"/>
  <c r="AW789" i="1"/>
  <c r="AW769" i="1"/>
  <c r="AV754" i="1"/>
  <c r="AW747" i="1"/>
  <c r="AW735" i="1"/>
  <c r="AU709" i="1"/>
  <c r="AW709" i="1"/>
  <c r="AW705" i="1"/>
  <c r="AU705" i="1"/>
  <c r="AU656" i="1"/>
  <c r="AV656" i="1"/>
  <c r="AW656" i="1"/>
  <c r="AU598" i="1"/>
  <c r="AV598" i="1"/>
  <c r="AW598" i="1"/>
  <c r="AU588" i="1"/>
  <c r="AV588" i="1"/>
  <c r="AW588" i="1"/>
  <c r="AU475" i="1"/>
  <c r="AV475" i="1"/>
  <c r="AW475" i="1"/>
  <c r="AV789" i="1"/>
  <c r="AV769" i="1"/>
  <c r="AV760" i="1"/>
  <c r="AV747" i="1"/>
  <c r="AW744" i="1"/>
  <c r="AW727" i="1"/>
  <c r="AU560" i="1"/>
  <c r="AW777" i="1"/>
  <c r="AW775" i="1"/>
  <c r="AU760" i="1"/>
  <c r="AV744" i="1"/>
  <c r="AW737" i="1"/>
  <c r="AV727" i="1"/>
  <c r="AV724" i="1"/>
  <c r="AV720" i="1"/>
  <c r="AU708" i="1"/>
  <c r="AV708" i="1"/>
  <c r="AW708" i="1"/>
  <c r="AU673" i="1"/>
  <c r="AV673" i="1"/>
  <c r="AW673" i="1"/>
  <c r="AU651" i="1"/>
  <c r="AV651" i="1"/>
  <c r="AW651" i="1"/>
  <c r="AU597" i="1"/>
  <c r="AU552" i="1"/>
  <c r="AV552" i="1"/>
  <c r="AW552" i="1"/>
  <c r="AU547" i="1"/>
  <c r="AV547" i="1"/>
  <c r="AW547" i="1"/>
  <c r="AU515" i="1"/>
  <c r="AW783" i="1"/>
  <c r="AV780" i="1"/>
  <c r="AW763" i="1"/>
  <c r="AV750" i="1"/>
  <c r="AU712" i="1"/>
  <c r="AW712" i="1"/>
  <c r="AV704" i="1"/>
  <c r="AW700" i="1"/>
  <c r="AU700" i="1"/>
  <c r="AV695" i="1"/>
  <c r="AU578" i="1"/>
  <c r="AV515" i="1"/>
  <c r="AW515" i="1"/>
  <c r="AU456" i="1"/>
  <c r="AV456" i="1"/>
  <c r="AW543" i="1"/>
  <c r="AW541" i="1"/>
  <c r="AW535" i="1"/>
  <c r="AV521" i="1"/>
  <c r="AV518" i="1"/>
  <c r="AW460" i="1"/>
  <c r="AV448" i="1"/>
  <c r="AV377" i="1"/>
  <c r="AW377" i="1"/>
  <c r="AW342" i="1"/>
  <c r="AU690" i="1"/>
  <c r="AU685" i="1"/>
  <c r="AU680" i="1"/>
  <c r="AU675" i="1"/>
  <c r="AU670" i="1"/>
  <c r="AU665" i="1"/>
  <c r="AU660" i="1"/>
  <c r="AU655" i="1"/>
  <c r="AU650" i="1"/>
  <c r="AU645" i="1"/>
  <c r="AU640" i="1"/>
  <c r="AU635" i="1"/>
  <c r="AU630" i="1"/>
  <c r="AW597" i="1"/>
  <c r="AW578" i="1"/>
  <c r="AW576" i="1"/>
  <c r="AW570" i="1"/>
  <c r="AV554" i="1"/>
  <c r="AU524" i="1"/>
  <c r="AV524" i="1"/>
  <c r="AU484" i="1"/>
  <c r="AV484" i="1"/>
  <c r="AW484" i="1"/>
  <c r="AW481" i="1"/>
  <c r="AU460" i="1"/>
  <c r="AU448" i="1"/>
  <c r="AU444" i="1"/>
  <c r="AV444" i="1"/>
  <c r="AW444" i="1"/>
  <c r="AU417" i="1"/>
  <c r="AV417" i="1"/>
  <c r="AW417" i="1"/>
  <c r="AV412" i="1"/>
  <c r="AW412" i="1"/>
  <c r="AU377" i="1"/>
  <c r="AV597" i="1"/>
  <c r="AV578" i="1"/>
  <c r="AV570" i="1"/>
  <c r="AU512" i="1"/>
  <c r="AV512" i="1"/>
  <c r="AU509" i="1"/>
  <c r="AV509" i="1"/>
  <c r="AW509" i="1"/>
  <c r="AU487" i="1"/>
  <c r="AV487" i="1"/>
  <c r="AU452" i="1"/>
  <c r="AV452" i="1"/>
  <c r="AW452" i="1"/>
  <c r="AU428" i="1"/>
  <c r="AV428" i="1"/>
  <c r="AW428" i="1"/>
  <c r="AU422" i="1"/>
  <c r="AV422" i="1"/>
  <c r="AW422" i="1"/>
  <c r="AU412" i="1"/>
  <c r="AV364" i="1"/>
  <c r="AW364" i="1"/>
  <c r="AW692" i="1"/>
  <c r="AW687" i="1"/>
  <c r="AW682" i="1"/>
  <c r="AW677" i="1"/>
  <c r="AW672" i="1"/>
  <c r="AW667" i="1"/>
  <c r="AW662" i="1"/>
  <c r="AW657" i="1"/>
  <c r="AW652" i="1"/>
  <c r="AW647" i="1"/>
  <c r="AW642" i="1"/>
  <c r="AW637" i="1"/>
  <c r="AW632" i="1"/>
  <c r="AW627" i="1"/>
  <c r="AW622" i="1"/>
  <c r="AW617" i="1"/>
  <c r="AW612" i="1"/>
  <c r="AW607" i="1"/>
  <c r="AW602" i="1"/>
  <c r="AW567" i="1"/>
  <c r="AW559" i="1"/>
  <c r="AW546" i="1"/>
  <c r="AW506" i="1"/>
  <c r="AU474" i="1"/>
  <c r="AV474" i="1"/>
  <c r="AW474" i="1"/>
  <c r="AW471" i="1"/>
  <c r="AU467" i="1"/>
  <c r="AV467" i="1"/>
  <c r="AW467" i="1"/>
  <c r="AU439" i="1"/>
  <c r="AV389" i="1"/>
  <c r="AW389" i="1"/>
  <c r="AU372" i="1"/>
  <c r="AV372" i="1"/>
  <c r="AW372" i="1"/>
  <c r="AV657" i="1"/>
  <c r="AV652" i="1"/>
  <c r="AV647" i="1"/>
  <c r="AV642" i="1"/>
  <c r="AV637" i="1"/>
  <c r="AV627" i="1"/>
  <c r="AV622" i="1"/>
  <c r="AV617" i="1"/>
  <c r="AV612" i="1"/>
  <c r="AV607" i="1"/>
  <c r="AV602" i="1"/>
  <c r="AW594" i="1"/>
  <c r="AW581" i="1"/>
  <c r="AW575" i="1"/>
  <c r="AV559" i="1"/>
  <c r="AW521" i="1"/>
  <c r="AU477" i="1"/>
  <c r="AV477" i="1"/>
  <c r="AW456" i="1"/>
  <c r="AU427" i="1"/>
  <c r="AV427" i="1"/>
  <c r="AW427" i="1"/>
  <c r="AU407" i="1"/>
  <c r="AU389" i="1"/>
  <c r="AV556" i="1"/>
  <c r="AV526" i="1"/>
  <c r="AV523" i="1"/>
  <c r="AV483" i="1"/>
  <c r="AV480" i="1"/>
  <c r="AU433" i="1"/>
  <c r="AV433" i="1"/>
  <c r="AW433" i="1"/>
  <c r="AU421" i="1"/>
  <c r="AU416" i="1"/>
  <c r="AV416" i="1"/>
  <c r="AW416" i="1"/>
  <c r="AW551" i="1"/>
  <c r="AW545" i="1"/>
  <c r="AU529" i="1"/>
  <c r="AV529" i="1"/>
  <c r="AU499" i="1"/>
  <c r="AV499" i="1"/>
  <c r="AW499" i="1"/>
  <c r="AU459" i="1"/>
  <c r="AV459" i="1"/>
  <c r="AW459" i="1"/>
  <c r="AU447" i="1"/>
  <c r="AV447" i="1"/>
  <c r="AW447" i="1"/>
  <c r="AW586" i="1"/>
  <c r="AU438" i="1"/>
  <c r="AV438" i="1"/>
  <c r="AW438" i="1"/>
  <c r="AU432" i="1"/>
  <c r="AV432" i="1"/>
  <c r="AW432" i="1"/>
  <c r="AU406" i="1"/>
  <c r="AV406" i="1"/>
  <c r="AW406" i="1"/>
  <c r="AU380" i="1"/>
  <c r="AW496" i="1"/>
  <c r="AU455" i="1"/>
  <c r="AW451" i="1"/>
  <c r="AU420" i="1"/>
  <c r="AU384" i="1"/>
  <c r="AV384" i="1"/>
  <c r="AW384" i="1"/>
  <c r="AW556" i="1"/>
  <c r="AW526" i="1"/>
  <c r="AU442" i="1"/>
  <c r="AV442" i="1"/>
  <c r="AW442" i="1"/>
  <c r="AU437" i="1"/>
  <c r="AV437" i="1"/>
  <c r="AW437" i="1"/>
  <c r="AU426" i="1"/>
  <c r="AV426" i="1"/>
  <c r="AV357" i="1"/>
  <c r="AW357" i="1"/>
  <c r="AW593" i="1"/>
  <c r="AW591" i="1"/>
  <c r="AW585" i="1"/>
  <c r="AU514" i="1"/>
  <c r="AV514" i="1"/>
  <c r="AW514" i="1"/>
  <c r="AU489" i="1"/>
  <c r="AV489" i="1"/>
  <c r="AW489" i="1"/>
  <c r="AW486" i="1"/>
  <c r="AW466" i="1"/>
  <c r="AU462" i="1"/>
  <c r="AV462" i="1"/>
  <c r="AW462" i="1"/>
  <c r="AV458" i="1"/>
  <c r="AV446" i="1"/>
  <c r="AW751" i="1"/>
  <c r="AW746" i="1"/>
  <c r="AW741" i="1"/>
  <c r="AW736" i="1"/>
  <c r="AW731" i="1"/>
  <c r="AW726" i="1"/>
  <c r="AW721" i="1"/>
  <c r="AW716" i="1"/>
  <c r="AW711" i="1"/>
  <c r="AW706" i="1"/>
  <c r="AV593" i="1"/>
  <c r="AV585" i="1"/>
  <c r="AW511" i="1"/>
  <c r="AU492" i="1"/>
  <c r="AV492" i="1"/>
  <c r="AW450" i="1"/>
  <c r="AU446" i="1"/>
  <c r="AW431" i="1"/>
  <c r="AU425" i="1"/>
  <c r="AV425" i="1"/>
  <c r="AW425" i="1"/>
  <c r="AW582" i="1"/>
  <c r="AW574" i="1"/>
  <c r="AW561" i="1"/>
  <c r="AU479" i="1"/>
  <c r="AV479" i="1"/>
  <c r="AW479" i="1"/>
  <c r="AW476" i="1"/>
  <c r="AU469" i="1"/>
  <c r="AV469" i="1"/>
  <c r="AW469" i="1"/>
  <c r="AU431" i="1"/>
  <c r="AV431" i="1"/>
  <c r="AU414" i="1"/>
  <c r="AV414" i="1"/>
  <c r="AW414" i="1"/>
  <c r="AW596" i="1"/>
  <c r="AV582" i="1"/>
  <c r="AV574" i="1"/>
  <c r="AV555" i="1"/>
  <c r="AU482" i="1"/>
  <c r="AV482" i="1"/>
  <c r="AU454" i="1"/>
  <c r="AV454" i="1"/>
  <c r="AW454" i="1"/>
  <c r="AW531" i="1"/>
  <c r="AU504" i="1"/>
  <c r="AV504" i="1"/>
  <c r="AW504" i="1"/>
  <c r="AW441" i="1"/>
  <c r="AU436" i="1"/>
  <c r="AV436" i="1"/>
  <c r="AU430" i="1"/>
  <c r="AV430" i="1"/>
  <c r="AW430" i="1"/>
  <c r="AW668" i="1"/>
  <c r="AW663" i="1"/>
  <c r="AW658" i="1"/>
  <c r="AW653" i="1"/>
  <c r="AW648" i="1"/>
  <c r="AW643" i="1"/>
  <c r="AW638" i="1"/>
  <c r="AW633" i="1"/>
  <c r="AW628" i="1"/>
  <c r="AW623" i="1"/>
  <c r="AW618" i="1"/>
  <c r="AW613" i="1"/>
  <c r="AW608" i="1"/>
  <c r="AW603" i="1"/>
  <c r="AW587" i="1"/>
  <c r="AW568" i="1"/>
  <c r="AW566" i="1"/>
  <c r="AW560" i="1"/>
  <c r="AW501" i="1"/>
  <c r="AW478" i="1"/>
  <c r="AU472" i="1"/>
  <c r="AV472" i="1"/>
  <c r="AV668" i="1"/>
  <c r="AV663" i="1"/>
  <c r="AV658" i="1"/>
  <c r="AV653" i="1"/>
  <c r="AV648" i="1"/>
  <c r="AV643" i="1"/>
  <c r="AV638" i="1"/>
  <c r="AV633" i="1"/>
  <c r="AV628" i="1"/>
  <c r="AV623" i="1"/>
  <c r="AV618" i="1"/>
  <c r="AV613" i="1"/>
  <c r="AV608" i="1"/>
  <c r="AV603" i="1"/>
  <c r="AW595" i="1"/>
  <c r="AV587" i="1"/>
  <c r="AV579" i="1"/>
  <c r="AV568" i="1"/>
  <c r="AV560" i="1"/>
  <c r="AV541" i="1"/>
  <c r="AU519" i="1"/>
  <c r="AV519" i="1"/>
  <c r="AV478" i="1"/>
  <c r="AU369" i="1"/>
  <c r="AV595" i="1"/>
  <c r="AV576" i="1"/>
  <c r="AW557" i="1"/>
  <c r="AW549" i="1"/>
  <c r="AU541" i="1"/>
  <c r="AW538" i="1"/>
  <c r="AW536" i="1"/>
  <c r="AW530" i="1"/>
  <c r="AW503" i="1"/>
  <c r="AV481" i="1"/>
  <c r="AW461" i="1"/>
  <c r="AU457" i="1"/>
  <c r="AV457" i="1"/>
  <c r="AW457" i="1"/>
  <c r="AU449" i="1"/>
  <c r="AV449" i="1"/>
  <c r="AW449" i="1"/>
  <c r="AW440" i="1"/>
  <c r="AV435" i="1"/>
  <c r="AW435" i="1"/>
  <c r="AW592" i="1"/>
  <c r="AW584" i="1"/>
  <c r="AU576" i="1"/>
  <c r="AW573" i="1"/>
  <c r="AW571" i="1"/>
  <c r="AW565" i="1"/>
  <c r="AV557" i="1"/>
  <c r="AV549" i="1"/>
  <c r="AV538" i="1"/>
  <c r="AV530" i="1"/>
  <c r="AV503" i="1"/>
  <c r="AU481" i="1"/>
  <c r="AU440" i="1"/>
  <c r="AU429" i="1"/>
  <c r="AV546" i="1"/>
  <c r="AW516" i="1"/>
  <c r="AV506" i="1"/>
  <c r="AU494" i="1"/>
  <c r="AV494" i="1"/>
  <c r="AW494" i="1"/>
  <c r="AW491" i="1"/>
  <c r="AV471" i="1"/>
  <c r="AU464" i="1"/>
  <c r="AV464" i="1"/>
  <c r="AW464" i="1"/>
  <c r="AV356" i="1"/>
  <c r="AU353" i="1"/>
  <c r="AV350" i="1"/>
  <c r="AW350" i="1"/>
  <c r="AU346" i="1"/>
  <c r="AW346" i="1"/>
  <c r="AU308" i="1"/>
  <c r="AU303" i="1"/>
  <c r="AU298" i="1"/>
  <c r="AU293" i="1"/>
  <c r="AU441" i="1"/>
  <c r="AV353" i="1"/>
  <c r="AW353" i="1"/>
  <c r="AU339" i="1"/>
  <c r="AW339" i="1"/>
  <c r="AV335" i="1"/>
  <c r="AW335" i="1"/>
  <c r="AU324" i="1"/>
  <c r="AW324" i="1"/>
  <c r="AV320" i="1"/>
  <c r="AW320" i="1"/>
  <c r="AV308" i="1"/>
  <c r="AW308" i="1"/>
  <c r="AV303" i="1"/>
  <c r="AW303" i="1"/>
  <c r="AV298" i="1"/>
  <c r="AW298" i="1"/>
  <c r="AV293" i="1"/>
  <c r="AW293" i="1"/>
  <c r="AU418" i="1"/>
  <c r="AW409" i="1"/>
  <c r="AV383" i="1"/>
  <c r="AW374" i="1"/>
  <c r="AW371" i="1"/>
  <c r="AV359" i="1"/>
  <c r="AV288" i="1"/>
  <c r="AW288" i="1"/>
  <c r="AU283" i="1"/>
  <c r="AU269" i="1"/>
  <c r="AU249" i="1"/>
  <c r="AU244" i="1"/>
  <c r="AW423" i="1"/>
  <c r="AV395" i="1"/>
  <c r="AW395" i="1"/>
  <c r="AU383" i="1"/>
  <c r="AV374" i="1"/>
  <c r="AV371" i="1"/>
  <c r="AV349" i="1"/>
  <c r="AU342" i="1"/>
  <c r="AU307" i="1"/>
  <c r="AU302" i="1"/>
  <c r="AU297" i="1"/>
  <c r="AU292" i="1"/>
  <c r="AV283" i="1"/>
  <c r="AW283" i="1"/>
  <c r="AU278" i="1"/>
  <c r="AU254" i="1"/>
  <c r="AV423" i="1"/>
  <c r="AV415" i="1"/>
  <c r="AW415" i="1"/>
  <c r="AW397" i="1"/>
  <c r="AV368" i="1"/>
  <c r="AV307" i="1"/>
  <c r="AW307" i="1"/>
  <c r="AV302" i="1"/>
  <c r="AW302" i="1"/>
  <c r="AV297" i="1"/>
  <c r="AW297" i="1"/>
  <c r="AV292" i="1"/>
  <c r="AW292" i="1"/>
  <c r="AU287" i="1"/>
  <c r="AV278" i="1"/>
  <c r="AW278" i="1"/>
  <c r="AU273" i="1"/>
  <c r="AV219" i="1"/>
  <c r="AV420" i="1"/>
  <c r="AV397" i="1"/>
  <c r="AV380" i="1"/>
  <c r="AW380" i="1"/>
  <c r="AU362" i="1"/>
  <c r="AV338" i="1"/>
  <c r="AW338" i="1"/>
  <c r="AV323" i="1"/>
  <c r="AW323" i="1"/>
  <c r="AV287" i="1"/>
  <c r="AW287" i="1"/>
  <c r="AV273" i="1"/>
  <c r="AW273" i="1"/>
  <c r="AV315" i="1"/>
  <c r="AV282" i="1"/>
  <c r="AW282" i="1"/>
  <c r="AU268" i="1"/>
  <c r="AV268" i="1"/>
  <c r="AW268" i="1"/>
  <c r="AU263" i="1"/>
  <c r="AV248" i="1"/>
  <c r="AW248" i="1"/>
  <c r="AU243" i="1"/>
  <c r="AV243" i="1"/>
  <c r="AW243" i="1"/>
  <c r="AU238" i="1"/>
  <c r="AV238" i="1"/>
  <c r="AW238" i="1"/>
  <c r="AV365" i="1"/>
  <c r="AW365" i="1"/>
  <c r="AU352" i="1"/>
  <c r="AW349" i="1"/>
  <c r="AU341" i="1"/>
  <c r="AW341" i="1"/>
  <c r="AU334" i="1"/>
  <c r="AW334" i="1"/>
  <c r="AV330" i="1"/>
  <c r="AW330" i="1"/>
  <c r="AU326" i="1"/>
  <c r="AW326" i="1"/>
  <c r="AW322" i="1"/>
  <c r="AU319" i="1"/>
  <c r="AW319" i="1"/>
  <c r="AV277" i="1"/>
  <c r="AW277" i="1"/>
  <c r="AV263" i="1"/>
  <c r="AW263" i="1"/>
  <c r="AV253" i="1"/>
  <c r="AW253" i="1"/>
  <c r="AW411" i="1"/>
  <c r="AV388" i="1"/>
  <c r="AW379" i="1"/>
  <c r="AW376" i="1"/>
  <c r="AW367" i="1"/>
  <c r="AW361" i="1"/>
  <c r="AV345" i="1"/>
  <c r="AW345" i="1"/>
  <c r="AV337" i="1"/>
  <c r="AV322" i="1"/>
  <c r="AV272" i="1"/>
  <c r="AW272" i="1"/>
  <c r="AU267" i="1"/>
  <c r="AV258" i="1"/>
  <c r="AW258" i="1"/>
  <c r="AU247" i="1"/>
  <c r="AU242" i="1"/>
  <c r="AW420" i="1"/>
  <c r="AV400" i="1"/>
  <c r="AW400" i="1"/>
  <c r="AV355" i="1"/>
  <c r="AW355" i="1"/>
  <c r="AV267" i="1"/>
  <c r="AW267" i="1"/>
  <c r="AV247" i="1"/>
  <c r="AW247" i="1"/>
  <c r="AV242" i="1"/>
  <c r="AW242" i="1"/>
  <c r="AV358" i="1"/>
  <c r="AW358" i="1"/>
  <c r="AU348" i="1"/>
  <c r="AU333" i="1"/>
  <c r="AU318" i="1"/>
  <c r="AV262" i="1"/>
  <c r="AW262" i="1"/>
  <c r="AU257" i="1"/>
  <c r="AV252" i="1"/>
  <c r="AW252" i="1"/>
  <c r="AV385" i="1"/>
  <c r="AW385" i="1"/>
  <c r="AV348" i="1"/>
  <c r="AW348" i="1"/>
  <c r="AV333" i="1"/>
  <c r="AW333" i="1"/>
  <c r="AV318" i="1"/>
  <c r="AW318" i="1"/>
  <c r="AV310" i="1"/>
  <c r="AV257" i="1"/>
  <c r="AW257" i="1"/>
  <c r="AU237" i="1"/>
  <c r="AV237" i="1"/>
  <c r="AV507" i="1"/>
  <c r="AV502" i="1"/>
  <c r="AW419" i="1"/>
  <c r="AU408" i="1"/>
  <c r="AW399" i="1"/>
  <c r="AW396" i="1"/>
  <c r="AW387" i="1"/>
  <c r="AW354" i="1"/>
  <c r="AU231" i="1"/>
  <c r="AV231" i="1"/>
  <c r="AW231" i="1"/>
  <c r="AV419" i="1"/>
  <c r="AV387" i="1"/>
  <c r="AV370" i="1"/>
  <c r="AW370" i="1"/>
  <c r="AV354" i="1"/>
  <c r="AW347" i="1"/>
  <c r="AU336" i="1"/>
  <c r="AW336" i="1"/>
  <c r="AW332" i="1"/>
  <c r="AU329" i="1"/>
  <c r="AW329" i="1"/>
  <c r="AU321" i="1"/>
  <c r="AW321" i="1"/>
  <c r="AU236" i="1"/>
  <c r="AV236" i="1"/>
  <c r="AW236" i="1"/>
  <c r="AV405" i="1"/>
  <c r="AW405" i="1"/>
  <c r="AV393" i="1"/>
  <c r="AW381" i="1"/>
  <c r="AU344" i="1"/>
  <c r="AW344" i="1"/>
  <c r="AV332" i="1"/>
  <c r="AW439" i="1"/>
  <c r="AW434" i="1"/>
  <c r="AW429" i="1"/>
  <c r="AW424" i="1"/>
  <c r="AW407" i="1"/>
  <c r="AV340" i="1"/>
  <c r="AW340" i="1"/>
  <c r="AV325" i="1"/>
  <c r="AW325" i="1"/>
  <c r="AU317" i="1"/>
  <c r="AV317" i="1"/>
  <c r="AW317" i="1"/>
  <c r="AU226" i="1"/>
  <c r="AV226" i="1"/>
  <c r="AW226" i="1"/>
  <c r="AV439" i="1"/>
  <c r="AV434" i="1"/>
  <c r="AV429" i="1"/>
  <c r="AV424" i="1"/>
  <c r="AV407" i="1"/>
  <c r="AW369" i="1"/>
  <c r="AU357" i="1"/>
  <c r="AU347" i="1"/>
  <c r="AU328" i="1"/>
  <c r="AV313" i="1"/>
  <c r="AW313" i="1"/>
  <c r="AW421" i="1"/>
  <c r="AW404" i="1"/>
  <c r="AV390" i="1"/>
  <c r="AW390" i="1"/>
  <c r="AV369" i="1"/>
  <c r="AU350" i="1"/>
  <c r="AV328" i="1"/>
  <c r="AW328" i="1"/>
  <c r="AU304" i="1"/>
  <c r="AU299" i="1"/>
  <c r="AV421" i="1"/>
  <c r="AV404" i="1"/>
  <c r="AW401" i="1"/>
  <c r="AW392" i="1"/>
  <c r="AV360" i="1"/>
  <c r="AW360" i="1"/>
  <c r="AV343" i="1"/>
  <c r="AW343" i="1"/>
  <c r="AV339" i="1"/>
  <c r="AU335" i="1"/>
  <c r="AV324" i="1"/>
  <c r="AU320" i="1"/>
  <c r="AU289" i="1"/>
  <c r="AV250" i="1"/>
  <c r="AV245" i="1"/>
  <c r="AV410" i="1"/>
  <c r="AW410" i="1"/>
  <c r="AV375" i="1"/>
  <c r="AW375" i="1"/>
  <c r="AV363" i="1"/>
  <c r="AW363" i="1"/>
  <c r="AW356" i="1"/>
  <c r="AV346" i="1"/>
  <c r="AU331" i="1"/>
  <c r="AW331" i="1"/>
  <c r="AW327" i="1"/>
  <c r="AU284" i="1"/>
  <c r="AV255" i="1"/>
  <c r="AV240" i="1"/>
  <c r="AU235" i="1"/>
  <c r="AU185" i="1"/>
  <c r="AW185" i="1"/>
  <c r="AU181" i="1"/>
  <c r="AW181" i="1"/>
  <c r="AU82" i="1"/>
  <c r="AU34" i="1"/>
  <c r="AU9" i="1"/>
  <c r="AU222" i="1"/>
  <c r="AW222" i="1"/>
  <c r="AU204" i="1"/>
  <c r="AW204" i="1"/>
  <c r="AU144" i="1"/>
  <c r="AV144" i="1"/>
  <c r="AW144" i="1"/>
  <c r="AU59" i="1"/>
  <c r="AW312" i="1"/>
  <c r="AU172" i="1"/>
  <c r="AW172" i="1"/>
  <c r="AU122" i="1"/>
  <c r="AU77" i="1"/>
  <c r="AU19" i="1"/>
  <c r="AU5" i="1"/>
  <c r="AV5" i="1"/>
  <c r="AW5" i="1"/>
  <c r="AV312" i="1"/>
  <c r="AU215" i="1"/>
  <c r="AW215" i="1"/>
  <c r="AU200" i="1"/>
  <c r="AW200" i="1"/>
  <c r="AU163" i="1"/>
  <c r="AU225" i="1"/>
  <c r="AW221" i="1"/>
  <c r="AW203" i="1"/>
  <c r="AU196" i="1"/>
  <c r="AW196" i="1"/>
  <c r="AU192" i="1"/>
  <c r="AW192" i="1"/>
  <c r="AU184" i="1"/>
  <c r="AW184" i="1"/>
  <c r="AU139" i="1"/>
  <c r="AU72" i="1"/>
  <c r="AU234" i="1"/>
  <c r="AW234" i="1"/>
  <c r="AV221" i="1"/>
  <c r="AW211" i="1"/>
  <c r="AU207" i="1"/>
  <c r="AW207" i="1"/>
  <c r="AV203" i="1"/>
  <c r="AU188" i="1"/>
  <c r="AW188" i="1"/>
  <c r="AU180" i="1"/>
  <c r="AW180" i="1"/>
  <c r="AU176" i="1"/>
  <c r="AW176" i="1"/>
  <c r="AU167" i="1"/>
  <c r="AU99" i="1"/>
  <c r="AU49" i="1"/>
  <c r="AU29" i="1"/>
  <c r="AW314" i="1"/>
  <c r="AW309" i="1"/>
  <c r="AW304" i="1"/>
  <c r="AW299" i="1"/>
  <c r="AW294" i="1"/>
  <c r="AW289" i="1"/>
  <c r="AW284" i="1"/>
  <c r="AW279" i="1"/>
  <c r="AW274" i="1"/>
  <c r="AW269" i="1"/>
  <c r="AW264" i="1"/>
  <c r="AW259" i="1"/>
  <c r="AW254" i="1"/>
  <c r="AW249" i="1"/>
  <c r="AW244" i="1"/>
  <c r="AW239" i="1"/>
  <c r="AW237" i="1"/>
  <c r="AU162" i="1"/>
  <c r="AU157" i="1"/>
  <c r="AU152" i="1"/>
  <c r="AU4" i="1"/>
  <c r="AV239" i="1"/>
  <c r="AU214" i="1"/>
  <c r="AW214" i="1"/>
  <c r="AU199" i="1"/>
  <c r="AW199" i="1"/>
  <c r="AU147" i="1"/>
  <c r="AU94" i="1"/>
  <c r="AW233" i="1"/>
  <c r="AV206" i="1"/>
  <c r="AU175" i="1"/>
  <c r="AV175" i="1"/>
  <c r="AW175" i="1"/>
  <c r="AU171" i="1"/>
  <c r="AW171" i="1"/>
  <c r="AU112" i="1"/>
  <c r="AU62" i="1"/>
  <c r="AW230" i="1"/>
  <c r="AU224" i="1"/>
  <c r="AW224" i="1"/>
  <c r="AU195" i="1"/>
  <c r="AW195" i="1"/>
  <c r="AU187" i="1"/>
  <c r="AW187" i="1"/>
  <c r="AU179" i="1"/>
  <c r="AW179" i="1"/>
  <c r="AU89" i="1"/>
  <c r="AV3" i="1"/>
  <c r="AW3" i="1"/>
  <c r="AW316" i="1"/>
  <c r="AW311" i="1"/>
  <c r="AW306" i="1"/>
  <c r="AW301" i="1"/>
  <c r="AW296" i="1"/>
  <c r="AW291" i="1"/>
  <c r="AW286" i="1"/>
  <c r="AW281" i="1"/>
  <c r="AW276" i="1"/>
  <c r="AW271" i="1"/>
  <c r="AW266" i="1"/>
  <c r="AW261" i="1"/>
  <c r="AW256" i="1"/>
  <c r="AW251" i="1"/>
  <c r="AW246" i="1"/>
  <c r="AU227" i="1"/>
  <c r="AW227" i="1"/>
  <c r="AU217" i="1"/>
  <c r="AW217" i="1"/>
  <c r="AU210" i="1"/>
  <c r="AW210" i="1"/>
  <c r="AU191" i="1"/>
  <c r="AW191" i="1"/>
  <c r="AU183" i="1"/>
  <c r="AW183" i="1"/>
  <c r="AU142" i="1"/>
  <c r="AU129" i="1"/>
  <c r="AU3" i="1"/>
  <c r="AV316" i="1"/>
  <c r="AV311" i="1"/>
  <c r="AV306" i="1"/>
  <c r="AV301" i="1"/>
  <c r="AV296" i="1"/>
  <c r="AV291" i="1"/>
  <c r="AV286" i="1"/>
  <c r="AV281" i="1"/>
  <c r="AV276" i="1"/>
  <c r="AV271" i="1"/>
  <c r="AV266" i="1"/>
  <c r="AV261" i="1"/>
  <c r="AV256" i="1"/>
  <c r="AV251" i="1"/>
  <c r="AU170" i="1"/>
  <c r="AV170" i="1"/>
  <c r="AW170" i="1"/>
  <c r="AU166" i="1"/>
  <c r="AW166" i="1"/>
  <c r="AU84" i="1"/>
  <c r="AU14" i="1"/>
  <c r="AU230" i="1"/>
  <c r="AW206" i="1"/>
  <c r="AU202" i="1"/>
  <c r="AW202" i="1"/>
  <c r="AU174" i="1"/>
  <c r="AW174" i="1"/>
  <c r="AU161" i="1"/>
  <c r="AW161" i="1"/>
  <c r="AU156" i="1"/>
  <c r="AU151" i="1"/>
  <c r="AU194" i="1"/>
  <c r="AW194" i="1"/>
  <c r="AU220" i="1"/>
  <c r="AW220" i="1"/>
  <c r="AU213" i="1"/>
  <c r="AU209" i="1"/>
  <c r="AW209" i="1"/>
  <c r="AU198" i="1"/>
  <c r="AU182" i="1"/>
  <c r="AW182" i="1"/>
  <c r="AU97" i="1"/>
  <c r="AU190" i="1"/>
  <c r="AW190" i="1"/>
  <c r="AU186" i="1"/>
  <c r="AW186" i="1"/>
  <c r="AU178" i="1"/>
  <c r="AW178" i="1"/>
  <c r="AU169" i="1"/>
  <c r="AW169" i="1"/>
  <c r="AW193" i="1"/>
  <c r="AW235" i="1"/>
  <c r="AU229" i="1"/>
  <c r="AW229" i="1"/>
  <c r="AW208" i="1"/>
  <c r="AU205" i="1"/>
  <c r="AW205" i="1"/>
  <c r="AV193" i="1"/>
  <c r="AV181" i="1"/>
  <c r="AU164" i="1"/>
  <c r="AV164" i="1"/>
  <c r="AW164" i="1"/>
  <c r="AU69" i="1"/>
  <c r="AW315" i="1"/>
  <c r="AW310" i="1"/>
  <c r="AW305" i="1"/>
  <c r="AW300" i="1"/>
  <c r="AW295" i="1"/>
  <c r="AW290" i="1"/>
  <c r="AW285" i="1"/>
  <c r="AW280" i="1"/>
  <c r="AW275" i="1"/>
  <c r="AW270" i="1"/>
  <c r="AW265" i="1"/>
  <c r="AW260" i="1"/>
  <c r="AW255" i="1"/>
  <c r="AW250" i="1"/>
  <c r="AW245" i="1"/>
  <c r="AW240" i="1"/>
  <c r="AV235" i="1"/>
  <c r="AU232" i="1"/>
  <c r="AW232" i="1"/>
  <c r="AU212" i="1"/>
  <c r="AW212" i="1"/>
  <c r="AV208" i="1"/>
  <c r="AU201" i="1"/>
  <c r="AW201" i="1"/>
  <c r="AU197" i="1"/>
  <c r="AW197" i="1"/>
  <c r="AV185" i="1"/>
  <c r="AU173" i="1"/>
  <c r="AU159" i="1"/>
  <c r="AV159" i="1"/>
  <c r="AW159" i="1"/>
  <c r="AU154" i="1"/>
  <c r="AV154" i="1"/>
  <c r="AW154" i="1"/>
  <c r="AU149" i="1"/>
  <c r="AV149" i="1"/>
  <c r="AW149" i="1"/>
  <c r="AU87" i="1"/>
  <c r="AU219" i="1"/>
  <c r="AW219" i="1"/>
  <c r="AU189" i="1"/>
  <c r="AW189" i="1"/>
  <c r="AU177" i="1"/>
  <c r="AW177" i="1"/>
  <c r="AU127" i="1"/>
  <c r="AU114" i="1"/>
  <c r="AU64" i="1"/>
  <c r="AW156" i="1"/>
  <c r="AW151" i="1"/>
  <c r="AW146" i="1"/>
  <c r="AW141" i="1"/>
  <c r="AW136" i="1"/>
  <c r="AW131" i="1"/>
  <c r="AW126" i="1"/>
  <c r="AW121" i="1"/>
  <c r="AW116" i="1"/>
  <c r="AW111" i="1"/>
  <c r="AW106" i="1"/>
  <c r="AW101" i="1"/>
  <c r="AW96" i="1"/>
  <c r="AW91" i="1"/>
  <c r="AW86" i="1"/>
  <c r="AW81" i="1"/>
  <c r="AW76" i="1"/>
  <c r="AW71" i="1"/>
  <c r="AW66" i="1"/>
  <c r="AW61" i="1"/>
  <c r="AW56" i="1"/>
  <c r="AW51" i="1"/>
  <c r="AW46" i="1"/>
  <c r="AW41" i="1"/>
  <c r="AW36" i="1"/>
  <c r="AW31" i="1"/>
  <c r="AW26" i="1"/>
  <c r="AW21" i="1"/>
  <c r="AW16" i="1"/>
  <c r="AW11" i="1"/>
  <c r="AW6" i="1"/>
  <c r="AV111" i="1"/>
  <c r="AV106" i="1"/>
  <c r="AV101" i="1"/>
  <c r="AV96" i="1"/>
  <c r="AV91" i="1"/>
  <c r="AV86" i="1"/>
  <c r="AV81" i="1"/>
  <c r="AV76" i="1"/>
  <c r="AV71" i="1"/>
  <c r="AV66" i="1"/>
  <c r="AV61" i="1"/>
  <c r="AV56" i="1"/>
  <c r="AV51" i="1"/>
  <c r="AV46" i="1"/>
  <c r="AV41" i="1"/>
  <c r="AV36" i="1"/>
  <c r="AV31" i="1"/>
  <c r="AV26" i="1"/>
  <c r="AV21" i="1"/>
  <c r="AV16" i="1"/>
  <c r="AV11" i="1"/>
  <c r="AV6" i="1"/>
  <c r="AW173" i="1"/>
  <c r="AW168" i="1"/>
  <c r="AW163" i="1"/>
  <c r="AW158" i="1"/>
  <c r="AW153" i="1"/>
  <c r="AW148" i="1"/>
  <c r="AW143" i="1"/>
  <c r="AW138" i="1"/>
  <c r="AW133" i="1"/>
  <c r="AW165" i="1"/>
  <c r="AW160" i="1"/>
  <c r="AW155"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V165" i="1"/>
  <c r="AV160" i="1"/>
  <c r="AV155" i="1"/>
  <c r="AV150" i="1"/>
  <c r="AV145" i="1"/>
  <c r="AV140" i="1"/>
  <c r="AV135" i="1"/>
  <c r="AV130" i="1"/>
  <c r="AV125" i="1"/>
  <c r="AV120" i="1"/>
  <c r="AV115" i="1"/>
  <c r="AV110" i="1"/>
  <c r="AV105" i="1"/>
  <c r="AV100" i="1"/>
  <c r="AV95" i="1"/>
  <c r="AV90" i="1"/>
  <c r="AV85" i="1"/>
  <c r="AV80" i="1"/>
  <c r="AV75" i="1"/>
  <c r="AV70" i="1"/>
  <c r="AV65" i="1"/>
  <c r="AV60" i="1"/>
  <c r="AV55" i="1"/>
  <c r="AV50" i="1"/>
  <c r="AV45" i="1"/>
  <c r="AV40" i="1"/>
  <c r="AV35" i="1"/>
  <c r="AV30"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32"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<sst xmlns="http://schemas.openxmlformats.org/spreadsheetml/2006/main" count="15796" uniqueCount="9960">
  <si>
    <t>n</t>
  </si>
  <si>
    <t>undefined</t>
  </si>
  <si>
    <t>Journal</t>
  </si>
  <si>
    <t>Physical Review D - Particles, Fields, Gravitation and Cosmology</t>
  </si>
  <si>
    <t>Article</t>
  </si>
  <si>
    <t>ar</t>
  </si>
  <si>
    <t>United States;United States</t>
  </si>
  <si>
    <t>5 PART 1</t>
  </si>
  <si>
    <t>60027550;60027550</t>
  </si>
  <si>
    <t>United States</t>
  </si>
  <si>
    <t>Los Angeles</t>
  </si>
  <si>
    <t>University of California, Los Angeles</t>
  </si>
  <si>
    <t>Japan</t>
  </si>
  <si>
    <t>United Kingdom</t>
  </si>
  <si>
    <t>London</t>
  </si>
  <si>
    <t>Canada</t>
  </si>
  <si>
    <t>National Science Foundation</t>
  </si>
  <si>
    <t>NSF</t>
  </si>
  <si>
    <t>0042207X</t>
  </si>
  <si>
    <t>Vacuum</t>
  </si>
  <si>
    <t>France;France</t>
  </si>
  <si>
    <t>Office of Naval Research</t>
  </si>
  <si>
    <t>ONR</t>
  </si>
  <si>
    <t>55248392100;7006392487</t>
  </si>
  <si>
    <t>Auzanneau F.</t>
  </si>
  <si>
    <t>Review of Scientific Instruments</t>
  </si>
  <si>
    <t>Princeton</t>
  </si>
  <si>
    <t>Australia</t>
  </si>
  <si>
    <t>Canberra</t>
  </si>
  <si>
    <t>The Australian National University</t>
  </si>
  <si>
    <t>Borg G.</t>
  </si>
  <si>
    <t>60013983;60013983;60013983;60013983</t>
  </si>
  <si>
    <t>Hong Kong</t>
  </si>
  <si>
    <t>Kowloon</t>
  </si>
  <si>
    <t>City University of Hong Kong</t>
  </si>
  <si>
    <t>United States;United States;United States;United States</t>
  </si>
  <si>
    <t>France</t>
  </si>
  <si>
    <t>Germany</t>
  </si>
  <si>
    <t>Journal of Physical Chemistry B</t>
  </si>
  <si>
    <t>Physical Review Letters</t>
  </si>
  <si>
    <t>Munich</t>
  </si>
  <si>
    <t>Palo Alto</t>
  </si>
  <si>
    <t>Stanford University</t>
  </si>
  <si>
    <t>Madison</t>
  </si>
  <si>
    <t>University of Wisconsin-Madison</t>
  </si>
  <si>
    <t>60003892;60003892;60003892</t>
  </si>
  <si>
    <t>Tempe</t>
  </si>
  <si>
    <t>Arizona State University</t>
  </si>
  <si>
    <t>Bundesministerium f√ºr Bildung und Forschung</t>
  </si>
  <si>
    <t>BMBF</t>
  </si>
  <si>
    <t>Germany;Germany</t>
  </si>
  <si>
    <t>Belgium</t>
  </si>
  <si>
    <t>Ghent</t>
  </si>
  <si>
    <t>Universiteit Gent</t>
  </si>
  <si>
    <t>Li L.</t>
  </si>
  <si>
    <t>IEEE Antennas and Propagation Magazine</t>
  </si>
  <si>
    <t>Salt Lake City</t>
  </si>
  <si>
    <t>The University of Utah</t>
  </si>
  <si>
    <t>Fukuoka</t>
  </si>
  <si>
    <t>Kyushu University</t>
  </si>
  <si>
    <t>Canada;Canada</t>
  </si>
  <si>
    <t>60032144;60032144;60032144</t>
  </si>
  <si>
    <t>South Korea</t>
  </si>
  <si>
    <t>Daejeon</t>
  </si>
  <si>
    <t>Korea Advanced Institute of Science and Technology</t>
  </si>
  <si>
    <t>India</t>
  </si>
  <si>
    <t>Italy;United States</t>
  </si>
  <si>
    <t>Japan;Japan;Japan</t>
  </si>
  <si>
    <t>Moriyama S.</t>
  </si>
  <si>
    <t>Boulder</t>
  </si>
  <si>
    <t>Cosmic Research</t>
  </si>
  <si>
    <t>Russian Federation;Russian Federation</t>
  </si>
  <si>
    <t>Melbourne</t>
  </si>
  <si>
    <t>La Trobe University</t>
  </si>
  <si>
    <t>Pasadena</t>
  </si>
  <si>
    <t>California Institute of Technology</t>
  </si>
  <si>
    <t>Council of Scientific and Industrial Research, India</t>
  </si>
  <si>
    <t>CSIR</t>
  </si>
  <si>
    <t>Mumbai</t>
  </si>
  <si>
    <t>Indian Institute of Technology Bombay</t>
  </si>
  <si>
    <t>659-665</t>
  </si>
  <si>
    <t>60032179;60032179</t>
  </si>
  <si>
    <t>China</t>
  </si>
  <si>
    <t>0004637X</t>
  </si>
  <si>
    <t>Astrophysical Journal</t>
  </si>
  <si>
    <t>Amherst MA</t>
  </si>
  <si>
    <t>University of Massachusetts Amherst</t>
  </si>
  <si>
    <t>15-20</t>
  </si>
  <si>
    <t>Optics Communications</t>
  </si>
  <si>
    <t>Orlando</t>
  </si>
  <si>
    <t>University of Central Florida</t>
  </si>
  <si>
    <t>Photosynthetica</t>
  </si>
  <si>
    <t>Oldenburg</t>
  </si>
  <si>
    <t>Universit√§t Oldenburg</t>
  </si>
  <si>
    <t>60012658;60012658</t>
  </si>
  <si>
    <t>7402648371;7102813204</t>
  </si>
  <si>
    <t>Berhampur</t>
  </si>
  <si>
    <t>Berhampur University</t>
  </si>
  <si>
    <t>Mishra R.</t>
  </si>
  <si>
    <t>;;</t>
  </si>
  <si>
    <t>Nuclear Fusion</t>
  </si>
  <si>
    <t>United States;United States;United States</t>
  </si>
  <si>
    <t>Mexico</t>
  </si>
  <si>
    <t>Germany;Netherlands</t>
  </si>
  <si>
    <t>Tokyo</t>
  </si>
  <si>
    <t>Turkey</t>
  </si>
  <si>
    <t>Russian Federation</t>
  </si>
  <si>
    <t>31-40</t>
  </si>
  <si>
    <t>Electronics and Communications in Japan, Part I: Communications (English translation of Denshi Tsushin Gakkai Ronbunshi)</t>
  </si>
  <si>
    <t>United States;Japan;United States</t>
  </si>
  <si>
    <t>Microwave Journal</t>
  </si>
  <si>
    <t>Koganei</t>
  </si>
  <si>
    <t>Japan National Institute of Information and Communications Technology</t>
  </si>
  <si>
    <t>National Science Council</t>
  </si>
  <si>
    <t>NSC</t>
  </si>
  <si>
    <t>Taiwan;Taiwan</t>
  </si>
  <si>
    <t>Hsinchu;Kaohsiung</t>
  </si>
  <si>
    <t>Engineering and Physical Sciences Research Council</t>
  </si>
  <si>
    <t>EPSRC</t>
  </si>
  <si>
    <t>IEEE Microwave and Guided Wave Letters</t>
  </si>
  <si>
    <t>60029738;60029738</t>
  </si>
  <si>
    <t>7003266741;7102894931</t>
  </si>
  <si>
    <t>Karode, S. L.;Fusco, V. F.</t>
  </si>
  <si>
    <t>Belfast</t>
  </si>
  <si>
    <t>Queen's University Belfast</t>
  </si>
  <si>
    <t>Karode S.</t>
  </si>
  <si>
    <t>Microwave and Optical Technology Letters</t>
  </si>
  <si>
    <t>60011357;60011357</t>
  </si>
  <si>
    <t>Taiwan</t>
  </si>
  <si>
    <t>Kaohsiung</t>
  </si>
  <si>
    <t>National Sun Yat-Sen University</t>
  </si>
  <si>
    <t>Wong K.L.</t>
  </si>
  <si>
    <t>Beijing</t>
  </si>
  <si>
    <t>Geophysical Research Letters</t>
  </si>
  <si>
    <t>60020547;60020547;60020547</t>
  </si>
  <si>
    <t>57197881843;7402512895;7404879378</t>
  </si>
  <si>
    <t>College Station</t>
  </si>
  <si>
    <t>Texas A&amp;M University</t>
  </si>
  <si>
    <t>Montiel C.</t>
  </si>
  <si>
    <t>United States;United Kingdom</t>
  </si>
  <si>
    <t>Cambridge</t>
  </si>
  <si>
    <t>Japan;United States;Japan</t>
  </si>
  <si>
    <t>Poljak D.</t>
  </si>
  <si>
    <t>Paris</t>
  </si>
  <si>
    <t>60003122;60003122</t>
  </si>
  <si>
    <t>Victoria</t>
  </si>
  <si>
    <t>University of Victoria</t>
  </si>
  <si>
    <t>Spain</t>
  </si>
  <si>
    <t>Barcelona</t>
  </si>
  <si>
    <t>Universitat Polit√®cnica de Catalunya</t>
  </si>
  <si>
    <t>United Kingdom;United Kingdom</t>
  </si>
  <si>
    <t>Photosynthesis Research</t>
  </si>
  <si>
    <t>IEEE Photonics Technology Letters</t>
  </si>
  <si>
    <t>60003269;60003269</t>
  </si>
  <si>
    <t>Princeton University</t>
  </si>
  <si>
    <t>Finland</t>
  </si>
  <si>
    <t>Oulu</t>
  </si>
  <si>
    <t>Oulun Yliopisto</t>
  </si>
  <si>
    <t>60017161;60017161;60017161;60017161;60017161</t>
  </si>
  <si>
    <t>Singapore</t>
  </si>
  <si>
    <t>Singapore City</t>
  </si>
  <si>
    <t>National University of Singapore</t>
  </si>
  <si>
    <t>Greece</t>
  </si>
  <si>
    <t>Athens</t>
  </si>
  <si>
    <t>National Technical University of Athens</t>
  </si>
  <si>
    <t>Jacobsen S.</t>
  </si>
  <si>
    <t>Ukraine</t>
  </si>
  <si>
    <t>Kharkiv</t>
  </si>
  <si>
    <t>V. N. Karazin Kharkiv National University</t>
  </si>
  <si>
    <t>60012708;60012708;60012708</t>
  </si>
  <si>
    <t>60012370;60012370;60012370</t>
  </si>
  <si>
    <t>Hsinchu</t>
  </si>
  <si>
    <t>National Chiao Tung University</t>
  </si>
  <si>
    <t>Nippon Telegraph and Telephone Corporation</t>
  </si>
  <si>
    <t>Japan;Japan</t>
  </si>
  <si>
    <t>;;;</t>
  </si>
  <si>
    <t>Lee Y.</t>
  </si>
  <si>
    <t>U.S. Department of Energy</t>
  </si>
  <si>
    <t>USDOE</t>
  </si>
  <si>
    <t>Deutsche Forschungsgemeinschaft</t>
  </si>
  <si>
    <t>DFG</t>
  </si>
  <si>
    <t>Germany;Germany;Germany</t>
  </si>
  <si>
    <t>Netherlands</t>
  </si>
  <si>
    <t>Earth, Planets and Space</t>
  </si>
  <si>
    <t>Japan;Japan;Japan;Japan</t>
  </si>
  <si>
    <t>Ono T.</t>
  </si>
  <si>
    <t>Journal of Spacecraft Technology</t>
  </si>
  <si>
    <t>Bengaluru</t>
  </si>
  <si>
    <t>Indian Space Research Organization</t>
  </si>
  <si>
    <t>25-28</t>
  </si>
  <si>
    <t>60031004;60031004</t>
  </si>
  <si>
    <t>Brisbane</t>
  </si>
  <si>
    <t>The University of Queensland</t>
  </si>
  <si>
    <t>60031004;60031004;60031004</t>
  </si>
  <si>
    <t>60017293;60017293;60017293</t>
  </si>
  <si>
    <t>Italy</t>
  </si>
  <si>
    <t>Naples</t>
  </si>
  <si>
    <t>Universit√† degli Studi di Napoli Federico II</t>
  </si>
  <si>
    <t>Ottawa</t>
  </si>
  <si>
    <t>RMIT University</t>
  </si>
  <si>
    <t>Waterhouse R.B.</t>
  </si>
  <si>
    <t>Kyoto</t>
  </si>
  <si>
    <t>Utrecht</t>
  </si>
  <si>
    <t>Bijvoet Center for Biomolecular Research</t>
  </si>
  <si>
    <t>National Institutes of Health</t>
  </si>
  <si>
    <t>R01CA070761</t>
  </si>
  <si>
    <t>NIH</t>
  </si>
  <si>
    <t>;</t>
  </si>
  <si>
    <t>Japan;United States</t>
  </si>
  <si>
    <t>Leal W.S.</t>
  </si>
  <si>
    <t>Moscow;Moscow</t>
  </si>
  <si>
    <t>PACE - Pacing and Clinical Electrophysiology</t>
  </si>
  <si>
    <t>Turin</t>
  </si>
  <si>
    <t>Conselho Nacional de Desenvolvimento Cient√≠fico e Tecnol√≥gico</t>
  </si>
  <si>
    <t>CNPq</t>
  </si>
  <si>
    <t>Sweden</t>
  </si>
  <si>
    <t>Netherlands;Netherlands</t>
  </si>
  <si>
    <t>Sweden;Denmark</t>
  </si>
  <si>
    <t>60003892;60003892;60003892;60003892</t>
  </si>
  <si>
    <t>Rietveld P.</t>
  </si>
  <si>
    <t>Massachusetts Institute of Technology</t>
  </si>
  <si>
    <t>Physics and Chemistry of the Earth</t>
  </si>
  <si>
    <t>European Commission</t>
  </si>
  <si>
    <t>EC</t>
  </si>
  <si>
    <t>60007457;60007457;60007457</t>
  </si>
  <si>
    <t>Moscow</t>
  </si>
  <si>
    <t>Lomonosov Moscow State University</t>
  </si>
  <si>
    <t>U.S. Department of Agriculture</t>
  </si>
  <si>
    <t>USDA</t>
  </si>
  <si>
    <t>Berkeley</t>
  </si>
  <si>
    <t>Department of Plant &amp; Microbial Biology</t>
  </si>
  <si>
    <t>National Institute of General Medical Sciences</t>
  </si>
  <si>
    <t>NIGMS</t>
  </si>
  <si>
    <t>Bloomington</t>
  </si>
  <si>
    <t>Indiana University Bloomington</t>
  </si>
  <si>
    <t>Italy;Italy</t>
  </si>
  <si>
    <t>Proceedings of the Entomological Society of Washington</t>
  </si>
  <si>
    <t>National Institute on Deafness and Other Communication Disorders</t>
  </si>
  <si>
    <t>NIDCD</t>
  </si>
  <si>
    <t>Stuttgart</t>
  </si>
  <si>
    <t>New Delhi</t>
  </si>
  <si>
    <t>IEE Proceedings: Microwaves, Antennas and Propagation</t>
  </si>
  <si>
    <t>Tokyo;Tokyo</t>
  </si>
  <si>
    <t>Hosei University;Tokyo Denki University</t>
  </si>
  <si>
    <t>60030526;60003414</t>
  </si>
  <si>
    <t>Nakano H.</t>
  </si>
  <si>
    <t>Chennai</t>
  </si>
  <si>
    <t>SAMEER-Centre for Electromagnetics India</t>
  </si>
  <si>
    <t>Selvan K.</t>
  </si>
  <si>
    <t>Blacksburg</t>
  </si>
  <si>
    <t>Virginia Polytechnic Institute and State University</t>
  </si>
  <si>
    <t>Braunschweig</t>
  </si>
  <si>
    <t>IEE Proceedings: Radar, Sonar and Navigation</t>
  </si>
  <si>
    <t>Farina A.</t>
  </si>
  <si>
    <t>343-347</t>
  </si>
  <si>
    <t>60025555;60025555;60025555;60025555</t>
  </si>
  <si>
    <t>IEEE Transactions on Communications</t>
  </si>
  <si>
    <t>Lee Swindlehurst A.</t>
  </si>
  <si>
    <t>European Space Agency</t>
  </si>
  <si>
    <t>ESA</t>
  </si>
  <si>
    <t>Bristol</t>
  </si>
  <si>
    <t>University of Bristol</t>
  </si>
  <si>
    <t>Tsoulos G.</t>
  </si>
  <si>
    <t>Switzerland</t>
  </si>
  <si>
    <t>Lausanne</t>
  </si>
  <si>
    <t>Swiss Federal Institute of Technology Lausanne</t>
  </si>
  <si>
    <t>Urbana</t>
  </si>
  <si>
    <t>University of Illinois Urbana-Champaign</t>
  </si>
  <si>
    <t>60010818;60010818</t>
  </si>
  <si>
    <t>Canterbury</t>
  </si>
  <si>
    <t>University of Kent</t>
  </si>
  <si>
    <t>Fraunhofer-Gesellschaft</t>
  </si>
  <si>
    <t>Bonn</t>
  </si>
  <si>
    <t>Deutsche Telekom</t>
  </si>
  <si>
    <t>Wang C.</t>
  </si>
  <si>
    <t>Lin Y.</t>
  </si>
  <si>
    <t>Austria</t>
  </si>
  <si>
    <t>Vienna</t>
  </si>
  <si>
    <t>Technische Universit√§t Wien</t>
  </si>
  <si>
    <t>United States;Sweden</t>
  </si>
  <si>
    <t>Hosei University</t>
  </si>
  <si>
    <t>Bucci O.</t>
  </si>
  <si>
    <t>IEEE Transactions on Electromagnetic Compatibility</t>
  </si>
  <si>
    <t>India;India</t>
  </si>
  <si>
    <t>George J.</t>
  </si>
  <si>
    <t>University Park</t>
  </si>
  <si>
    <t>Pennsylvania State University</t>
  </si>
  <si>
    <t>77-82</t>
  </si>
  <si>
    <t>IEE Proceedings: Optoelectronics</t>
  </si>
  <si>
    <t>13-18</t>
  </si>
  <si>
    <t>60068815;60068815</t>
  </si>
  <si>
    <t>35612330300;7006225695</t>
  </si>
  <si>
    <t>Notaro≈°, B. M.;Popoviƒá, B. D.</t>
  </si>
  <si>
    <t>Serbia</t>
  </si>
  <si>
    <t>Belgrade</t>
  </si>
  <si>
    <t>University of Belgrade</t>
  </si>
  <si>
    <t>Notaro≈° B.</t>
  </si>
  <si>
    <t>Fusion Engineering and Design</t>
  </si>
  <si>
    <t>United States;Italy</t>
  </si>
  <si>
    <t>Ciudad de M√©xico</t>
  </si>
  <si>
    <t>Universidad Nacional Aut√≥noma de M√©xico</t>
  </si>
  <si>
    <t>Auburn</t>
  </si>
  <si>
    <t>Auburn University</t>
  </si>
  <si>
    <t>IEEE Transactions on Microwave Theory and Techniques</t>
  </si>
  <si>
    <t>Brazil</t>
  </si>
  <si>
    <t>Brasilia</t>
  </si>
  <si>
    <t>Universidade de Bras√≠lia</t>
  </si>
  <si>
    <t>659-666</t>
  </si>
  <si>
    <t>60031544;60031544;60031544;60031544</t>
  </si>
  <si>
    <t>Kochi</t>
  </si>
  <si>
    <t>Cochin University of Science and Technology</t>
  </si>
  <si>
    <t>U.S. Air Force</t>
  </si>
  <si>
    <t>USAF</t>
  </si>
  <si>
    <t>7403209551;7005000103</t>
  </si>
  <si>
    <t>Shah A.</t>
  </si>
  <si>
    <t>South Korea;South Korea;South Korea</t>
  </si>
  <si>
    <t>Natural Sciences and Engineering Research Council of Canada</t>
  </si>
  <si>
    <t>NSERC</t>
  </si>
  <si>
    <t>Watanabe S.</t>
  </si>
  <si>
    <t>Turkey;United States</t>
  </si>
  <si>
    <t>Fletcher P.N.</t>
  </si>
  <si>
    <t>60005681;60005681;60005681</t>
  </si>
  <si>
    <t>Israel</t>
  </si>
  <si>
    <t>Tel Aviv-Yafo</t>
  </si>
  <si>
    <t>Tel Aviv University</t>
  </si>
  <si>
    <t>Rennes</t>
  </si>
  <si>
    <t>Universite de Rennes 1</t>
  </si>
  <si>
    <t>Defense Advanced Research Projects Agency</t>
  </si>
  <si>
    <t>DARPA</t>
  </si>
  <si>
    <t>Tokyo Institute of Technology</t>
  </si>
  <si>
    <t>60000264;60000264;60000264;60000264</t>
  </si>
  <si>
    <t>Nagoya</t>
  </si>
  <si>
    <t>Nagoya University</t>
  </si>
  <si>
    <t>Nanjing</t>
  </si>
  <si>
    <t>Southeast University</t>
  </si>
  <si>
    <t>6603676313;7201781210;7201848892;7006072211;7006655756</t>
  </si>
  <si>
    <t>Sarfaty M.</t>
  </si>
  <si>
    <t>South Korea;South Korea</t>
  </si>
  <si>
    <t>Zatman M.</t>
  </si>
  <si>
    <t>Santander</t>
  </si>
  <si>
    <t>Universidad de Cantabria</t>
  </si>
  <si>
    <t>Japanese Journal of Applied Physics, Part 2: Letters</t>
  </si>
  <si>
    <t>Kaiserslautern</t>
  </si>
  <si>
    <t>Technische Universit√§t Kaiserslautern</t>
  </si>
  <si>
    <t>Shirai H.</t>
  </si>
  <si>
    <t>60019702;60019702;60019702</t>
  </si>
  <si>
    <t>Birmingham</t>
  </si>
  <si>
    <t>University of Birmingham</t>
  </si>
  <si>
    <t>Ministry of Posts and Telecommunications, Japan</t>
  </si>
  <si>
    <t>National Aeronautics and Space Administration</t>
  </si>
  <si>
    <t>NASA</t>
  </si>
  <si>
    <t>Russian Federation;France</t>
  </si>
  <si>
    <t>Wong K.</t>
  </si>
  <si>
    <t>7004515434;7102110120</t>
  </si>
  <si>
    <t>33167854700;7402311213</t>
  </si>
  <si>
    <t>Zhang, Y. P.;Hwang, Y.</t>
  </si>
  <si>
    <t>Kaohsiung;Hsinchu</t>
  </si>
  <si>
    <t>Fortune Institute of Technology Taiwan;National Chiao Tung University</t>
  </si>
  <si>
    <t>60072380;60012370</t>
  </si>
  <si>
    <t>Netherlands;Italy</t>
  </si>
  <si>
    <t>Japan Society for the Promotion of Science</t>
  </si>
  <si>
    <t>60011476;60011476</t>
  </si>
  <si>
    <t>Valencia</t>
  </si>
  <si>
    <t>Universitat Polit√®cnica de Val√®ncia</t>
  </si>
  <si>
    <t>United States;Canada</t>
  </si>
  <si>
    <t>Cho K.</t>
  </si>
  <si>
    <t>207-212</t>
  </si>
  <si>
    <t>Morishita H.</t>
  </si>
  <si>
    <t>60025272;60025272;60025272;60025272</t>
  </si>
  <si>
    <t>The University of Tokyo</t>
  </si>
  <si>
    <t>60025555;60025555;60025555</t>
  </si>
  <si>
    <t>257-261</t>
  </si>
  <si>
    <t>60012370;60012370</t>
  </si>
  <si>
    <t>Air Force Office of Scientific Research</t>
  </si>
  <si>
    <t>AFOSR</t>
  </si>
  <si>
    <t>IEEE Transactions on Plasma Science</t>
  </si>
  <si>
    <t>Yokosuka</t>
  </si>
  <si>
    <t>National Defense Academy of Japan</t>
  </si>
  <si>
    <t>Toshiba Corporation</t>
  </si>
  <si>
    <t>Army Research Office</t>
  </si>
  <si>
    <t>ARO</t>
  </si>
  <si>
    <t>60027550;60027550;60027550</t>
  </si>
  <si>
    <t>947-954</t>
  </si>
  <si>
    <t>Kwon Y.</t>
  </si>
  <si>
    <t>60027271;60027271</t>
  </si>
  <si>
    <t>Washington, D.C.</t>
  </si>
  <si>
    <t>Naval Research Laboratory</t>
  </si>
  <si>
    <t>60025555;60025555</t>
  </si>
  <si>
    <t>Adachi F.</t>
  </si>
  <si>
    <t>Keio University</t>
  </si>
  <si>
    <t>1542-1547</t>
  </si>
  <si>
    <t>1433-1443</t>
  </si>
  <si>
    <t>60092258;60092258;60092258</t>
  </si>
  <si>
    <t>Tsinghua University</t>
  </si>
  <si>
    <t>Zhang X.</t>
  </si>
  <si>
    <t>60011357;60011357;60011357</t>
  </si>
  <si>
    <t>Jet Propulsion Laboratory</t>
  </si>
  <si>
    <t>IEEE Journal of Solid-State Circuits</t>
  </si>
  <si>
    <t>Chinzei Y.</t>
  </si>
  <si>
    <t>United States;United States;United States;United States;United States</t>
  </si>
  <si>
    <t>Smith G.</t>
  </si>
  <si>
    <t>29-36</t>
  </si>
  <si>
    <t>60021097;60021097</t>
  </si>
  <si>
    <t>Guildford</t>
  </si>
  <si>
    <t>University of Surrey</t>
  </si>
  <si>
    <t>National Natural Science Foundation of China</t>
  </si>
  <si>
    <t>NSFC</t>
  </si>
  <si>
    <t>60025778;60025778;60025778</t>
  </si>
  <si>
    <t>Ann Arbor</t>
  </si>
  <si>
    <t>University of Michigan, Ann Arbor</t>
  </si>
  <si>
    <t>60005244;60005244;60005244</t>
  </si>
  <si>
    <t>7006874529;36721032600;7404239172</t>
  </si>
  <si>
    <t>Dou W.</t>
  </si>
  <si>
    <t>Hansen, R. C.</t>
  </si>
  <si>
    <t>Israel;United States</t>
  </si>
  <si>
    <t>Beer Sheba;Sydney</t>
  </si>
  <si>
    <t>Ben-Gurion University of the Negev;Electronic Space Systems Corp</t>
  </si>
  <si>
    <t>60027161;100343059</t>
  </si>
  <si>
    <t>Shavit R.</t>
  </si>
  <si>
    <t>Plasma Physics and Controlled Fusion</t>
  </si>
  <si>
    <t>San Diego</t>
  </si>
  <si>
    <t>General Atomics</t>
  </si>
  <si>
    <t>35460663000;56134486700</t>
  </si>
  <si>
    <t>Wong, Kin Lu;Chen, Ming Huang</t>
  </si>
  <si>
    <t>China;China</t>
  </si>
  <si>
    <t>Park S.</t>
  </si>
  <si>
    <t>60098468;60098468</t>
  </si>
  <si>
    <t>Espoo</t>
  </si>
  <si>
    <t>Nokia Networks</t>
  </si>
  <si>
    <t>Bedford</t>
  </si>
  <si>
    <t>Air Force Cambridge Research Laboratories</t>
  </si>
  <si>
    <t>60003771;60003771;60003771</t>
  </si>
  <si>
    <t>7004358223;17435967100;55664942900</t>
  </si>
  <si>
    <t>Drossos, George;Wu, Zhipeng;Davis, Lionel E.</t>
  </si>
  <si>
    <t>Manchester</t>
  </si>
  <si>
    <t>The University of Manchester</t>
  </si>
  <si>
    <t>Drossos G.</t>
  </si>
  <si>
    <t>Newark</t>
  </si>
  <si>
    <t>Sep</t>
  </si>
  <si>
    <t>Milpitas</t>
  </si>
  <si>
    <t>Intersil Inc.</t>
  </si>
  <si>
    <t>Madrid</t>
  </si>
  <si>
    <t>35460663000;7006749889</t>
  </si>
  <si>
    <t>398-404</t>
  </si>
  <si>
    <t>Nice</t>
  </si>
  <si>
    <t>Norway</t>
  </si>
  <si>
    <t>Communications Research Centre</t>
  </si>
  <si>
    <t>60007592;60007592;60007592;60007592</t>
  </si>
  <si>
    <t>Nizhny Novgorod</t>
  </si>
  <si>
    <t>Lobachevsky State University of Nizhni Novgorod</t>
  </si>
  <si>
    <t>Florence</t>
  </si>
  <si>
    <t>Universit√† degli Studi di Firenze</t>
  </si>
  <si>
    <t>Journal of Applied Geophysics</t>
  </si>
  <si>
    <t>University of Connecticut</t>
  </si>
  <si>
    <t>Funda√ß√£o de Amparo √† Pesquisa do Estado de S√£o Paulo</t>
  </si>
  <si>
    <t>FAPESP</t>
  </si>
  <si>
    <t>[]</t>
  </si>
  <si>
    <t>Urbana;New York</t>
  </si>
  <si>
    <t>University of Illinois Urbana-Champaign;IEEE</t>
  </si>
  <si>
    <t>60000745;60000251</t>
  </si>
  <si>
    <t>Beijing Institute of Technology</t>
  </si>
  <si>
    <t>60027161;60027161</t>
  </si>
  <si>
    <t>55152287700;6603247923</t>
  </si>
  <si>
    <t>Kaplan, B. Z.;Suissa, U.</t>
  </si>
  <si>
    <t>Beer Sheba</t>
  </si>
  <si>
    <t>Ben-Gurion University of the Negev</t>
  </si>
  <si>
    <t>Kaplan B.</t>
  </si>
  <si>
    <t>56135605200;57149406300</t>
  </si>
  <si>
    <t>ECS93-02145</t>
  </si>
  <si>
    <t>60000745;60000745</t>
  </si>
  <si>
    <t>Edinburg</t>
  </si>
  <si>
    <t>University of Texas-Pan American</t>
  </si>
  <si>
    <t>60001439;60001439;60014373</t>
  </si>
  <si>
    <t>Austin;University Park</t>
  </si>
  <si>
    <t>SEMATECH Austin;Pennsylvania State University</t>
  </si>
  <si>
    <t>60014373;60001439</t>
  </si>
  <si>
    <t>India;United States</t>
  </si>
  <si>
    <t>Rome</t>
  </si>
  <si>
    <t>Consiglio Nazionale delle Ricerche</t>
  </si>
  <si>
    <t>78-85</t>
  </si>
  <si>
    <t>Berlin</t>
  </si>
  <si>
    <t>;;;;</t>
  </si>
  <si>
    <t>Universidad Polit√©cnica de Madrid</t>
  </si>
  <si>
    <t>465-470</t>
  </si>
  <si>
    <t>55555308200;8352937800;7102838221</t>
  </si>
  <si>
    <t>Uzawa, Yoshinori;Wang, Zhen;Kawakami, Akira</t>
  </si>
  <si>
    <t>Uzawa Y.</t>
  </si>
  <si>
    <t>Sauleau R.</t>
  </si>
  <si>
    <t>Edinburgh</t>
  </si>
  <si>
    <t>The University of Edinburgh</t>
  </si>
  <si>
    <t>Sapporo</t>
  </si>
  <si>
    <t>Hokkaido University</t>
  </si>
  <si>
    <t>IEEE Transactions on Broadcasting</t>
  </si>
  <si>
    <t>Smith, J. L.</t>
  </si>
  <si>
    <t>New York</t>
  </si>
  <si>
    <t>IEEE</t>
  </si>
  <si>
    <t>391-396</t>
  </si>
  <si>
    <t>455-457</t>
  </si>
  <si>
    <t>Desclos L.</t>
  </si>
  <si>
    <t>Duisburg</t>
  </si>
  <si>
    <t>Universit√§t Duisburg-Essen</t>
  </si>
  <si>
    <t>Austria;Spain;Netherlands</t>
  </si>
  <si>
    <t>Kubista E.</t>
  </si>
  <si>
    <t>60017161;60017161;60017161;60017161</t>
  </si>
  <si>
    <t>Cleveland</t>
  </si>
  <si>
    <t>Journal of Vacuum Science and Technology A: Vacuum, Surfaces and Films</t>
  </si>
  <si>
    <t>Acoustical Physics</t>
  </si>
  <si>
    <t>Vladivostok</t>
  </si>
  <si>
    <t>Eliasson T.</t>
  </si>
  <si>
    <t>Montreal</t>
  </si>
  <si>
    <t>581-589</t>
  </si>
  <si>
    <t>Russian Foundation for Basic Research</t>
  </si>
  <si>
    <t>Huang J.</t>
  </si>
  <si>
    <t>National Cancer Institute</t>
  </si>
  <si>
    <t>NCI</t>
  </si>
  <si>
    <t>Hydrobiologia</t>
  </si>
  <si>
    <t>Delft</t>
  </si>
  <si>
    <t>Learning and Memory</t>
  </si>
  <si>
    <t>Taipei</t>
  </si>
  <si>
    <t>Lu J.</t>
  </si>
  <si>
    <t>335-337</t>
  </si>
  <si>
    <t>60116768;60011357;60011357</t>
  </si>
  <si>
    <t>Kaohsiung;Kaohsiung</t>
  </si>
  <si>
    <t>National Kaohsiung University of Science and Technology;National Sun Yat-Sen University</t>
  </si>
  <si>
    <t>60116768;60011357</t>
  </si>
  <si>
    <t>60031293;60031293;60031293</t>
  </si>
  <si>
    <t>7003753877;56439826100;7005871907</t>
  </si>
  <si>
    <t>Desclos, Laurent;Drenski, Tomislav;Madihian, Mohammad</t>
  </si>
  <si>
    <t>NEC Corporation</t>
  </si>
  <si>
    <t>United States;Japan</t>
  </si>
  <si>
    <t>471-474</t>
  </si>
  <si>
    <t>Ames</t>
  </si>
  <si>
    <t>Russian Foundation for Fundamental Investigations</t>
  </si>
  <si>
    <t>RFFI</t>
  </si>
  <si>
    <t>Institut National de la Recherche Agronomique</t>
  </si>
  <si>
    <t>INRA</t>
  </si>
  <si>
    <t>Insect Biochemistry and Molecular Biology</t>
  </si>
  <si>
    <t>Physics Letters, Section A: General, Atomic and Solid State Physics</t>
  </si>
  <si>
    <t>60011047;60011047</t>
  </si>
  <si>
    <t>Bologna;Rome</t>
  </si>
  <si>
    <t>133-145</t>
  </si>
  <si>
    <t>New Zealand</t>
  </si>
  <si>
    <t>Spectrochimica Acta - Part A: Molecular and Biomolecular Spectroscopy</t>
  </si>
  <si>
    <t>Electronics World</t>
  </si>
  <si>
    <t>Lee J.</t>
  </si>
  <si>
    <t>Karlsruhe;</t>
  </si>
  <si>
    <t>VTT Technical Research Centre of Finland</t>
  </si>
  <si>
    <t>Sapienza Universit√† di Roma</t>
  </si>
  <si>
    <t>Czech Republic</t>
  </si>
  <si>
    <t>Carleton University</t>
  </si>
  <si>
    <t>Tanaka S.</t>
  </si>
  <si>
    <t>96-100</t>
  </si>
  <si>
    <t>Annales des Telecommunications/Annals of Telecommunications</t>
  </si>
  <si>
    <t>60012468;60012468;60012468</t>
  </si>
  <si>
    <t>6601973365;7003987216;6601990485</t>
  </si>
  <si>
    <t>Windsor</t>
  </si>
  <si>
    <t>University of Windsor</t>
  </si>
  <si>
    <t>Wahba Y.</t>
  </si>
  <si>
    <t>IEEE Transactions on Magnetics</t>
  </si>
  <si>
    <t>Behavior of plasma formed in a pagoda-shaped radio frequency plasma source</t>
  </si>
  <si>
    <t>60026851;60026851</t>
  </si>
  <si>
    <t>Oxford</t>
  </si>
  <si>
    <t>University of Oxford</t>
  </si>
  <si>
    <t>60029428;60029428</t>
  </si>
  <si>
    <t>Karlsruhe</t>
  </si>
  <si>
    <t>Karlsruhe Institute of Technology, Campus South</t>
  </si>
  <si>
    <t>RFBR</t>
  </si>
  <si>
    <t>Radiophysics and Quantum Electronics</t>
  </si>
  <si>
    <t>Prague</t>
  </si>
  <si>
    <t>IEEE Transactions on Education</t>
  </si>
  <si>
    <t>7401755331;7005196479</t>
  </si>
  <si>
    <t>Fisher, Stephen E.;Michielssen, Eric</t>
  </si>
  <si>
    <t>Fisher S.</t>
  </si>
  <si>
    <t>7003371572;7005087231;6701643742</t>
  </si>
  <si>
    <t>60008673;60008673</t>
  </si>
  <si>
    <t>['using microstrip', 'unloaded q', 'two four', 'simply varying', 'resonant frequency', 'radiation pattern', 'numerical values', 'microstrip line', 'microstrip coupling', 'important benefit', 'impedance bandwidth', 'good agreement', 'field components', 'eœ ∏-', 'experimental results', 'critical coupling', 'array configuration', 'analytical data']</t>
  </si>
  <si>
    <t>375-379</t>
  </si>
  <si>
    <t>Implementation of four-element linear arrays using microstrip-coupled cylindrical dielectric resonator antennas</t>
  </si>
  <si>
    <t>['tapered helix', 'tape current', 'short paper', 'propagation constant', 'operation modes', 'longitudinal direction', 'integer denoting', 'infinite helix', 'helix inside', 'he011 mode', 'fourier series', 'filled guide', 'circular resonator', 'characteristic equation']</t>
  </si>
  <si>
    <t>48-51</t>
  </si>
  <si>
    <t>60013983;60013983;60013983</t>
  </si>
  <si>
    <t>7101878862;7004571187;7405356347</t>
  </si>
  <si>
    <t>Yung, Edward K.N.;Shan, Chen Ru;Zhang, D. G.</t>
  </si>
  <si>
    <t>Yung E.K.N.</t>
  </si>
  <si>
    <t>Investigation of a circular resonator with a helix of nonuniform diameter</t>
  </si>
  <si>
    <t>['possible use', 'parasitic elements', 'paper presents', 'overall performance', 'horizontal plane', 'experimental results', 'experimental investigation', 'base station', 'antenna uses']</t>
  </si>
  <si>
    <t>331-335</t>
  </si>
  <si>
    <t>7003839738;35570164700</t>
  </si>
  <si>
    <t>Padhi, S. K.;Bialkowski, M. E.</t>
  </si>
  <si>
    <t>Padhi S.K.</t>
  </si>
  <si>
    <t>['triangular patch', 'theoretical results', 'results indicate', 'rectangular one', 'radiation patterns', 'radiation characteristic', 'operating frequency', 'operating bandwidth', 'network layout', 'microstrip subarrays', 'measured results', 'measured data', 'experimental studies', 'experimental results', 'coplanar feed', 'also computed', 'also compared', 'also affected']</t>
  </si>
  <si>
    <t>221-225</t>
  </si>
  <si>
    <t>Kuga N.</t>
  </si>
  <si>
    <t>['target position', 'target may', 'target maneuvers', 'take account', 'simulation results', 'proposed scheme', 'maneuvering target', 'linear prediction', 'kalman filter', 'image processing', 'filter uses', 'estimate reliably', 'ellipsoidal arc', 'detecting curves', 'degrade significantly', 'computational simulation', 'circular prediction']</t>
  </si>
  <si>
    <t>7202598384;6603284132;7003395999;7103030811</t>
  </si>
  <si>
    <t>Kawase, Tetsuya;Tsurunosono, Hideshi;Ehara, Naoki;Sasase, Iwao</t>
  </si>
  <si>
    <t>Kawase T.</t>
  </si>
  <si>
    <t>['verify beam', 'system receives', 'simple structure', 'signals spatially', 'scanning performance', 'rf circuits', 'radio frequency', 'phase shifters', 'optical antenna', 'mixer array', 'microwave band', 'losses reduced', 'local oscillator', 'frequency signal', 'easily designed', 'concrete model', 'beam without', 'beam scanning']</t>
  </si>
  <si>
    <t>7404432630;7101830332;7402368349;7404897527</t>
  </si>
  <si>
    <t>Nishimura, Toshihiko;Tsuchida, Katsumi;Ishii, Nozomu;Itoh, Kiyohiko</t>
  </si>
  <si>
    <t>Nishimura T.</t>
  </si>
  <si>
    <t>Reception properties of a multielement quasi-optical antenna-mixer system</t>
  </si>
  <si>
    <t>['satellite communications', 'radiation pattern', 'power loss', 'paper proposes', 'numerical analysis', 'main beam', 'large apertures', 'large antenna', 'focused within', 'first zeros', 'first sidelobe', 'element aperture', 'approximately 10', 'antennas larger', 'antenna gain', '1 deg', '08 deg']</t>
  </si>
  <si>
    <t>23-29</t>
  </si>
  <si>
    <t>7006008234;7402167894</t>
  </si>
  <si>
    <t>Murao, Yoji;Takano, Tadashi</t>
  </si>
  <si>
    <t>Murao Y.</t>
  </si>
  <si>
    <t>Proposal for and analysis of an ultra-large aperture array antenna</t>
  </si>
  <si>
    <t>Ministry of Education, Culture, Sports, Science and Technology</t>
  </si>
  <si>
    <t>Monbusho</t>
  </si>
  <si>
    <t>0006291X</t>
  </si>
  <si>
    <t>Biochemical and Biophysical Research Communications</t>
  </si>
  <si>
    <t>Electronics Letters</t>
  </si>
  <si>
    <t>Jacobsen, S.</t>
  </si>
  <si>
    <t>Tromso</t>
  </si>
  <si>
    <t>UiT The Arctic University of Norway</t>
  </si>
  <si>
    <t>Pingtung;Kaohsiung</t>
  </si>
  <si>
    <t>Yung-Ta Institute of Technology and Commerce;National Sun Yat-Sen University</t>
  </si>
  <si>
    <t>60072417;60011357</t>
  </si>
  <si>
    <t>Fang S.</t>
  </si>
  <si>
    <t>Nanyang Technological University</t>
  </si>
  <si>
    <t>6506974693;7003359258</t>
  </si>
  <si>
    <t>Serrano-Vaello A.</t>
  </si>
  <si>
    <t>Huang C.</t>
  </si>
  <si>
    <t>Biochemistry</t>
  </si>
  <si>
    <t>Biochimica et Biophysica Acta - Bioenergetics</t>
  </si>
  <si>
    <t>Ames Laboratory</t>
  </si>
  <si>
    <t>Journal of Photochemistry and Photobiology A: Chemistry</t>
  </si>
  <si>
    <t>Optics Letters</t>
  </si>
  <si>
    <t>Journal of Comparative Physiology - A Sensory, Neural, and Behavioral Physiology</t>
  </si>
  <si>
    <t>60021918;60021918</t>
  </si>
  <si>
    <t>Charlottesville</t>
  </si>
  <si>
    <t>University of Virginia</t>
  </si>
  <si>
    <t>Plasma Sources Science and Technology</t>
  </si>
  <si>
    <t>60027550-60008950;60027550</t>
  </si>
  <si>
    <t>6602589627;7404907705</t>
  </si>
  <si>
    <t>Miljak, David G.;Chen, Francis F.</t>
  </si>
  <si>
    <t>United States;Australia</t>
  </si>
  <si>
    <t>Los Angeles;Canberra</t>
  </si>
  <si>
    <t>University of California, Los Angeles;The Australian National University</t>
  </si>
  <si>
    <t>60027550;60008950</t>
  </si>
  <si>
    <t>Miljak D.</t>
  </si>
  <si>
    <t>0960667X</t>
  </si>
  <si>
    <t>Microwave Engineering Europe</t>
  </si>
  <si>
    <t>Winters, Jack H.</t>
  </si>
  <si>
    <t>Winters J.</t>
  </si>
  <si>
    <t>['waveguide simulator', 'wave method', 'unit cell', 'several prototypes', 'rigorous characterization', 'radiated field', 'proposed method', 'periodic antenna', 'mode matching', 'individual gsm', 'hybrid mm', 'homogeneous waveguides', 'half space', 'gsm ).', 'fem procedure', 'ended succession', 'element methods', 'conventional probe', 'coaxial feed', 'cascading process', 'analyze probe', 'also extended']</t>
  </si>
  <si>
    <t>234-242</t>
  </si>
  <si>
    <t>0018926X</t>
  </si>
  <si>
    <t>IEEE Transactions on Antennas and Propagation</t>
  </si>
  <si>
    <t>10.1109/8.660968</t>
  </si>
  <si>
    <t>Satellite Communications</t>
  </si>
  <si>
    <t>Chen W.</t>
  </si>
  <si>
    <t>Richardson</t>
  </si>
  <si>
    <t>University of Delhi</t>
  </si>
  <si>
    <t>FEBS Letters</t>
  </si>
  <si>
    <t>Vasil'ev S.</t>
  </si>
  <si>
    <t>Signal Processing</t>
  </si>
  <si>
    <t>Japan Science and Technology Agency</t>
  </si>
  <si>
    <t>JST</t>
  </si>
  <si>
    <t>Journal of Asia-Pacific Entomology</t>
  </si>
  <si>
    <t>Bowling Green</t>
  </si>
  <si>
    <t>Schneider R.</t>
  </si>
  <si>
    <t>113-119</t>
  </si>
  <si>
    <t>Journal of New Energy</t>
  </si>
  <si>
    <t>Cambridge;New York</t>
  </si>
  <si>
    <t>Applied Computational Electromagnetics Society Journal</t>
  </si>
  <si>
    <t>Adelaide</t>
  </si>
  <si>
    <t>Applied Microwave and Wireless</t>
  </si>
  <si>
    <t>Cranfield</t>
  </si>
  <si>
    <t>Cranfield University</t>
  </si>
  <si>
    <t>60021859;60021859;60021859</t>
  </si>
  <si>
    <t>Journal of Insect Physiology</t>
  </si>
  <si>
    <t>Germany;United States</t>
  </si>
  <si>
    <t>Behavioural Brain Research</t>
  </si>
  <si>
    <t>60011774;60011774;60011774;60011774</t>
  </si>
  <si>
    <t>Institute of Applied Physics of the Russian Academy of Sciences</t>
  </si>
  <si>
    <t>196-205</t>
  </si>
  <si>
    <t>Hong Kong;United States</t>
  </si>
  <si>
    <t>Kowloon;Columbia</t>
  </si>
  <si>
    <t>City University of Hong Kong;University of Missouri</t>
  </si>
  <si>
    <t>60013983;60006173</t>
  </si>
  <si>
    <t>Luk K.M.</t>
  </si>
  <si>
    <t>Ding Z.</t>
  </si>
  <si>
    <t>Vetenskapsr√•det</t>
  </si>
  <si>
    <t>VR</t>
  </si>
  <si>
    <t>Shinohara S.</t>
  </si>
  <si>
    <t>Minato</t>
  </si>
  <si>
    <t>Fujitsu Ltd.</t>
  </si>
  <si>
    <t>60013372;60013372;60013372</t>
  </si>
  <si>
    <t>Austin</t>
  </si>
  <si>
    <t>The University of Texas at Austin</t>
  </si>
  <si>
    <t>Kiev</t>
  </si>
  <si>
    <t>International Journal of Insect Morphology and Embryology</t>
  </si>
  <si>
    <t>Astronomy and Astrophysics Supplement Series</t>
  </si>
  <si>
    <t>Sheffield</t>
  </si>
  <si>
    <t>The University of Sheffield</t>
  </si>
  <si>
    <t>1559128X</t>
  </si>
  <si>
    <t>Applied Optics</t>
  </si>
  <si>
    <t>Leiden</t>
  </si>
  <si>
    <t>European Journal of Biochemistry</t>
  </si>
  <si>
    <t>60013983;60013983;60006173</t>
  </si>
  <si>
    <t>Eindhoven</t>
  </si>
  <si>
    <t>Philips Research</t>
  </si>
  <si>
    <t>Tetrahedron Letters</t>
  </si>
  <si>
    <t>Villeneuve-d'Ascq</t>
  </si>
  <si>
    <t>Institut d'Electronique de Micro√©lectronique et de Nanotechnologie (IEMN)</t>
  </si>
  <si>
    <t>Atlanta</t>
  </si>
  <si>
    <t>Georgia Institute of Technology</t>
  </si>
  <si>
    <t>60030807;60030807;60030807</t>
  </si>
  <si>
    <t>Regensburg</t>
  </si>
  <si>
    <t>Universit√§t Regensburg</t>
  </si>
  <si>
    <t>Distler P.</t>
  </si>
  <si>
    <t>7202120322;55469205300</t>
  </si>
  <si>
    <t>Tseng, Wen Jen;Chung, Shyh Jong</t>
  </si>
  <si>
    <t>Tseng W.</t>
  </si>
  <si>
    <t>60003217;60003217;60003217</t>
  </si>
  <si>
    <t>Kayseri</t>
  </si>
  <si>
    <t>Erciyes √úniversitesi</t>
  </si>
  <si>
    <t>Sagiroglu S.</t>
  </si>
  <si>
    <t>60014982;60014982</t>
  </si>
  <si>
    <t>Tainan</t>
  </si>
  <si>
    <t>National Cheng Kung University</t>
  </si>
  <si>
    <t>Murray</t>
  </si>
  <si>
    <t>Nokia Bell Labs</t>
  </si>
  <si>
    <t>Electronic Engineering (London)</t>
  </si>
  <si>
    <t>Russian Academy of Sciences</t>
  </si>
  <si>
    <t>Journal of Chemical Physics</t>
  </si>
  <si>
    <t>Poland</t>
  </si>
  <si>
    <t>Germany;United Kingdom</t>
  </si>
  <si>
    <t>60025858;60025858</t>
  </si>
  <si>
    <t>Zurich ZH,</t>
  </si>
  <si>
    <t>ETH Zurich</t>
  </si>
  <si>
    <t>Hewlett Packard Laboratories, Bristol</t>
  </si>
  <si>
    <t>McDonnell J.</t>
  </si>
  <si>
    <t>Queen Mary University of London</t>
  </si>
  <si>
    <t>University College London</t>
  </si>
  <si>
    <t>United States;United States;United States;United States;United States;United States</t>
  </si>
  <si>
    <t>60030553;60030553;60030553;60030553</t>
  </si>
  <si>
    <t>Carrez F.</t>
  </si>
  <si>
    <t>Heinbockel T.</t>
  </si>
  <si>
    <t>Journal of Neuroscience</t>
  </si>
  <si>
    <t>0010065X</t>
  </si>
  <si>
    <t>Coleopterists Bulletin</t>
  </si>
  <si>
    <t>Journal of Physical Chemistry A</t>
  </si>
  <si>
    <t>Otero P.</t>
  </si>
  <si>
    <t>Astronomy and Astrophysics</t>
  </si>
  <si>
    <t>Loughborough</t>
  </si>
  <si>
    <t>Loughborough University</t>
  </si>
  <si>
    <t>7101763528;7102894931</t>
  </si>
  <si>
    <t>Humphrey D.</t>
  </si>
  <si>
    <t>Pittsburgh</t>
  </si>
  <si>
    <t>0006324X</t>
  </si>
  <si>
    <t>Proceedings of the Biological Society of Washington</t>
  </si>
  <si>
    <t>Leung K.</t>
  </si>
  <si>
    <t>60014313;60014313</t>
  </si>
  <si>
    <t>60015815;60015815</t>
  </si>
  <si>
    <t>Universit√§t Stuttgart</t>
  </si>
  <si>
    <t>187-194</t>
  </si>
  <si>
    <t>American Philosophical Society</t>
  </si>
  <si>
    <t>APS</t>
  </si>
  <si>
    <t>['volatile compounds', 'trichoid sensilla', 'slight increases', 'sensillum type', 'schistocerca americana', 'presumed olfactory', 'levels equal', 'insects reared', 'fewer sensilla', 'fed insects', 'either singly', 'diet restored', 'coeloconic sensilla', 'artificial diet', 'adding salicin']</t>
  </si>
  <si>
    <t>Antenna | Chemoreceptors | Grasshopper | Phenotypic plasticity | Salicin</t>
  </si>
  <si>
    <t>Grasshoppers, Schistocerca americana, reared from hatching on artificial diet had fewer sensilla on the antennae in the final larval stage than insects reared on lettuce. This was true of basiconic and coeloconic sensilla (presumed olfactory) and trichoid sensilla (presumed gustatory). The degree of difference varied along the antenna and with sensillum type. Adding salicin to the diet restored the numbers of all types of sensillum to levels equal to, or approaching, those in lettuce-fed insects. The addition of some volatile compounds - carvone (monoterpene), chalcone (flavonoid), citral (monoterpene) and guaiacol (phenolic) - resulted in slight increases in number, but coumarin (phenylpropanoid) had no effect. None of the compounds, either singly or in combination, produced more sensilla than were present in plant-fed insects.</t>
  </si>
  <si>
    <t>69-76</t>
  </si>
  <si>
    <t>60010065;60023324</t>
  </si>
  <si>
    <t>7005505311;7403128130</t>
  </si>
  <si>
    <t>Bernays, E. A.;Chapman, R. F.</t>
  </si>
  <si>
    <t>Tucson;Tucson</t>
  </si>
  <si>
    <t>Arizona Research Laboratories;The University of Arizona</t>
  </si>
  <si>
    <t>60023324;60010065</t>
  </si>
  <si>
    <t>Bernays E.</t>
  </si>
  <si>
    <t>Phenotypic plasticity in numbers of antennal chemoreceptors in a grasshopper: Effects of food</t>
  </si>
  <si>
    <t>10.1007/s003590050235</t>
  </si>
  <si>
    <t>2-s2.0-0031810519</t>
  </si>
  <si>
    <t>['plant viruses', 'developmental forms', 'bodied insects', 'antennal characters', 'agricultural crops']</t>
  </si>
  <si>
    <t>Adelgids | Antennae | Aphids | Morphs | Phylloxerans</t>
  </si>
  <si>
    <t>Aphids, adelgids, and phylloxerans are soft-bodied insects that damage ornamental plants and agricultural crops by sucking plant sap or through the transmission of plant viruses. Identification, even to family, of these insects can be difficult. This article contains information on antennal characters that are useful in recognition of the developmental forms of aphids, adelgids, and phylloxerans.</t>
  </si>
  <si>
    <t>588-593</t>
  </si>
  <si>
    <t>Stoetzel, Manya B.</t>
  </si>
  <si>
    <t>Beltsville</t>
  </si>
  <si>
    <t>USDA ARS Beltsville Agricultural Research Center</t>
  </si>
  <si>
    <t>Stoetzel M.B.</t>
  </si>
  <si>
    <t>Antennal and other characters useful in identification of the Aphidoidea (Homoptera)</t>
  </si>
  <si>
    <t>2-s2.0-0031829842</t>
  </si>
  <si>
    <t>['soil dwelling', 'melsheimer ).', 'alticinae ),']</t>
  </si>
  <si>
    <t>Alticinae | Character | Chrysomelidae | Flea beetle | Larva | Leaf beetle | Morphology | Systematic | Systena</t>
  </si>
  <si>
    <t>The first detailed morphological description and illustrations are presented for the larva of a species of Systena (Coleoptera: Chrysomelidae: Alticinae), S. blanda (Melsheimer). Compound microscopic examination of the head, antennae, mouthparts, and legs revealed characters typical of other soil dwelling and root feeding alticine genera.</t>
  </si>
  <si>
    <t>484-488</t>
  </si>
  <si>
    <t>60000763;60032280;60032280</t>
  </si>
  <si>
    <t>57201264474;6603220069;7103374430</t>
  </si>
  <si>
    <t>Lee, Jong Eun;Lingafelter, Steven W.;Konstantinov, Alexander S.</t>
  </si>
  <si>
    <t>United States;South Korea</t>
  </si>
  <si>
    <t>Washington, D.C.;Andong</t>
  </si>
  <si>
    <t>United States Department of Agriculture;Andong National University</t>
  </si>
  <si>
    <t>60032280;60000763</t>
  </si>
  <si>
    <t>Larval morphology of Systena blanda Melsheimer (Coleoptera: Chrysomelidae: Alticinae)</t>
  </si>
  <si>
    <t>2-s2.0-0031858272</t>
  </si>
  <si>
    <t>['transient period', 'taste hairs', 'spikes elicited', 'spike generation', 'specific reaction', 'nymphs appears', 'mechanoreceptor responded', 'longer ones', 'kcl elicited', 'kcl alone', 'generated predominantly', 'four chemoreceptors', 'earliest sign', 'distal ones', '5 hours']</t>
  </si>
  <si>
    <t>Antennae | Cockroach | Moult | Spike generation | Taste hair</t>
  </si>
  <si>
    <t>Spike generation in cockroach antennal taste hairs of nymphs appears to follow the same rules as in adults analysed previously. After ecdysis, taste hairs on the proximal segments responded earlier than those on distal ones. Shorter hairs became active before longer ones. The mechanoreceptor responded before the chemoreceptors. During a transient period, 3-5 hours after ecdysis, all four chemoreceptors and also the mechanoreceptor were sensitive to 150 mM KCl. Spikes elicited by 75 mM KCl were generated predominantly in the outer dendritic segments. They did not differ in shape and frequency when 60 mM sucrose was added. The earliest sign of a specific reaction to sucrose was observed approximately 4-5 hours after ecdysis, when the mixture of sucrose and KCl elicited more spikes than KCl alone.</t>
  </si>
  <si>
    <t>Hansen-Delkeskamp, Elisabeth</t>
  </si>
  <si>
    <t>Hansen-Delkeskamp E.</t>
  </si>
  <si>
    <t>Development of specific responses in antennal taste hairs after ecdysis. An electrophysiological investigation of the coackroach, Periplaneta brunnea</t>
  </si>
  <si>
    <t>S0022191098000183</t>
  </si>
  <si>
    <t>10.1016/S0022-1910(98)00018-3</t>
  </si>
  <si>
    <t>2-s2.0-0031873083</t>
  </si>
  <si>
    <t>['terminal phalanx', 'precision pinch', 'poorly defined', 'injured thumb', 'hook nail', 'crush injury']</t>
  </si>
  <si>
    <t>Adequate pulp | Cross finger flap | Deformed nail | Multiple kirschner wires</t>
  </si>
  <si>
    <t>A 25-year-old man presented with hook nail and painful atrophic pulp over the tip of the terminal phalanx of the right thumb 3 months following a crush injury. Lateral nail folds were poorly defined and the nail was curved. The patient was unable to pick up objects with a precision pinch. Reconstruction was performed with Atasoy antenna procedure. One year later, normal pulp contour of the injured thumb was restored and appearance of the nail was normal.</t>
  </si>
  <si>
    <t>573-574</t>
  </si>
  <si>
    <t>Annals of the Academy of Medicine Singapore</t>
  </si>
  <si>
    <t>60002481;;60002481</t>
  </si>
  <si>
    <t>36981512800;7402862547;7005355764</t>
  </si>
  <si>
    <t>Low, C. K.;Wong, H. P.;Low, Y. P.</t>
  </si>
  <si>
    <t>Tan Tock Seng Hospital</t>
  </si>
  <si>
    <t>Low C.</t>
  </si>
  <si>
    <t>A Case Report of Atasoy Antenna Procedure</t>
  </si>
  <si>
    <t>2-s2.0-0032111184</t>
  </si>
  <si>
    <t>['resonate close', 'producing well', 'physical characteristics', 'patch antennas', 'parameter extraction', 'new material', 'microstrip antennas', 'matched antennas', 'design frequency', 'conclusions drawn', 'behavior relative', 'article describes', 'antennas produced', 'also discussed', 'achieved using']</t>
  </si>
  <si>
    <t>This article describes the modeling, fabrication and analysis of microstrip patch antennas. Extracting material parameters for a new PCB substrate as well as determining the suitability of this material for the fabrication of patch antennas are described. Microstrip test patterns are used in conjunction with the antennas to facilitate the parameter extraction. Also, procedures for modeling and particularly for producing well-matched antennas that resonate close to the design frequency are presented. These procedures include consideration of the physical characteristics of microstrip antennas and their behavior relative to the given material parameters. The principal antenna modeling tool consists of microstrip line models implemented in the LIBRA¬Æ software package. Comparisons are made with and conclusions drawn from a Maxwell equation solver that uses a finite-difference time domain (FDTD) analysis. Antennas produced from other materials are also discussed. Antenna fabrications include comparisons between chemically etched antennas and milled antennas produced using a PCB prototyping machine. Efficiency of 0.80 is achieved using the new material.</t>
  </si>
  <si>
    <t>122-132</t>
  </si>
  <si>
    <t>60003500-60015543-60026638;60003500-60103368-60010261-101694645;60003500-60004305-110335629;60003500-60002162-60000251-101638449</t>
  </si>
  <si>
    <t>36935387800;35482440300;35591439300;35595967100</t>
  </si>
  <si>
    <t>Bean, Christian;Roblin, Patrick;Ert√ºrk, Vakur;Rojas, Roberto</t>
  </si>
  <si>
    <t>France;Finland;United States;United States;Turkey;United States;United States;United States;United States;United States;</t>
  </si>
  <si>
    <t>Strasbourg;Espoo;Pittsburgh;St. Louis;Ankara;Columbus;Las Cruces;New York;Astoria;;</t>
  </si>
  <si>
    <t>Universit√© de Strasbourg;Nokia Corporation;University of Pittsburgh;Washington University in St. Louis;Middle East Technical University (METU);The Ohio State University;New Mexico State University;IEEE;OSU;Microlectron. and Technology Center;US Commission B of URSI</t>
  </si>
  <si>
    <t>60103368;60026638;60015543;60010261;60004305;60003500;60002162;60000251;110335629;101694645;101638449</t>
  </si>
  <si>
    <t>Bean C.</t>
  </si>
  <si>
    <t>A new PCB substrate used for patch antenna fabrication</t>
  </si>
  <si>
    <t>2-s2.0-0032115733</t>
  </si>
  <si>
    <t>60000745-60025522-60010339-124050083</t>
  </si>
  <si>
    <t>Collins, Gerald W.</t>
  </si>
  <si>
    <t>United States;United States;United States;</t>
  </si>
  <si>
    <t>Melbourne;Melbourne;Urbana;</t>
  </si>
  <si>
    <t>Harris Corporation;Florida Institute of Technology;University of Illinois Urbana-Champaign;Harris Broadcast Division</t>
  </si>
  <si>
    <t>60025522;60010339;60000745;124050083</t>
  </si>
  <si>
    <t>Collins G.W.</t>
  </si>
  <si>
    <t>Wireless wave propagation</t>
  </si>
  <si>
    <t>2-s2.0-0032116120</t>
  </si>
  <si>
    <t>69 572 033</t>
  </si>
  <si>
    <t>['usually configured', 'using high', 'three kinds', 'suppress jammers', 'sidelobe blankering', 'research since', 'proposed approach', 'precisely control', 'phase errors', 'often encountered', 'may result', 'late 1980', 'high sidelobes', 'e .,', 'directly applied', 'channel gain', 'array gain', 'also cause', 'alarm probability', 'adapted patterns', 'active area']</t>
  </si>
  <si>
    <t>Space-time adaptive processing (STAP) for airborne early warning radar has been a very active area of research since the late 1980's. An airborne rectangular planar array antenna is usually configured into subarrays and then partial adaptive processing is applied to the outputs of these subarrays. In practice, three kinds of errors are often encountered, i.e., the array gain and phase errors existing in each element, the channel gain and phase errors, and the clutter covariance matrix estimation errors due to insufficient secondary data samples. These errors not only degrade the clutter suppression performance, but also cause the adapted array patterns to suffer much distortion (high sidelobes and distorted mainbeams), which may result in the rise of false-alarm probability and make the adaptive monopulse tracking and sidelobe blankering more difficult. In this paper, the causes of the above three kinds of errors to array pattern distortion are discussed and a novel quadratic soft constraint factored approach is proposed to precisely control the peak sidelobe level of adapted patterns. The soft constraint factor can be determined explicitly according to the peak sidelobe level desired and the known or desired tolerant error standard deviations. Numerical results obtained by using high-fidelity simulated airborne radar clutter data are provided to illustrate the performance of the proposed approach. Although the method is presented for STAP, it can be directly applied to the conventional adaptive beamforming for rectangular planar arrays used to suppress jammers.</t>
  </si>
  <si>
    <t>963-969</t>
  </si>
  <si>
    <t>100448475;100448475</t>
  </si>
  <si>
    <t>7402944474;7202908312</t>
  </si>
  <si>
    <t>Wu, R.;Bao, Z.</t>
  </si>
  <si>
    <t>Tianjin</t>
  </si>
  <si>
    <t>Wu R.</t>
  </si>
  <si>
    <t>Array pattern distortion and remedies in space-time adaptive processing for airborne radar</t>
  </si>
  <si>
    <t>10.1109/8.704797</t>
  </si>
  <si>
    <t>2-s2.0-0032116479</t>
  </si>
  <si>
    <t>['short elements', 'resistive screen', 'loss resistance', 'five times', 'complementary slot', 'complementary dipole']</t>
  </si>
  <si>
    <t>Loss resistance and efficiency are calculated for a slot in a resistive screen and for the complementary dipole. Double numerical integration of the magnetic near field is used. Strip dipole loss resistance is three to five times that of the complementary slot for short elements.</t>
  </si>
  <si>
    <t>1028-1031</t>
  </si>
  <si>
    <t>Hansen R.</t>
  </si>
  <si>
    <t>Slot antenna in a resistive screen</t>
  </si>
  <si>
    <t>10.1109/8.704805</t>
  </si>
  <si>
    <t>2-s2.0-0032116598</t>
  </si>
  <si>
    <t>F19 628-84-K-0025</t>
  </si>
  <si>
    <t>CNR</t>
  </si>
  <si>
    <t>['œ ±', 'wave antenna', 'theoretical expressions', 'radiation patterns', 'part series', 'part iii', 'papers presented', 'new type', 'millimeter wavelengths', 'good agreement']</t>
  </si>
  <si>
    <t>Parts I and II of this three-part series of papers presented the theory for this new type of leaky-wave antenna. Part III now describes the measurements that verify the validity of the theoretical expressions. Measurements were made both at millimeter wavelengths and in the X-band frequency range and of two different quantities: the propagation wavenumbers Œ≤ and Œ± and radiation patterns. Comparisons were made with numerical values obtained from the theoretical expressions derived in Parts I and II and very good agreement was found in all cases.</t>
  </si>
  <si>
    <t>1047-1055</t>
  </si>
  <si>
    <t>60010726;60010726;60010726;60010726;60010726</t>
  </si>
  <si>
    <t>55452243700;7006521538;7006012591;7004439932;7005564352</t>
  </si>
  <si>
    <t>Tsuji, M.;Shigesawa, H.;Frezza, F.;Lampariello, P.;Oliner, A. A.</t>
  </si>
  <si>
    <t>Doshisha University</t>
  </si>
  <si>
    <t>Tsuji M.</t>
  </si>
  <si>
    <t>Versatile leaky-wave antenna based on stub-loaded rectangular waveguide: Part III - comparisons with measurement</t>
  </si>
  <si>
    <t>10.1109/8.704808</t>
  </si>
  <si>
    <t>2-s2.0-0032117294</t>
  </si>
  <si>
    <t>['wave antenna', 'top wall', 'stub guide', 'simply remain', 'rectangular waveguide', 'present paper', 'practical circumstances', 'part ii', 'new leaky', 'infinitely long', 'ground plane', 'finite length', 'essential features', 'center stub', 'basic theory', 'antenna structure', 'also simple']</t>
  </si>
  <si>
    <t>A new leaky-wave antenna was presented and discussed in Part I that possesses many desirable performance features. The antenna structure is also simple in form, consisting of a rectangular waveguide with an off-center stub on its top wall. Part I presented the principle of operation and the basic theory in which the stub guide was idealized to be infinitely long (or high) in order to stress the essential features. In practice, however, the stub guide has a finite length (or height) and it may be terminated by a flange or a ground plane or simply remain in the form of a pair of baffles. The modifications in the theory and the associated performance considerations under these practical circumstances are treated in the present paper - Part II.</t>
  </si>
  <si>
    <t>1042-1046</t>
  </si>
  <si>
    <t>60032350;60032350;60032350;60032350;60032350</t>
  </si>
  <si>
    <t>7006012591;7004439932;7006521538;55452243700;7005564352</t>
  </si>
  <si>
    <t>Frezza, F.;Lampariello, P.;Shigesawa, H.;Tsuji, M.;Oliner, A. A.</t>
  </si>
  <si>
    <t>Frezza F.</t>
  </si>
  <si>
    <t>Versatile leaky-wave antenna based on stub-loaded rectangular waveguide: Part II - effects of flanges and finite stub length</t>
  </si>
  <si>
    <t>10.1109/8.704807</t>
  </si>
  <si>
    <t>2-s2.0-0032117319</t>
  </si>
  <si>
    <t>['therefore necessary', 'steps taken', 'state storage', 'processor shared', 'practical problems', 'performance improvement', 'paper focuses', 'original version', 'numerical solution', 'memory cray', 'matrix_fill routine', 'magnitude improvement', 'level optimizations', 'larger class', 'jet engine', 'data layout', 'antenna modeling', 'algorithm restructuring']</t>
  </si>
  <si>
    <t>The numerical solution of Maxwell's equations is a computationally intensive task and use of high-performance parallel computing facilities is necessary for the larger class of practical problems in scattering, propagation and antenna modeling. It is therefore necessary to carefully consider algorithm optimizations aimed at improving the code's run time performance on the computing platform employed. Although some performance improvement can be derived from compiler-level optimizations, further speed-up may involve manual effort in algorithm restructuring, data layout, and parallelization. This paper focuses on the manual optimizations used to improve the performance of a moment method code for the analysis of a cylindrically periodic structure, as is the case with a jet engine. We describe the steps taken which resulted in nearly two orders of magnitude improvement over the original version of the code. A 16-processor shared-memory CRAY-C90 vector supercomputer was employed. Our optimization took advantage of SSD its solid-state storage, enabled better loop vectorizations, parallelized the matrix_fill routine, and called appropriate CRAY-C90 library routines.</t>
  </si>
  <si>
    <t>116-130</t>
  </si>
  <si>
    <t>6603339426;7402237735;7102576479</t>
  </si>
  <si>
    <t>Smelyanskiy, Mikhail;Davidson, Edward S.;Volakis, John L.</t>
  </si>
  <si>
    <t>Smelyanskiy M.</t>
  </si>
  <si>
    <t>Performance optimization of an integral equation code for jet engine scattering on CRAY-C90</t>
  </si>
  <si>
    <t>2-s2.0-0032117557</t>
  </si>
  <si>
    <t>['simple rule', 'sidelobe structure', 'scintillating atmospheres', 'received signals', 'real function', 'particular interest', 'optical beams', 'multipath situations', 'multipath scenarios', 'mobile communications', 'main lobe', 'main beam', 'indoor communications', 'essentially independent', 'directive beams', 'conveyed via', 'boresight axes', 'beam configuration', 'antenna pattern', 'angular separation', 'acoustic case', 'acoustic beamforming']</t>
  </si>
  <si>
    <t>In the uncorrelated scenario model, a continuous source distribution illuminates a receiver with waves bearing signals that are uncorrelated with respect to their angle of arrival. This model is used for multipath situations such as scintillating atmospheres, but also can be applied to optical beams for indoor communications, acoustic beamforming, and, of particular interest here, mobile communications. For diversity antennas operating in such a scenario, patterns that produce uncorrelated signals are required. An angular separation of directive beams in multipath scenarios acts to decorrelate the received signals. It is of interest to quantify the minimum angular spacing required of beams in order to provide a framework for the design and configuration of the antennas. The approach is to consider only the main lobe of the antenna pattern and to take it as a real function. This is reasonable as long as most of the energy is conveyed via the main beam. In practice, the sidelobe structure and non-uniformity in the phase of an actual pattern act to improve the situation in the sense that the decorrelation angles become smaller. The conditions for angular diversity result in a simple rule-of-thumb for the minimum beam separation requirement, which is essentially independent of the directivity. Finally, both scalar (acoustic case and circularly polarized case) and vector (linearly polarized case) elliptic beams rotated about their boresight axes are analyzed for the decorrelation rotation angle as a function of the ratio of the ellipticity. The resulting design curves offer a guideline to beam configuration for multipath scenarios.</t>
  </si>
  <si>
    <t>982-990</t>
  </si>
  <si>
    <t>Vaughan, R. G.</t>
  </si>
  <si>
    <t>Lower Hutt</t>
  </si>
  <si>
    <t>GNS Science</t>
  </si>
  <si>
    <t>Vaughan R.</t>
  </si>
  <si>
    <t>Pattern translation and rotation in uncorrelated source distributions for multiple beam antenna design</t>
  </si>
  <si>
    <t>10.1109/8.704799</t>
  </si>
  <si>
    <t>2-s2.0-0032118256</t>
  </si>
  <si>
    <t>NUS</t>
  </si>
  <si>
    <t>['waves excited', 'wave characteristics', 'wave analysis', 'two kinds', 'trunk layer', 'transmission losses', 'static approximation', 'side air', 'shown theoretically', 'radio waves', 'propagation mechanism', 'propagate inside', 'point technique', 'paper presents', 'novel full', 'layered medium', 'layered geometry', 'lateral waves', 'integral expression', 'ground interfaces', 'electric fields', 'e .,', 'dyadic green', 'dominant modes', 'direct waves', 'dipole antenna', 'cut integrations', 'complex plane', 'complex images', 'closed form', 'calculated numerically', 'applied first', 'also discussed']</t>
  </si>
  <si>
    <t>This paper presents a novel full-wave analysis of the radio waves that are excited from a dipole antenna located in the trunk layer and propagate inside a four-layered forest medium. The dyadic Green's functions for the four-layered geometry are applied first to derive the integral expression of the electric fields. The closed form of the electric fields is then obtained by using the quasi-static approximation, saddle-point technique, and branch-cut integrations in the complex plane and, hence, expressed in terms of direct waves, multiple reflected waves, and lateral waves. Two kinds of images, i.e., the quasi-dynamic and complex images, are considered in the integration in the complex plane. Among those waves excited by a dipole antenna in the four-layered medium, it is shown theoretically and numerically that the lateral wave along the upper-side air-canopy interface plays a role of dominant modes. Propagation mechanism of other lateral waves due to the air-canopy, canopy-trunk, and trunk-ground interfaces is also discussed and analyzed so as to gain an insight into the wave characteristics. Transmission losses of the lateral waves are calculated numerically.</t>
  </si>
  <si>
    <t>1098-1111</t>
  </si>
  <si>
    <t>7501449136;7102523120;35581072400;7102006113</t>
  </si>
  <si>
    <t>Li, L. W.;Yeo, T. S.;Kooi, P. S.;Leong, M. S.</t>
  </si>
  <si>
    <t>Radio wave propagation along mixed paths through a four-layered model of rain forest: an analytic approach</t>
  </si>
  <si>
    <t>10.1109/8.704814</t>
  </si>
  <si>
    <t>2-s2.0-0032118455</t>
  </si>
  <si>
    <t>['wide flexibility', 'wave antenna', 'stub width', 'small height', 'simple configuration', 'scan angles', 'rectangular waveguide', 'radiation patterns', 'propagation properties', 'permits rapid', 'part iii', 'new leaky', 'modifications required', 'microwave ranges', 'half wavelength', 'excellent agreement', 'easily controlled', 'desirable features', 'available beamwidths', 'also simple', '60 ghz']</t>
  </si>
  <si>
    <t>A new leaky-wave antenna is presented here that possesses many desirable features and is suitable for application to both the millimeter-wave and microwave ranges. These desirable features, some of which are unusual, include a simple configuration, a wide flexibility in the range of available beamwidths, the ability to control the beamwidth and the direction of the beam essentially independently, and negligible cross polarization at all scan angles. The antenna structure consists of a parallel-plate stub guide of small height, less than a half wavelength, located off center on the top of rectangular waveguide. The beamwidth is easily controlled from very wide to very narrow by adjusting the stub width or location. Part I presents the principle of operation and the theory, employing a new transverse equivalent network that is accurate, but also simple, so that it permits rapid and inexpensive numerical calculations. Part II describes and derives the modifications required in the theory to account for flanges and/or finite stub length, and Part III is devoted to measurements at X-band and from 40 to 60 GHz on both the propagation properties and the radiation patterns; excellent agreement with the theory is demonstrated.</t>
  </si>
  <si>
    <t>1032-1040</t>
  </si>
  <si>
    <t>7004439932;7006012591;7006521538;55452243700;7005564352</t>
  </si>
  <si>
    <t>Lampariello, P.;Frezza, F.;Shigesawa, H.;Tsuji, M.;Oliner, A. A.</t>
  </si>
  <si>
    <t>Lampariello P.</t>
  </si>
  <si>
    <t>Versatile leaky-wave antenna based on stub-loaded rectangular waveguide: Part I - theory</t>
  </si>
  <si>
    <t>10.1109/8.704806</t>
  </si>
  <si>
    <t>2-s2.0-0032119303</t>
  </si>
  <si>
    <t>['technique related', 'space measurements', 'practical interest', 'paper presents', 'new relationship', 'new approach', 'minimum number', 'minimal set', 'memory requirements', 'memory occupancy', 'main drawbacks', 'lower far', 'frequency domain', 'fixed number', 'field far', 'far field', 'domain scheme', 'domain near', 'computer time', 'compared showing', 'based either', 'approach presented', 'advanced representation', '1 ],']</t>
  </si>
  <si>
    <t>This paper presents a new approach to the time-domain near-field far-field transformation technique recently introduced by Hansen and Yaghijan [1], [2] and is based either on a time-domain or frequency-domain scheme. The approach presented here attempts to overcome the main drawbacks of this technique related to the computer time and memory requirements, which could make unrealistic the application of the technique to cases of practical interest. To this end, the advanced representation of the (time and frequency domain) near field recently introduced by the authors, which requires a minimum number of non-equispaced field samples, are exploited. This leads to new relationship between the near-field measured samples and the far field, which requires a minimal set of time-space measurements. Various computational schemes are considered and compared showing that the presented algorithm requires a reduced measurement effort, computer time, and memory occupancy, while allowing a lower far-field reconstruction error for a fixed number of measurements.</t>
  </si>
  <si>
    <t>1084-1088</t>
  </si>
  <si>
    <t>7006499276;7103082097;55934942300</t>
  </si>
  <si>
    <t>Bucci, O. M.;D'Elia, G.;Migliore, M. D.</t>
  </si>
  <si>
    <t>Near-field far-field transformation in time domain from optimal plane-polar samples</t>
  </si>
  <si>
    <t>10.1109/8.704812</t>
  </si>
  <si>
    <t>2-s2.0-0032119304</t>
  </si>
  <si>
    <t>['thereby improving', 'specific class', 'single medium', 'possible using', 'lens ira', 'concentrated within']</t>
  </si>
  <si>
    <t>The concept of prompt aperture efficiency is introduced for impulse radiating antennas (IRA's) and the efficiency is analyzed in detail for a specific class of lens IRA's. By using two isorefractive media, one with a low impedance within the aperture of the IRA and one with a high impedance outside the aperture, the power on the TEM transmission linefeed structure of the IRA can be concentrated within the aperture, thereby improving the prompt aperture efficiency beyond what is possible using a single medium.</t>
  </si>
  <si>
    <t>1114-1115</t>
  </si>
  <si>
    <t>101418508;101418508;101418508</t>
  </si>
  <si>
    <t>55663513600;6601996329;7005429037</t>
  </si>
  <si>
    <t>Tyo, J. S.;Buchenauer, C. J.;Schoenberg, J. S.H.</t>
  </si>
  <si>
    <t>USAF Research Lab/DEHP</t>
  </si>
  <si>
    <t>Tyo J.</t>
  </si>
  <si>
    <t>Use of isorefractive media to improve prompt aperture efficiency in a lens IRA</t>
  </si>
  <si>
    <t>10.1109/8.704816</t>
  </si>
  <si>
    <t>2-s2.0-0032119648</t>
  </si>
  <si>
    <t>['wireless modems', 'reduce interaction', 'radiation patterns', 'principal planes', 'plastic case', 'pager cards', 'overall size', 'human body', 'free space', 'extremely rugged', 'easily shielded', 'cellular telephones', 'antenna could']</t>
  </si>
  <si>
    <t>A compact wideband internal integrated microstrip antenna for personal communications services (PCS) and cellular telephones has been developed. The internal microstrip antenna is extremely rugged and may be integrated into the PCB or plastic case of the telephone. It is also mechanically rigid and reduces the overall size of the telephone. The antenna is sensitive to both vertically and horizontally polarized waves and its radiation patterns have good isotropic characteristics in all the principal planes. The antenna could be easily shielded to reduce interaction between it and the human body. Hence, the device has a very low specific absorption rate (SAR) value and good performance beside the human body as well as in free space. The antenna also may be used in other applications such as digital cordless telephones, pagers, wireless modems and Personal Computer Memory Card International Association (PCMCIA) pager cards.</t>
  </si>
  <si>
    <t>64-77</t>
  </si>
  <si>
    <t>100459681;100459681</t>
  </si>
  <si>
    <t>7004817270;57203438438</t>
  </si>
  <si>
    <t>Sanad, Mohamed;Hassan, Noha</t>
  </si>
  <si>
    <t>El Reno</t>
  </si>
  <si>
    <t>AMANT</t>
  </si>
  <si>
    <t>Sanad M.</t>
  </si>
  <si>
    <t>An internal integrated microstrip antenna for PCS/cellular telephones and other hand-held portable communication equipment</t>
  </si>
  <si>
    <t>2-s2.0-0032119768</t>
  </si>
  <si>
    <t>['utd ).', 'uniform theory', 'structure edges', 'signal transmitted', 'satellite signal', 'reflected rays', 'propagation model', 'performed using', 'moving along', 'model characterizes', 'mobile system', 'made structure', 'earth orbiting', 'double diffractions', 'completely obstructed', 'circular orbit', 'building blockage', 'also included']</t>
  </si>
  <si>
    <t>A propagation model for building blockage in satellite mobile communication systems is developed. This model characterizes the signal transmitted from a low-earth orbiting (LEO) satellite when there is an obstruction in the path of the signal. The obstruction is assumed to be a man-made structure. The analysis is performed using the uniform theory of diffraction (UTD). Using this method, both single and double diffractions from the structure edges were included. Direct and reflected rays from the ground and building were also included, whenever the satellite signal was not completely obstructed. The satellite is assumed to be moving along a circular orbit while the receiver is stationary. The normalized signal level (in decibels) and the signal attenuation rate (in decibels per second) are computed. Such information is considered very useful in developing the mobile system's hand-off algorithm.</t>
  </si>
  <si>
    <t>991-997</t>
  </si>
  <si>
    <t>6701682267;6506148206;35583458100</t>
  </si>
  <si>
    <t>Tirkas, P. A.;Wangsvick, C. M.;Balanis, C. A.</t>
  </si>
  <si>
    <t>Tirkas P.</t>
  </si>
  <si>
    <t>Propagation model for building blockage in satellite mobile communication systems</t>
  </si>
  <si>
    <t>10.1109/8.704800</t>
  </si>
  <si>
    <t>2-s2.0-0032120004</t>
  </si>
  <si>
    <t>['user community', "useful '.", 'tight control', 'system engineers', 'surface temperature', 'suitable simulation', 'sst retrieval', 'sst measurements', 'sst data', 'situ measurements', 'since otherwise', 'significant role', 'several factors', 'sea truth', 'retrieval algorithms', 'reliable calibration', 'relative accuracies', 'radiometric system', 'primarily related', 'platform parameters', 'physical temperature', 'operational purposes', 'operating environment', 'one may', 'often required', 'model limitations', 'microwave spectra', 'microwave radiometers', 'microwave measurements', 'measurement problems', 'measurement demands', 'mean deviation', 'may lead', 'made since', 'low emissivity', 'instrument parameters', 'instrument constraints', 'important factor', 'highly sensitive', 'higher quality', 'high precision', 'global basis', 'geophysical modelling', 'first aim', 'finer accuracies', 'final retrieval', 'entirely different', 'efficient antenna', 'effective utilisation', 'editing done', 'detail supported', 'could either', 'conventional thermometers', 'brightness temperature', 'balanced improvements', 'antenna pattern', 'although 1k', 'also reported', 'also necessary', 'algorithms used', 'accurate characterisation', 'accuracy achieved', 'absolute accuracy', 'absolute accuracies']</t>
  </si>
  <si>
    <t>The Sea Surface Temperature (SST) is one of the major ocean parameters of interest in meteorology, oceanography and climatology. The SST is often required to be measured with high absolute accuracies and hence the measurement demands a tight control over the instrument parameters such as absolute and relative accuracies, calibration, stability and repetitivity. Both infrared and microwave radiometers are effective remote sensors in providing the SST data on a global basis with high precision and repetitivity. Although the basic sensor technology is quite well matured in both the IR and the microwave spectra, the spaceborne sensor systems need validation of their data for operational purposes. In this regard, there are other equally important factors such as the accuracy of sea truth measuring instruments which are used for on-board instrument validation. It is also necessary to consider the location at which these in situ sea truth measurements are made since the surface temperature is a function of latitude, longitude, depth, season, etc. Variations in these auxiliary data introduce additional errors in the final retrieval of the SST. There are several factors to be considered while using microwave radiometers for the SST measurements. The most important factor is that the microwave radiometers measure the brightness temperature and not the physical temperature directly, unlike the thermal IR sensors or the conventional thermometers. The low emissivity (0.3 to 0.5) of water at microwave frequencies necessitates appropriate conversions of the brightness temperature into physical temperature. Further (in addition to the instrument-related errors), the atmospheric effects play a significant role in the accuracy of the SST retrieval. In context with the SST measurements, literature cites two different kinds of absolute accuracies. These two are neither well differentiated nor are obvious and may lead to ambiguity. The absolute accuracy of the SST retrieval as referred to by user scientists often reflects the dispersion or mean deviation while comparing the actual SST obtained by microwave measurements with those obtained by the in situ measurements. However, the system engineers' concern is primarily related to the instrument and its operating environment. Thus, the absolute accuracies are entirely different from each other's perspective. From the designers' viewpoint, it is customary to restrict the definition of the term absolute accuracy to the instrument only, including the antenna pattern and the platform parameters. This will account for the instrument noise characteristics, calibration, stability and linearity. The so-called absolute accuracy of retrieval is subjective and could either be better or worse than the pre-launch instrument accuracy depending on the extent of additional ground processing and editing done at the data product generation level and the algorithms used in modelling. For effective utilisation of microwave radiometers for SST measurements, the ultimate absolute accuracy from the overall system expected by the user community is of the order of 0.5K or better, although 1K is also reported to be 'useful'. Considering the present global scenario and the state of the art, it is concluded that the SST measurements essentially need a higher quality of instrument brightness temperature sensitivity, efficient antenna patterns, more accurate characterisation of the antenna pattern, reliable calibration, better sea truth sensors and their mode of measurements, etc. Simultaneous and balanced improvements in all these domains are necessary, since otherwise, the accuracy achieved in one may be swamped by the others. Nevertheless, while designing a radiometric system, it is essential that the first aim should be to develop a highly sensitive and stable receiver accompanied by a very efficient antenna. This should also be supported by suitable simulation of the other factors such as the geophysical modelling, sea truth, and retrieval algorithms. The final and finer accuracies for operational models may however be attempted post facto. The purpose of this paper is to review and bring out the factors and discussed above in detail supported by results extensively reported in literature. An attempt is made to highlight the instrument constraints, measurement problems and model limitations.</t>
  </si>
  <si>
    <t>Raju, G.</t>
  </si>
  <si>
    <t>Raju G.</t>
  </si>
  <si>
    <t>Sea Surface Temperature (SST) and the Absolute Accuracy of Spaceborne Microwave Radiometers</t>
  </si>
  <si>
    <t>2-s2.0-0032120602</t>
  </si>
  <si>
    <t>F49620-95-C-0045</t>
  </si>
  <si>
    <t>['theoretical analyses', 'spatial signatures', 'spatial signature', 'spatial diversity', 'small displacement', 'significantly increase', 'response vector', 'presented include', 'potential benefits', 'mobile unit', 'mobile subscribers', 'ideal perturbations', 'ideal assumptions', 'first time', 'division multiple', 'computer simulations', 'channel capacity', 'certain location', 'called space', 'beamforming performance', 'antenna array', '7 ],']</t>
  </si>
  <si>
    <t>A spatial signature is the response vector of a base-station antenna array to a mobile unit at a certain location. Mobile subscribers at different locations exhibit different spatial signatures. The exploitation of spatial diversity (or the difference of spatial signatures) is the basic idea behind the so-called space-division multiple-access (SDMA) scheme, which can be used to significantly increase the channel capacity and quality of a wireless communication system. Although SDMA schemes have been studied by a number of researchers [1]-[6], most of these studies are based on theoretical analyses and computer simulations with ideal assumptions. Not much experimental study [7], [8] has been reported on spatial signature variation due to non-ideal perturbations in a real wireless communication environment. The purpose of this paper is to present, for the first time, extensive experimental results of spatial signature variation using a smart antenna testbed. The results to be presented include the spatial signature variation with time, frequency, small displacement, multipath angle spread and beamforming performance. The experimental results show the rich spatial diversity and potential benefits of using an antenna array for wireless communication applications.</t>
  </si>
  <si>
    <t>953-961</t>
  </si>
  <si>
    <t>60013372;60013372;60013372;60013372</t>
  </si>
  <si>
    <t>7201941053;7404265004;7405570951;35613152700</t>
  </si>
  <si>
    <t>Jeng, S. S.;Xu, G.;Lin, H. P.;Vogel, W. J.</t>
  </si>
  <si>
    <t>Jeng S.</t>
  </si>
  <si>
    <t>Experimental studies of spatial signature variation at 900 MHz for smart antenna systems</t>
  </si>
  <si>
    <t>10.1109/8.704796</t>
  </si>
  <si>
    <t>2-s2.0-0032120758</t>
  </si>
  <si>
    <t>['widely used', 'second approach', 'rights reserved', 'mast rotations', 'mast displacements', 'latticed mast', 'large number', 'ice loads', 'first approach', 'face shears', 'comp ltd']</t>
  </si>
  <si>
    <t>This paper discusses two different finite element models used in the analysis of guyed antenna towers. In the first approach, three dimensional truss elements are used to model the latticed mast of the tower and non-linear cable elements are used for the guys; this results in a large number of elements and degrees-of-freedom. In the second approach, the mast is modelled using beam column elements and non-linear cable elements for the guys. The two computer models were evaluated using six existing towers subjected to a variety of load combinations involving dead, wind and ice loads. The results are compared to a simple, but widely used, model in which the tower is modelled as a beam on non-linear elastic supports. Structural response comparisons include guy tensions, member axial forces, face shears, mast displacements and mast rotations. ¬© 1998 Elsevier Science Ltd and Civil-Comp Ltd. All rights reserved.</t>
  </si>
  <si>
    <t>Computers and Structures</t>
  </si>
  <si>
    <t>Wahba, Y. M.F.;Madugula, M. K.S.;Monforton, G. R.</t>
  </si>
  <si>
    <t>Evaluation of non-linear analysis of guyed antenna towers</t>
  </si>
  <si>
    <t>S004579499800025X</t>
  </si>
  <si>
    <t>10.1016/S0045-7949(98)00025-X</t>
  </si>
  <si>
    <t>2-s2.0-0032121373</t>
  </si>
  <si>
    <t>David and Lucile Packard Foundation</t>
  </si>
  <si>
    <t>DLPF</t>
  </si>
  <si>
    <t>['receive module', 'receive mode', 'module employs', 'free receiver', 'coherent interference', 'array antennas', 'antenna elements', '4 ghz']</t>
  </si>
  <si>
    <t>Gratings | Optical delay lines | Phased arrays | Wavelength-division-multiplexing</t>
  </si>
  <si>
    <t>We report on a transmit/receive module of multiwavelength optically controlled phased-array antennas. Both transmit and receive mode of the module employs a single programmable dispersion matrix to provide true time delays for all antenna elements. The multiwavelength receiver combines antenna signals in the optical domain without suffering from coherent interference. Therefore, squint-free receiver over a broad frequency band can be achieved. Experimentally, squint-free beam receiving with 2-b scan angle resolution is demonstrated over an equipment-limited frequency range from dc to 4 GHz.</t>
  </si>
  <si>
    <t>1018-1020</t>
  </si>
  <si>
    <t>60027550;60027550-60000251</t>
  </si>
  <si>
    <t>7103317090;56683414000</t>
  </si>
  <si>
    <t>Tong, Dennis T.K.;Wu, Ming C.</t>
  </si>
  <si>
    <t>Los Angeles;New York</t>
  </si>
  <si>
    <t>University of California, Los Angeles;IEEE</t>
  </si>
  <si>
    <t>60027550;60000251</t>
  </si>
  <si>
    <t>Tong D.</t>
  </si>
  <si>
    <t>Transmit/receive module of multiwavelength optically controlled phased-array antennas</t>
  </si>
  <si>
    <t>S1041113598047247</t>
  </si>
  <si>
    <t>10.1109/68.681303</t>
  </si>
  <si>
    <t>2-s2.0-0032121652</t>
  </si>
  <si>
    <t>['signals generated', 'receive mode', 'power distributions', 'optical processor', 'mixer array', 'local oscillator', 'good agreement', 'frequency domain', 'concept experiment', 'antenna elements']</t>
  </si>
  <si>
    <t>Antenna arrays | Optical signal processing | Receiving antennas</t>
  </si>
  <si>
    <t>A receive mode of the optical processing array antennas is presented in this letter. In this receive mode, the transmitting radio frequency (RF) signals generated by optical processor will be shifted as local oscillator (LO) signals, and the received RF beams will be discriminated in the downconverted intermediate frequency (IF) frequency domain by a mixer array between optical processor and antenna elements. A proof-of-concept experiment for a two-beam and four-element array antenna is demonstrated, and the received IF power distributions for each beam have very good agreement with the calculated antenna patterns.</t>
  </si>
  <si>
    <t>251-253</t>
  </si>
  <si>
    <t>60009037;60001271;60001271;60025556</t>
  </si>
  <si>
    <t>54681084200;35465779800;36800643100;7102618328</t>
  </si>
  <si>
    <t>Ji, Yu;Inagaki, Keizo;Shibata, Osamu;Karasawa, Yoshio</t>
  </si>
  <si>
    <t>Fujimino;Pasadena;Kyoto</t>
  </si>
  <si>
    <t>KDDI R&amp;D Laboratories;Jet Propulsion Laboratory;Advanced Telecommunications Research Institute International (ATR)</t>
  </si>
  <si>
    <t>60025556;60009037;60001271</t>
  </si>
  <si>
    <t>Ji Y.</t>
  </si>
  <si>
    <t>Receive Mode of Optical Signal Processing Multibeam Array Antennas</t>
  </si>
  <si>
    <t>S1051820798049046</t>
  </si>
  <si>
    <t>10.1109/75.701382</t>
  </si>
  <si>
    <t>2-s2.0-0032122967</t>
  </si>
  <si>
    <t>Antennas larger than 100 m in diameter are expected to be used for satellite communications and solar power satellites in the future. This paper proposes a design for an ultra-large antenna with a diameter of 100 m comprising medium size apertures of approximately 10 m in diameter that are circular or hexagonal in shape. Numerical analysis has been carried out by assuming that the amplitude and the phase of the field on the element aperture are constant. The following are shown: (1) The antenna gain is approximately 65 dBi and the half power beam width is 0.08 deg. (2) Grating lobes caused by arraying the apertures can be reduced to below the level of the first sidelobe with large apertures. (3) More than 80% of the total radiated power can be focused within the first zeros of the radiation pattern. (4) The main beam can be steered by 0.1 deg. by using phased array, but the penalties are 0.2 dB gain decrease and 6% power loss.</t>
  </si>
  <si>
    <t>60025272;60025272</t>
  </si>
  <si>
    <t>10.1002/(SICI)1520-6424(199807)81:7&lt;23::AID-ECJA3&gt;3.0.CO;2-5</t>
  </si>
  <si>
    <t>2-s2.0-0032123010</t>
  </si>
  <si>
    <t>['trichoid sensilla', 'total number', 'straight side', 'sp2 sensilla', 'sexual dimorphism', 'sensilla coeloconica', 'rhinoceros beetle', 'plant volatiles', 'placoid sensilla', 'oryctes rhinoceros', 'olfactory stimulus', 'olfactory organs', 'numerous pores', 'nearly flat', 'methyl octanoate', 'measured density', 'irregular cavities', 'inner surfaces', 'functional organisation', 'firing activity', 'female antennae', 'ethyl 4', 'convex plate', 'convex edge', 'confined within', 'abundant type', '5 mm2', '40 nm', '4 mm2', '3 types', '2 œºm', '2 types', '2 neurones']</t>
  </si>
  <si>
    <t>Olfaction | Pore plate sensillum | Rhinoceros beetle</t>
  </si>
  <si>
    <t>The antennae of the rhinoceros beetle, Oryctes rhinoceros (Coleoptera: Dynastidae), comprise 4 parts: the scape, the pedicel, a funicle, and a club of 3 lamellate segments. The inner surfaces of the lamellate club segments carry one type of trichoid sensilla, 2 types of sensilla coeloconica, and 3 types of multiporous pore plate sensilla. The total surface occupied by the sensilla on the antenna is 5.2¬±0.4 mm2 in males (mean¬±SD) and 5.4¬±0.5 mm2 in females. With a measured density of 8665¬±1254 sensilla per mm2 in males and 8952¬±1642 sensilla per mm2 in females, the total number of pore plate sensilla was estimated to be between 45,000 and 50,000. The structure of the 3 types of pore plate sensilla is described. SP1 are the most abundant type of placoid sensilla. They show a convex and rugged plate whose infoldings form a circle of irregular cavities. SP2 sensilla are characterised by a smooth and convex plate, surrounded by a furrow with a ridge. SP2 are localised on a wide band situated along the straight side of the lamella. The plate of SP3 is nearly flat and there is no furrow. SP3 are confined within a narrow margin along the convex edge of lamellae. The 3 types of pore plate sensilla house 2 neurones whose dendrites branch repeatedly under a plate of thin (0.2 Œºm) cuticle, which is pitted with numerous pores, 40 nm in diameter. Single sensillum recordings with tungsten microelectrodes revealed the firing activity of 2 neurones. These receptor neurones responded specifically to olfactory stimulus. Olfactory receptor neurones tuned to the male pheromone compound, ethyl 4-methyl octanoate, were found in male and female antennae. Other receptor neurones responded to plant volatiles. Morphological and electrophysiological data suggest the absence of a sexual dimorphism in the olfactory organs. The functional organisation of the olfactory organs is discussed in terms of their adaptation to the ecology of O. rhinoceros.</t>
  </si>
  <si>
    <t>227-233</t>
  </si>
  <si>
    <t>60003274;60003274;60031011</t>
  </si>
  <si>
    <t>7004185407;6507579354;24312471300</t>
  </si>
  <si>
    <t>Renou, M.;Tauban, D.;Morin, J. P.</t>
  </si>
  <si>
    <t>Paris;Versailles</t>
  </si>
  <si>
    <t>CIRAD;Centre de recherche √éle-de-France-Versailles - Grignon</t>
  </si>
  <si>
    <t>60031011;60003274</t>
  </si>
  <si>
    <t>Renou M.</t>
  </si>
  <si>
    <t>Structure and function of antennal pore plate sensilla of Oryctes rhinoceros (L.) (Coleoptera : Dynastidae)</t>
  </si>
  <si>
    <t>S0020732298000142</t>
  </si>
  <si>
    <t>10.1016/S0020-7322(98)00014-2</t>
  </si>
  <si>
    <t>2-s2.0-0032123411</t>
  </si>
  <si>
    <t>Ke-398\2-1</t>
  </si>
  <si>
    <t>['uncut hairs', 'total depolymerization', 'recorded directly', 'olfactory dendrites', 'normal responses', 'microtubules within', 'membrane cytoskeleton', 'likely reason', 'induced damage', 'found similar', 'especially common', 'electrophysiological point', 'cut tips', 'cut hairs', 'age related']</t>
  </si>
  <si>
    <t>Aging | Cytoskeleton | Injury | Membrane | Microtubules | Olfactory neuron</t>
  </si>
  <si>
    <t>Along the olfactory dendrites of the silkmoth Antheraea pernyi (Lepidoptera: Saturniidae), dilations called 'beads' are formed in vivo during (a) the aging of the animal and (b) after cutting the dendrites. 'Beads' show 3 different morphologies: (i) splaying of the microtubules within them, (ii) detachment of the membrane from the microtubular bundle without the splaying of microtubules, and (iii) total depolymerization of microtubules. The latter is especially common in the tips of the dendrite after cutting with tweezers. The most likely reason for the formation of these 'beads' is the calcium-induced damage to the microtubular and membrane cytoskeleton as evidenced by acridine orange staining. From the electrophysiological point of view, the 'beaded' dendrites at the cut tips are considered to be functional, because normal responses to pheromones can be recorded directly over cut hairs, and such responses have been found similar to recordings from uncut hairs. How age related 'beading' affects electrophysiological recordings is yet to be determined.</t>
  </si>
  <si>
    <t>179-183</t>
  </si>
  <si>
    <t>60005460;60005460</t>
  </si>
  <si>
    <t>7202418753;26643587600</t>
  </si>
  <si>
    <t>Kumar, George L.;Keil, Thomas A.</t>
  </si>
  <si>
    <t>Pocking</t>
  </si>
  <si>
    <t>Max Planck Institute for Ornithology</t>
  </si>
  <si>
    <t>Kumar G.</t>
  </si>
  <si>
    <t>The phenomenon of 'beading' in olfactory dendrites of the male silkmoth Antheraea pernyi guerin-meneville (Lepidoptera: Saturniidae)</t>
  </si>
  <si>
    <t>S0020732298000099</t>
  </si>
  <si>
    <t>10.1016/S0020-7322(98)00009-9</t>
  </si>
  <si>
    <t>2-s2.0-0032123562</t>
  </si>
  <si>
    <t>['structures used', 'signal integrity', 'paper presents', 'large boards', 'fast edges']</t>
  </si>
  <si>
    <t>This paper presents an overview of typical printed circuit board (PCB) structures used to make microwave components and antennas. It is shown that by learning to recognize some of these structures, and following good design practices, signal integrity and electromagnetic interference problems can be avoided in the design of large boards with fast edges.</t>
  </si>
  <si>
    <t>Circuit Design</t>
  </si>
  <si>
    <t>Burns, Larry</t>
  </si>
  <si>
    <t>Sunnyvale</t>
  </si>
  <si>
    <t>Pacific Monolithics</t>
  </si>
  <si>
    <t>Burns L.</t>
  </si>
  <si>
    <t>Microwave structures on printed circuit boards</t>
  </si>
  <si>
    <t>2-s2.0-0032123810</t>
  </si>
  <si>
    <t>['viable means', 'use real', 'topographic maps', 'standard deviation', 'precision farming', 'moving vehicle', 'intensive study', 'grid spacing', 'first conducted', 'elevation error', 'dgps data', 'data collected', 'collecting rtk', 'collecting data', 'approximate 30', 'approximate 3', 'approximate 10', '9 cm', '5 cm', '3 cm']</t>
  </si>
  <si>
    <t>GPS | Precision farming | Topographic mapping</t>
  </si>
  <si>
    <t>The objective of this study was to examine the potential to use real-time kinematic differential GPS (RTK-DGPS) to collect GPS data on a moving vehicle for the development of topographic maps. An intensive study on a 1.5 ha field on an approximate 3 m grid spacing was first conducted, using two GPS data collection modes, stop and go (using a tripod GPS antenna mount) and kinematic (with tractor mounted GPS antenna). It was found that the standard deviation of the elevation error between 10 true error points and the calculated topographic surface ranged from 2 to 3 cm for data collected on an approximate 3 m grid. The elevation error for derived grid spacings of 9, 18, and 33 m ranged from 2 to 5 cm. On a second 20 ha field, only RTK-DGPS data was collected on an approximate 10 m grid spacing, with a resulting elevation error of 4 cm using stop-and-go true error points, and 6 cm using RTK-DGPS true error points. A third 115 ha field was studied by collecting data on an approximate 30 m grid with RTK-DGPS, with a resulting elevation error of 9 cm. The results are positive and indicate that the technique of collecting RTK-DGPS data on a moving vehicle is a viable means by which data can be collected to quickly develop topographic maps for precision farming and other applications.</t>
  </si>
  <si>
    <t>909-916</t>
  </si>
  <si>
    <t>Transactions of the American Society of Agricultural Engineers</t>
  </si>
  <si>
    <t>101629983-60029747;</t>
  </si>
  <si>
    <t>56295885400;7408202302</t>
  </si>
  <si>
    <t>Clark, R. L.;Lee, R.</t>
  </si>
  <si>
    <t>Athens;Athens</t>
  </si>
  <si>
    <t>University of Georgia;ASAE</t>
  </si>
  <si>
    <t>60029747;101629983</t>
  </si>
  <si>
    <t>Clark R.</t>
  </si>
  <si>
    <t>Development of topographic maps for precision farming with kinematic GPS</t>
  </si>
  <si>
    <t>2-s2.0-0032124438</t>
  </si>
  <si>
    <t>94-37302-0613</t>
  </si>
  <si>
    <t>['usually larger', 'single oviduct', 'several ovarioles', 'seminal duct', 'partially developed', 'paired structures', 'ordinary glomeruli', 'one side', 'one large', 'normal males', 'normal females', 'missing together', 'males pectinate', 'male side', 'hufnagel ),', 'gynandromorph assumed', 'fused testes', 'female side', 'female antenna', 'calling posture', 'bursa copulatrix', 'brain included', 'antennal lobes', 'agrotis ipsilon', '2 valves']</t>
  </si>
  <si>
    <t>Brain | Gynandromorph | Macroglomerular complex | Sex pheromone</t>
  </si>
  <si>
    <t>Sexually dimorphic characteristics of a bilaterally asymmetric gynandromorphic black cutworm moth, Agrotis ipsilon (Hufnagel), were compared with those of normal males and females. On one side of the body, the gynandromorph's wings were larger and darker than on the other side, and the antenna was filiform. On the other side of the body, the wings were smaller and lighter in color, and the antenna was pectinate. Females were usually larger and more pigmented than males. Female antenna were filiform and those of males pectinate. At the tip of the abdomen, the gynandromorph had 2 valves, as normal males do, but the one on the female side was smaller. The antennal lobes of the gynandromorph's brain included only ordinary glomeruli on the female side, and ordinary glomeruli plus a partially developed macroglomerular complex (MGC) at the base of the antenna on the male side. Normal female antennal lobes contained only ordinary glomeruli. Normal male antennal lobes contained ordinary glomeruli and a fully developed MGC, consisting of one large and 3 smaller glomeruli. In the gynandromorph, female reproductive organs were partially developed or absent. A portion of the oviduct was missing together with several ovarioles, and no spermatheca or seminal duct were found. The male reproductive track was complete, except for the paired structures, which in the gynandromorph were single. Normal females had paired accessory glands and ovaries, and single oviduct, bursa copulatrix, and spermatheca. Normal males had fused testes, paired accessory glands, and a single ejaculatory duct and aedeagus. The gynandromorph assumed a calling posture and attracted one male, but it did not respond to the pheromone from females.</t>
  </si>
  <si>
    <t>185-191</t>
  </si>
  <si>
    <t>60015941;60029170;60015941-60004354;60015941</t>
  </si>
  <si>
    <t>6603616929;7005809476;56136051000;7101942624</t>
  </si>
  <si>
    <t>Gemeno, C√©sar;Anton, Sylvia;Zhu, Jun Wei;Haynes, Kenneth F.</t>
  </si>
  <si>
    <t>Sweden;United States;United States</t>
  </si>
  <si>
    <t>Lund;Lexington;Ames</t>
  </si>
  <si>
    <t>Lunds Universitet;University of Kentucky;Iowa State University</t>
  </si>
  <si>
    <t>60029170;60015941;60004354</t>
  </si>
  <si>
    <t>Gemeno C.</t>
  </si>
  <si>
    <t>Morphology of the reproductive system and antennal lobes of gynandromorphic and normal black cutworm moths, Agrotis ipsilon (Hufnagel) (Lepidoptera: Noctuidae)</t>
  </si>
  <si>
    <t>S0020732298000105</t>
  </si>
  <si>
    <t>10.1016/S0020-7322(98)00010-5</t>
  </si>
  <si>
    <t>2-s2.0-0032124453</t>
  </si>
  <si>
    <t>['water surfaces', 'sea states', 'sea state', 'reflecting surface', 'reflected signal', 'reference pseudo', 'performed using', 'gps signals', 'function showed', 'bistatic scattering', 'aircraft experiments']</t>
  </si>
  <si>
    <t>A series of aircraft experiments was performed using a specialized GPS receiver and a nadir-oriented left hand circularly polarized antenna. This apparatus received reflections of the GPS signals from water surfaces under a variety of sea states. The cross-correlation between the reflected signal and a reference pseudo-random noise code was recorded as a function of the relative time delay. The shape of this function showed a dependence on the roughness of the reflecting surface. This dependence generally following that predicted by theory for bistatic scattering of range coded signals. Use of this information as a remote sensing technique for the determination of sea state is discussed.</t>
  </si>
  <si>
    <t>2257-2260</t>
  </si>
  <si>
    <t>60000854-60009982;60009982-60000854;60000854</t>
  </si>
  <si>
    <t>7102258993;6701544664;7404447872</t>
  </si>
  <si>
    <t>Garrison, James L.;Katzberg, Stephen J.;Hill, Michael I.</t>
  </si>
  <si>
    <t>Cambridge;Hampton</t>
  </si>
  <si>
    <t>Harvard University;NASA Langley Research Center</t>
  </si>
  <si>
    <t>60009982;60000854</t>
  </si>
  <si>
    <t>Garrison J.</t>
  </si>
  <si>
    <t>Effect of sea roughness on bistatically scattered range coded signals from the Global Positioning System</t>
  </si>
  <si>
    <t>10.1029/98GL51615</t>
  </si>
  <si>
    <t>2-s2.0-0032125367</t>
  </si>
  <si>
    <t>['usa 92', 'tested polypeptides', 'sulfosuccinimidylpropionate ).', 'second dimensions', 'reaction center', 'protein composition', 'overall pattern', 'opposite sides', 'natl acad', 'many cross', 'major lhcii', 'linking products', 'linking agent', 'linker dithiobis', 'harvesting complex', 'evolving enhancer', 'electron microscopy', 'disulfide bond', 'diagonal electrophoresis', 'data used', 'core complex', '179 ].', '., kruip']</t>
  </si>
  <si>
    <t>Chemical cross-linking | Light-harvesting complex | Marchantia polymorpha | Minor chlorophyll-a/b-binding protein | Photosystem II</t>
  </si>
  <si>
    <t>A new photosystem II preparation was isolated from Marchantia polymorpha thylakoids upon solubilization with dodecyl Œ≤-D-maltoside and glycerol gradient ultracentrifugation. Its protein composition was analyzed, and all tested polypeptides from the core complex, the oxygen-evolving enhancer and the light-harvesting complex (LHC) could be detected. The only component severely depleted compared with the grana membrane preparation was the psbS gene product. This complex was subjected to chemical crosslinking using the cleavable homobifunctional dress-linker dithiobis(sulfosuccinimidylpropionate). The overall pattern of cross-linking-products was analyzed by diagonal electrophoresis, where the cross-linking agent was cleaved by reduction of the disulfide bond between the first and second dimensions of the gel, followed by immunoblotting. Many cross-linking products were characterized and these data used in order to identify protein masses revealed by electron microscopy [Boekema, E. J., Hankamer, B., Bald, D., Kruip, J., Nield, J., Boonstra, A. E, Barber, J. and Rogner, M. (1995) Proc. Natl Acad. Sci. USA 92, 175-179]. It is concluded that the core proteins CP43 and CP47 are located at opposite sides of the D1-D2-cytochrome b559 complex. Minor CAB proteins were found to interact with core complex subunits (CP29, CP26) and LHCII (CP26), supporting the view that these proteins could interface the major LHCII with the reaction center.</t>
  </si>
  <si>
    <t>60023208;60023208;60023208;60023208</t>
  </si>
  <si>
    <t>6603462789;35553979700;6602078370;57198199286</t>
  </si>
  <si>
    <t>Harrer, R.;Bassi, R.;Testi, M. G.;Schafer, C.</t>
  </si>
  <si>
    <t>Bayreuth</t>
  </si>
  <si>
    <t>Universit√§t Bayreuth</t>
  </si>
  <si>
    <t>Harrer R.</t>
  </si>
  <si>
    <t>Nearest-neighbor analysis of a photosystem II complex from marchantia polymorpha L. (liverwort), which contains reaction center and antenna proteins</t>
  </si>
  <si>
    <t>10.1046/j.1432-1327.1998.2550196.x</t>
  </si>
  <si>
    <t>2-s2.0-0032125846</t>
  </si>
  <si>
    <t>IBN-9614492</t>
  </si>
  <si>
    <t>['therefore influences', 'temporal dynamics', 'temporal aspects', 'spectral analysis', 'signals arriving', 'signal structure', 'sensory filter', 'results showed', 'receptor cells', 'pulsatile stimuli', 'peak height', 'functional role', 'fluid flow', 'decay time', 'continuous data', 'chemical signals', 'chemical signal', 'boundary layer', 'antennal morphology']</t>
  </si>
  <si>
    <t>A. mellifera | Antenna | Chemoreception | Fluid flow | Olfaction</t>
  </si>
  <si>
    <t>There are many different antennal morphologies for insects, yet they all have the same functional role in olfaction. Chemical signals are dispersed through two physical forces; diffusion and fluid flow. The interaction between antennal morphology and fluid flow generates a region of changing flow velocity called the boundary layer. The boundary layer determines signal dispersion dynamics and therefore influences the signal structure and information that arrives at the receptor cells. To investigate how the boundary layer changes the formation in the signals arriving at receptor cells, we measured chemical dynamics within the boundary layer around the been antennae using microelectrodes. We used two types of chemical signals: pulsed and continuous. The results showed that the boundary layer increased the decay time of the chemical signal for the pulsatile stimuli and increased the peak height for the continuous data. Spectral analysis of continuous signals showed that the temporal aspects of the chemical signal are changed by the boundary layer. Particularly the temporal dynamics of the signal are dampened at the slowest flow speed and amplified at the intermediate and fast flow speeds. By altering the structure of the chemical signal, the morphology will function as a sensory filter.</t>
  </si>
  <si>
    <t>677-684</t>
  </si>
  <si>
    <t>100840129;100840129;100840129</t>
  </si>
  <si>
    <t>56188183200;7201560438;55472495900</t>
  </si>
  <si>
    <t>Schneider, Robb W.S.;Price, Brad A.;Moore, Paul A.</t>
  </si>
  <si>
    <t>Laboratory for Sensory Ecology</t>
  </si>
  <si>
    <t>Antennal morphology as a physical filter of olfaction: Temporal tuning of the antennae of the honeybee, Apis mellifera</t>
  </si>
  <si>
    <t>S0022191098000250</t>
  </si>
  <si>
    <t>10.1016/S0022-1910(98)00025-0</t>
  </si>
  <si>
    <t>2-s2.0-0032126123</t>
  </si>
  <si>
    <t>['transcatheter ablation', 'terminating disk', 'successive inclusion', 'sleeve choke', 'rl measurement', 'rl ).', 'return loss', 'numerical calculations', 'monopole antenna', 'magnetic fields', 'fourier transformation', 'difference time', 'design features', 'cardiac tissue']</t>
  </si>
  <si>
    <t>Arrhythmia | Catheter ablation | Electrocardiology | Microwave</t>
  </si>
  <si>
    <t>A microwave antenna system for transcatheter ablation of cardiac tissue is investigated. A numerical model based on the finite-difference time- domain method incorporating a Gaussian pulse excitation has been constructed and frequency domain electric and magnetic fields are obtained through Fourier transformation. Results are presented for a coaxial line fed monopole catheter which is modified by the successive inclusion of a Teflon sheath outer coating, a terminating disk at the tip of the antenna, a sleeve choke, and a high dielectric constant cylinder surrounding the monopole antenna. The effects of these design features are characterized in terms of specific absorption rate (SAR) and return loss (RL). Numerical calculations are confirmed by comparing with the RL measurement of a Teflon-coated monopole containing a disk and choke.</t>
  </si>
  <si>
    <t>885-890</t>
  </si>
  <si>
    <t>IEEE Transactions on Biomedical Engineering</t>
  </si>
  <si>
    <t>60020547;60020547;60020547;60020547;60020547</t>
  </si>
  <si>
    <t>7003263401;14919001900;6603195081;36839905400;57225692428</t>
  </si>
  <si>
    <t>Nevels, Robert D.;Dickey Arndt, G.;Raffoul, George W.;Carl, James R.;Pacifico, Antonio</t>
  </si>
  <si>
    <t>Nevels R.D.</t>
  </si>
  <si>
    <t>Microwave catheter design</t>
  </si>
  <si>
    <t>S0018929498043821</t>
  </si>
  <si>
    <t>10.1109/10.686796</t>
  </si>
  <si>
    <t>2-s2.0-0032126618</t>
  </si>
  <si>
    <t>['spatial spectrum', 'signal scattered', 'rough boundaries', 'limiting ability', 'experimental measurements', 'estimated level', 'array noise']</t>
  </si>
  <si>
    <t>The spatial spectrum is estimated for the signal scattered by the rough boundaries of a waveguide with a point sound source. The result is expressed in terms of the intensity of the scattered signal received by a single array element. The estimated level of the scattered signal determines the limiting ability of the array to select weak signals against high-level background noise. It is shown that the computations agree well with experimental measurements of the parameters of the array noise.</t>
  </si>
  <si>
    <t>389-393</t>
  </si>
  <si>
    <t>Zverev, V. A.</t>
  </si>
  <si>
    <t>Zverev V.A.</t>
  </si>
  <si>
    <t>Noise of an acoustic antenna array in a waveguide</t>
  </si>
  <si>
    <t>2-s2.0-0032364839</t>
  </si>
  <si>
    <t>404-407</t>
  </si>
  <si>
    <t>Doklady Physics</t>
  </si>
  <si>
    <t>60008673;60105253;60008673</t>
  </si>
  <si>
    <t>14624720000;7004451355;6603863264</t>
  </si>
  <si>
    <t>Voinova, L. Yu;Nefedov, E. I.;Eminov, S. I.</t>
  </si>
  <si>
    <t>Fryazino;Nizhny Novgorod</t>
  </si>
  <si>
    <t>Kotel'nikov Institute of Radio Engineering and Electronics of Russian Academy of Sciences, Fryazino Branch;Lobachevsky State University of Nizhni Novgorod</t>
  </si>
  <si>
    <t>60105253;60008673</t>
  </si>
  <si>
    <t>Voinova L.</t>
  </si>
  <si>
    <t>Solution of integrodifferential equations for biconical antenna-waveguiding structures</t>
  </si>
  <si>
    <t>2-s2.0-0032380726</t>
  </si>
  <si>
    <t>['two pairs', 'simultaneous recording', 'region corresponding', 'noise received', 'noise produced', 'noise generated', 'individual wave', 'hydrophones characterized', 'experimental data', 'equal delays', 'correlation coefficients', 'breaking events', 'angular spectrum']</t>
  </si>
  <si>
    <t>The angular spectrum of noise generated by breaking of a single oceanic wind wave is studied. The experimental data are obtained from a self-contained buoyed station carrying a multielement vertical antenna at a depth of 20 m. The selection of noise produced by individual wave-breaking events is based on the simultaneous recording of the cross-correlation coefficients of noise received by two pairs of hydrophones characterized by equal delays. The region corresponding to the uniqueness of the result is estimated, and the correlation between the measured and calculated angular spectra is verified.</t>
  </si>
  <si>
    <t>452-455</t>
  </si>
  <si>
    <t>Postnov, G. A.</t>
  </si>
  <si>
    <t>P.P.Shirshov Institute of Oceanology, Russian Academy of Sciences</t>
  </si>
  <si>
    <t>Postnov G.</t>
  </si>
  <si>
    <t>Experimental evaluation of the angular distribution of noise generated by single wave-breaking events</t>
  </si>
  <si>
    <t>2-s2.0-0032393008</t>
  </si>
  <si>
    <t>['major injuries', 'interperiodica publishing', 'injured specimens', 'individual injuries', 'five similar', 'estimated value', 'empirical maximum', 'different lesions', 'critical level', '141 mm']</t>
  </si>
  <si>
    <t>The character and incidence of external morphological injuries in the male snow crab Chionoecetes opilio in the western Bering Sea were studied. Major injuries in 54.8% of the crabs (body size 79-141 mm) were the loss of eyes, antennae, and limbs and deformations of the rostrum, carapace, and abdomen. The larger the crabs, the greater the percentage of injured specimens. The empirical maximum of individual injuries was five similar or different lesions of the body, whereas the estimated value was six. It was supposed that five to six injuries lead to the critical level at which the crabs become nonviable and perish. ¬© 1998 MAEe Cyrillic signK HayŒ∫a/Interperiodica Publishing.</t>
  </si>
  <si>
    <t>270-272</t>
  </si>
  <si>
    <t>Russian Journal of Marine Biology</t>
  </si>
  <si>
    <t>Selin, N. I.</t>
  </si>
  <si>
    <t>National Scientific Center of Marine Biology, Far Eastern Branch, Russian Academy of Sciences</t>
  </si>
  <si>
    <t>Selin N.</t>
  </si>
  <si>
    <t>Injuries in the snow crab Chionoecetes opilio in the western Bering Sea</t>
  </si>
  <si>
    <t>2-s2.0-27644566630</t>
  </si>
  <si>
    <t>96-02-17354</t>
  </si>
  <si>
    <t>['wavelength œª', 'solar wind', 'radioastronomical studies', 'large number']</t>
  </si>
  <si>
    <t>We describe a simple, inexpensive multibeam receiving antenna array with wavelength Œª=2 m for radioastronomical studies of the solar wind by interplanetary scintillation observations of a large number of weak space radio sources.</t>
  </si>
  <si>
    <t>555-565</t>
  </si>
  <si>
    <t>60009114;60009114;60009114;60009114;60009114;60009114;60009114</t>
  </si>
  <si>
    <t>55222507800;6701611222;7005097259;8345731200;7006155805;8345731500;6603568357</t>
  </si>
  <si>
    <t>Vlasov, V. I.;Kutuzov, S. M.;Shishov, V. I.;Azarenkov, Y. I.;Isaev, E. A.;Kostromin, V. I.;Solomin, N. S.</t>
  </si>
  <si>
    <t>P.N. Lebedev Physical Institute of the Russian Academy of Sciences</t>
  </si>
  <si>
    <t>Vlasov V.I.</t>
  </si>
  <si>
    <t>A 151 MHz radioastronomical antenna of wave channel elements</t>
  </si>
  <si>
    <t>10.1007/BF02675842</t>
  </si>
  <si>
    <t>2-s2.0-85050561693</t>
  </si>
  <si>
    <t>['xanthophyll binding', 'wavelengths 666', 'total number', 'thus suggesting', 'therefore identify', 'still binding', 'spectroscopic analysis', 'single chlorophyll', 'refolding capability', 'recombinant proteins', 'purification procedures', 'protein could', 'protein complex', 'peculiar feature', 'native complex', 'monomer bound', 'minor subunit', 'major violaxanthin', 'maize thylakoids', 'lhcb6 cdna', 'increased amplitude', 'homologous proteins', 'harvesting chlorophyll', 'gaussian subbands', 'gain information', 'different chlorophyll', 'cp24 apoprotein', 'coordinating violaxanthin', 'chlorophyll b', 'binding zeaxanthin', 'b ratios', 'alternative approach', '686 nm', '659 nm', '10 chlorophyll']</t>
  </si>
  <si>
    <t>The light-harvesting chlorophyll a/b protein CP24, a minor subunit of the photosystem H antenna system, is a major violaxanthin-binding protein involved in the regulation of excited state concentration of chlorophyll a. This subunit is poorly characterized due to the difficulty in isolation and instability during purification procedures. We have used an alternative approach in order to gain information on the properties of this protein; the Lhcb6 cDNA has been overexpressed in bacteria in order to obtain the CP24 apoprotein, which was then reconstituted in vitro with xanthophylls, chlorophyll a, and chlorophyll b, yielding a pigment-protein complex with properties essentially identical to the native protein extracted from maize thylakoids. Although all earotenoids were supplied during refolding, the recombinant holoprotein exhibited high selectivity in xanthophyll binding by coordinating violaxanthin and lutein but not neoxanthin or Œ≤-carotene. Each monomer bound a total of 10 chlorophyll a plus chlorophyll b and two xanthophyll molecules. Moreover, the protein could be refolded in the presence of different chlorophyll a to chlorophyll b ratios for yielding a family of recombinant proteins with different chlorophyll a/b ratios but still binding the same total number of porphyrins. A peculiar feature of CP24 was its refolding capability in the absence of lutein, contrary to the case of other homologous proteins, thus showing higher plasticity in xanthophyll binding. These characteristics of CP24 are discussed with respect to its role in binding zeaxanthin in high light stress conditions. The spectroscopic analysis of a recombinant CP24 complex binding eight chlorophyll b molecules and a single chlorophyll a molecule by Gaussian deconvolution allowed the identification of four subbands peaking at wavelengths of 638, 645, 653, and 659 nm, which have an increased amplitude with respect to the native complex and therefore identify the chlorophyll b absorption in the antenna protein environment. Gaussian subbands at wavelengths 666, 673, 679, and 686 nm are depleted in the high chlorophyll b complex, thus suggesting they derive from chlorophyll a.</t>
  </si>
  <si>
    <t>17154-17165</t>
  </si>
  <si>
    <t>Journal of Biological Chemistry</t>
  </si>
  <si>
    <t>60032256;60032256;60032256</t>
  </si>
  <si>
    <t>7102328111;6701591424;35553979700</t>
  </si>
  <si>
    <t>Pagano, Aldo;Cinque, Gianfelice;Bassi, Roberto</t>
  </si>
  <si>
    <t>Verona</t>
  </si>
  <si>
    <t>Universit√† degli Studi di Verona</t>
  </si>
  <si>
    <t>Pagano A.</t>
  </si>
  <si>
    <t>In vitro reconstitution of the recombinant photosystem II light- harvesting complex CP24 and its spectroscopic characterization</t>
  </si>
  <si>
    <t>10.1074/jbc.273.27.17154</t>
  </si>
  <si>
    <t>2-s2.0-0032479172</t>
  </si>
  <si>
    <t>Basic Energy Sciences</t>
  </si>
  <si>
    <t>96-04-49205</t>
  </si>
  <si>
    <t>BES</t>
  </si>
  <si>
    <t>['transition band', 'excitation delocalization', 'chlorosomes isolated', 'bleaching peak']</t>
  </si>
  <si>
    <t>Absorption difference spectroscopy | Antenna pigment organization | Bacterial photosynthesis | Bacteriochlorophyll c | Green photosynthetic bacteria | Ultrafast spectroscopy</t>
  </si>
  <si>
    <t>Room temperature absorption difference spectra were measured on the femtosecond through picosecond time scales for chlorosomes isolated from the green bacterium Chloroflexus aurantiacus. Anomalously high values of photoinduced absorption changes were revealed in the BChl c Q(y) transition band. Photoinduced absorption changes at the bleaching peak in the BChl a band were found to be 7-8 times greater than those at the bleaching peak in the BChI a band of the chlorosome. This appears to be the first direct experimental proof of excitation delocalization over many BChl c antenna molecules in the chlorosome.</t>
  </si>
  <si>
    <t>323-326</t>
  </si>
  <si>
    <t>60008023;60008023;60008023;60003892;60007457;60007457;60007457</t>
  </si>
  <si>
    <t>6701607000;7102229463;57193129444;57203046340;7004150114;7004238663;7003830809</t>
  </si>
  <si>
    <t>Savikhin, Sergei;Buck, Daniel R.;Struve, Walter S.;Blankenship, Robert E.;Taisova, Alexandra S.;Novoderezhkin, Vladimir I.;Fetisova, Zoya G.</t>
  </si>
  <si>
    <t>United States;Russian Federation;United States</t>
  </si>
  <si>
    <t>Ames;Moscow;Tempe</t>
  </si>
  <si>
    <t>Ames Laboratory;Lomonosov Moscow State University;Arizona State University</t>
  </si>
  <si>
    <t>60008023;60007457;60003892</t>
  </si>
  <si>
    <t>Savikhin S.</t>
  </si>
  <si>
    <t>Excitation delocalization in the bacteriochlorophyll c antenna of the green bacterium Chloroflexus aurantiacus as revealed by ultrafast pump-probe spectroscopy</t>
  </si>
  <si>
    <t>S0014579398006917</t>
  </si>
  <si>
    <t>10.1016/S0014-5793(98)00691-7</t>
  </si>
  <si>
    <t>2-s2.0-0032479197</t>
  </si>
  <si>
    <t>['supramolecular assemblies', 'rigid glass', 'quenching rates', 'nearest donor', 'metal complexes', 'low temperatures', 'increased 10', 'ethylene glycol', 'electron transfer', 'butylammonium salt', 'bazrp suspensions', 'bazrp galleries', 'bazrp ).', 'antenna effect', 'acceptor proceed', 'acceptor pairs', '77 k', '1 mixture']</t>
  </si>
  <si>
    <t>Rapid photoinduced electron transfer was observed with supramolecular assemblies of donor and acceptor metal complexes at the galleries of n-butylammonium salt of Œ±-zirconium phosphate ((C4H9NH3)2Zr(PO4) 2¬∑x2O, abbreviated as BAZrP). Tris(2,2‚Ä≤-bipyridyl)ruthenium(II)2+ luminescence, for example, was quenched by tris(2,2‚Ä≤-bipyridyl)cobalt(III)3+ with rate constants exceeding 1.6 √ó 1012 m2 mol-1 s-1, when the metal complexes were intercalated in the galleries of BAZrP. The quenching rates were unaffected when the viscosity of the BAZrP suspensions was increased (2:1 mixture of ethylene glycol-water) or when the loading of the donor was increased 10-fold. Even when cooled to 77 K, as a rigid glass, the electron transfer reactions between the donor and the acceptor proceed at essentially the same rate as at room temperature indicating a very low activation energy for the electron transfer reaction. These activation-less rate constants are faster than anticipated for diffusion controlled electron transfer rates at BAZrP galleries, at low temperatures. Excited-state energy migration from donor to donor (antenna effect) followed by electron transfer between the nearest donor-acceptor pairs is one explanation proposed to account for the above observations.</t>
  </si>
  <si>
    <t>5562-5568</t>
  </si>
  <si>
    <t>60022659;60022659;60022659</t>
  </si>
  <si>
    <t>57208458030;6701736907;7404557248</t>
  </si>
  <si>
    <t>Kumar, C. V.;Williams, Zeena J.;Turner, Rebecca S.</t>
  </si>
  <si>
    <t>Storrs</t>
  </si>
  <si>
    <t>Kumar C.</t>
  </si>
  <si>
    <t>Supramolecular assemblies of metal complexes: Light-induced electron transfer in the galleries of Œ±-zirconium phosphate</t>
  </si>
  <si>
    <t>10.1021/jp9801323</t>
  </si>
  <si>
    <t>2-s2.0-0000752049</t>
  </si>
  <si>
    <t>['rf requirements', 'passive equivalent', 'low noise', 'integrating dc', 'high gain', 'authors report', '335 ghz', '24db gain']</t>
  </si>
  <si>
    <t>The authors report a novel active integrated receiving antenna providing between 12 and 24dB gain when referred to a passive equivalent at 1.335 GHz. The antenna is of a compact coplanar form, integrating DC and RF requirements to obtain both high gain and low noise.</t>
  </si>
  <si>
    <t>1367-1368</t>
  </si>
  <si>
    <t>6602104810;7201658579;57213425197</t>
  </si>
  <si>
    <t>Ormiston, T. D.;Gardner, P.;Hall, P. S.</t>
  </si>
  <si>
    <t>Ormiston T.</t>
  </si>
  <si>
    <t>Compact low noise receiving antenna</t>
  </si>
  <si>
    <t>10.1049/el:19980524</t>
  </si>
  <si>
    <t>2-s2.0-0032114552</t>
  </si>
  <si>
    <t>['techniques used', 'low cost', 'directly mounted', 'ask demodulator', 'array consists']</t>
  </si>
  <si>
    <t>A novel active array antenna for short-range communication applications is presented. Each element of the array consists of a 'cold' MESFET which performs both the ASK demodulator and the DPSK reflection modulator functions and which is directly mounted on a rectangular microstrip resonator. The techniques used to fabricate this active antenna provide good performance at low cost and low power consumption.</t>
  </si>
  <si>
    <t>1370-1371</t>
  </si>
  <si>
    <t>60026113;60026113</t>
  </si>
  <si>
    <t>6602861146;6602517840</t>
  </si>
  <si>
    <t>Carrez, F.;Vindevoghel, J.</t>
  </si>
  <si>
    <t>Integrated circuit array antenna for short-range communication systems</t>
  </si>
  <si>
    <t>10.1049/el:19981008</t>
  </si>
  <si>
    <t>2-s2.0-0032115384</t>
  </si>
  <si>
    <t>['window functions', 'vertical dipoles', 'verified using', 'synthesis procedure', 'omnidirectional region', 'multiple nulls', 'gain ripple', 'design procedure', 'circular arrays']</t>
  </si>
  <si>
    <t>The results are presented of a synthesis procedure for omnidirectional radiation patterns with multiple nulls for circular arrays of vertical dipoles. The gain ripple in the omnidirectional region can be controlled by the use of window functions in the design procedure. The results are verified using the numerical electromagnetics code.</t>
  </si>
  <si>
    <t>1371-1373</t>
  </si>
  <si>
    <t>60029428;60021902;60021902</t>
  </si>
  <si>
    <t>7006421888;35561582300;7004459157</t>
  </si>
  <si>
    <t>Abele, J.;Joubert, J.;Odendaal, J. W.</t>
  </si>
  <si>
    <t>Germany;South Africa</t>
  </si>
  <si>
    <t>Karlsruhe;Pretoria</t>
  </si>
  <si>
    <t>Karlsruhe Institute of Technology, Campus South;University of Pretoria</t>
  </si>
  <si>
    <t>60029428;60021902</t>
  </si>
  <si>
    <t>Abele J.</t>
  </si>
  <si>
    <t>Introduction of multiple nulls in otherwise omnidirectional pattern of circular dipole array</t>
  </si>
  <si>
    <t>10.1049/el:19980971</t>
  </si>
  <si>
    <t>2-s2.0-0032115503</t>
  </si>
  <si>
    <t>['two frequencies', 'radiating edges', 'obtained dual', 'novel dual', 'frequency ratio', 'frequency performance', 'frequency operation', 'experimentally studied', 'embedded slots', 'bent angle']</t>
  </si>
  <si>
    <t>By embedding a pair of properly-bent narrow slots close to the non-radiating edges of a rectangular microstrip patch, a novel dual-frequency operation of microstrip antennas using a single probe feed is proposed and experimentally studied. The two operating frequencies have parallel polarisation planes and similar broadside radiation patterns, and the frequency ratio of the two frequencies is controlled by the bent angle of the embedded slots. Details of the obtained dual-frequency performance are presented and discussed.</t>
  </si>
  <si>
    <t>1368-1370</t>
  </si>
  <si>
    <t>35460663000;35249332900</t>
  </si>
  <si>
    <t>Wong, Kin Lu;Sze, Jia Yi</t>
  </si>
  <si>
    <t>Dual-frequency slotted rectangular microstrip antenna</t>
  </si>
  <si>
    <t>10.1049/el:19980985</t>
  </si>
  <si>
    <t>2-s2.0-0032117115</t>
  </si>
  <si>
    <t>['six dual', 'microstrip lines', 'measured results', 'good agreement', 'developed using']</t>
  </si>
  <si>
    <t>An X-band planar reflector with a broad responding beam was developed using the Van Atta retrodirective antenna array. The reflector contained four antenna sub-arrays, each with six dual-slot antennas appropriately fed and paired by microstrip lines on the backside of the substrate. Good agreement has been achieved between theoretical and measured results.</t>
  </si>
  <si>
    <t>1374-1376</t>
  </si>
  <si>
    <t>7202120322;7404570992;55469205300</t>
  </si>
  <si>
    <t>Tseng, Wen Jen;Hu, Chun Shu;Chung, Shyh Jong</t>
  </si>
  <si>
    <t>Planar retrodirective array reflector using dual-slot antennas</t>
  </si>
  <si>
    <t>10.1049/el:19980983</t>
  </si>
  <si>
    <t>2-s2.0-0032120540</t>
  </si>
  <si>
    <t>['two kinds', 'radiation field', 'measured bandwidth', 'lwa spreads', 'increasing frequency', 'coupled microstrip', 'broadside mainbeam']</t>
  </si>
  <si>
    <t>A microstrip first higher order leaky wave antenna (LWA), centre-fed by an aperture-coupled microstrip with a broadside mainbeam, is presented. The measured bandwidth (23% for VSWR &lt; 2:1) is in agreement with the leaky radiation band predicted. The experimental gain patterns, compared with those of a patch antenna fed by the same type of structure, reveal the difference between these two kinds of antenna. With increasing frequency, the radiation field of the LWA spreads into the H-plane, forming a flatter broadside pattern, which can be applied to long rectangular area communication.</t>
  </si>
  <si>
    <t>1366-1367</t>
  </si>
  <si>
    <t>7405539894;7407362255</t>
  </si>
  <si>
    <t>Chen, Tai Lee;Lin, Yu De</t>
  </si>
  <si>
    <t>Chen T.</t>
  </si>
  <si>
    <t>Aperture-coupled microstrip line leaky wave antenna with broadside mainbeam</t>
  </si>
  <si>
    <t>10.1049/el:19980969</t>
  </si>
  <si>
    <t>2-s2.0-0032121163</t>
  </si>
  <si>
    <t>['slot length', 'radiation patterns', 'proposed antenna', 'portable telephone', 'input impedances', 'horizontal plane', 'ground plane', 'base station']</t>
  </si>
  <si>
    <t>A new microstrip antenna with a back-to-back configuration relative to a slot on a ground plane is proposed. The proposed antenna has an omnidirectional or bidirectional radiation pattern in a horizontal plane. The characteristics of the proposed antenna were clarified by experiments. The input impedances and radiation patterns were measured as parameters of the slot length. Good input impedances and radiation patterns have been obtained. The proposed antenna is suitable as a base station in many wireless communications, and as a portable telephone.</t>
  </si>
  <si>
    <t>1373-1374</t>
  </si>
  <si>
    <t>Iwasaki, H.</t>
  </si>
  <si>
    <t>Iwasaki H.</t>
  </si>
  <si>
    <t>Microstrip antenna with back-to-back configuration relative to a slot on a ground plane</t>
  </si>
  <si>
    <t>10.1049/el:19980998</t>
  </si>
  <si>
    <t>2-s2.0-11744291841</t>
  </si>
  <si>
    <t>['source responsible', 'scuba image', 's68n region', 'previous investigations', 'interferometric data', 'haystack 37', 'first time', 'compact outflow', 'combined haystack', 'also present', 'accurate position', '12 pc', '03 pc']</t>
  </si>
  <si>
    <t>ISM: clouds | ISM: jets and outflows | Line: profiles | Radio lines: ISM | Radio lines: stars | Stars: formation</t>
  </si>
  <si>
    <t>We have discovered a compact outflow of ‚âà80‚Ä≥ (0.12 pc) total extent toward S68N in the Serpens molecular cloud, which we have imaged in CS. We present outflow images acquired with the Haystack 37 m antenna and from combined Haystack and interferometric data, the latter at 12‚Ä≥ √ó 6‚Ä≥ angular resolution. The large derived outflow momentum flux (‚àº2 √ó 10-4 M‚äô km s-1 yr 1) is consistent with the high values found in the earliest protostellar stage (Bonternps et al.). We also present a new 450 Œºm continuum image of the S68N region at 7‚Ä≥ resolution obtained with the Submillimetre Common User Bolometer Array (SCUBA) on the James Clerk Maxwell Telescope. We identify the source responsible for this outflow for the first time from the SCUBA image and report a new, more accurate position for S68N than has been used in previous investigations. We demonstrate spatial variability in the self-absorbed CS J = 2 ‚Üí 1 line profile shapes at 0.03 pc (18‚Ä≥) scales, emphasizing the need for detailed radiative transfer modeling for disentangling the complicated source kinematics.</t>
  </si>
  <si>
    <t>2 PART 2</t>
  </si>
  <si>
    <t>60029526;60029526;60024185;60006858;60027550;60022195;60024185</t>
  </si>
  <si>
    <t>6602147092;7004358184;35749157400;7004002583;55975390100;35242961300;7005806637</t>
  </si>
  <si>
    <t>Wolf-Chase, Grace A.;Barsony, Mary;Wootten, H. Alwyn;Ward-Thompson, Derek;Lowrance, Patrick J.;Kastner, Joel H.;McMullin, Joseph P.</t>
  </si>
  <si>
    <t>United States;United States;United States;United States;United Kingdom</t>
  </si>
  <si>
    <t>Riverside;Los Angeles;Charlottesville;Cambridge;Edinburgh</t>
  </si>
  <si>
    <t>University of California, Riverside;University of California, Los Angeles;National Radio Astronomy Observatory;Massachusetts Institute of Technology;Royal Observatory</t>
  </si>
  <si>
    <t>60029526;60027550;60024185;60022195;60006858</t>
  </si>
  <si>
    <t>Wolf-Chase G.A.</t>
  </si>
  <si>
    <t>The protostellar origin of a CS outflow in S68N</t>
  </si>
  <si>
    <t>2-s2.0-0032503835</t>
  </si>
  <si>
    <t>Verband der Chemischen Industrie</t>
  </si>
  <si>
    <t>VCI</t>
  </si>
  <si>
    <t>['two rc', 'terminal antenna', 'structural support', 'similar set', 'significant differences', 'purple bacteria', 'psii indicate', 'psh respectively', 'protein complex', 'photosystem ii', 'photosystem h', 'photosynthetic rc', 'inter alia', 'inferred roles', 'individual cofactors', 'heliobacteria ).', 'core proteins', 'constituent cofactors', 'binding domains', 'binding domain']</t>
  </si>
  <si>
    <t>Green sulfur bacteria | Heliobacteria | Photosynthetic reaction centers | Photosystem I and photosystem II | Purple bacteria</t>
  </si>
  <si>
    <t>The 4 √Ö structural model of photosystem I (PSI) has elucidated essential features of this protein complex. Inter alia, it demonstrates that the core proteins of PSI, PsaA and PsaB each consist of an N-terminal antenna-binding domain, and a C-terminal reaction center (RC)-domain. A comparison of the PC-domain of PSI and the photosynthetic RC of purple bacteria (PbRC), reveals significantly analogous structures. This provides the structural support for the hypothesis that the two RC-types (I and II) share a common evolutionary origin. Apart from a similar set of constituent cofactors of the electron transfer system, the analogous features include a comparable cofactor arrangement and a corresponding secondary structure motif of the RC-cores. Despite these analogies, significant differences are evident, particularly as regards the distances between and the orientation of individual cofactors, and the length and orientation of Œ±-helices. Inferred roles of conserved amino acids are discussed for PSI, photosystem II (PSII), photosystem C (PSC, green sulfur bacteria) and photosystem H (PSH, heliobacteria). Significant sequence homology between the N-terminal, antenna-binding domains of the core proteins of type-I RCs, PsaA, PsaB, PscA and PshA (of PSI, PSC and PSH respectively) with the antenna-binding subunits CP43 and CP47 of PSII indicate that PSII has a modular structure comparable to that of PSI.</t>
  </si>
  <si>
    <t>297-314</t>
  </si>
  <si>
    <t>Journal of Molecular Biology</t>
  </si>
  <si>
    <t>60030718;60030718;60030718;60011604;60011604;60030718</t>
  </si>
  <si>
    <t>7202740881;6602218088;35448456500;55667080600;7003500276;35452825700</t>
  </si>
  <si>
    <t>Schubert, Wolf Dieter;Klukas, Olaf;Saenger, Wolfram;Witt, Horst Tobias;Fromme, Petra;Krau√ü, Norbert</t>
  </si>
  <si>
    <t>Berlin;Berlin</t>
  </si>
  <si>
    <t>Freie Universit√§t Berlin;Technical University of Berlin</t>
  </si>
  <si>
    <t>60030718;60011604</t>
  </si>
  <si>
    <t>Schubert W.D.</t>
  </si>
  <si>
    <t>A common ancestor for oxygenic and anoxygenic photosynthetic systems: A comparison based on the structural model of photosystem I</t>
  </si>
  <si>
    <t>S0022283698918241</t>
  </si>
  <si>
    <t>10.1006/jmbi.1998.1824</t>
  </si>
  <si>
    <t>2-s2.0-0032504023</t>
  </si>
  <si>
    <t>AST95-01788</t>
  </si>
  <si>
    <t>['¬∑ km', 'source responsible', 'scuba image', 's68n region', 'previous investigations', 'interferometric data', 'haystack 37', 'first time', 'compact outflow', 'combined haystack', 'also present', 'accurate position', '12 pc', '1 yr', '03 pc']</t>
  </si>
  <si>
    <t>We have discovered a compact outflow of ‚âà80‚Ä≥ (0.12 pc) total extent toward S68N in the Serpens molecular cloud, which we have imaged in CS. We present outflow images acquired with the Haystack 37 m antenna and from combined Haystack and interferometric data, the latter at 12‚Ä≥ √ó 6‚Ä≥ angular resolution. The large derived outflow momentum flux (‚àº 2√ó10-4 M¬∑ km s-1 yr-1) is consistent with the high values found in the earliest protostellar stage (Bontemps et al.). We also present a new 450 Œºm continuum image of the S68N region at 7‚Ä≥ resolution obtained with the Submillimetre Common User Bolometer Array (SCUBA) on the James Clerk Maxwell Telescope. We identify the source responsible for this outflow for the first time from the SCUBA image and report a new, more accurate position for S68N than has been used in previous investigations. We demonstrate spatial variability in the self-absorbed CS J = 2 ‚Üí 1 line profile shapes at 0.03 pc (18‚Ä≥) scales, emphasizing the need for detailed radiative transfer modeling for disentangling the complicated source kinematics.</t>
  </si>
  <si>
    <t>L193-L198</t>
  </si>
  <si>
    <t>Astrophysical Journal Letters</t>
  </si>
  <si>
    <t>60029526;60029526;60024185;60006858;60027550;60022195;60019796</t>
  </si>
  <si>
    <t>United States;United States;United States;United States;United States;United Kingdom</t>
  </si>
  <si>
    <t>Riverside;Los Angeles;Charlottesville;Cambridge;Green Bank;Edinburgh</t>
  </si>
  <si>
    <t>University of California, Riverside;University of California, Los Angeles;National Radio Astronomy Observatory;Massachusetts Institute of Technology;NRAO, Green Bank;Royal Observatory</t>
  </si>
  <si>
    <t>60029526;60027550;60024185;60022195;60019796;60006858</t>
  </si>
  <si>
    <t>Wolf-Chase G.</t>
  </si>
  <si>
    <t>The protostellar origin of a CS outflow in S68N http://iopscience.iop.org/article/10.1086/311469/pdf</t>
  </si>
  <si>
    <t>10.1086/311469</t>
  </si>
  <si>
    <t>2-s2.0-85033707384</t>
  </si>
  <si>
    <t>['two classes', 'terminal half', 'temperature absorption', 'spectroscopic properties', 'spectral properties', 'showed 850', 'relative orientation', 'red wing', 'plh2 complexes', 'plh1 complexes', 'plh1 antennae', 'nm peak', 'nm absorption', 'mutants investigated', 'harvesting 2', 'fluorescence spectroscopy', 'different mutants', 'considerably reduced', 'combinatorial mutagenesis', 'circular dichroism', 'cd spectra', 'carotenoid enrichment', 'bchl molecules', 'b850 band', 'b850 bacteriochlorophyll', '30 nm', '14 nm']</t>
  </si>
  <si>
    <t>We have investigated the spectroscopic properties of two classes of light-harvesting 2 (LH2, B800-850) mutants of Rhodobacter capsulatus obtained by combinatorial mutagenesis to the C-terminal half of the Œ≤-apoprotein: a pseudoLH2 (pLH2) class, in which the 800-nm absorption was normal but the 850-nm peak was blue-shifted by up to 14 nm, and the other a pseudoLH1 (pLH1) class, which lacked the 800-nm absorption band and showed 850-nm absorption red-shifts of up to 30 nm. In several of the pLH1 antennae; carotenoid depletion contributed to the phenotype, while in the pLH2 complexes there was some carotenoid enrichment. A number of mutants from each class have also been characterized by low-temperature absorption and fluorescence spectroscopy, resonance Raman spectroscopy, and circular dichroism. In all of the mutants investigated, the B850 bacteriochlorophyll a binding site remained intact, conserving both the hydrogen bonding environment of the chromophores and their conformation and liganding. In contrast, the intensity of the CD spectra of pLH1 complexes was considerably reduced, relative to that of wild-type or pLH2 complexes, consistent with alterations in the interactions between pigments and in their relative orientation. Elevated fluorescence polarization over the red wing of the B850 band in the pLH2 complexes indicated a reduction of exciton mobility within the ring of BChl molecules. Possible structural alterations governing the spectral properties of the different mutants are discussed.</t>
  </si>
  <si>
    <t>10006-10015</t>
  </si>
  <si>
    <t>60119141-60117711;60007816;60007816;60021440;60090084;60119141</t>
  </si>
  <si>
    <t>7403214768;7004230215;7103125115;6603453352;7004557866;7006668582</t>
  </si>
  <si>
    <t>Hu, Qinghui;Sturgis, James N.;Robert, Bruno;Delagrave, Simon;Youvan, Douglas C.;Niederman, Robert A.</t>
  </si>
  <si>
    <t>United States;United States;United States;United Kingdom;France</t>
  </si>
  <si>
    <t>New Brunswick;Chicago;San Diego;Cambridge;Gif-sur-Yvette</t>
  </si>
  <si>
    <t>Rutgers University‚ÄìNew Brunswick;The Gwen Knapp Center for Lupus and Immunology Research;KAIROS Scientific Inc;Acambis;Commissariat a L'Energie Atomique CEA</t>
  </si>
  <si>
    <t>60119141;60117711;60090084;60021440;60007816</t>
  </si>
  <si>
    <t>Hu Q.</t>
  </si>
  <si>
    <t>Hydrogen bonding and circular dichroism of bacteriochlorophylls in the Rhodobacter capsulatus light-harvesting 2 complex altered by combinatorial mutagenesis</t>
  </si>
  <si>
    <t>10.1021/bi980036s</t>
  </si>
  <si>
    <t>2-s2.0-0032516435</t>
  </si>
  <si>
    <t>DMR 91-20007</t>
  </si>
  <si>
    <t>['speed limited', 'several terahertz', 'rights reserved', 'quantum wells', 'peak absorption', 'narrow range', 'intersubband transitions', 'intersubband terahertz', 'great potential', 'detectors based', 'bias voltage', '1 ns']</t>
  </si>
  <si>
    <t>Detector | Hot-electron bolometer | Terahertz detector</t>
  </si>
  <si>
    <t>Detectors based on intersubband transitions in quantum wells have great potential for use between one and several terahertz. We propose a tunable, antenna-coupled, intersubband terahertz (TACIT) detector that is both sensitive and fast, with a speed limited only by the intersubband relaxation rate (1 ns at T= 10K, ‚â§ 10 ps at T = 50 K). The detector is sensitive over a narrow range of frequencies, and the frequency of peak absorption can be tuned by applying a bias voltage to the device. ¬© 1998 Elsevier Science B.V. All rights reserved.</t>
  </si>
  <si>
    <t>463-467</t>
  </si>
  <si>
    <t>Physica E: Low-Dimensional Systems and Nanostructures</t>
  </si>
  <si>
    <t>60029241;60029241;60029241;60029241;60029241;60029241</t>
  </si>
  <si>
    <t>7005182151;57207516434;7005069003;57207907697;7006451270;35462445500</t>
  </si>
  <si>
    <t>Cates, C. L.;Brice√±o, G.;Sherwin, M. S.;Maranowski, K. D.;Campman, K.;Gossard, A. C.</t>
  </si>
  <si>
    <t>Santa Barbara</t>
  </si>
  <si>
    <t>University of California, Santa Barbara</t>
  </si>
  <si>
    <t>Cates C.</t>
  </si>
  <si>
    <t>A concept for a tunable antenna-coupled intersubband terahertz (TACIT) detector</t>
  </si>
  <si>
    <t>S1386947798000952</t>
  </si>
  <si>
    <t>10.1016/S1386-9477(98)00095-2</t>
  </si>
  <si>
    <t>2-s2.0-0008629560</t>
  </si>
  <si>
    <t>DE-FG02-94ER20137</t>
  </si>
  <si>
    <t>['whole cells', 'type strain', 'type cells', 'targeted mutagenesis', 'studies establish', 'rights reserved', 'perhaps bacteriochlorophyll', 'less efficient', 'homologous recombination', 'harvesting organelles', 'energy transfer', 'doubling time', 'csmc proteins', 'csmc mutant', 'csmc caused', 'chlorobium sp', 'bulk bacteriochlorophyll', 'approximately twice', 'another pigment', '804 nm', '1998 federation']</t>
  </si>
  <si>
    <t>Bacteriochlorophyll | Chlorosome | Green sulfur bacterium | Interposon mutagenesis | Light-harvesting antenna | Photosynthesis</t>
  </si>
  <si>
    <t>Targeted mutagenesis was used to investigate the roles of the CsmA and CsmC proteins of the chlorosomes of the green bacteria Chlorobium tepidum and Chlorobium vibrioforme 8327. Under the photoautotrophic growth conditions employed, CsmA is required for the viability of the cells but CsmC is dispensable. The absence of CsmC caused a small red shift in the near-infrared absorption maximum of bacteriochlorophyll d in whole cells and chlorosomes, but chlorosomes were assembled in and could be isolated from the csmC mutant. The doubling time of the csmC mutant was approximately twice that of the wild-type strain. Fluorescence emission measurements suggested that energy transfer from the bulk bacteriochlorophyll d to another pigment, perhaps bacteriochlorophyll a, emitting at 800-804 nm, was less efficient in the csmC mutant cells than in wild-type cells. These studies establish that transformation and homologous recombination can be employed in targeted mutagenesis of Chlorobium sp. and further demonstrate that chlorosome proteins play important roles in the structure and function of these light-harvesting organelles. Copyright (C) 1998 Federation of European Microbiological Societies. Published by Elservier Science B.V. All rights reserved.</t>
  </si>
  <si>
    <t>353-361</t>
  </si>
  <si>
    <t>FEMS Microbiology Letters</t>
  </si>
  <si>
    <t>60001439;60001439;60010348;60001439</t>
  </si>
  <si>
    <t>55209325500;7401966860;6701391052;7202225529</t>
  </si>
  <si>
    <t>Chung, Soohee;Shen, Gaozhong;Ormerod, John;Bryant, Donald A.</t>
  </si>
  <si>
    <t>Norway;United States</t>
  </si>
  <si>
    <t>Oslo;University Park</t>
  </si>
  <si>
    <t>Universitetet i Oslo;Pennsylvania State University</t>
  </si>
  <si>
    <t>60010348;60001439</t>
  </si>
  <si>
    <t>Chung S.</t>
  </si>
  <si>
    <t>Insertional inactivation studies of the csmA and csmC genes of the green sulfur bacterium Chlorobium vibrioforme 8327: The chlorosome protein CsmA is required for viability but CsmC is dispensable</t>
  </si>
  <si>
    <t>S0378109798002389</t>
  </si>
  <si>
    <t>10.1016/S0378-1097(98)00238-9</t>
  </si>
  <si>
    <t>2-s2.0-0032528062</t>
  </si>
  <si>
    <t>['v curve', 'terahertz photoresponse', 'submicron device', 'room temperature', 'rights reserved', 'rectified response', 'quantum dots', 'novel approach', 'infrared radiation', 'couple far', '3 thz']</t>
  </si>
  <si>
    <t>Quantum dot | Terahertz transport</t>
  </si>
  <si>
    <t>The terahertz photoresponse of a single semiconductor quantum dot is measured at room temperature. Pronounced resonant tunneling and a rectified response at frequencies from 0.6 to 3 THz are observed in the I-V curve of the submicron device. We use this to demonstrate a novel approach to the study of quantum dots, in which a submicron resonant tunneling device is electrostatically defined using a conducting atomic force microscope (AFM) tip. In addition, the conducting AFM tip electrically contacts the device and serves as an antenna to couple far-infrared radiation into the dot. ¬© 1998 Elsevier Science B.V. All rights reserved.</t>
  </si>
  <si>
    <t>701-703</t>
  </si>
  <si>
    <t>60029241;60029241;60029241;60029241;60029241;60025272;60025272;60025272;60025272;60025272</t>
  </si>
  <si>
    <t>57196746609;55477052700;35417089300;7402242371;7006645981;7406392584;7402517588;16555900500;8119981200;7103018082</t>
  </si>
  <si>
    <t>Qureshi, N.;Scott, J. S.;Allen, S. J.;Reddy, M.;Rodwell, M. J.W.;Nakamura, Y.;Tanaka, I.;Noda, T.;Kamiya, I.;Sakaki, H.</t>
  </si>
  <si>
    <t>Santa Barbara;Tokyo</t>
  </si>
  <si>
    <t>University of California, Santa Barbara;The University of Tokyo</t>
  </si>
  <si>
    <t>60029241;60025272</t>
  </si>
  <si>
    <t>Qureshi N.</t>
  </si>
  <si>
    <t>Terahertz excitation of AFM-defined room temperature quantum dots</t>
  </si>
  <si>
    <t>S138694779800143X</t>
  </si>
  <si>
    <t>10.1016/S1386-9477(98)00143-X</t>
  </si>
  <si>
    <t>2-s2.0-0347569101</t>
  </si>
  <si>
    <t>['whose x', 'whole trimer', 'vibational coherences', 'typically localized', 'trimeric ferma', 'transition energies', 'specific steady', 'simultaneously overlap', 'resonance couplings', 'ray structure', 'qy spectrum', 'quantum beating', 'protein stems', 'prosthecochloris aestuarii', 'probe wavelengths', 'phenomenological scenario', 'missing link', 'localization occurs', 'global analyses', 'function causality', 'fmo excitations', 'exciton levels', 'correspondingly multifeatured', 'bchls belonging', 'atomic level', 'antenna complex', '789 nm', '7 bch1', '1 ).']</t>
  </si>
  <si>
    <t>The trimeric Ferma - Matthews - Olson (FMO) protein is a bacteriochlorophyll (BChl) a antenna complex, whose X-ray structure is now known at the atomic level for two green sulfur bacterial species (Prosthecochloris aestuarii and Chlorobium tepidum). Its steady-state Qy absorption spectrum at low temperature exhibits considerable structure, with at least eight bands attributable to well-defined (groups of) BChl a exciton levels. The low-temperature absorption difference spectra of Cb. tepidum trimers excited at 789 nm are correspondingly multifeatured, and they show rich spectral evolution due to femtosecond and picosecond electronic energy transfers. Global analyses of these time-dependent ŒîA spectra lead to a phenomenological scenario for cascading and branching among exciton level groups responsible for specific steady-state absorption bands. The missing link in our understanding of structure - function causality in this protein stems from a lack of an ab initio theory for the effects of known protein environments on BChl a transition energies; this problem still limits our insights into the workings of spectrally heterogeneous antennas with multiple nonequivalent pigment sites. Optical anisotropy studies strongly suggest that FMO excitations are typically localized to the 7 BCh1 a pigments within one protein subunit, rather than delocalized over the whole trimer. This localization occurs because the resonance couplings between BChls belonging to different subunits (&lt;20 cm-1) are several times smaller than the diagonal energy disorder (‚àº70 cm-1). Strong oscillations appear in the anisotropies (‚àº220 fs period) for pump - probe wavelengths that simultaneously overlap both of the exciton level groups responsible for the 825 and 815 nm bands in the Qy spectrum. These are not vibational coherences, but arise from quantum beating between levels with nearly perpendicular transition moments.</t>
  </si>
  <si>
    <t>5556-5565</t>
  </si>
  <si>
    <t>60008023;60008023;60008023</t>
  </si>
  <si>
    <t>6701607000;7102229463;57193129444</t>
  </si>
  <si>
    <t>Savikhin, Sergei;Buck, Daniel R.;Struve, Walter S.</t>
  </si>
  <si>
    <t>Toward level-to-level energy transfers in photosynthesis: The Fenna - Matthews - Olson protein</t>
  </si>
  <si>
    <t>10.1021/jp981186f</t>
  </si>
  <si>
    <t>2-s2.0-0000104335</t>
  </si>
  <si>
    <t>['simulation results', 'signal power', 'rights reserved', 'paper considers', 'filter output', 'convergence performance', 'attained sinr', 'also discussed', 'algorithms using']</t>
  </si>
  <si>
    <t>Algorithm performance | Antenna arrays | Code division multiple access | Communications signal processing</t>
  </si>
  <si>
    <t>This paper considers a number of techniques that have been proposed for spatial filtering purposes in code division multiple access (CDMA) antenna array receivers. There are two main types of algorithms: (i) matched filter methods that maximise the signal power at the filter output and (ii) interference suppression algorithms that maximise the signal-to-interference plus noise ratio (SINR) of the filter output. Theoretical and simulation results are presented to compare the convergence performance, in terms of the attained SINR, for the algorithms in a CDMA cellular system. A method of trading convergence performance with complexity for algorithms using the maximum SINR approach is also discussed. ¬© 1998 Elsevier Science B.V. All rights reserved.</t>
  </si>
  <si>
    <t>23-41</t>
  </si>
  <si>
    <t>60027272;60027272;60027272</t>
  </si>
  <si>
    <t>55498731300;35581784000;7006054649</t>
  </si>
  <si>
    <t>Thompson, John S.;Grant, Peter M.;Mulgrew, B.</t>
  </si>
  <si>
    <t>Thompson J.S.</t>
  </si>
  <si>
    <t>Performance of antenna array receiver algorithms for CDMA</t>
  </si>
  <si>
    <t>S0165168498000553</t>
  </si>
  <si>
    <t>10.1016/s0165-1684(98)00055-3</t>
  </si>
  <si>
    <t>2-s2.0-0032118351</t>
  </si>
  <si>
    <t>DBI 96‚Äì02240</t>
  </si>
  <si>
    <t>['wild type', 'vivo binding', 'uniquely reversed', 'taken together', 'specially critical', 'significantly reduced', 'significant difference', 'several alternatives', 'results lead', 'reaction q', 'r257m mutants', 'r257m ).', 'psii );', 'providing ligands', 'proton transfers', 'photosystem ii', 'oxygen evolution', 'overall rate', 'numerous lines', 'likely due', 'larger fraction', 'intimate relationship', 'increased level', 'herbicide dcmu', 'heme iron', 'formate binding', 'following characteristics', 'flash illumination', 'facilitating protonation', 'evidence indicate', 'equilibrium constant', 'emission bands', 'electron transfer', 'binding affinity', 'bicarbonate functions', 'b ).', 'b )-,', 'arginine 257', 'antenna complex', 'additional effects', '50 %)', ')- q', ')- persists']</t>
  </si>
  <si>
    <t>Arginine | Bicarbonate effect | Chlamydomonas reinhardtii | D1 protein | Formate inhibition | Photosystem II reaction center | Site-directed mutant</t>
  </si>
  <si>
    <t>Formate is known to cause significant inhibition in the electron and proton transfers in photosystem II (PSII); this inhibition is uniquely reversed by bicarbonate. It has been suggested that bicarbonate functions by providing ligands to the non-heme iron and by facilitating protonation of the secondary plastoquinone Q(B). Numerous lines of evidence indicate an intimate relationship of bicarbonate and formate binding of PSII. To investigate the potential amino acid binding environment of bicarbonate/formate in the Q(B) niche, arginine 257 of the PSII D1 polypeptide in the unicellular green alga Chlamydomonas reinhardtii was mutated into a glutamate (D1-R257E) and a methionine (DQ-R257M). The two mutants share the following characteristics. (1) Both have a drastically reduced sensitivity to formate. (2) A larger fraction of Q(A)- persists after flash illumination, which indicates an altered equilibrium constant of the reaction Q(A)-Q(B)‚áÜQ(A)Q(B)-, in the direction of [Q(A)-], or a larger fraction of non-Q(B) centers. However, there appears to be no significant difference in the rate of electron transfer from Q(A)- to Q(B). (3) The overall rate of oxygen evolution is significantly reduced, most likely due to changes in the equilibrium constant on the electron acceptor side of PSII or due to a larger fraction in non-Q(B) centers. Additional effects on the donor side cannot yet be excluded. (4) The binding affinity for the herbicide DCMU is unaltered. (5) The mutants grow photosynthetically, but at a decreased (~70% of the wild type) level. (6) The F(o) level was elevated (~40-50%) which could be due to a decrease in the excitation energy transfer from the antenna to the PSII reaction center, and/or to an increased level of [Q(A)-] in the dark. (7) A decreased (~10%) ratio of F685 (mainly from CP43) and F695 (mainly from CP47) to F715 (mainly from PSI) emission bands at 77 K suggests a change in the antenna complex. Taken together these results lead to the conclusion that D1-R257 with the positively charged side chain is important for the fully normal functioning of PSII and of growth, and is specially critical for the in vivo binding of formate. Several alternatives are discussed to explain the almost normal functioning of the D1-R257E and D1-R257M mutants. Copyright (C) 1998 Elseveir Science B.V.</t>
  </si>
  <si>
    <t>473-491</t>
  </si>
  <si>
    <t>60000745-60021121;60016648;60000745;60000745</t>
  </si>
  <si>
    <t>8752420600;7004033199;7006322997;16833617600</t>
  </si>
  <si>
    <t xml:space="preserve">Xiong, Jin;Minagawa, Jun;Crofts, Antony;Govindjee, </t>
  </si>
  <si>
    <t>Bloomington;Wako;Urbana</t>
  </si>
  <si>
    <t>Indiana University Bloomington;Riken;University of Illinois Urbana-Champaign</t>
  </si>
  <si>
    <t>60021121;60016648;60000745</t>
  </si>
  <si>
    <t>Xiong J.</t>
  </si>
  <si>
    <t>Loss of inhibition by formate in newly constructed photosystem II D1 mutants, D1-R257E and D1-R257M, of Chlamydomonas reinhardtii</t>
  </si>
  <si>
    <t>S0005272898001017</t>
  </si>
  <si>
    <t>10.1016/S0005-2728(98)00101-7</t>
  </si>
  <si>
    <t>2-s2.0-0032551753</t>
  </si>
  <si>
    <t>['sufficiently close', 'subunit iii', 'study address', 'soluble excited', 'sensitive marker', 'resolved domain', 'rate constants', 'protons among', 'protein carries', 'physiological turnover', 'numeric integration', 'input side', 'histidine moieties', 'flu proceeds', 'experiments presented', 'cytoplasmic surface', 'controlled reactions', 'collecting antenna', 'base equilibration', 'adjustable parameters']</t>
  </si>
  <si>
    <t>The experiments presented in this study address the problem of how the cytoplasmic surface (proton-input side) of cytochrome c oxidase interacts with protons in the bulk. For this purpose, the cytoplasmic surface of the enzyme was labeled with a fluorescein (Flu) molecule covalently bound to Cys- 223 of subunit III. Using the Flu as a proton-sensitive marker on the surface and œÜOH as a soluble excited-state proton emitter, the dynamics of the acid- base equilibration between the surface and the bulk was measured in the time- resolved domain. The results were analyzed by using a rigorous kinetic analysis that is based on numeric integration of coupled nonliner differential rate equations in which the rate constants are used as adjustable parameters. The analysis of 11 independent measurements, carried out under various initial conditions, indicated that the protonation of the Flu proceeds through multiple pathways involving diffusion-controlled reactions and proton exchange among surface groups. The surface of the protein carries an efficient system made of carboxylate and histidine moieties that are sufficiently close to each other as to form a proton- collecting antenna. It is the passage of protons among these sites that endows cytochrome c oxidase with the capacity to pick up protons from the buffered cytoplasmic matrix within a time frame compatible with the physiological turnover of the enzyme.</t>
  </si>
  <si>
    <t>8590-8595</t>
  </si>
  <si>
    <t>Proceedings of the National Academy of Sciences of the United States of America</t>
  </si>
  <si>
    <t>60005681;60005681;60016437;60016437;60005681</t>
  </si>
  <si>
    <t>6602317092;7003762509;6701606700;7004847760;35592126200</t>
  </si>
  <si>
    <t>Marantz, Yael;Nachliel, Esther;Aagaard, Anna;Brzezinski, Peter;Gutman, Menachem</t>
  </si>
  <si>
    <t>Sweden;Israel</t>
  </si>
  <si>
    <t>Gothenburg;Tel Aviv-Yafo</t>
  </si>
  <si>
    <t>G√∂teborgs Universitet;Tel Aviv University</t>
  </si>
  <si>
    <t>60016437;60005681</t>
  </si>
  <si>
    <t>Marantz Y.</t>
  </si>
  <si>
    <t>The proton collecting function of the inner surface of cytochrome c oxidase from Rhodobacter sphaeroides</t>
  </si>
  <si>
    <t>10.1073/pnas.95.15.8590</t>
  </si>
  <si>
    <t>2-s2.0-0032555160</t>
  </si>
  <si>
    <t>['topographic mapping', 'phase retrieval', 'non model', 'different baselines', 'conventional single', 'baseline interferometry']</t>
  </si>
  <si>
    <t>The author discusses absolute (in general, reduced-ambiguity) phase retrieval in a three-antenna synthetic aperture radar interferometer for topographic mapping. A model-based estimation technique is proposed, which produces optimal spatial processing of the data from the different baselines to obtain an accurate absolute phase (and hence terrain height) estimate. Simulated performance analysis is carried out, and comparison with conventional single-baseline interferometry and a non model-based multibaseline technique is made.</t>
  </si>
  <si>
    <t>1522-1524</t>
  </si>
  <si>
    <t>Lombardini, F.</t>
  </si>
  <si>
    <t>Lombardini F.</t>
  </si>
  <si>
    <t>Optimum absolute phase retrieval in three-element SAR interferometer</t>
  </si>
  <si>
    <t>10.1049/el:19981025</t>
  </si>
  <si>
    <t>2-s2.0-0032114979</t>
  </si>
  <si>
    <t>['supporting substrate', 'stable across', 'shaped probe', 'radiation pattern', 'impedance bandwidth', 'foam layer', 'average gain', 'around 10', '35 %.']</t>
  </si>
  <si>
    <t>The characteristics of a rectangular microstrip antenna with an L-shaped probe are investigated. A foam layer with a thickness of around 10% of the wavelength is used as the supporting substrate. An impedance bandwidth of 35%. and an average gain of 7.5dBi can be achieved. The radiation pattern is stable across the passband.</t>
  </si>
  <si>
    <t>1442-1443</t>
  </si>
  <si>
    <t>60013983;60013983;60013983;60006173</t>
  </si>
  <si>
    <t>55510527400;7102876278;55664638500;7501501369</t>
  </si>
  <si>
    <t>Luk, K. M.;Mak, C. L.;Chow, Y. L.;Lee, K. F.</t>
  </si>
  <si>
    <t>Broadband microstrip patch antenna</t>
  </si>
  <si>
    <t>10.1049/el:19981009</t>
  </si>
  <si>
    <t>2-s2.0-0032115178</t>
  </si>
  <si>
    <t>['numerical model', 'input parameters', 'experimental results']</t>
  </si>
  <si>
    <t>A simple, fast, numerical model to predict the input parameters of a network with the topology of the Sierpinski gasket fractal shape, is introduced. The usefulness of the model is shown through comparison with experimental results for the SPK90 patch antenna.</t>
  </si>
  <si>
    <t>1443-1445</t>
  </si>
  <si>
    <t>60007592;60007592;60007592</t>
  </si>
  <si>
    <t>7003915994;7006058796;7202723546</t>
  </si>
  <si>
    <t>Borja, C.;Puente, C.;Medina, A.</t>
  </si>
  <si>
    <t>Borja C.</t>
  </si>
  <si>
    <t>Iterative network model to predict the behaviour of a Sierpinski fractal network</t>
  </si>
  <si>
    <t>10.1049/el:19981020</t>
  </si>
  <si>
    <t>2-s2.0-0032117284</t>
  </si>
  <si>
    <t>['threshold determination', 'threshold dependence', 'theoretically available', 'theoretical analysis', 'temporal integration', 'specific way', 'receptors sensing', 'platypus shows', 'paper includes', 'paper focuses', 'observed behaviour', 'new behaviour', 'lobe shape', 'electroreceptive thresholds', 'electrical stimuli', 'electric field', 'comparative analysis', 'combining responses', 'close relationships']</t>
  </si>
  <si>
    <t>Behaviour | Directionality | Electroreception | Electroreceptive threshold | Platypus</t>
  </si>
  <si>
    <t>This paper focuses on how the electric field from the prey of the platypus is detected with respect to the questions of threshold determination and how the platypus might localize its prey. A new behaviour in response to electrical stimuli below the thresholds previously reported is presented. The platypus shows a voluntary exploratory behaviour that results from a temporal integration of a number of consecutive stimulus pulses. A theoretical analysis is given, which includes the threshold dependence on the number of receptors and temporal integration of consecutive stimuli pulses, the close relationships between electrical field decay across the bill, electroreceptive thresholds and directionality of the platypus bill acting as an antenna. It is shown that a lobe shape, similar to that which has been measured, can be obtained by combining responses in a specific way from receptors sensing the electric field decay across the bill. Two possible methods for such combinations are discussed and analysed with respect to measurements and observed behaviour of the platypus. A number of factors are described which need to be considered when electroreceptive thresholds are to be determined. It is shown that some information about the distance to the source is theoretically available from the pattern of field decay across the platypus's bill. The paper includes a comparative analysis of radar target tracking and platypus prey localization.</t>
  </si>
  <si>
    <t>1211-1219</t>
  </si>
  <si>
    <t>Philosophical Transactions of the Royal Society B: Biological Sciences</t>
  </si>
  <si>
    <t>60009358;60031004;60031004</t>
  </si>
  <si>
    <t>6603794173;7003480638;7101628525</t>
  </si>
  <si>
    <t>Fj√§llbrant, Tore T.;Manger, Paul R.;Pettigrew, John D.</t>
  </si>
  <si>
    <t>Australia;Sweden</t>
  </si>
  <si>
    <t>Brisbane;Linkoping</t>
  </si>
  <si>
    <t>The University of Queensland;Linkoping University</t>
  </si>
  <si>
    <t>60031004;60009358</t>
  </si>
  <si>
    <t>Fj√§llbrant T.T.</t>
  </si>
  <si>
    <t>Some related aspects of platypus electroreception: Temporal integration behaviour, electroreceptive thresholds and directionality of the bill acting as an antenna</t>
  </si>
  <si>
    <t>10.1098/rstb.1998.0277</t>
  </si>
  <si>
    <t>2-s2.0-0032578163</t>
  </si>
  <si>
    <t>['harmonic one', 'frequency signal', 'frequency amplitude']</t>
  </si>
  <si>
    <t>It is demonstrated that the low-frequency amplitude-modulation of high-frequency unharmonic periodic waves (but not the harmonic one) can be used for the creation of parametric transmitting antennas in media with hysteretic quadratic nonlinearity. A low-frequency signal is generated in a medium with hysteresis as a result of the interaction of acoustic spectral components significantly separated in frequency (the separation being of the order of the high frequency).</t>
  </si>
  <si>
    <t>30-34</t>
  </si>
  <si>
    <t>Acoustics Letters</t>
  </si>
  <si>
    <t>Gusev, Vitalyi E.</t>
  </si>
  <si>
    <t>Le Mans</t>
  </si>
  <si>
    <t>Universite du Maine Le Mans - Laval</t>
  </si>
  <si>
    <t>Gusev V.</t>
  </si>
  <si>
    <t>Parametric acoustic source in a medium with hysteretic quadratic nonlinearity</t>
  </si>
  <si>
    <t>2-s2.0-0001878044</t>
  </si>
  <si>
    <t>['valuable aid', 'teaching antennas', 'reflector concepts', 'reflector antennas', 'radiation integrals', 'radiated field', 'provide fast', 'program presented', 'program computes', 'previous issue', 'paper includes', 'paper covers', 'important features', 'feed waveguide', 'feed horn', 'em programmer', 'electrical engineers', 'aperture fields', 'aperture antenna', 'accurate pre']</t>
  </si>
  <si>
    <t>The program presented in this paper is intended to provide a valuable aid for teaching antennas to electrical engineers, and to provide fast and accurate pre-designs for professionals. This paper covers the theory and numerical techniques used in SABOR, which was introduced in the previous issue of the EM Programmer's Notebook in the June, 1998, issue of the Magazine. In summary, this program computes the radiated field of an aperture antenna (horn or reflector), using a common engine based on the Gauss-Legendre quadrature method for evaluating the radiation integrals. For horns, the aperture fields are the usual dominant modes of the feed waveguide, with a quadratic phase correction. For reflectors, the aperture fields are computed using Geometrical Optics ray tracing from the feed horn. Also, equivalent-reflector concepts are applied for dual-reflector antennas. The paper includes some examples to demonstrate the most important features of the program.</t>
  </si>
  <si>
    <t>95-107</t>
  </si>
  <si>
    <t>60028442-114050175-114050815-60010156;60028442-114050815;60028442;60028442</t>
  </si>
  <si>
    <t>7101823207;54680709100;6701854117;7006838865</t>
  </si>
  <si>
    <t>Campo, Miguel A.;Del Rey, Francisco J.;Besada, Jose L.;De Haro, Leandro</t>
  </si>
  <si>
    <t>Spain;Spain;;</t>
  </si>
  <si>
    <t>Madrid;Madrid;;</t>
  </si>
  <si>
    <t>Universidad Polit√©cnica de Madrid;Telefonica;Yebes Astronomy Centre;Electromagnetism Department</t>
  </si>
  <si>
    <t>60028442;60010156;114050815;114050175</t>
  </si>
  <si>
    <t>Campo M.</t>
  </si>
  <si>
    <t>SABOR: Description of the Methods Applied for a Fast Analysis of Horn and Reflector Antennas</t>
  </si>
  <si>
    <t>10.1109/74.730541</t>
  </si>
  <si>
    <t>2-s2.0-0002591208</t>
  </si>
  <si>
    <t>['shear waves', 'potential sources', 'neutron stars', 'highly magnetized', 'high frequency', 'gravitational waves', 'field annihilation', 'crustal cracking']</t>
  </si>
  <si>
    <t>Gravitational waves | Stars: neutron</t>
  </si>
  <si>
    <t>Soft gamma repeaters are identified as highly magnetized (B‚âà 1014 Gauss) neutron stars. Magnetic stresses induce tectonic activity, and field annihilation in faults is the ultimate energy source for the observed Œ≥-ray emission. As a consequence of the crustal cracking, the stored elastic energy is converted into high frequency (kHz) shear waves, that excite nonradial oscillation modes damped by gravitational wave emission. This class of objects should certainly be considered as potential sources of gravitational waves that could be detected by the present planned interferometric antennas like VIRGO or LIGO.</t>
  </si>
  <si>
    <t>397-401</t>
  </si>
  <si>
    <t>De Freitas Pacheco, J. A.</t>
  </si>
  <si>
    <t>Observatoire de la C√¥te d'Azur</t>
  </si>
  <si>
    <t>De Freitas Pacheco J.</t>
  </si>
  <si>
    <t>Do soft gamma repeaters emit gravitational waves?</t>
  </si>
  <si>
    <t>2-s2.0-0005141847</t>
  </si>
  <si>
    <t>['radiation conductance', 'maximum radiation', 'directive beam', 'array geometry', '9 ghz']</t>
  </si>
  <si>
    <t>The performance of a four-element linear array of microstrip annular ring slot antenna (MARSA) at 9 GHz is discussed. The far-zone field expressions for array geometry are derived using vector wave function technique and pattern multiplication approach. The total field patterns are computed and plotted for two different modes. The other important antenna parameters like direction of maximum radiation, half power beamwidth (HPBW) and radiation conductance are computed, and the results are compared with those of single element MARSA. It is observed that the array geometry is suitable for obtaining a directive beam.</t>
  </si>
  <si>
    <t>168-172</t>
  </si>
  <si>
    <t>Indian Journal of Radio and Space Physics</t>
  </si>
  <si>
    <t>60070212;60070212;60070212</t>
  </si>
  <si>
    <t>55495163400;16039024900;6507847292</t>
  </si>
  <si>
    <t>Gupta, Sandhya;Khah, Sunil K.;Pourush, P. K.S.</t>
  </si>
  <si>
    <t>Agra</t>
  </si>
  <si>
    <t>Institute of Basic Sciences Agra</t>
  </si>
  <si>
    <t>Gupta S.</t>
  </si>
  <si>
    <t>Four-element linear array of microstrip annular ring slot antenna at 9 GHz</t>
  </si>
  <si>
    <t>2-s2.0-0007379021</t>
  </si>
  <si>
    <t>['¬© 1998', 'volcanological society', 'topside ionosphere', 'system onboard', 'space sciences', 'seismological society', 'rights reserved', 'rf sounder', 'range resolution', 'propagating signals', 'planetary sciences', 'phase difference', 'phase detector', 'orbiting spacecraft', 'new altimeter', 'land shape', 'japanese society', 'geodetic society', 'frequency p', 'frequencies f', 'adding upper', '6 ¬∞', '50 khz', '250 khz']</t>
  </si>
  <si>
    <t>A new altimeter has been developed for the observation of the land shape of a planet from an orbiting spacecraft by transmitting RF pulses. The present system utilizes an RF sounder for observing the electron density profile of the topside ionosphere by selecting a transmission frequency f higher than the local cutoff frequency of the ionosphere by adding upper and lower side band modulations with a frequency p; i.e. at frequencies f + p and f ‚Äî p. The phase difference of the propagating signals at the upper and lower side band frequencies gives a fine delay time with a range resolution of 100 m for p = 50 kHz and 20 m for p = 250 kHz with f = 9 MHz corresponding to a resolution of 6¬∞ of the phase detector of the system onboard the spacecraft. Using 600 Watts transmitting power applied to a 52 m tip-to-tip dipole antenna, the altitude of the spacecraft and the land shape can be measured while the spacecraft is in the range below 300 km altitude at the planet. ¬© 1998, The Seismological Society of Japan, Society of Geomagnetism and Earth, Planetary and Space Sciences, The Volcanological Society of Japan, The Geodetic Society of Japan, The Japanese Society for Planetary Sciences. All rights reserved.</t>
  </si>
  <si>
    <t>229-234</t>
  </si>
  <si>
    <t>Ono, Takayuki</t>
  </si>
  <si>
    <t>Sendai</t>
  </si>
  <si>
    <t>Tohoku University</t>
  </si>
  <si>
    <t>A new altimeter for Mars land shape observations utilizing the ionospheric sounder system onboard the Planet-B spacecraft</t>
  </si>
  <si>
    <t>10.1186/BF03352108</t>
  </si>
  <si>
    <t>2-s2.0-0031713921</t>
  </si>
  <si>
    <t>['treatment ).', 'swimming pattern', 'swimming ),', 'single clone', 'significant differences', 'probably mixtures', 'prey density', 'predator odour', 'predator density', 'opposing affects', 'mean travel', 'mean proportion', 'mean depth', 'mean activity', 'marked individuals', 'green dyed', 'control animals', '25 ),']</t>
  </si>
  <si>
    <t>1. A new marking technique was developed and used to track individual water flea behaviour. A single clone of Ceriodaphnia reticulata exhibited no significant differences in mean depth, mean activity (antennae beats used in swimming), and mean travel (total vertical displacement) for fast-green dyed and control animals (n = 30, each treatment). 2. Individual and group antipredator responses were recorded in three vertebrate predator densities (three odour concentrations of green sunfish Lepomis cyanellus; 0.00, 0.03 and 0.10 fish L-1) and four water flea group sizes (1, 5, 15 and 25), with n = 18 for each of the twelve treatment combinations. Water flea groups were probably mixtures of clones. Differences in behaviour after addition of predator odour showed that increasing predator density increased mean depth of marked individuals and mean proportion of water fleas descending. Additionally, increasing prey density decreased both mean depth of marked individuals and mean proportion of water fleas descending. 3. Predator density and prey density had opposing affects on activity and travel for marked individuals. Higher predator density decreased mean activity (antennae beats), yet increased mean travel. Higher prey density increased mean activity, but decreased mean travel. Descending animals altered their swimming pattern by using fewer swimming beats to travel greater vertical distances in the presence of predator odour.</t>
  </si>
  <si>
    <t>17-24</t>
  </si>
  <si>
    <t>Freshwater Biology</t>
  </si>
  <si>
    <t>60004449;60004449</t>
  </si>
  <si>
    <t>6505831195;6603301421</t>
  </si>
  <si>
    <t>Seely, C. J.;Lutnesky, M. M.F.</t>
  </si>
  <si>
    <t>Portales</t>
  </si>
  <si>
    <t>Eastern New Mexico University</t>
  </si>
  <si>
    <t>Seely C.</t>
  </si>
  <si>
    <t>Odour-induced antipredator behaviour of the water flea, Ceriodaphnia reticulata, in varying predator and prey densities</t>
  </si>
  <si>
    <t>10.1046/j.1365-2427.1998.00348.x</t>
  </si>
  <si>
    <t>2-s2.0-0031853544</t>
  </si>
  <si>
    <t>['vivo overexpression', 'used scid', 'thymocyte development', 'retrovirally transfected', 'recipient mice', 'myeloid cells', 'mice repopulated', 'lactosamine antennae', 'kda expression', 'insignificant numbers', 'immune disorders', 'glucosaminyl linkages', 'g2gnt overexpression', 'elevated levels', 'ec 2', 'data indicate', 'creates branches', 'corresponding controls', 'core2 n', 'control animals', 'cells showed', 'cell ontogeny', 'cell development', 'cd43 130', 'c2gnt using', 'c2gnt overexpression', 'c2gnt activity', 'bone marrow', '3 months']</t>
  </si>
  <si>
    <t>UDP-GlcNAc:GalŒ≤1 ‚Üí 3GalNAc-R Œ≤1 ‚Üí 6N-acetylglucosaminyltransferase (Core2 N-acetyl-glucosaminyltransferase, C2GnT; EC 2.4.1.102) forms Œ≤1 ‚Üí 6N-acetyl-glucosaminyl linkages in O-glycoproteins and creates branches for the addition of N-acetyl-lactosamine antennae. Changes in C2GnT activity have been associated with immune disorders, malignancies, and T-cell ontogeny. In this study, we used SCID (severe combined immune deficiency) mice to determine the effects of C2GnT overexpression on hemopoiesis, and in particular, on thymocyte development. BALB/c bone marrow cells transfected with C2GnT using the retroviral murine stem cell vector were used to repopulate SCID mice. Mice were analysed 3 weeks to 3 months after bone marrow transfer. Elevated levels of C2GnT activity in bone marrow, spleen, and thymus from mice repopulated with C2GnT transfected bone marrow cells indicated that C2GnT was overexpressed in recipient mice. In C2GnT repopulated mice, up to 50% of T cells showed an increase in CD43 130-kDa expression, compared with T cells from control animals, indicative of an elevated C2GnT activity in these cells. Furthermore, T-cell subset numbers appeared to be normal, suggesting that G2GnT overexpression did not alter T- cell ontogeny. Interestingly, C2GnT overexpression negatively affected the repopulation of myeloid cells. Only insignificant numbers of interleukin- 3/granulocyte-macrophage colony stimulating factor (IL-3/GM-CSF) responsible bone marrow cells were found to be retrovirally transfected in C2GnT repopulated mice, whereas up to 50% of IL-3/GM-CSF responsive bone marrow cells were found to be retrovirally transfected in corresponding controls. These data indicate that in vivo overexpression of C2GnT negatively interferes with the myeloid differentiation pathway but does not affect T- cell development.</t>
  </si>
  <si>
    <t>350-358</t>
  </si>
  <si>
    <t>Journal of Cellular Physiology</t>
  </si>
  <si>
    <t>60010365;60004982;60010365;60010365;60010365</t>
  </si>
  <si>
    <t>8119768200;14524015900;57189985154;7006756777;7004648100</t>
  </si>
  <si>
    <t>Fellinger, Waltraud J.;Barran, Paul;Merkens, Helen;Corbel, St√©phane Y.;Ziltener, Hermann J.</t>
  </si>
  <si>
    <t>Vancouver;Burnaby</t>
  </si>
  <si>
    <t>The University of British Columbia;British Columbia Institute of Technology</t>
  </si>
  <si>
    <t>60010365;60004982</t>
  </si>
  <si>
    <t>Fellinger W.</t>
  </si>
  <si>
    <t>In vivo overexpression of Core2 N-acetylglucosaminyltransferase prevents repopulation of the bone marrow with colony forming cells but fails to affect normal T cell development</t>
  </si>
  <si>
    <t>10.1002/(SICI)1097-4652(199808)176:2&lt;350::AID-JCP13&gt;3.0.CO;2-7</t>
  </si>
  <si>
    <t>2-s2.0-0031874413</t>
  </si>
  <si>
    <t>['unloading bees', 'turns facing', 'turn orientations', 'turn magnitude', 'turn direction', 'sucrose solution', 'stingless bee', 'stay inside', 'south ).', 'sound production', 'random orientations', 'opposite directions', 'nest entrance', 'information inside', 'foragers trained', 'foragers recruiting', 'foragers feeding', 'following parameters', 'follower bees', 'detailed description', 'counterclockwise turns', 'careful description', 'began turns', 'alternately recorded', '0 ¬∞).']</t>
  </si>
  <si>
    <t>Communication | Dance Sounds | Melipona panamica | Stingless bees</t>
  </si>
  <si>
    <t>Foragers of the stingless bee Melipona panamica can communicate the location of a good food source to nestmates and evidently communicate part of this information inside the nest. However there is no careful description of within-nest recruitment behavior for this species or for any other stingless bee. Therefore the goal of this paper is to provide a detailed description of the behaviors of recruiting M. panamica foragers within the nest. A recruiting forager enters the nest, begins producing pulsed sounds as food-unloading bees collect her food (unloading phase), and then performs a dance by rapidly executing clockwise and counterclockwise turns while continuing to produce sound pulses (dance phase). To investigate whether directional information is encoded in the dance, I alternately recorded the behavior of foragers trained to two food sources, each 175 m from the colony but in opposite directions (north and south). I examined the following parameters and found no differences between the dances of foragers feeding in opposite directions: (1) order of clockwise and counterclockwise turns, (2) turn direction, (3) angular start position, (4) angular stop position, (5) turn magnitude, and (6) turn angular velocity. Foragers recruiting for a rich food source (2.5 M) initially unloaded food with their bodies oriented 180¬∞from the entrance. They began turns at random orientations, but tended to end these turns facing the nest entrance (0¬∞). Dancers for poor food sources (1.0 M sucrose solution) turned at significantly lower velocities than dancers for good food sources (2.5 M sucrose solution), and exhibited random initial, start-turn, and stop-turn orientations. Throughout her stay inside the nest, the recruiting forager produced sounds. During sound production, her folded wings vibrated dorsoventrally over her abdomen and she attracted the attention of follower bees who positioned their antennae closely around her body. Foragers recruiting for 1.0 M and 2.5 M food sources attracted the same number of food-unloading bees, but 1.0 M recruiters attracted significantly fewer followers around their abdomens.</t>
  </si>
  <si>
    <t>Behavioral Ecology and Sociobiology</t>
  </si>
  <si>
    <t>Nieh, James C.</t>
  </si>
  <si>
    <t>Harvard University</t>
  </si>
  <si>
    <t>Nieh J.</t>
  </si>
  <si>
    <t>The food recruitment dance of the stingless bee, Melipona panamica</t>
  </si>
  <si>
    <t>10.1007/s002650050475</t>
  </si>
  <si>
    <t>2-s2.0-0031878467</t>
  </si>
  <si>
    <t>['test current', 'simply positioning', 'scale reduction', 'repeatability better', 'readily achieved', 'optimum location', 'many measurements', 'fast means', 'antenna type', '30 db', '1 db']</t>
  </si>
  <si>
    <t>Scale model towers with associated antenna installations provide an efficient and fast means to test current and future 1800 MHz mobile communication base station installations prior to site, antenna type or mounting scheme selection. Repeatability better than 1 dB is readily achieved if the scale reduction is between 1:5-1:15. Many measurements are possible with a very short anechoich test range, just fullfilling the far field requirement. Typical findings include the possibility to effectively reduce interference minima caused by adjacent vertical structures by simply positioning a thin absorptive sheet to the optimum location. Improvements of the order of 20 to 30 dB have been measured.</t>
  </si>
  <si>
    <t>33-35</t>
  </si>
  <si>
    <t>IEEE Aerospace and Electronic Systems Magazine</t>
  </si>
  <si>
    <t>Eskelinen, Pekka</t>
  </si>
  <si>
    <t>Lappeenranta</t>
  </si>
  <si>
    <t>LUT University</t>
  </si>
  <si>
    <t>Eskelinen P.</t>
  </si>
  <si>
    <t>Notes on RF scale testing of tower mounted antennas for cellular communication</t>
  </si>
  <si>
    <t>10.1109/62.707562</t>
  </si>
  <si>
    <t>2-s2.0-0032135982</t>
  </si>
  <si>
    <t>TIC97-1153</t>
  </si>
  <si>
    <t>['radiation pattern', 'light reflected', 'array factor', 'amplitude distributions', '6 ghz']</t>
  </si>
  <si>
    <t>Fiber gratings | Microwave antennas</t>
  </si>
  <si>
    <t>In this letter, we present the array factor of a phased array antenna driven by a chirped fiber Bragg grating. The phase and the amplitude of a microwave modulating signal have been measured from the light reflected by the grating and the radiation pattern of an eight element antenna has been computed from the phase and amplitude distributions. The principal lobe radiated by the array can be steered without squint error between ¬±30¬∞ in the frequency range 2-6 GHz.</t>
  </si>
  <si>
    <t>1153-1155</t>
  </si>
  <si>
    <t>60002644;60011476;60002644;60002644;60011476;60025225</t>
  </si>
  <si>
    <t>7402505705;7006293956;7103249917;7004534603;7102722103;7402561185</t>
  </si>
  <si>
    <t>Cruz, J. L.;Ortega, B.;Andr√©s, M. V.;Gimeno, B.;Capmany, J.;Dong, L.</t>
  </si>
  <si>
    <t>United Kingdom;Spain;Spain</t>
  </si>
  <si>
    <t>Southampton;Valencia;Valencia</t>
  </si>
  <si>
    <t>University of Southampton;Universitat Polit√®cnica de Val√®ncia;Universitat de Val√®ncia</t>
  </si>
  <si>
    <t>60025225;60011476;60002644</t>
  </si>
  <si>
    <t>Cruz J.</t>
  </si>
  <si>
    <t>Array factor of a phased array antenna steered by a chirped fiber grating beamformer</t>
  </si>
  <si>
    <t>S1041113598053737</t>
  </si>
  <si>
    <t>10.1109/68.701533</t>
  </si>
  <si>
    <t>2-s2.0-0032136146</t>
  </si>
  <si>
    <t>['wind spacecraft', 'transition region', 'result agrees', 'present observations', 'generally larger', 'electrostatic structures', 'electron thermalization', 'copyright 1998', 'antenna response', '7 œªd', '100 mv']</t>
  </si>
  <si>
    <t>We present observations of intense, bipolar, electrostatic structures in the transition region of the terrestrial bow shock from the Wind spacecraft. The electric field signatures are on the order of a tenth of a millisecond in duration and greater than 100 mV/m in amplitude. The measured electric field is generally larger on the smaller dipole antenna, indicating a small spatial size. We compare the potential on the two dipole antennas with a model of antenna response to a Gaussian potential profile. This result agrees with a spatial scale determined by convection and gives a characteristic scale size of 2 - 7 Œªd. We interpret the observations as small scale convecting unipolar potential structures, consistent with simulations of electron phase space holes and discuss the results in the context of electron thermalization at strong collisionless shocks. Copyright 1998 by the American Geophysical Union.</t>
  </si>
  <si>
    <t>2929-2932</t>
  </si>
  <si>
    <t>60029392-60006337;60029392;60029392;60029445;60029445;60029445</t>
  </si>
  <si>
    <t>7102795724;7003575559;55243501400;7402887821;8273351900;7005813505</t>
  </si>
  <si>
    <t>Bale, S. D.;Kellogg, P. J.;Larson, D. E.;Lin, R. P.;Goetz, K.;Lepping, R. P.</t>
  </si>
  <si>
    <t>Minneapolis;Berkeley;Greenbelt</t>
  </si>
  <si>
    <t>University of Minnesota Twin Cities;Space Sciences Laboratory at UC Berkeley;NASA Goddard Space Flight Center</t>
  </si>
  <si>
    <t>60029445;60029392;60006337</t>
  </si>
  <si>
    <t>Bale S.D.</t>
  </si>
  <si>
    <t>Bipolar electrostatic structures in the shock transition region: Evidence of electron phase space holes</t>
  </si>
  <si>
    <t>10.1029/98GL02111</t>
  </si>
  <si>
    <t>2-s2.0-0032136361</t>
  </si>
  <si>
    <t>['symbolic sequences', 'symbolic sequence', 'rights reserved', 'previous works', 'misiurewicz point', 'map type', 'map ).', 'directly calculate', 'cusp points', 'accumulation points']</t>
  </si>
  <si>
    <t>One-dimensional quadratic maps | Symbolic sequences</t>
  </si>
  <si>
    <t>In previous works we introduced the symbolic sequence of the orbit of a Misiurewicz point of a one-dimensional quadratic map and formulae to calculate the symbolic sequences of the orbits of the tip and the cusp points in the Mandelbrot set antenna (an L-map). In this work we generalize these expressions to any map type, and we present simple formulae to directly calculate the symbolic sequences of chaotic bands merging points, pitchfork bifurcation points and stable periodic points in one-dimensional quadratic maps. To conclude, some considerations about the notation of the accumulation points are accomplished. ¬© 1998 Elsevier Science B.V. All rights reserved.</t>
  </si>
  <si>
    <t>369-382</t>
  </si>
  <si>
    <t>Physica A: Statistical Mechanics and its Applications</t>
  </si>
  <si>
    <t>60026859;60026859;60005233;60026859</t>
  </si>
  <si>
    <t>35583724300;7005305122;6507910251;7005663245</t>
  </si>
  <si>
    <t>Pastor, G.;Romera, M.;Sanz-Mart√≠n, J. C.;Montoya, F.</t>
  </si>
  <si>
    <t>Spain;Spain</t>
  </si>
  <si>
    <t>Madrid;Madrid</t>
  </si>
  <si>
    <t>CSIC - Instituto de F&amp;iacute;sica Aplicada (IFA);Centro de Investigaciones Energeticas, Medioambientales y Tecnologicas</t>
  </si>
  <si>
    <t>60026859;60005233</t>
  </si>
  <si>
    <t>Pastor G.</t>
  </si>
  <si>
    <t>Symbolic sequences of one-dimensional quadratic map points</t>
  </si>
  <si>
    <t>S0378437198000831</t>
  </si>
  <si>
    <t>10.1016/S0378-4371(98)00083-1</t>
  </si>
  <si>
    <t>2-s2.0-0032137248</t>
  </si>
  <si>
    <t>['study examines', 'structure making', 'since pvdf', 'resulting far', 'reflector surface', 'pzt actuator', 'pvdf ).', 'positive fashion', 'performance improved', 'experimentally verified', 'effectively construct', 'cut shape', 'aperture antennae', 'antenna surface', 'antenna correspond']</t>
  </si>
  <si>
    <t>Recently, it has been demonstrated that aperture antennae can have their performance improved by employing shape control on the antenna surface. The antennae previously studied were actuated utilizing polyvinylidene fluoride (PVDF). Since PVDF is a polymer with limited control authority, these antennae can only be employed in space based applications. The study examines more robust antenna structures devised of a thick metalized substrate with surface bonded piezoceramic (PZT) actuators. In this work, piezoceramic-actuated adaptive antennae of cylinderical-cut shape are studied. When a PZT actuator is attached to the reflector surface, the converse effect develops a bending, moment in the structure making the reflectors bend inward or outward. This bending can be employed in antenna beam steering and shaping. In order to effectively construct the antenna, the piezoceramic-actuated antenna surface was modeled using classical curved beam theory and Newton's method. The deflection versus voltage relationship was then experimentally verified, and the resulting far-field radiation pattern was simulated on computer. The results emphasize two major points: firstly, the far-field radiation pettern can be altered in a positive fashion, and secondly the first two radiation modes of the antenna correspond to the first vibration mode shapes of the structure.</t>
  </si>
  <si>
    <t>537-542</t>
  </si>
  <si>
    <t>Smart Materials and Structures</t>
  </si>
  <si>
    <t>60003500;60003500</t>
  </si>
  <si>
    <t>7402990310;35580630500</t>
  </si>
  <si>
    <t>Yoon, Hwan Sik;Washington, Gregory</t>
  </si>
  <si>
    <t>Columbus</t>
  </si>
  <si>
    <t>The Ohio State University</t>
  </si>
  <si>
    <t>Yoon H.</t>
  </si>
  <si>
    <t>Piezoceramic actuated aperture antennae</t>
  </si>
  <si>
    <t>S096417269892314X</t>
  </si>
  <si>
    <t>10.1088/0964-1726/7/4/014</t>
  </si>
  <si>
    <t>2-s2.0-0032138976</t>
  </si>
  <si>
    <t>['would jam', 'time slot', 'suboptimum algorithm', 'sectorization level', 'real time', 'proposed scheme', 'previous schemes', 'paper investigates', 'packet transmissions', 'one packet', 'multicarrier trellis', 'minimum signal', 'measured data', 'internal walls', 'hybrid space', 'frame scheduling', 'ffa performance', 'ffa operating', 'ffa ),', 'e .,', 'different sectors', 'conventional multicarrier', 'concrete blocks', 'complete class', 'coding schemes', 'coded modulation', 'capture threshold', 'base station']</t>
  </si>
  <si>
    <t>Broadband communication | Directive antennas | Frequency division multiplexing | Indoor radio communication | Space division switching | Time division multiaccess | Trellis coded modulation | Wireless LAN</t>
  </si>
  <si>
    <t>This paper investigates a hybrid space-time-division multiple access (S-TDMA) for broadband indoor wireless systems using sectored antennas. It is shown that portables which are located in different sectors of an indoor microcell may be able to reuse the same frequency and the same time slot. However, this requires careful scheduling of packet transmissions in order to avoid transmitting packets that would jam each other during the same time slot. It is proposed that the scheduling be performed in the base station, i.e., a central control architecture. The optimum scheduling algorithm, the one that maximizes the number of packets transmitted per frame, may be in the NP-complete class of problems, so it cannot be solved in real time. Therefore, a suboptimum algorithm, called the first fit algorithm (FFA), is proposed for frame scheduling. It was found that the capacity gain achieved by the FFA is dependent on the capture threshold, which is defined as the minimum signal-to-interference ratio required in order to achieve a given packet error rate goal. The capture threshold depends on the modulation and coding schemes. This paper investigates the performance of the FFA operating with multicarrier trellis-coded modulation. An alternative multicarrier modulation is analyzed, and the FFA performance is investigated when operating with the alternative and with the conventional multicarrier through computer simulations based on measured data which were obtained with a sectorization level of ten (using ten antenna sectors in the base station). The simulations have shown that the FFA can provide a large capacity gain when operating with multicarrier trellis-coded modulation and using differential detection. For example, while previous schemes can transmit only one packet at a time, the proposed scheme can transmit, on average, more than four packets per time slot in an open indoor location, or close to three packets per time slot in a closed indoor location with internal walls of concrete blocks.</t>
  </si>
  <si>
    <t>937-951</t>
  </si>
  <si>
    <t>IEEE Journal on Selected Areas in Communications</t>
  </si>
  <si>
    <t>60016849;60016849-60000251</t>
  </si>
  <si>
    <t>7101906764;7004889537</t>
  </si>
  <si>
    <t>Macedo, Aleandro S.;Sousa, Elvino S.</t>
  </si>
  <si>
    <t>Canada;United States</t>
  </si>
  <si>
    <t>Toronto;New York</t>
  </si>
  <si>
    <t>University of Toronto;IEEE</t>
  </si>
  <si>
    <t>60016849;60000251</t>
  </si>
  <si>
    <t>Macedo A.</t>
  </si>
  <si>
    <t>Antenna-sector time-division multiple access for broadband indoor wireless systems</t>
  </si>
  <si>
    <t>S0733871698048045</t>
  </si>
  <si>
    <t>10.1109/49.709454</t>
  </si>
  <si>
    <t>2-s2.0-0032139512</t>
  </si>
  <si>
    <t>['nontrivial generalization', 'decoding complexity']</t>
  </si>
  <si>
    <t>Codes | Wireless communication channel</t>
  </si>
  <si>
    <t>We present a near-optimal detection method for decoding codes appropriate to transmission using multiple transmit antennas in a fixed wireless environment. The method is a nontrivial generalization of maximum ratio combining. This reduces the decoding complexity at the expense of some sacrifice in performance.</t>
  </si>
  <si>
    <t>223-225</t>
  </si>
  <si>
    <t>IEEE Communications Letters</t>
  </si>
  <si>
    <t>60008383;100354998</t>
  </si>
  <si>
    <t>7005206764;7203076017</t>
  </si>
  <si>
    <t>Tarokh, Vahid;Lo, T. K.Y.</t>
  </si>
  <si>
    <t>Florham Park;Redmond</t>
  </si>
  <si>
    <t>AT&amp;T Laboratories Florham Park;AT and T Wireless Services</t>
  </si>
  <si>
    <t>Tarokh V.</t>
  </si>
  <si>
    <t>Principal ratio combining for fixed wireles applications when transmitter diversity is employed</t>
  </si>
  <si>
    <t>S1089779898055847</t>
  </si>
  <si>
    <t>10.1109/4234.709438</t>
  </si>
  <si>
    <t>2-s2.0-0032139786</t>
  </si>
  <si>
    <t>['termination phases', 'temporal evolutions', 'state mid', 'pulse phase', 'moderate length', 'hot electrons', 'high densities', 'duty cycle', 'cw operation']</t>
  </si>
  <si>
    <t>The temporal evolutions of the ion and electron energy distributions of pulsed helicon diffusion plasmas are measured. High power (&lt;1 kW) moderate length (10 ms pulses, 10% duty cycle) 13.56 MHz RF discharges show three distinct pulse phases: (a) breakdown (the first 250 Œºs), characterized by high electron temperatures (&gt;8 eV) and high ion energies (&gt;40 eV); (b) a mid-pulse phase, which is identical to CW operation, and (c) the termination and afterglow which displays a collapsing plasma potential, splitting in ion energy peaks and a transient hot electron component (&gt;11 eV). The hot electrons in the breakdown and termination phases are characteristic of a capacitive antenna coupling mode, while high densities and low plasma potentials of the steady-state mid-pulse phase are characteristic of an inductive/helicon wave coupling mode.</t>
  </si>
  <si>
    <t>337-347</t>
  </si>
  <si>
    <t>60008950-60025104;60008950-60027763;60008950</t>
  </si>
  <si>
    <t>8627612400;22968761600;7103354742</t>
  </si>
  <si>
    <t>Conway, G. D.;Perry, A. J.;Boswell, R. W.</t>
  </si>
  <si>
    <t>United States;United Kingdom;Australia</t>
  </si>
  <si>
    <t>Fremont;;Canberra</t>
  </si>
  <si>
    <t>Lam Research Corporation;EFDA-JET;The Australian National University</t>
  </si>
  <si>
    <t>60027763;60025104;60008950</t>
  </si>
  <si>
    <t>Conway G.</t>
  </si>
  <si>
    <t>Evolution of ion and electron energy distributions in pulsed helicon plasma discharges</t>
  </si>
  <si>
    <t>S0963025298946709</t>
  </si>
  <si>
    <t>10.1088/0963-0252/7/3/012</t>
  </si>
  <si>
    <t>2-s2.0-0032140847</t>
  </si>
  <si>
    <t>['system design', 'system capacity', 'strong demand', 'spectral efficiency', 'smart antennas', 'sample demodulator', 'required quality', 'paper goes', 'paper examines', 'optional deployment', 'network infrastructure', 'limited spectrum', 'issues related', 'increase capacity', 'generation systems', 'flexible dsp', 'etsi recommended', 'complexity analysis', 'complete td', 'cdma schemes']</t>
  </si>
  <si>
    <t>With increasing mobile penetration and limited spectrum, there is a strong demand for techniques to increase capacity. Smart antenna schemes can mitigate the effects of interference and fading and increase the spectral efficiency. All of the air interface proposals for third-generation systems submitted to ETSI recommended the optional deployment of smart antennas in the network infrastructure to maximise the system capacity while retaining the required quality of service. The spectral efficiency achieved by smart antennas may be extended if the array can operate on more than one air interface. In this paper, we outline the issues related to system design of adaptive antenna candidate architectures for third-generation systems. The paper examines the use of high-speed digital signal processing (DSP) technology and software reconfigurable modules to support both TD-CDMA and W-CDMA schemes. The paper goes on to state the requirements for flexible data processing in a multi-mode base station and describes the partitioning of algorithms between parallel-processing DSP engines for the selected air interface schemes. Finally, a methodology is given for the complexity analysis of a sample demodulator and equaliser block implemented in flexible DSP, followed by extrapolation of the methodology to the dimensioning of a complete TD-CDMA receiver suitable for a smart antenna array.</t>
  </si>
  <si>
    <t>0262401X</t>
  </si>
  <si>
    <t>British Telecommunications Engineering</t>
  </si>
  <si>
    <t>100482534;100482534;100482534</t>
  </si>
  <si>
    <t>7006200486;6604052644;7404821715</t>
  </si>
  <si>
    <t>Arnott, Robert;Ponnekanti, Seshaiah;Taylor, Carl</t>
  </si>
  <si>
    <t>Leatherhead</t>
  </si>
  <si>
    <t>Telecom Modus Limited</t>
  </si>
  <si>
    <t>Arnott R.</t>
  </si>
  <si>
    <t>Smart antennas for UMTS</t>
  </si>
  <si>
    <t>2-s2.0-0032141016</t>
  </si>
  <si>
    <t>F49620-97-1-0241</t>
  </si>
  <si>
    <t>['well known', 'voice activity', 'space diversity', 'scale fading', 'rayleigh fading', 'outage probability', 'main contribution', 'division multiple', 'antenna array', 'also affected']</t>
  </si>
  <si>
    <t>CDMA | Power control | Rayleigh fading</t>
  </si>
  <si>
    <t>It is well known that the capacity of code-division multiple-access (CDMA) systems degrades rapidly with the increase in power control error. Capacity is also affected by small-scale fading such as Rayleigh fading and by the voice activity. The main contribution of this letter is to provide a new simple approximation to the outage probability of the uplink of a CDMA system utilizing an antenna array for space diversity, taking into account stochastic models of the power control error, small-scale fading, and voice activity.</t>
  </si>
  <si>
    <t>220-222</t>
  </si>
  <si>
    <t>60022904;60000251-60022904</t>
  </si>
  <si>
    <t>7201560839;7005000103</t>
  </si>
  <si>
    <t>Ye, Weichen;Haimovich, Alexander M.</t>
  </si>
  <si>
    <t>Newark;New York</t>
  </si>
  <si>
    <t>New Jersey Institute of Technology;IEEE</t>
  </si>
  <si>
    <t>60022904;60000251</t>
  </si>
  <si>
    <t>Ye W.</t>
  </si>
  <si>
    <t>Outage probability of cellular CDMA systems with space diversity, Rayleigh fading, and power control error</t>
  </si>
  <si>
    <t>S108977989805577X</t>
  </si>
  <si>
    <t>10.1109/4234.709437</t>
  </si>
  <si>
    <t>2-s2.0-0032141897</t>
  </si>
  <si>
    <t>['sheath inversion', 'reducing charge', 'reactor design', 'plasma regions', 'ionic species', 'given set', 'fluid model', 'current continuity', 'consistent rise', 'chemical kinetics', 'bulk densities', 'bohm criterion', 'bias power', '1d numerical']</t>
  </si>
  <si>
    <t>In this paper, a 1D numerical, time-dynamic, fluid model (SHEATHSIM) has been developed to study the effect of RF chuck bias on high density electronegative discharges especially under conditions of sheath inversion and negative ion extraction. In each sheath, ion momentum conservation and ion continuity equations, closed by Poisson's equation, are solved for a given set of bulk densities, temperatures and mean free path lengths of each ionic species. Two such sheaths are closed by a common bulk potential and current continuity. Qualitatively, high electronegativities (&gt;100), low electron temperatures (‚â§2.5 eV), high asymmetries (&gt;10), DC coupling of bias power and low frequencies (‚âà100 kHz) tend to favour sheath inversion and subsequent negative ion extraction. Quiescent floating sheath simulations show the self-consistent rise of the plasma regions and the Bohm criterion. Such modelling in conjunction with source antennae electromagnetics and chemical kinetics can lead to computer aided process and reactor design with a view to reducing charge-up damage through negative ion extraction.</t>
  </si>
  <si>
    <t>289-297</t>
  </si>
  <si>
    <t>60009415;60009415</t>
  </si>
  <si>
    <t>8837764300;6601997179</t>
  </si>
  <si>
    <t>Kanakasabapathy, Sivananda K.;Overzet, Lawrence J.</t>
  </si>
  <si>
    <t>The University of Texas at Dallas</t>
  </si>
  <si>
    <t>Kanakasabapathy S.</t>
  </si>
  <si>
    <t>A coupled two-sheath simulation of RF bias at high electronegativities</t>
  </si>
  <si>
    <t>S0963025298943018</t>
  </si>
  <si>
    <t>10.1088/0963-0252/7/3/007</t>
  </si>
  <si>
    <t>2-s2.0-0032142220</t>
  </si>
  <si>
    <t>Schweizerischer Nationalfonds zur F√∂rderung der Wissenschaftlichen Forschung</t>
  </si>
  <si>
    <t>31-47228.96</t>
  </si>
  <si>
    <t>SNF</t>
  </si>
  <si>
    <t>['procephalic neuroectoderm', 'nervous system', 'metazoan evolution', 'maxillary segment', 'maxillary complex', 'mammalian ap', 'limb development', 'functionally conserved', 'drosophila homolog', 'drosophila embryogenesis', 'discrete regions']</t>
  </si>
  <si>
    <t>Antenna | Antennomaxillary complex | DAP-2 | DNA binding domain | Drosophila embryogenesis | Imaginal disk | Maxillary segment | Optic lobe | Procephalic neuroectoderm | Protocerebrum | Sense organ development | Transcription factor AP-2 | Ventral nerve cord</t>
  </si>
  <si>
    <t>Transcription factor AP-2 is essential for craniofacial, nervous system, and limb development in the mouse. We report here the cloning and expression pattern analysis of DAP-2, the Drosophila homolog of AP-2 family genes. DAP- 2 is expressed in discrete regions of procephalic neuroectoderm, the brain ventral nerve cord, and maxillary segment during Drosophila embryogenesis, and in the brain, optic-lobes, ventral nerve cord, antenno-maxillary complex, and antennal and leg imaginal disks in third instar larvae. Protein sequence conservation and parallels between the embryonic expression patterns of DAP- 2 and mammalian AP-2 family genes indicate that transcription factor AP-2 has been structurally and functionally conserved during metazoan evolution.</t>
  </si>
  <si>
    <t>191-195</t>
  </si>
  <si>
    <t>Mechanisms of Development</t>
  </si>
  <si>
    <t>60012614;60012614</t>
  </si>
  <si>
    <t>6505856283;7402933495</t>
  </si>
  <si>
    <t>Monge, Ignacio;Mitchell, Pamela J.</t>
  </si>
  <si>
    <t>Zurich</t>
  </si>
  <si>
    <t>University of Zurich</t>
  </si>
  <si>
    <t>Monge I.</t>
  </si>
  <si>
    <t>DAP-2, the Drosophila homolog of transcription factor AP-2</t>
  </si>
  <si>
    <t>S0925477398001257</t>
  </si>
  <si>
    <t>10.1016/S0925-4773(98)00125-7</t>
  </si>
  <si>
    <t>2-s2.0-0032143085</t>
  </si>
  <si>
    <t>In track-while-scan (TWS) systems using phased array antennas, an Œ±-Œ≤ filter has been employed. An Œ±-Œ≤ filter can estimate reliably the target position and velocity. However, when the target maneuvers, the quality of the position and velocity estimates provided by an Œ±-Œ≤ filter can degrade significantly. The target may be lost, since the filter uses only linear prediction. As the nonlinear tracking filter for a maneuvering target, the Œ±-Œ≤ tracking filter combined with maneuver-driven circular prediction was proposed. On the other hand, the generalized Hough transform has been used for detecting curves in image processing. In this paper, we take account of the fact that a maneuvering target trajectory can be regarded as an ellipsoidal arc and propose the use of an Œ±-Œ≤ tracking filter combined with ellipsoidal prediction using the generalized Hough transform to improve tracking quality over the Œ±-Œ≤ filter combined with circular prediction. Simulation results for two target profiles are included for comparison of the performance of our proposed scheme with that of a conventional Œ±-Œ≤ tracking filter, the Kalman filter, the two-stage Kalman filter, and the Œ±-Œ≤ filter combined with circular prediction. The effectiveness of our proposed scheme is examined by means of a computational simulation.</t>
  </si>
  <si>
    <t>60025997;60025997;60025997;60025997</t>
  </si>
  <si>
    <t>Alpha-beta tracking filter combined with ellipsoidal prediction using the generalized Hough transform</t>
  </si>
  <si>
    <t>10.1002/(SICI)1520-6424(199808)81:8&lt;9::AID-ECJA2&gt;3.0.CO;2-D</t>
  </si>
  <si>
    <t>2-s2.0-0032143193</t>
  </si>
  <si>
    <t>R03DC002579</t>
  </si>
  <si>
    <t>['two aspects', 'sensillae altered', 'proportion sensitive', 'particular conductances', 'odorant responsiveness', 'odor discrimination', 'nine odorants', 'neuronal excitability', 'modulated k', 'induced excitability', 'high k', 'functional identity', 'focal application', 'fewer eb', 'extracellular ca2', 'ethyl butyrate', 'ethyl acetate', 'ethera go', 'eb compared', 'eag mutants', 'eag may', 'eag antennae', 'drosophila melanogaster', 'dendritic localization', 'control neurons']</t>
  </si>
  <si>
    <t>Ca 2+ | Cyclic nucleotide analogs | Drosophila | Eag | Electroantennogram | Ether a go-go | Mutant | Olfaction | Potassium channel | Specific</t>
  </si>
  <si>
    <t>The functional identity of an olfactory receptor neuron is determined in part by its repertoire of responses to odorants. As an approach toward understanding the contributions of particular conductances to olfactory neuron excitability and odor discrimination, we have investigated the role of the putative cyclic nucleotide-modulated K+ channel subunit encoded by the ethera go-go (eag) gene in odorant responsiveness in Drosophila melanogaster. Four independent mutant eag alleles exhibited reduced antennal sensitivity to a subset of nine odorants, all having short aliphatic side chains: ethyl butyrate (EB), propionic acid, 2-butanone, and ethyl acetate. Significantly fewer eag antennal neurons responded to EB compared with control neurons; the proportion sensitive to 2-heptanone was similar to controls. Two aspects of the character of EB-induced excitability were affected by mutations in eag. First, fewer EB-induced inhibitory responses were observed in eag mutants, and second, fewer excitatory odorant responses dependent on extracellular Ca2+ were observed. Furthermore, modulation of neuronal excitability by membrane-permeant cyclic nucleotide analogs was largely eag dependent. Focal application of high K+ saline to sensillae altered the excitability of the majority of neurons from wild-type but not eag antennae, suggesting that Eag may have a dendritic localization.</t>
  </si>
  <si>
    <t>5603-5613</t>
  </si>
  <si>
    <t>60018926-101569086;60018926;60018926</t>
  </si>
  <si>
    <t>7102528098;6602394257;7403157793</t>
  </si>
  <si>
    <t>Dubin, Adrienne E.;Liles, Margaret M.;Harris, Greg L.</t>
  </si>
  <si>
    <t>San Diego;San Diego</t>
  </si>
  <si>
    <t>San Diego State University;Pharmaceutical Research Institute</t>
  </si>
  <si>
    <t>60018926;101569086</t>
  </si>
  <si>
    <t>Dubin A.E.</t>
  </si>
  <si>
    <t>The K&lt;sup&gt;+&lt;/sup&gt; channel gene ether a go-go is required for the transduction of a subset of odorants in adult Drosophila melanogaster</t>
  </si>
  <si>
    <t>10.1523/jneurosci.18-15-05603.1998</t>
  </si>
  <si>
    <t>2-s2.0-0032146259</t>
  </si>
  <si>
    <t>R01AI023253</t>
  </si>
  <si>
    <t>['various phases', 'two groups', 'two components', 'surround organization', 'suggesting absence', 'staining techniques', 'sex pheromone', 'sensory control', 'related compounds', 'receptive field', 'proximal region', 'projection neurons', 'modulated behavior', 'manduca sexta', 'male moths', 'male moth', 'key component', 'field properties', 'distal axis', 'different receptive', 'component blend', 'antennotopic center', 'antennal lobe', 'antennal flagellum']</t>
  </si>
  <si>
    <t>Antenna | CNS | Glomerulus | Insect | Olfaction</t>
  </si>
  <si>
    <t>Stimulation of the antenna of the male moth, Manduca sexta, with a key component of the female's sex pheromone and a mimic of the second key component evokes responses in projection neurons in the sexually dimorphic macroglomerular complex of the antennal lobe. Using intracellular recording and staining techniques, we studied the antennal receptive fields of 149 such projection neurons. An antennal flagellum was stimulated in six regions along its proximo-distal axis with one or both of the pheromone-related compounds while activity was recorded in projection neurons. These neurons fell mainly into two groups, based on their responses to the two-component blend: neurons with broad receptive fields that were excited when any region of the flagellum was stimulated, and neurons selectively excited by stimulation of the proximal region of the flagellum. Projection neurons that were depolarized by stimulation of one antennal region were not inhibited by stimulation of other regions, suggesting absence of antennotopic center-surround organization. In most projection neurons, the receptive field was determined by afferent input evoked by only one of the two components. Different receptive-field properties of projection neurons may be related to the roles of these neurons in sensory control of the various phases of pheromone-modulated behavior of male moths.</t>
  </si>
  <si>
    <t>121-133</t>
  </si>
  <si>
    <t>60018362;60023324</t>
  </si>
  <si>
    <t>57203505760;7102653635</t>
  </si>
  <si>
    <t>Heinbockel, T.;Hildebrand, J. G.</t>
  </si>
  <si>
    <t>United States;Germany</t>
  </si>
  <si>
    <t>Tucson;Magdeburg</t>
  </si>
  <si>
    <t>Arizona Research Laboratories;Otto von Guericke University of Magdeburg</t>
  </si>
  <si>
    <t>60023324;60018362</t>
  </si>
  <si>
    <t>Antennal receptive fields of pheromone-responsive projection neurons in the antennal lobes of the male sphinx moth Manduca sexta</t>
  </si>
  <si>
    <t>10.1007/s003590050240</t>
  </si>
  <si>
    <t>2-s2.0-0032147158</t>
  </si>
  <si>
    <t>['vibration parameters', 'turn calls', 'suitable controllers', 'simulations show', 'simple spacecraft', 'rights reserved', 'paper presents', 'open loop', 'mathematical model', 'increasing need', 'better knowledge', 'attitude control', 'antennas connected']</t>
  </si>
  <si>
    <t>The increasing need for better pointing accuracy of antennas connected to spacecrafts has lead to a requirement for more efficient vibration control, which in turn calls for better knowledge of the vibration parameters. This paper presents the results from a study of identification of vibration parameters in a spacecraft where active vibration damping is a part of the attitude control. A mathematical model of a simple spacecraft is modelled in MATLAB and suitable controllers are developed in order to perform both effective vibration damping and attitude control. Simulations show how both open loop and closed loop vibration parameters may be identified. ¬© 1997 Published by Elsevier Science Ltd. All rights reserved.</t>
  </si>
  <si>
    <t>691-705</t>
  </si>
  <si>
    <t>Mechatronics</t>
  </si>
  <si>
    <t>100714414;100956962</t>
  </si>
  <si>
    <t>55138166400;21742597200</t>
  </si>
  <si>
    <t>Skullestad, Aage;Hallingstad, Oddvar</t>
  </si>
  <si>
    <t>Norway;Norway</t>
  </si>
  <si>
    <t>Kjeller;Kongsberg</t>
  </si>
  <si>
    <t>Senter for Technology at Kjeller;Kongsberg College of Engineering</t>
  </si>
  <si>
    <t>100956962;100714414</t>
  </si>
  <si>
    <t>Skullestad A.</t>
  </si>
  <si>
    <t>Vibration parameters identification in a spacecraft subjected to active vibration damping</t>
  </si>
  <si>
    <t>S0957415897000512</t>
  </si>
  <si>
    <t>10.1016/S0957-4158(97)00051-2</t>
  </si>
  <si>
    <t>2-s2.0-0032166337</t>
  </si>
  <si>
    <t>['ysc system', 'young gcs', 'young clusters', 'uniform age', 'time evolution', 'therefore account', 'substantial number', 'strongest depopulation', 'star clusters', 'significantly differ', 'secular evolution', 'second step', 'red subpopulation', 'properly accounted', 'possible subdivisions', 'original population', 'older one', 'observed colours', 'ob associations', 'ngc 4038', 'milky way', 'making use', 'luminosity function', 'interesting approach', 'interacting galaxies', 'individually age', 'hubble time', 'hst wfpc1', 'good agreement', 'globular cluster', 'gc systems', 'gaussian gclf', 'first step', 'faintest bins', 'faint bins', 'equilibrium distribution', 'effective radii', 'dynamical modelling', 'dynamical evolution', 'drastically changes', 'determine due', 'confirming meurer', 'completeness limit', 'comparable differences', 'colour evolution', 'cluster population', 'brightest gcs', 'brighter subsample', 'briefly compare', 'assumed age', 'also observed', 'also follow', 'allows us', 'age sequence', '39 detected', '3 mag', '2 gyr', '1995 ).', '12 gyr', '1 mag']</t>
  </si>
  <si>
    <t>Galaxies: individual: NGC 4038/39 | Galaxies: interactions | Galaxies: star clusters | Galaxies: starburst</t>
  </si>
  <si>
    <t>We analyse the population of bright star clusters in the interacting galaxy pair NGC 4038/39 detected with HST WFPC1 by Whitmore &amp; Schweizer (1995). Making use of our spectrophotometric evolutionary synthesis models for various initial metallicities we derive the ages of these star clusters and calculate their future luminosity evolution. This allows us to compare their luminosity function (LF), evolved over a Hubble time, to globular cluster (GC) LFs. Since effective radii are difficult to determine due to crowding of the clusters, the shape of the LF after a Hubble time may help decide whether the young clusters are young GCs or rather open clusters/OB associations. We subdivide the cluster population into subsamples with small and large effective radii. While the LF for the extended clusters looks exponential, that for clusters with small effective radii clearly shows a turn-over brighter than the completeness limit. For other possible subdivisions as to luminosity or colour no comparable differences are found. Evolving, in a first step, the LF from a common mean age of the young clusters of 0.2 Gyr to an assumed age of 12 Gyr, the LF for the subsample of clusters with small effective radii seems compatible with a Gaussian GCLF with typical parameters Mv0 = -7.1 mag and œÉ(Mv0) = 1.3 mag, except for some overpopulation of the faint bins. These faintest bins, however, might be suspected to be subject to the strongest depopulation through effects of dynamical evolution not included in our models. We also follow the colour evolution of the young star clusters over a Hubble time and compare to observations on the Milky Way and other galaxies' GC systems. For an ongoing starburst like the one in the NGC 4038/39 system age spread effects among the young star cluster population may not be negligible. In a second step, we therefore account for age spread effects by individually age-dating every cluster on the basis of its observed colours. This drastically changes the time evolution of the LF, confirming Meurer's (1995) conjecture. We find that - if age spread effects are properly accounted for - the LF of the entire young star cluster population, and in particular that of the brighter subsample, is in good agreement with an average Gaussian GCLF after a Hubble time. It shows a turn-over at (Mv0) = -7.1 mag with œÉ(MVo) = 1.3 mag. The age distribution reveals that the brightest GCs from the interacting galaxies' original population are also observed. They make up the bulk of the red subpopulation with (V-I)0 &gt; 0.95. Their effective radii do not significantly differ from those of the young star cluster population, neither on average nor in their distribution. We discuss the influence of metallicity, a possibly inhomogeneous internal dust distribution, as well as of internal - through stellar mass loss - and external dynamical effects on the secular evolution of the LF. Referring YSC luminosities to a uniform age and combining with model M/L, we recover the intrinsic mass distribution of the YSC system. Its shape is compatible with a Gaussian which - according to Vesperini's (1997) dynamical modelling for the Milky Way GC system - represents a quasi-equilibrium distribution and will not be altered over a Hubble time of dynamical evolution, allthough a substantial number of clusters will be destroyed. We briefly compare the young star cluster population of the Antennae to the older one in the merger remnant NGC 7252 and point out that the intercomparison of young cluster populations in an age sequence of interacting and merged galaxies may become an interesting approach to study in detail the role of external dynamical effects.</t>
  </si>
  <si>
    <t>83-97</t>
  </si>
  <si>
    <t>Fritze-v. Alvensleben, Ute</t>
  </si>
  <si>
    <t>Gottingen</t>
  </si>
  <si>
    <t>Georg-August-Universit√§t G√∂ttingen</t>
  </si>
  <si>
    <t>Fritze-v. Alvensleben U.</t>
  </si>
  <si>
    <t>Young star clusters in the Antennae: A clue to their nature from evolutionary synthesis</t>
  </si>
  <si>
    <t>2-s2.0-0037831619</t>
  </si>
  <si>
    <t>['special attention', 'shortwave scattering', 'scale electron', 'ray intensity', 'random inhomogeneities', 'radiowave beam', 'plasma layer', 'parabolic equation', 'mpe ),', 'mean field', 'general solutions', 'density perturbations', 'density inhomogeneities', 'coherence function', '3 db']</t>
  </si>
  <si>
    <t>Using the method of parabolic equation (MPE), we obtain transfer equations for the mean field, the space-coherence function, and the ray intensity of a radiowave beam as it is reflected from a plasma layer with random inhomogeneities. The general solutions of these equations are found. Special attention is given to the case of radiowave beam reflection from a linear plasma layer with large-scale electron-density inhomogeneities. If a weakly directed transceiving SW antenna is used, the shortwave scattering can lead to a pronounced (of the order of 3 dB) decrease in the intensity of a vertical-sounding signal reflected from the ionospheric F2 layer only under the conditions of abnormally strong ionospheric electron-density perturbations.</t>
  </si>
  <si>
    <t>645-652</t>
  </si>
  <si>
    <t>26643441700;6602889759</t>
  </si>
  <si>
    <t>Alimov, V. A.;Rakhlin, A. V.</t>
  </si>
  <si>
    <t>Alimov V.</t>
  </si>
  <si>
    <t>On the reflection of a radiowave beam from a plasma layer with large-scale inhomogeneities</t>
  </si>
  <si>
    <t>10.1007/BF02676472</t>
  </si>
  <si>
    <t>2-s2.0-84987806425</t>
  </si>
  <si>
    <t>['œ ±-', 'type complex', 'two proteins', 'sufficient quantities', 'subunit complex', 'similar inhibition', 'several peaks', 'rhodobacter sphaeroides', 'rhodobacter capsulatus', 'reconstitution assays', 'qualitative evidence', 'pufx proteins', 'pufx protein', 'pufx gene', 'positive interaction', 'parallel preparations', 'low concentrations', 'low concentration', 'lh1 formation', 'high affinity', 'havesting antenna', 'first extracted', 'filtration chromatography', 'core light', 'containing fractions', 'approximately 50', 'approximately 0', 'also inhibited', '5 ).']</t>
  </si>
  <si>
    <t>Using mutant strains of Rhodobacter capsulatus and Rhodobacter sphaeroides in which the pufX gene had been deleted, it was possible to identify by HPLC membrane protein components present in pufX+ cells but absent in pufX- cells. In parallel preparations, membrane proteins soluble in chloroform/methanol containing ammonium acetate were first extracted from lyophilized membrane fractions of the pufX+ cells and separated from pigments and larger protein material by gel-filtration chromatography. Protein-containing fractions were examined by HPLC, and several peaks were collected from pufX+ material that were not present in pufX- material. From N-terminal amino acid sequencing, the PufX protein of Rb. capsulatus was identified, and from positive interaction with a PufX protein antibody, the Rb. sphaeroides PufX protein was identified. Although overall yields were very small, sufficient quantities of these proteins were isolated to evaluate their effect on the reconstitution of the core light-havesting antenna (LH1) and its subunit complex. From the behavior of the PUfX protein and the Œ±- polypeptide of LH1 on HPLC, qualitative evidence was obtained that the two proteins have a high affinity for each other. In reconstitution assays with bacteriochlorophyll (Bchl) and the LH1 Œ±- and Œ≤-polypeptides of Rb. capsulatus, the PufX protein of Rb. capsulatus was inhibitory to LH1 formation at low concentration. A similar inhibition was exhibited by Rb. sphaeroides PufX protein for reconstitution of LH1 with Bchl and the LH1 Œ±- and Œ≤-polypeptides of Rb. sphaeroides. In both cases, the ratios of concentrations of the PufX protein to the Œ±-polypeptide causing 50% inhibition were approximately 0.5. Formation of the heterologous (Œ±Œ≤) subunit-type complex formed with Bchl and the Œ±- and Œ≤-polypeptides of LH1 of Rb. capsulatus was also inhibited by low concentrations of the Rb. capsulatus PufX protein (approximately 50% inhibition at PufX:Œ±-polypeptide ratios = 0.5). However, neither PufX protein inhibited formation of a homologous (Œ≤Œ≤) subunit-type complex, which indicates that the PUfX proteins do not interact with the Œ≤-polypeptides.</t>
  </si>
  <si>
    <t>11055-11063</t>
  </si>
  <si>
    <t>;60007363-60010365;60001881-60031707;60031707;;60031707;</t>
  </si>
  <si>
    <t>7801595571;55447667700;6602880137;7103289658;6602856309;13105070700;7003761706</t>
  </si>
  <si>
    <t>Recchia, Paul A.;Davis, Christine M.;Lilburn, Timothy G.;Beatty, J. Thomas;Parkes-Loach, Pamela S.;Hunter, C. Neil;Loach, Paul A.</t>
  </si>
  <si>
    <t>United States;Canada;United States;United Kingdom</t>
  </si>
  <si>
    <t>East Lansing;Vancouver;Evanston;Sheffield</t>
  </si>
  <si>
    <t>Michigan State University;The University of British Columbia;Northwestern University;The University of Sheffield</t>
  </si>
  <si>
    <t>60031707;60010365;60007363;60001881</t>
  </si>
  <si>
    <t>Recchia P.A.</t>
  </si>
  <si>
    <t>Isolation of the PufX protein from Rhodobacter capsulatus and Rhodobacter sphaeroides: Evidence for its interaction with the Œ±- polypeptide of the core light-harvesting complex</t>
  </si>
  <si>
    <t>S0006296098006576</t>
  </si>
  <si>
    <t>10.1021/bi980657l</t>
  </si>
  <si>
    <t>2-s2.0-0032483080</t>
  </si>
  <si>
    <t>['widely used', 'verified experimentally', 'two conditions', 'turnover flash', 'state dynamics', 'significantly lower', 'saturating single', 'saturated samples', 'sat ))', 'relative increase', 'rate constant', 'practical applications', 'picosecond time', 'photosystem ii', 'photosynthetic efficiency', 'photochemical yield', 'parameters related', 'noninvasive measure', 'modeled well', 'maximal capacity', 'kinetic models', 'important component', 'fluorescence yield', 'fluorescence emission', 'excitation energy', 'decay kinetics', 'considered explicitly', 'conditions resulted', 'based origin', 'allow collection', 'added quinone', 'adapted samples', '50 œºs']</t>
  </si>
  <si>
    <t>Chlorophyll a fluorescence emission is widely used as a noninvasive measure of a number of parameters related to photosynthetic efficiency in oxygenic photosynthetic organisms. The most important component for the estimation of photochemistry is the relative increase in fluorescence yield between dark-adapted samples which have a maximal capacity for photochemistry and a minimal fluorescence yield (F0) and light-saturated samples where photochemistry is saturated and fluorescence yield is maximal (F(m)). However, when photosynthesis is saturated with a short (less than 50 Œºs) flash of light, which induces only one photochemical turnover of photosystem II, the maximal fluorescence yield is significantly lower (F(sat)) than when saturation is achieved with a millisecond duration multiturnover flash (F(m)). To investigate the origins of the difference in fluorescence yield between these two conditions, our time-resolved fluorescence apparatus was modified to allow collection of picosecond time-resolved decay kinetics over a short time window immediately following a saturating single-turnover flash (F(sat)) as well as after a multiturnover saturating pulse (F(m)). Our data were analyzed with a global kinetic model based on an exciton radical pair equilibrium model for photosystem II. The difference between F(m) and F(sat) was modeled well by changing only the rate constant for quenching of excitation energy in the antenna of photosystem II. An antenna-based origin for the quenching was verified experimentally by the observation that addition of the antenna quencher 5-hydroxy-1,4-naphthoquinone to thylakoids under F(m) conditions resulted in decay kinetics and modeled kinetic parameters very similar to those observed under F(sat) conditions in the absence of added quinone. Our data strongly SUpport the origin of low fluorescence yield at F(sat) to be an antenna-based nonphotochemical quenching of excitation energy in photosystem II which has not usually been considered explicitly in calculations of photochemical and nonphotochemical quenching parameters. The implications of our data with respect to kinetic models for the excited-state dynamics of photosystem II and the practical applications of the fluorescence yield parameters F(m) and F(sat) to calculations of photochemical yield are discussed.</t>
  </si>
  <si>
    <t>11046-11054</t>
  </si>
  <si>
    <t>60001343;60001343-60007457</t>
  </si>
  <si>
    <t>7102292754;7202146710</t>
  </si>
  <si>
    <t>Vasil'ev, Sergej;Bruce, Doug</t>
  </si>
  <si>
    <t>Russian Federation;Canada</t>
  </si>
  <si>
    <t>Moscow;St. Catharines</t>
  </si>
  <si>
    <t>Lomonosov Moscow State University;Brock University</t>
  </si>
  <si>
    <t>60007457;60001343</t>
  </si>
  <si>
    <t>Nonphotochemical quenching of excitation energy in photosystem II. A picosecond time-resolved study of the low yield of chlorophyll a fluorescence induced by single-turnover flash in isolated spinach thylakoids</t>
  </si>
  <si>
    <t>S0006296098006850</t>
  </si>
  <si>
    <t>10.1021/bi9806854</t>
  </si>
  <si>
    <t>2-s2.0-0032483127</t>
  </si>
  <si>
    <t>This paper presents an experimental investigation into a microstrip Yagi array antenna for a possible use in a wireless LAN system. The antenna uses an aperture coupling feeding mechanism, and can be placed in a horizontal plane to communicate with the base station. Experimental results are presented, and the effect of dimensions of the parasitic elements on the overall performance of the array is discussed.</t>
  </si>
  <si>
    <t>X-band aperture-coupled microstrip Yagi array antenna for wireless communications</t>
  </si>
  <si>
    <t>10.1002/(SICI)1098-2760(19980805)18:5&lt;331::AID-MOP6&gt;3.0.CO;2-9</t>
  </si>
  <si>
    <t>2-s2.0-0032486701</t>
  </si>
  <si>
    <t>['thin substrates', 'mechanical support', 'impedance matching', 'ground plane', 'finite thickness', 'cavity model', 'allow reporting']</t>
  </si>
  <si>
    <t>The finite thickness of the ground plane is taken into account to improve the cavity model, and also because a thick ground plane may be a mechanical support for thin substrates and allow reporting of monolithic microwave integrated circuitry. Three simple methods are considered and the results are compared to experiments. One of these methods gives particularly good results and is used to investigate the effect of thickness on impedance matching.</t>
  </si>
  <si>
    <t>1534-1536</t>
  </si>
  <si>
    <t>7003723658;6603211799;6505956792;7202044329</t>
  </si>
  <si>
    <t>Himdi, M.;Lafond, O.;Laignier, S.;Daniel, J. P.</t>
  </si>
  <si>
    <t>Himdi M.</t>
  </si>
  <si>
    <t>Extension of cavity method to analyse aperture coupled microstrip patch antenna with thick ground plane</t>
  </si>
  <si>
    <t>10.1049/el:19981128</t>
  </si>
  <si>
    <t>2-s2.0-0032490770</t>
  </si>
  <si>
    <t>['mutual admittance', 'monopole antenna', 'lumped load']</t>
  </si>
  <si>
    <t>A Fourier series method is presented for determining the self and mutual admittance between two generators driving a monopole antenna. It is shown that the admittances are useful in practical problems involving a monopole with a lumped load. They are applied to the loading of a base driven monopole to produce an outgoing travelling wave between generator and load.</t>
  </si>
  <si>
    <t>1537-1539</t>
  </si>
  <si>
    <t>Wunsch, A. D.</t>
  </si>
  <si>
    <t>Lowell</t>
  </si>
  <si>
    <t>University of Massachusetts Lowell</t>
  </si>
  <si>
    <t>Wunsch A.</t>
  </si>
  <si>
    <t>Loaded monopole antenna: Fourier series and admittance coefficient analysis</t>
  </si>
  <si>
    <t>10.1049/el:19981074</t>
  </si>
  <si>
    <t>2-s2.0-0032490788</t>
  </si>
  <si>
    <t>['practical examples', 'manufacturing aspects', 'hence improve', 'given involving']</t>
  </si>
  <si>
    <t>The fractal volume antenna concept is introduced in order to increase the degree of design freedom associated with fractal antenna elements and hence improve their input matching characteristics. Practical examples are given involving the Sierpinski triangular gasket monopole and a novel Sierpinski carpet gasket microstrip antenna. The scope for further optimisation and some manufacturing aspects are noted.</t>
  </si>
  <si>
    <t>1536-1537</t>
  </si>
  <si>
    <t>60009658;60009658</t>
  </si>
  <si>
    <t>7402390053;7403018268</t>
  </si>
  <si>
    <t>Walker, G. J.;James, J. R.</t>
  </si>
  <si>
    <t>Swindon</t>
  </si>
  <si>
    <t>Defence College of Management and Technology</t>
  </si>
  <si>
    <t>Walker G.</t>
  </si>
  <si>
    <t>Fractal volume antennas</t>
  </si>
  <si>
    <t>10.1049/el:19981135</t>
  </si>
  <si>
    <t>2-s2.0-0032490791</t>
  </si>
  <si>
    <t>['multipath fading', 'mobile transmitter', 'location estimates', 'location error', 'experimental results', 'authors consider', 'arrival measurements', 'antenna array', 'accurate estimation', '1800 system']</t>
  </si>
  <si>
    <t>The authors consider the problem of accurate estimation of the position of a GSM mobile station based on measurements of the mobile signal made at a single receiving site equipped with an antenna array. Direction of arrival and time of arrival measurements are used to estimate the location of the mobile transmitter. A statistical filtering technique is applied to the location estimates to minimise the effects of multipath fading. Experimental results with a DCS-1800 system are presented which achieve an r.m.s. location error of 133m, with the error being &lt; 250m for 98% of the time.</t>
  </si>
  <si>
    <t>1539-1540</t>
  </si>
  <si>
    <t>60011897;60011897</t>
  </si>
  <si>
    <t>6603920377;7006200486</t>
  </si>
  <si>
    <t>Cesbron, F.;Arnott, R.</t>
  </si>
  <si>
    <t>ERA Technology Ltd</t>
  </si>
  <si>
    <t>Cesbron F.</t>
  </si>
  <si>
    <t>Locating GSM mobiles using antenna array</t>
  </si>
  <si>
    <t>10.1049/el:19981090</t>
  </si>
  <si>
    <t>2-s2.0-0032490804</t>
  </si>
  <si>
    <t>['technique allows', 'radiated power', 'obtained showing', 'obstacle surface', 'new technique', 'finally isolated', 'avoid coupling', 'arbitrary obstacles']</t>
  </si>
  <si>
    <t>A new technique for synthesising array antennas in the presence of arbitrary obstacles in the near field region is presented. This technique allows a prescribed far field pattern to be synthesised, while trying to avoid coupling with near field obstacles through the constraint of minimising the radiated power over the obstacle surface. Some results have been obtained showing that the obstacles are finally isolated from the array antenna radiation.</t>
  </si>
  <si>
    <t>1540-1542</t>
  </si>
  <si>
    <t>60026134;60026134;60026134;60028419;60028419;60026134</t>
  </si>
  <si>
    <t>55939570500;7003784434;7404696540;57217764562;7006865572;7006386299</t>
  </si>
  <si>
    <t>Landesa, L.;Obelleiro, F.;Rodr√≠guez, J. L.;Rodr√≠guez, J. A.;Ares, F.;Pino, A. G.</t>
  </si>
  <si>
    <t>Santiago de Compostela;Vigo</t>
  </si>
  <si>
    <t>Universidad de Santiago de Compostela;Universidade de Vigo</t>
  </si>
  <si>
    <t>60028419;60026134</t>
  </si>
  <si>
    <t>Landesa L.</t>
  </si>
  <si>
    <t>Pattern synthesis of array antennas with additional isolation of near field arbitrary objects</t>
  </si>
  <si>
    <t>10.1049/el:19981081</t>
  </si>
  <si>
    <t>2-s2.0-0032490808</t>
  </si>
  <si>
    <t>['stub incorporating', 'small slot', 'slot cut', 'results show', 'proposed antenna', 'patch boundary', 'obtained using', 'novel design', 'modified cross', 'ground plane', 'experimentally studied', 'cp operation', 'coupled circularly', 'bent tuning', 'antenna proposed']</t>
  </si>
  <si>
    <t>A novel design of small slot-coupled circularly-polarised circular microstrip antenna with a modified cross-slot cut in the patch and a bent tuning-stub aligned along the patch boundary is proposed and experimentally studied. Results show that, for fixed circular polarisation (CP) operation, the antenna proposed can have an antenna size reduction of ‚àº80%, as compared to a regular-size CP design. The significant size reduction of the proposed antenna is due to the novel modified cross-slot cut in the patch, and CP operation is obtained using a bent tuning-stub incorporating a properly oriented coupling-slot in the ground plane of the microstrip feed line.</t>
  </si>
  <si>
    <t>1542-1543</t>
  </si>
  <si>
    <t>Small slot-coupled circularly-polarised microstrip antenna with modified cross-slot and bent tuning-stub</t>
  </si>
  <si>
    <t>10.1049/el:19981100</t>
  </si>
  <si>
    <t>2-s2.0-0032490813</t>
  </si>
  <si>
    <t>['wideband nulls', 'technique uses', 'steered independently', 'significantly distort', 'sidelobe nulling', 'receiver array', 'provide time', 'optical links', 'optical dispersive', 'nulling signal', 'main beam', 'link feeds', 'jammer suppression', 'frequency shape', 'forming squint', 'element position', 'dispersion proportional', 'array element', 'antenna pattern', 'antenna element']</t>
  </si>
  <si>
    <t>We develop a method for forming squint-free wideband nulls in the antenna pattern of an ultrawideband array antenna. The technique uses an optical dispersive-prism beam former to provide time-delayed microwave signals to each antenna element for forming a squint-free main beam. The amplitudemodulated optical carrier is propagated through a set of optical links. Each link feeds an array element and includes an amount of dispersion proportional to element position. Tuning the wavelength of the optical carrier controls the microwave signal‚Äôs arrival-time delay gradient across the array. A dispersive-prism tapped delay-line microwave filter is used to frequency shape a nulling signal. The wideband nulls do not significantly distort the main beam and are steered independently of the main beam. The technique is applied to sidelobe nulling for a transmitter and for jammer suppression for a receiver array. ¬© 1998 Optical Society of America.</t>
  </si>
  <si>
    <t>5488-5494</t>
  </si>
  <si>
    <t>60027271-100313787;60027271</t>
  </si>
  <si>
    <t>35458989800;7005229250</t>
  </si>
  <si>
    <t>Frankel, Michael Y.;Esman, Ronald D.</t>
  </si>
  <si>
    <t>Washington, D.C.;Linthicum</t>
  </si>
  <si>
    <t>Naval Research Laboratory;Ciena Corporation</t>
  </si>
  <si>
    <t>60027271;100313787</t>
  </si>
  <si>
    <t>Frankel M.</t>
  </si>
  <si>
    <t>Dynamic null steering in an ultrawideband time-steered array antenna</t>
  </si>
  <si>
    <t>10.1364/AO.37.005488</t>
  </si>
  <si>
    <t>2-s2.0-0009985348</t>
  </si>
  <si>
    <t>University Grants Commission</t>
  </si>
  <si>
    <t>['photosystem ii', 'photosynthetic apparatus', 'major light', 'first time', 'clearly demonstrate', 'also affected', '9 mw', '77 k', '320 nm']</t>
  </si>
  <si>
    <t>Exposure of ultraviolet-B (280-320 nm, 1.9 mW m-2 s-1) radiation of intact Spirulina platensis for 9 h caused specific loss of the 85.5 KDa anchor protein of phycobilisomes, the major light-harvesting antenna complex of photosystem II. Associated with the loss of 85.5 KDa protein, the UV-B irradiation also caused photobleaching of phycobilins and alteration in the chromophore protein interactions, as evidenced from the visible circular dichroic measurements, and it also affected the energy transfer process within the phycobilisomes, as inferred from the low-temperature, 77 K, fluorescence spectral analysis. Our results, thus, clearly demonstrate for the first time that the phycobilisomes effectively act as targets for UV-B induced damage of photosynthetic apparatus in cyanobacteria.</t>
  </si>
  <si>
    <t>172-177</t>
  </si>
  <si>
    <t>60008424;60030622;60008424;60030622</t>
  </si>
  <si>
    <t>25230733100;6603053026;7202013276;7101652469</t>
  </si>
  <si>
    <t>Rajagopal, S.;Jha, I. B.;Murthy, S. D.S.;Mohanty, P.</t>
  </si>
  <si>
    <t>New Delhi;Tirupati</t>
  </si>
  <si>
    <t>Jawaharlal Nehru University;Sri Venkateswara University</t>
  </si>
  <si>
    <t>60030622;60008424</t>
  </si>
  <si>
    <t>Rajagopal S.</t>
  </si>
  <si>
    <t>Ultraviolet-B effects on Spirulina platensis cells: Modification of chromophore-protein interaction and energy transfer characteristics of phycobilisomes</t>
  </si>
  <si>
    <t>S0006291X9899101X</t>
  </si>
  <si>
    <t>10.1006/bbrc.1998.9101</t>
  </si>
  <si>
    <t>2-s2.0-0032504537</t>
  </si>
  <si>
    <t>['two modes', 'optical alignment', 'much narrower', 'mode ld', 'ld ).', 'laser diode', 'difference frequency', 'device promising', 'coherent cw', 'cavity due']</t>
  </si>
  <si>
    <t>Common-mode rejection effect | cw-terahertz radiation | LTG-GaAs | Photomixing | Two-longitudinal-mode DBR LD</t>
  </si>
  <si>
    <t>Coherent cw-terahertz (THz) radiation has been generated by photomixing with a photoconductive antenna fabricated on a low-temperature-grown (LTG) GaAs film using a two-longitudinal-mode distributed Bragg reflector (DBR) laser diode (LD). The frequency of the emitted radiation corresponds to the difference frequency between the two modes of the LD. The linewidth of the radiation is much narrower than that of each laser mode oscillating in the same cavity due to the common-mode rejection effect between the two modes oscillating in the same cavity. This property of the two-mode LD, as well as its compactness and ease of optical alignment, make the device promising as an excitation laser source for photomixing.</t>
  </si>
  <si>
    <t>8 SUPPL. B</t>
  </si>
  <si>
    <t>60092258;60092258;60092258;60092258;60009551</t>
  </si>
  <si>
    <t>35966990100;7202550229;7102037357;7404662230;57217800693</t>
  </si>
  <si>
    <t>Gu, Ping;Tani, Masahiko;Hyodo, Masaharu;Sakai, Kiyomi;Hidaka, Takehiro</t>
  </si>
  <si>
    <t>Koganei;Fujisawa</t>
  </si>
  <si>
    <t>Ministry of Posts and Telecommunications, Japan;Shonan Institute of Technology</t>
  </si>
  <si>
    <t>60092258;60009551</t>
  </si>
  <si>
    <t>Gu P.</t>
  </si>
  <si>
    <t>Generation of cw-Terahertz radiation using a two-longitudinal-mode laser diode</t>
  </si>
  <si>
    <t>10.1143/jjap.37.l976</t>
  </si>
  <si>
    <t>2-s2.0-0032131038</t>
  </si>
  <si>
    <t>['rights reserved', 'main mechanism', 'intact chlorosomes', 'highly similar', 'field assignments', 'chlorobium tepidum', 'bchl c']</t>
  </si>
  <si>
    <t>Antenna | Chlorophyll | Isotope labelling | MAS NMR | Photosynthesis</t>
  </si>
  <si>
    <t>The progress toward structure refinement of solid-type uniformly 13C enriched ([U-13C]) chlorophyll-containing biological preparations is summarised. Solid state carbon chemical shifts of aggregated [U-13C] bacteriochlorophyll (BChl) c in intact chlorosomes of Chlorobium tepidum and in [U-13C] BChl c aggregates were determined by the application of homonuclear (13C-13C) magic angle spinning (MAS) NMR dipolar correlation spectroscopy. It was found that the arrangement of BChl c molecules in the chlorosomes and in the aggregates is highly similar, which provides convincing evidence that self-organisation of the BChl c is the main mechanism to support the structure of the chlorosomes. Additionally, high field 2-D (1H-13C) and 3-D (1H-13C-13C) dipolar correlation spectroscopy was applied to determine solid state proton chemical shifts of aggregated [U-13C] BChl c in intact chlorosomes. From the high-field assignments, evidence is found for the existence of at least two well-defined interstack arrangements. ¬© 1998 Elsevier Science B.V. All rights reserved.</t>
  </si>
  <si>
    <t>1167-1176</t>
  </si>
  <si>
    <t>60070193;60070193;60070193;60070193;60072285;60072285;60072285;60007257;60007257;60070193</t>
  </si>
  <si>
    <t>55883069400;6701824467;23016034700;57219106268;7003334926;35501122300;7006711511;6506490106;7006132552;7102115434</t>
  </si>
  <si>
    <t>Van Rossum, B. J.;Boender, G. J.;Mulder, F. M.;Raap, J.;Balaban, T. S.;Holzwarth, A.;Schaffner, K.;Prytulla, S.;Oschkinat, H.;De Groot, H. J.M.</t>
  </si>
  <si>
    <t>Germany;Netherlands;Germany</t>
  </si>
  <si>
    <t>Mulheim an der Ruhr;Leiden;Heidelberg</t>
  </si>
  <si>
    <t>Max Planck Institute for Chemical Energy Conversion;Gorlaeus Laboratory;European Molecular Biology Laboratory Heidelberg</t>
  </si>
  <si>
    <t>60072285;60070193;60007257</t>
  </si>
  <si>
    <t>Van Rossum B.J.</t>
  </si>
  <si>
    <t>Multidimensional CP-MAS &lt;sup&gt;13&lt;/sup&gt;C NMR of uniformly enriched chlorophyll</t>
  </si>
  <si>
    <t>S1386142598000675</t>
  </si>
  <si>
    <t>10.1016/S1386-1425(98)00067-5</t>
  </si>
  <si>
    <t>2-s2.0-0346854046</t>
  </si>
  <si>
    <t>['transfer function', 'stochastic background', 'sinusoidal behavior', 'sensitivities achievable', 'noise sources', 'monochromatic signals', 'mechanical vibrations', 'ground antenna', 'gravitational radiation', 'frequency band', 'frequencies makes', 'filtering technique', 'doppler observable', 'band detectors']</t>
  </si>
  <si>
    <t>We discuss a filtering technique for reducing the frequency fluctuations due to the troposphere, ionosphere, and mechanical vibrations of the ground antenna in spacecraft Doppler tracking searches for gravitational radiation. This method takes advantage of the sinusoidal behavior of the transfer function to the Doppler observable of these noise sources, which displays sharp nulls at selected Fourier components. The non-zero gravitational wave signal remaining at these frequencies makes this Doppler tracking technique the equivalent of a series of narrow-band detectors of gravitational radiation distributed across the low-frequency band. Estimates for the sensitivities achievable with the future Cassini Doppler tracking experiments are presented in the context of gravitational wave bursts, monochromatic signals, and a stochastic background of gravitational radiation.</t>
  </si>
  <si>
    <t>420021-420028</t>
  </si>
  <si>
    <t>60009037;60009037</t>
  </si>
  <si>
    <t>7003271412;7403155808</t>
  </si>
  <si>
    <t>Tinto, Massimo;Armstrong, J. W.</t>
  </si>
  <si>
    <t>Tinto M.</t>
  </si>
  <si>
    <t>Spacecraft Doppler tracking as a narrow-band detector of gravitational radiation</t>
  </si>
  <si>
    <t>10.1103/PhysRevD.58.042002</t>
  </si>
  <si>
    <t>2-s2.0-0542398964</t>
  </si>
  <si>
    <t>National Institute of Neurological Disorders and Stroke</t>
  </si>
  <si>
    <t>P01NS028495</t>
  </si>
  <si>
    <t>NINDS</t>
  </si>
  <si>
    <t>['taking advantage', 'small number', 'sensory epithelium', 'results suggest', 'receptor axons', 'ran along', 'olfactory bulb', 'odor specificity', 'molecular features', 'growth cones', 'glial processes', 'glial cells', 'experimentally misrouted', 'dramatic reorganization', 'distinct glomeruli', 'common targets', 'brain ectopically', 'bound cues', 'become associated', 'axons sort', 'appropriate targets', 'antennal lobe']</t>
  </si>
  <si>
    <t>Antennal lobe | Glial cells | Laser scanning confocal microscopy | Manduca sexta | Moth | Olfactory bulb</t>
  </si>
  <si>
    <t>Olfactory receptor axons in many species terminate centrally in an array of distinct glomeruli that are thought to encode the molecular features of odors. Particular molecular attributes are detected by receptor neurons widely distributed over the sensory epithelium, but these neurons then project to a small number of glomeruli in the olfactory bulb. This raises perplexing questions about olfactory axon guidance, especially how axons sort by odor specificity and how they find their appropriate targets in the brain. Taking advantage of the relative cellular simplicity of the moth antennal system, we have examined receptor axons in normally developing animals and also in preparations in which the nerve was experimentally misrouted. Just before they enter the antennal lobe, receptor axons undergo a dramatic reorganization in a discrete zone filled with glial cells. Here they shed neighbor relationships and become associated with axons that have common targets and presumably share common odor specificies. Electron microscopy revealed that the growth cones of early arriving axons travel preferentially next to glial processes. The growth cones of receptor axons were relatively simple except as they entered newly forming glomeruli. Misrouted nerves turned and ran along the surface of the brain until they reached the region of the antennal lobe. In only 6% of cases did misrouted axons enter the brain ectopically, never forming glomeruli. Our results suggest that olfactory receptor axons are attracted to the antennal lobe by soluble or surface- bound cues and sort by odor specificity by using a mechanism that may involve glial cells.</t>
  </si>
  <si>
    <t>119-138</t>
  </si>
  <si>
    <t>Journal of Comparative Neurology</t>
  </si>
  <si>
    <t>60023324-60010065;60023324;60023324;60023324</t>
  </si>
  <si>
    <t>7004335896;35616973500;36785022300;7102144017</t>
  </si>
  <si>
    <t>Oland, Lynne A.;Pott, Wendy M.;Higgins, Mark R.;Tolbert, Leslie P.</t>
  </si>
  <si>
    <t>Oland L.</t>
  </si>
  <si>
    <t>Targeted ingrowth and glial relationships of olfactory receptor axons in the primary olfactory pathway of an insect</t>
  </si>
  <si>
    <t>10.1002/(SICI)1096-9861(19980817)398:1&lt;119::AID-CNE8&gt;3.0.CO;2-4</t>
  </si>
  <si>
    <t>2-s2.0-0032541368</t>
  </si>
  <si>
    <t>['near fields', 'cellphone handsets', 'authors describe']</t>
  </si>
  <si>
    <t>Cellphone handsets of low specific energy absorption rate can be realised by making the near fields have low intensity close to the antenna. The authors describe an antenna which projects a magnetic field minimum and a radiated far field minimum towards the head.</t>
  </si>
  <si>
    <t>1628-1629</t>
  </si>
  <si>
    <t>100358012;60000891;60025858;60075187;100358012;60025858;100358012</t>
  </si>
  <si>
    <t>6701760387;35562114200;57196539661;6602355054;6507294315;7003283774;6602223758</t>
  </si>
  <si>
    <t>Leisten, O.;Vardaxoglou, Y.;Schmid, T.;Rosenberger, B.;Agboraw, E.;Kuster, N.;Nicolaidis, G.</t>
  </si>
  <si>
    <t>Germany;Switzerland;United Kingdom;United Kingdom</t>
  </si>
  <si>
    <t>Tittmoning;Zurich ZH,;Loughborough;Northampton</t>
  </si>
  <si>
    <t>Rosenberger Hochfrequenztechnik GmbH &amp; Co. KG;ETH Zurich;Loughborough University;Navstar Systems Ltd</t>
  </si>
  <si>
    <t>60075187;60025858;60000891;100358012</t>
  </si>
  <si>
    <t>Leisten O.</t>
  </si>
  <si>
    <t>Miniature dielectric-loaded personal telephone antennas with low user exposure</t>
  </si>
  <si>
    <t>10.1049/el:19981197</t>
  </si>
  <si>
    <t>2-s2.0-0032139735</t>
  </si>
  <si>
    <t>['particular discontinuity', 'fourier transform', 'domain gating']</t>
  </si>
  <si>
    <t>A method is suggested to compensate for the cable attenuation effect on reflection coefficient measurements in the case of multiple small discontinuities distributed along the feedline of an antenna. The method combines techniques used in laboratory network analysers to extract a particular discontinuity (Fourier transform, time-domain gating) with a broadband cable attenuation model.</t>
  </si>
  <si>
    <t>1627-1628</t>
  </si>
  <si>
    <t>60006861;60006861</t>
  </si>
  <si>
    <t>6603576812;6506507324</t>
  </si>
  <si>
    <t>Bilik, V.;Bezek, J.</t>
  </si>
  <si>
    <t>Slovakia</t>
  </si>
  <si>
    <t>Bratislava</t>
  </si>
  <si>
    <t>Slovak University of Technology in Bratislava</t>
  </si>
  <si>
    <t>Bilik V.</t>
  </si>
  <si>
    <t>Improved cable correction method in antenna installation measurements</t>
  </si>
  <si>
    <t>10.1049/el:19981171</t>
  </si>
  <si>
    <t>2-s2.0-0032139877</t>
  </si>
  <si>
    <t>['radiation characteristics', 'impedance behaviour', 'antenna consists']</t>
  </si>
  <si>
    <t>A truly integrated printed antenna suitable for mobile communications handset terminals is presented. The antenna consists of a cavity backed probe-fed patch incorporating a strategically positioned resistive load. The impedance behaviour and radiation characteristics of the novel cavity backed patch are given.</t>
  </si>
  <si>
    <t>1629-1631</t>
  </si>
  <si>
    <t>Waterhouse, R. B.</t>
  </si>
  <si>
    <t>Small printed antenna easily integrated into a mobile handset terminal</t>
  </si>
  <si>
    <t>10.1049/el:19981167</t>
  </si>
  <si>
    <t>2-s2.0-0032141310</t>
  </si>
  <si>
    <t>['widely spread', 'used clinically', 'two techniques', 'sar distributions', 'respectively 15', 'parallel e', 'orientated array', 'mutual interactions', 'maximum 34', 'lcas operated', 'gaussian beam', 'equalled less', 'differences decreased', 'clinical conditions', 'antenna interactions', '9 %.', '6 %).', '5 cm', '433 mhz', '4 %.', '3 %.']</t>
  </si>
  <si>
    <t>SAR distributions from four different E-field-orientated 2 x 2 arrays of incoherently driven Lucite cone applicators (LCAs) were investigated. The LCAs operated at 433 MHz with an aperture of 10.5 cm x 10.5 cm each. Two techniques were used to obtain SAR distributions in fiat layered phantoms: Gaussian beam (GB) predictions and thermographical (TG) imaging. The GB predictions showed that the effective field size of the different array configurations varied by up to 3%. The TG-measured SAR distribution showed significant deviations from the GB-predicted SAR distributions (maximum 34.6%). The difference between GB-predicted and TG-measured SAR levels (averaged per 10% GB-predicted SAR intervals) equalled less than 11.3% for the parallel E-field orientated array and respectively 15.1% for the clockwise-orientated array. When antennae in the clockwise-orientated array were more widely spread (array aperture 23 cm x 23 cm) in order to diminish their mutual interactions, these differences decreased to 12.4%. However, the overall difference within the 50% SAR or higher range decreased from 14% to 9%. The results lead us to conclude that LCAs can be used clinically and their antenna interactions are not considered to be a problem under clinical conditions.</t>
  </si>
  <si>
    <t>2207-2220</t>
  </si>
  <si>
    <t>Physics in Medicine and Biology</t>
  </si>
  <si>
    <t>60032114;60026810;60032114;60032114</t>
  </si>
  <si>
    <t>7005197107;6602701159;7102926584;7004141026</t>
  </si>
  <si>
    <t>Rietveld, P. J.M.;Lumori, M. L.D.;Van der Zee, J.;Van Rhoon, G. C.</t>
  </si>
  <si>
    <t>Netherlands;Belgium</t>
  </si>
  <si>
    <t>Rotterdam;Brussels</t>
  </si>
  <si>
    <t>Erasmus MC;Vrije Universiteit Brussel</t>
  </si>
  <si>
    <t>60032114;60026810</t>
  </si>
  <si>
    <t>Quantitative evaluation of 2 x 2 arrays of Lucite cone applicators in flat layered phantoms using Gaussian-beam-predicted and thermographically measured SAR distributions</t>
  </si>
  <si>
    <t>S0031915598855747</t>
  </si>
  <si>
    <t>10.1088/0031-9155/43/8/015</t>
  </si>
  <si>
    <t>2-s2.0-0031858460</t>
  </si>
  <si>
    <t>['sige technology', 'power amplifier', 'measurement results', 'ic design', 'device parameters', 'design aspects']</t>
  </si>
  <si>
    <t>Amplifier noise | Bipolar integrated circuits | Mobile communication | Power amplifier | Silicon-germanium | Switches</t>
  </si>
  <si>
    <t>We report on design aspects and the implementation of radio-frequency integrated circuits using TEMIC'S SiGe technology. The differences between the device parameters of silicon bipolar junction transistor and silicon germanium heterojunction bipolar transistor technology and their influence on IC design are discussed. Design and measurement results of RFIC's, including low noise amplifier, power amplifier, and single-pole, double-throw antenna switch for application in a 1.9 GHz digital enhanced cordless telecommunications RF front end are presented.</t>
  </si>
  <si>
    <t>1417-1422</t>
  </si>
  <si>
    <t>60000052-60000251-60010586-60027550-60085149;60000052-60010586-60085149;60000052-60033241-60018817-100399123-112507051</t>
  </si>
  <si>
    <t>54680736500;6602310799;7005973501</t>
  </si>
  <si>
    <t>G√∂tzfried, Rainer;Beisswanger, Frank;Gerlach, Stephan</t>
  </si>
  <si>
    <t>Germany;Germany;United States;Germany;Germany;United States;United States;;Germany</t>
  </si>
  <si>
    <t>Stuttgart;Saarbrucken;Los Angeles;Hannover;Ulm;New York;Malvern;;Heilbronn</t>
  </si>
  <si>
    <t>Daimler AG;Universit√§t des Saarlandes;University of California, Los Angeles;Continental AG;Universit√§t Ulm;IEEE;Vishay;TEMIC's New SiGe Technology;TEMIC Semiconductor GmbH</t>
  </si>
  <si>
    <t>60085149;60033241;60027550;60018817;60010586;60000251;60000052;112507051;100399123</t>
  </si>
  <si>
    <t>G√∂tzfried R.</t>
  </si>
  <si>
    <t>Design of RF integrated circuits using SiGe bipolar technology</t>
  </si>
  <si>
    <t>S0018920098054341</t>
  </si>
  <si>
    <t>10.1109/4.711341</t>
  </si>
  <si>
    <t>2-s2.0-0000249075</t>
  </si>
  <si>
    <t>['synthetic repellent', 'repellent effect', 'natural compounds', 'lower dosages', 'identified geranial', 'higher dosage', 'geranial persisted', 'electroantennographic detector', 'deet ),', 'cymbopogon citratus', 'cm2 dosage', 'applied entomology', 'aedes albopictus', 'active components', '3 h', '2 mg', '1 mg']</t>
  </si>
  <si>
    <t>Aedes albopictus | C. p. quinquefasciatus | Citral | Culex pipiens pallens | Lemongrass</t>
  </si>
  <si>
    <t>The electrophysiological signal elicited by a synthetic mosquito repellent, N, N-diethyl-3-methylbenzamide(DEET), on the antennae of Culex pipiens pallens suggested that a gas chromatography coupled with an electroantennographic detector (GC-EAD) could be applied for the screening of naturally occurring mosquito repellents. Using this approach we have identified geranial and neral as the active components of lemongrass, Cymbopogon citratus, a plant with known repellent activity. In a glass membrane feeder bioassay these EAD-active terpene compounds at 0.1 mg/cm2 dosage had repellent effect against C. p. pallens, Culex pipiens quinquefasciatus and Aedes albopictus. On the other hand, DEET (at lower dosages) showed repellence comparable to that of geranial. In addition, the synthetic repellent had a longer residual effect than the natural compounds. Only at a higher dosage (0.2 mg/cm2) did the activity of geranial persisted for 3 h after the application. ¬© 1998 Korean Society of Applied Entomology, Taiwan Entomological Society and Malaysian Plant Protection Society.</t>
  </si>
  <si>
    <t>217-221</t>
  </si>
  <si>
    <t>;60032116</t>
  </si>
  <si>
    <t>35569644800;7404384725</t>
  </si>
  <si>
    <t>Leal, Walter Soares;Uchida, Keikichi</t>
  </si>
  <si>
    <t>Juntendo University</t>
  </si>
  <si>
    <t>Application of GC-EAD to the Determination of Mosquito Repellents Derived from a Plant, Cymbopogon citratus</t>
  </si>
  <si>
    <t>S1226861508600229</t>
  </si>
  <si>
    <t>10.1016/S1226-8615(08)60022-9</t>
  </si>
  <si>
    <t>2-s2.0-0009170794</t>
  </si>
  <si>
    <t>['similar frequencies', 'selective ingestion', 'removed prior', 'rapidly macerated', 'prey size', 'important component', 'hind femur', 'head capsules', 'head capsule', 'handling time', 'feeding trials', 'arachnida ).', '52 %)', '41 %).']</t>
  </si>
  <si>
    <t>Selective ingestion is an important component of handling time in the solifuge, Eremobates marathoni Muma (Arachnida). Prey body parts of the grasshopper Acrolophitus variegatus that are characterized by a relatively high chitin content (head capsule, antennae, wings, legs) were removed prior to ingestion of more desirable body parts. Head capsules were removed in 73-89% of feeding trials, depending on prey size, followed by the forewings (52%) and hindwings (41%). Prey body parts containing lower amounts of chitin (abdomen, thorax, hind femur) were rapidly macerated and ingested. These solifuges ingested body parts from each of two prey size classes at similar frequencies. The role of selective ingestion in maximizing the overall energy budget of E. marathoni is discussed.</t>
  </si>
  <si>
    <t>296-299</t>
  </si>
  <si>
    <t>Southwestern Naturalist</t>
  </si>
  <si>
    <t>Punzo, Fred</t>
  </si>
  <si>
    <t>Tampa</t>
  </si>
  <si>
    <t>The University of Tampa</t>
  </si>
  <si>
    <t>Punzo F.</t>
  </si>
  <si>
    <t>Selective ingestion by Eremobates marathoni Muma (Arachnida, Solifugae: Eremobatidae)</t>
  </si>
  <si>
    <t>2-s2.0-0031756011</t>
  </si>
  <si>
    <t>['using icrf', 'transport barriers', 'rights reserved', 'recent experiments', 'plasma density', 'plasma current', 'level gyrotrons', 'extensive diagnostics', 'exploiting control', 'engineering features', 'employs multi', 'divertor technology', 'divertor modification']</t>
  </si>
  <si>
    <t>Recent experiments on DIII-D have been carried out to understand and explore optimized Tokamak operating modes by exploiting control of the plasma current and pressure profiles using new RF current drive and divertor technology. DIII-D emphasizes plasma shape and divertor experiments using a digital plasma control system and extensive diagnostics to develop improved understanding and control of transport barriers in high performance plasmas. The emphasis of our program is to extend the duration of high performance operating modes beyond the plasma current relaxation time by using ICRF and ECH current drive. Engineering features of the new RF systems being developed for these experiments as well as new divertor results are described. DIII-D employs multi-element ICRF antennas for fast-wave electron heating and on-axis current drive and is beginning 110 GHz ECH experiments with MW-level gyrotrons for off-axis current drive. DIII-D employs active cryogenic divertor neutral particle pumping for plasma density and plasma pressure profile control. A divertor modification is now being implemented on DIII-D to pump higher triangularity plasmas and to better baffle neutral backflow from the recycling divertor region. ¬© 1998 Elsevier Science S.A. All rights reserved.</t>
  </si>
  <si>
    <t>83-90</t>
  </si>
  <si>
    <t>39-40</t>
  </si>
  <si>
    <t>Simonen, T. C.</t>
  </si>
  <si>
    <t>Simonen T.</t>
  </si>
  <si>
    <t>Results of DIII-D operation with new enabling technologies</t>
  </si>
  <si>
    <t>S092037969800194X</t>
  </si>
  <si>
    <t>10.1016/S0920-3796(98)00194-X</t>
  </si>
  <si>
    <t>2-s2.0-0032156302</t>
  </si>
  <si>
    <t>['transmission line', 'small reduction', 'rights reserved', 'ridged waveguide', 'rf measurement', 'power reflection', 'method shows', 'metal support', 'mechanically supported', 'mechanical strength', 'low enough', 'generation tokamaks', 'force caused', 'electrical characteristics', 'eddy current', 'current strap', 'ceramics due', 'ceramic support', 'central conductor', 'antenna significantly', 'also confirmed', '15 %)']</t>
  </si>
  <si>
    <t>One of the major critical points of the ion cyclotron antenna for next-generation Tokamaks is a ceramic support of a central conductor of a coaxial antenna feeder close to the plasma. Enhancement of dielectric loss tangent of ceramics due to neutron irradiation limits power injection capability of the antenna significantly. An all metal antenna support (AMS) employing a ridged waveguide was proposed. The central conductor of the coaxial line connected to the current strap of the antenna is mechanically supported by the AMS. A design of the all metal support was carried out using a calculation for both electrical characteristics and mechanical strength. The electrical characteristics calculation with finite difference time domain (FDTD) method shows that the AMS can be used on the transmission line with quite a small reduction in power transmission capability. It was also confirmed that the mechanical strength is enough against the force caused by eddy current with disruption, with calculation. A real size mock-up of the AMS for low power RF characteristics measurement was fabricated. The RF measurement with the mock-up shows that the power reflection of the all metal support is low enough ( &lt; 15%) and is close to the FDTD calculation results. ¬© 1998 Elsevier Science S.A. All rights reserved.</t>
  </si>
  <si>
    <t>135-142</t>
  </si>
  <si>
    <t>60015658;60015658;60015658;60015658;60018279;60018279;;</t>
  </si>
  <si>
    <t>57225796843;7404269925;7005938557;35352771100;7402657600;7402835567;7403540088;57207590028</t>
  </si>
  <si>
    <t>Moriyama, S.;Kimura, H.;Saigusa, M.;Fujii, T.;Arai, H.;Ueda, H.;Ohta, K.;Kamakura, K.</t>
  </si>
  <si>
    <t>Yokohama;Kashiwa</t>
  </si>
  <si>
    <t>Yokohama National University;Japan Atomic Energy Agency</t>
  </si>
  <si>
    <t>60018279;60015658</t>
  </si>
  <si>
    <t>All metal support for a central conductor of the ITER ICRF antenna system</t>
  </si>
  <si>
    <t>S0920379697001841</t>
  </si>
  <si>
    <t>10.1016/S0920-3796(97)00184-1</t>
  </si>
  <si>
    <t>2-s2.0-0032157238</t>
  </si>
  <si>
    <t>['transmission line', 'system performance', 'system consists', 'rights reserved', 'recent activities', 'maximum output', 'irch system', '1 mw']</t>
  </si>
  <si>
    <t>The main technical features of the IRCH system with a maximum output of 1 MW (60 s) that was built up for the superconducting Tokamak HT-7 at ASIPP are described. The system consists of a generator, transmission line, impedance matching network, antenna and feedthrough, RF-assisted vacuum carbonization system, RF-leakage detection system. The recent activities on expanding the RF designing capabilities and further improving the system performance are outlined. ¬© 1998 Elsevier Science S.A. All rights reserved.</t>
  </si>
  <si>
    <t>129-133</t>
  </si>
  <si>
    <t>60020697;60020697;60020697;60020697;60020697;60020697;60020697;60020697</t>
  </si>
  <si>
    <t>55683815000;57202268002;8060486400;36931379800;9275170100;57224615570;57225863145;55463439800</t>
  </si>
  <si>
    <t>Yang, X. K.;Wang, Z. S.;Zhao, Y. P.;Shao, Y. G.;Xu, D. Z.;Xue, D. Y.;Deng, X.;Ding, J. Y.</t>
  </si>
  <si>
    <t>Hefei</t>
  </si>
  <si>
    <t>Institute of Plasma Physics Chinese Academy of Sciences</t>
  </si>
  <si>
    <t>Yang X.K.</t>
  </si>
  <si>
    <t>IRCH system for HT-7 superconducting Tokamak</t>
  </si>
  <si>
    <t>S0920379698001550</t>
  </si>
  <si>
    <t>10.1016/S0920-3796(98)00155-0</t>
  </si>
  <si>
    <t>2-s2.0-0032157282</t>
  </si>
  <si>
    <t>['waveguide mouth', 'three waveguides', 'state surface', 'septum plate', 'rights reserved', 'resistive front', 'mouth dimension', 'maximum temperature', 'iter design', 'heat fluxes', 'heat flux', 'front tip', 'cfc surface', '200 mm', '20 mw', '2 mw', '2 min', '2 due']</t>
  </si>
  <si>
    <t>A mock-up module of an antenna tip made of carbon fiber composite (CFC) was fabricated for the development of a heat-resistive front of the lower hybrid current drive (LHCD) antenna. The CFC surface was coated with a thin Ti layer and was plated with Cu. The mock-up module has three waveguides and is designed to simulate the front tip of the 8 GHz LHCD antenna. The module has an active water cooling channel and the length is 200 mm, the mouth dimension is 19.5 √ó 50 mm2. The mock-up module was tested with heat fluxes up to 20 MW m-2 due to electron beam irradiation. No damage of the waveguide mouth was observed up to the heat flux of 3.2 MW m-2 for 2 min, though a maximum temperature of 762¬∞C was measured at the septum plate. The obtained heat load of 3.2 MW m-2 is about 10 times higher than the steady-state surface-averaged heat load of the first wall required in the ITER design. ¬© 1998 Elsevier Science S.A. All rights reserved.</t>
  </si>
  <si>
    <t>355-361</t>
  </si>
  <si>
    <t>60012288;60012288;60012288;60012288;60012288;60012288;60012288;60018735;60018735;60018735;60012288</t>
  </si>
  <si>
    <t>55884856200;57212478757;25624866400;55492724800;57207407705;7103077834;22993004600;55624479867;7202906331;7102008337;7403618682</t>
  </si>
  <si>
    <t>Maebara, Sunao;Seki, Masami;Ikeda, Yoshitaka;Suzuki, Satoshi;Yokoyama, Kenji;Suganuma, Kazuaki;Kiyono, Kimihiro;Suzuki, Yasuo;Okuyama, Toshihisa;Saito, Fusao;Imai, Tsuyoshi</t>
  </si>
  <si>
    <t>Tokyo;Naka</t>
  </si>
  <si>
    <t>Toshiba Corporation;Naka Fusion Institute</t>
  </si>
  <si>
    <t>60018735;60012288</t>
  </si>
  <si>
    <t>Maebara S.</t>
  </si>
  <si>
    <t>Development of plasma facing component for LHCD antenna</t>
  </si>
  <si>
    <t>S092037969700183X</t>
  </si>
  <si>
    <t>10.1016/S0920-3796(97)00183-X</t>
  </si>
  <si>
    <t>2-s2.0-0032157313</t>
  </si>
  <si>
    <t>['qo combining', 'power scalability', 'large arrays', 'inherently three', 'degrade rapidly', 'combining technology']</t>
  </si>
  <si>
    <t>Several key issues on the use of quasi-optical (QO) combining technology for the microwave and millimeter wave bands are discussed. In terms of performance, QO amplifiers offer the advantage of power scalability to very large arrays, largely because power combining efficiency (PCE) in QO combining does not degrade rapidly with the number of elemental amplifiers combined. QO techniques also provide high instantaneous bandwidth since QO architectures are inherently three-dimensional. This configuration makes multi-element QO components much more compact than microwave integrated circuits (MIC) components, thus more practical for applications.</t>
  </si>
  <si>
    <t>60002642;60002642</t>
  </si>
  <si>
    <t>57223745182;54679568900</t>
  </si>
  <si>
    <t>Brown, E. R.;Harvey, J. F.</t>
  </si>
  <si>
    <t>Arlington</t>
  </si>
  <si>
    <t>Brown E.R.</t>
  </si>
  <si>
    <t>Research focus on quasi-optical technology</t>
  </si>
  <si>
    <t>2-s2.0-0032163801</t>
  </si>
  <si>
    <t>['using spot', 'quality control', 'ohi technique', 'horn interferometer', 'fs system', 'free space', 'contactless nature', 'better accuracy', 'adapted conveniently', 'absorbing materials']</t>
  </si>
  <si>
    <t>The reflection coefficient measurements of radar-absorbing materials (RAM) in free space (FS) and using the one-horn interferometer (OHI) technique are compared for different test samples. It is observed that the problems in the measurement of reflection coefficients using the OHI technique can be eliminated and better accuracy can be achieved by using spot-focused horn antennas in FS. Because of its contactless nature the FS system can be adapted conveniently to quality control during the absorber manufacturing process.</t>
  </si>
  <si>
    <t>148-154</t>
  </si>
  <si>
    <t>60001439-60031544;60001439-60000745-60007776-101560161-60097287-60000251;60001439-101560161-60007363-60007776-60003500</t>
  </si>
  <si>
    <t>7005956560;7202350150;36039583900</t>
  </si>
  <si>
    <t>Jose, K. A.;Varadan, Vasundara V.;Varadan, Vijay K.</t>
  </si>
  <si>
    <t>United States;India;United States;United States;United States;United States;United States;United States;United States</t>
  </si>
  <si>
    <t>Melville;Kochi;Ithaca;Evanston;Columbus;University Park;Urbana;New York;</t>
  </si>
  <si>
    <t>Acoustical Society of America;Cochin University of Science and Technology;Cornell University;Northwestern University;The Ohio State University;Pennsylvania State University;University of Illinois Urbana-Champaign;IEEE;Penn State Res. Ctr. Eng. E.</t>
  </si>
  <si>
    <t>60097287;60031544;60007776;60007363;60003500;60001439;60000745;60000251;101560161</t>
  </si>
  <si>
    <t>Jose K.A.</t>
  </si>
  <si>
    <t>Free-space vs. one-horn interferometer techniques for radar absorber measurements</t>
  </si>
  <si>
    <t>2-s2.0-0032163821</t>
  </si>
  <si>
    <t>['technical features', 'significantly increase', 'rate transmission', 'link capacity', 'important concept', 'computer simulation', 'also presented', '2 mb']</t>
  </si>
  <si>
    <t>Wideband wireless access based on direct sequence code division multiple access aimed at third-generation mobile communications systems is reviewed. W-CDMA is designed to flexibly offer wideband services which cannot be provided by present cellular systems, with various data rates as high as 2 Mb/s. The important concept of W-CDMA is the introduction of intercell asynchronous operation and the pilot channel associated with individual data channels. Intercell asynchronous operation facilitates continuous system deployment from outdoors to indoors. Other technical features of W-CDMA include fast cell search under intercell asynchronous operation, fast transmit power control, coherent spreading code tracking, a coherent Rake receiver, orthogonal multispreading factor forward link, and variable-rate transmission with blind rate detection. The introduction of the data-channel-associated pilot channel allows W-CDMA to support interference cancellation and adaptive antenna array techniques that can significantly increase the link capacity and coverage. This article presents radio link performance evaluated by computer simulation. Field experiment radio link performance results are also presented.</t>
  </si>
  <si>
    <t>56-69</t>
  </si>
  <si>
    <t>IEEE Communications Magazine</t>
  </si>
  <si>
    <t>60025555-60008435-60020661-60025017;60025555-60025272-114050129-100882269;60025555-114050129-60018279</t>
  </si>
  <si>
    <t>7103400688;55411183500;55934756700</t>
  </si>
  <si>
    <t>Adachi, Fumiyuki;Sawahashi, Mamoru;Suda, Hirohito</t>
  </si>
  <si>
    <t>Japan;Japan;Japan;United Kingdom;Japan;Japan;;Japan</t>
  </si>
  <si>
    <t>Tokyo;Tokyo;Ikoma;Liverpool;Yokohama;Sendai;;</t>
  </si>
  <si>
    <t>Nippon Telegraph and Telephone Corporation;The University of Tokyo;Nara Institute of Science and Technology;University of Liverpool;Yokohama National University;Tohoku University;Wireless Access Laboratory;Inst. Electronics</t>
  </si>
  <si>
    <t>60025555;60025272;60025017;60020661;60018279;60008435;114050129;100882269</t>
  </si>
  <si>
    <t>Wideband DS-CDMA for next-generation mobile communications systems</t>
  </si>
  <si>
    <t>10.1109/35.714618</t>
  </si>
  <si>
    <t>2-s2.0-0032165669</t>
  </si>
  <si>
    <t>['vice versa', 'step procedure', 'sensitivity due', 'resolution direction', 'reasonable assumptions', 'prior distribution', 'perturbation model', 'nominal array', 'much attention', 'model errors', 'method specializes', 'method reduces', 'issue common', 'implemented using', 'fully correlated', 'finite samples', 'errors due', 'comparable size', 'arrival estimators', 'alternative methods', 'also appeared']</t>
  </si>
  <si>
    <t>Model error sensitivity is an issue common to all high-resolution direction-of-arrival estimators. Much attention has been directed to the design of algorithms for minimum variance estimation taking only finite sample errors into account. Approaches to reduce the sensitivity due to array calibration errors have also appeared in the literature. Herein, one such approach is adopted that assumes that the errors due to finite samples and model errors are of comparable size. A weighted subspace fitting method for very general array perturbation models is derived. This method provides minimum variance estimates under the assumption that the prior distribution of the perturbation model is known. Interestingly, the method reduces to the WSF (MODE) estimator if no model errors are present. Vice versa, assuming that model errors dominate, the method specializes to the corresponding `model-errors-only subspace fitting method.' Unlike previous techniques for model errors, the estimator can be implemented using a two-step procedure if the nominal array is uniform and linear, and it is also consistent even if the signals are fully correlated. The paper also contains a large sample analysis of one of the alternative methods, namely, MAPprox. It is shown that MAPprox also provides minimum variance estimates under reasonable assumptions.</t>
  </si>
  <si>
    <t>2484-2498</t>
  </si>
  <si>
    <t>1053587X</t>
  </si>
  <si>
    <t>IEEE Transactions on Signal Processing</t>
  </si>
  <si>
    <t>60002014;60002014;60002014</t>
  </si>
  <si>
    <t>35847157200;55665154800;7007005676</t>
  </si>
  <si>
    <t>Jansson, Magnus;Swindlehurst, A. Lee;Ottersten, Bjorn</t>
  </si>
  <si>
    <t>Stockholm</t>
  </si>
  <si>
    <t>The Royal Institute of Technology (KTH)</t>
  </si>
  <si>
    <t>Jansson M.</t>
  </si>
  <si>
    <t>Weighted subspace fitting for general array error models</t>
  </si>
  <si>
    <t>10.1109/78.709536</t>
  </si>
  <si>
    <t>2-s2.0-0032166841</t>
  </si>
  <si>
    <t>['useful comparisons', 'tests carried', 'paper reports', 'fibre alternatives', '4ghz range']</t>
  </si>
  <si>
    <t>WLANs now compete with copper and fibre for office based data communications. For useful comparisons to be made with the copper or fibre alternatives, demands more indoor radio WLAN range metrics and benchmarks. This paper reports the results of tests carried out using the Harris Semiconductor PRISM integrated DSSS RF chipset operating in the 2.4GHz range.</t>
  </si>
  <si>
    <t>Stein, John C.</t>
  </si>
  <si>
    <t>Stein J.</t>
  </si>
  <si>
    <t>Indoor radio WLAN range performance in a dense office environment</t>
  </si>
  <si>
    <t>2-s2.0-0032167058</t>
  </si>
  <si>
    <t>The operation modes of a circular resonator with a helix inside are investigated in this short paper. Considering the assumption that the tape current of the helix can be expanded into a Fourier series, the propagation constant of the infinite helix-filled guide is obtained by using the transverse boundary condition. The resonance impedance condition of the longitudinal direction is used to determine the operation modes. The operation modes are determined to HEn1h, where h is an integer denoting the rank of the roots of characteristic equation. The dominant operation mode is proved to be the HE011 mode. Agreement between the numerical calculated results and experimental values presented earlier for a resonator with a helix or a tapered helix is obtained.</t>
  </si>
  <si>
    <t>10.1002/(SICI)1098-2760(199809)19:1&lt;48::AID-MOP12&gt;3.0.CO;2-#</t>
  </si>
  <si>
    <t>2-s2.0-0032167063</t>
  </si>
  <si>
    <t>['wideband 4', 'utra based', 'strong requirements', 'station operation', 'rate services', 'packet services', 'mixed services', 'mature technology', 'key w', 'japan based', 'itu recommendation', 'interfrequency handover', 'high degree', 'global imt', 'generation systems', 'full support', 'flexible support', 'field trials', 'extensive evaluations', 'constraints due', 'cdma technology', 'backward compatibility', 'asynchronous inter', 'area coverage', 'air interface', '384 kb', '2000 requirements', '2 mb', '096 mchip']</t>
  </si>
  <si>
    <t>The UMTS terrestrial radio access is based on wideband 4.096 Mchip/s DS-CDMA technology. UTRA will be connected to an evolved GSM core network for both circuit and packet services. A merge between ETSI/Europe and ARIB/Japan based on W-CDMA, a GSM core network, and a common frequency allocation according to the ITU Recommendation of 2 GHz makes a global IMT-2000 standard feasible. UTRA based on W-CDMA fully supports the UMTS/IMT-2000 requirements (e.g., support of 384 kb/s for wide-area coverage and 2 Mb/s for local coverage). Furthermore, the air interface has flexible support of mixed services, variable-rate services, and an efficient packet mode. Key W-CDMA features also include improved basic capacity/coverage performance compared to second-generation systems, full support of adaptive antenna arrays, support of hierarchical cell structures with interfrequency handover, and support of asynchronous inter-base-station operation. There have been no constraints due to strong requirements for backward compatibility with second-generation systems. This has facilitated a high degree of flexibility and a future-proof air interface. Extensive evaluations by means of simulations and field trials have been carried out by a number of companies, and full system tests are ongoing. Consequently, W-CDMA technology can now be regarded as a mature technology, ready to provide the basis for UMTS/IMT-2000.</t>
  </si>
  <si>
    <t>70-80</t>
  </si>
  <si>
    <t>60000502-60002014-112507170;60000502-60002014-60012708-112506591;60000502-101707053-60003858-60028378;60000502-60002014-112507391-60015481</t>
  </si>
  <si>
    <t>6603764697;6603087347;57197248031;6603594677</t>
  </si>
  <si>
    <t>Dahlman, Erik;Gudmundson, Bj√∂rn;Nilsson, Mats;Sk√∂ld, Johan</t>
  </si>
  <si>
    <t>Sweden;United States;United States;Sweden;Sweden;Sweden;Sweden;Sweden;Sweden;Japan</t>
  </si>
  <si>
    <t>Stockholm;Seattle;Palo Alto;Uppsala;Stockholm;Stockholm;;;;Koraku, Tokyo</t>
  </si>
  <si>
    <t>Stockholms universitet;University of Washington;Stanford University;Uppsala Universitet;The Royal Institute of Technology (KTH);Ericsson Radio Systems AB;Radio Access Lab. Ericsson Radio S;Radio Access Res. Lab. Ericsson R;Radio Access Sign. Proc. Res. Dept;Nippon Ericsson KK</t>
  </si>
  <si>
    <t>60028378;60015481;60012708;60003858;60002014;60000502;112507391;112507170;112506591;101707053</t>
  </si>
  <si>
    <t>Dahlman E.</t>
  </si>
  <si>
    <t>UMTS/IMT-2000 based on wideband CDMA</t>
  </si>
  <si>
    <t>10.1109/35.714620</t>
  </si>
  <si>
    <t>2-s2.0-0032167293</t>
  </si>
  <si>
    <t>['unconstrained design', 'steam distillation', 'soil rich', 'soil moisture', 'situ process', 'semivolatile components', 'scale investigations', 'remediation zone', 'remediation proceeds', 'reduce costs', 'power generators', 'polar compounds', 'physicochemical properties', 'particular importance', 'organic matter', 'nonpolar compounds', 'microwave heating', 'inexpensive low', 'humic substances', 'heats water', 'experiments suggest', 'especially effective', 'efficiency depends', 'developing vapors', 'described quantitatively', 'contaminated sand', 'contaminant concentration', 'also reported']</t>
  </si>
  <si>
    <t>Results of bench-scale and pilot-scale investigations on the remediation of contaminated sand and soil using microwave energy are presented. Microwave radiation penetrates the soil and heats water and contaminants. Developing vapors are withdrawn from the soil. The experiments suggest that microwave heating is an effective soil remediation technology. The process is rapid as compared to other methods, and its efficiency depends on the dielectric and physicochemical properties of the soil and the contaminant. It allows for the removal of volatile and semivolatile components, and it is especially effective in the case of polar compounds. In the presence of soil moisture, the removal of both polar and nonpolar compounds can be described quantitatively in terms of steam distillation. The remediation proceeds at a temperature not exceeding 100 ¬∞C. It is of particular importance in the case of soil rich in organic matter, where too high a temperature could result in carbonization of humic substances. The remediation of trichloroethylene- contaminated sand in a pilot-scale microwave heating system simulating the in-situ process is also reported. The profiles of temperature and contaminant concentration in the remediation zone are presented. The pilot-scale investigations indicate a possibility of the use of microwave heating as an in-situ remediation technique. The use of inexpensive low-power generators for the supply of power to individual antennas may help to reduce costs and allow for an unconstrained design of the array of antennas in the ground.</t>
  </si>
  <si>
    <t>2602-2607</t>
  </si>
  <si>
    <t>0013936X</t>
  </si>
  <si>
    <t>Environmental Science and Technology</t>
  </si>
  <si>
    <t>60019987;60019987</t>
  </si>
  <si>
    <t>6603003853;6504029144</t>
  </si>
  <si>
    <t>Kawala, Zdzis≈Çaw;Atama≈Ñczuk, Tomasz</t>
  </si>
  <si>
    <t>Wroclaw</t>
  </si>
  <si>
    <t>Wroc≈Çaw University of Science and Technology</t>
  </si>
  <si>
    <t>Kawala Z.</t>
  </si>
  <si>
    <t>Microwave-enhanced thermal decontamination of soil</t>
  </si>
  <si>
    <t>10.1021/es980025m</t>
  </si>
  <si>
    <t>2-s2.0-0032168339</t>
  </si>
  <si>
    <t>['vaporization threshold', 'unheated tissue', 'ultrasound images', 'two experiments', 'tissue temperatures', 'tissue temperature', 'tissue heated', 'thermal lesion', 'thermal gradient', 'second experiment', 'rectangular volume', 'outer region', 'one experiment', 'mitt ).', 'lesion taken', 'largely responsible', 'inner region', 'final lesion', 'damaged tissue', 'correlate changes', 'became lower']</t>
  </si>
  <si>
    <t>B-scan imaging | Cancer | Hyperthermia | Interstitial microwave applicators | Minimally invasive thermal therapy | Ultrasound</t>
  </si>
  <si>
    <t>The objective of this work was to image liver tissue heated to temperatures below the vaporization threshold as a function of time, to test the feasibility of real-time ultrasound monitoring to control lesion size during minimally invasive thermal therapy (MITT). Two experiments were devised. In one experiment, a thermal gradient was established in a rectangular volume of tissue to correlate changes in ultrasound image echogenicity (B-mode image brightness) with tissue temperature. In the other, a thermal lesion was produced in a rectangular volume of tissue by an interstitial microwave antenna, and the progression of the lesion was monitored by ultrasound. In both experiments, the echogenicity of the tissue increased slightly for tissue temperatures up to 40¬∞C, but became lower than that of unheated tissue for temperatures above 40¬∞C. In the second experiment, images of the lesion were compared with a photograph of the lesion taken after the experiment was complete. The final lesion was composed of two concentric regions - an inner region of heavily coagulated tissue and an outer region of less-damaged tissue. These two damaged regions indicated that increased ultrasound attenuation was largely responsible for the decreased echogenicity observed in the ultrasound images, and the increase in echogenicity of tissue heated to temperatures up to 40¬∞C is thought to be due to decreased ultrasound attenuation at these temperatures.</t>
  </si>
  <si>
    <t>1023-1032</t>
  </si>
  <si>
    <t>Ultrasound in Medicine and Biology</t>
  </si>
  <si>
    <t>60016849-60033420;60016849;60016849;60016849-60033420</t>
  </si>
  <si>
    <t>7004886396;7006747025;57203030243;7004850171</t>
  </si>
  <si>
    <t>Gertner, M. R.;Worthington, A. E.;Wilson, B. C.;Sherar, M. D.</t>
  </si>
  <si>
    <t>Toronto;Toronto</t>
  </si>
  <si>
    <t>York University;University of Toronto</t>
  </si>
  <si>
    <t>60033420;60016849</t>
  </si>
  <si>
    <t>Gertner M.</t>
  </si>
  <si>
    <t>Ultrasound imaging of thermal therapy in in vitro liver</t>
  </si>
  <si>
    <t>S0301562998000878</t>
  </si>
  <si>
    <t>10.1016/S0301-5629(98)00087-8</t>
  </si>
  <si>
    <t>2-s2.0-0032169365</t>
  </si>
  <si>
    <t>['theoretical characteristics', 'radar uses', 'radar measurments', 'often observed', 'observation f', 'magnetic field', 'guided wave', 'fundamental symmetrical', 'filled borehole', 'electromagnetic waves', 'conducting structure', 'cause artefacts', 'asymmetrical modes', 'antenna pattern']</t>
  </si>
  <si>
    <t>A guided wave along a borehole is often observed in borehole radar measurements. These guided waves deform the antenna pattern and can cause artefacts in radar measurments. A water-filled borehole or a conducting logging cable can function as a waveguide for electromagnetic waves under some conditions. We describe the theoretical characteristics of such a guided wave in a borehole and compare them with our experiments. the measured signal discussed was obtained with a directional borehole radar. This radar uses a cyclindrical conformal array antenna as receiver and is a model of a conducting structure in a borehole. The induced field around the borehole was compared with the theory. the most fundamental symmetrical and asymmetrical modes were TM01 and HE11, and they were identified in the measured signals using time-frequency distribution analysis and by observation f the azimuthal field distribution of the magnetic field.</t>
  </si>
  <si>
    <t>489-505</t>
  </si>
  <si>
    <t>Geophysical Prospecting</t>
  </si>
  <si>
    <t>60008435;60008435;60008435</t>
  </si>
  <si>
    <t>57213190913;7405726997;7006500813</t>
  </si>
  <si>
    <t>Ebihara, S.;Sato, M.;Niitsuma, H.</t>
  </si>
  <si>
    <t>Ebihara S.</t>
  </si>
  <si>
    <t>Analysis of a guided wave along a conducting structure in a borehole</t>
  </si>
  <si>
    <t>10.1046/j.1365-2478.1998.00103.x</t>
  </si>
  <si>
    <t>2-s2.0-0032171051</t>
  </si>
  <si>
    <t>5 R29CA67970-01</t>
  </si>
  <si>
    <t>['tissue microwave', 'three dimensions', 'temperature distribution', 'quantitatively examine', 'prostatic tissue', 'previous research', 'microwave energy', 'microwave antenna', 'help provide', 'determined using', 'better understanding', 'axial direction', 'analytical expression', 'accurate input']</t>
  </si>
  <si>
    <t>Heat transfer model | Microwave heating | Prostate | Specific absorption rate (SAR) | Thermotherapy</t>
  </si>
  <si>
    <t>Experiments were performed in a tissue microwave-equivalent phantom gel to quantitatively examine the volumetric heating produced by a microwave antenna with a peripheral cooling system for the transurethral prostatic thermotherapy. Based on previous research, expression for the specific absorption rate (SAR) of microwave energy in the gel was extended to three dimensions, which includes its dependence on radial, angular, and axial direction. A theoretical heal transfer model was developed to study the temperature distribution in the gel by introducing this proposed SAR expression. The parameters in this expression and the convection coefficient due to the chilled water running around the antenna were determined using a least-square residual fit of the theoretical temperature predictions to the experimentally measured steady-state temperature field within the gel. The analytical expression of the three-dimensional SAR distribution obtained in this study will help provide a better understanding of the microwave heating pattern in the prostatic tissue and, thus, to aid in designing improved applicators. It can also be used in the future as an accurate input to heat transfer models which predict temperature distributions during the transurethral microwave thermotherapy.</t>
  </si>
  <si>
    <t>1163-1172</t>
  </si>
  <si>
    <t>60010187-60024997;60010187-60009254;60010187</t>
  </si>
  <si>
    <t>57218086160;7404745684;6603129657</t>
  </si>
  <si>
    <t>Zhu, Liang;Xu, Lisa X.;Chencinski, Norbert</t>
  </si>
  <si>
    <t>Baltimore;New York;West Lafayette</t>
  </si>
  <si>
    <t>University of Maryland, Baltimore County (UMBC);College of Staten Island;Purdue University</t>
  </si>
  <si>
    <t>60024997;60010187;60009254</t>
  </si>
  <si>
    <t>Zhu L.</t>
  </si>
  <si>
    <t>Quantification of the 3-D electromagnetic power absorption rate in tissue during transurethral prostatic microwave thermotherapy using heat transfer model</t>
  </si>
  <si>
    <t>10.1109/10.709560</t>
  </si>
  <si>
    <t>2-s2.0-0032171716</t>
  </si>
  <si>
    <t>['ventral projected', 'typical character', 'pedicel ),', 'outstanding morphology', 'curved beak']</t>
  </si>
  <si>
    <t>Frankliniella curiosa group | M√©xico | New species | Thysanoptera</t>
  </si>
  <si>
    <t>This is a review of the Mexican species Frankliniella curiosa Priesner, together with the description of eight new Mexican related species. The outstanding morphology of antennal segment III in the adults, with a ventral projected and curved beak (which covers the pedicel), is an exclusive and typical character, which allows their separation into a new and different species group in the genus. Some other morphological characters divide the group in four species assemblages. Illustrations of the head, antennae, thorax and abdomen of each species are included.</t>
  </si>
  <si>
    <t>717-738</t>
  </si>
  <si>
    <t>Revista de Biologia Tropical</t>
  </si>
  <si>
    <t>Johansen, Roberto M.</t>
  </si>
  <si>
    <t>Johansen R.M.</t>
  </si>
  <si>
    <t>The Frankliniella curiosa species group (Thysanoptera: Thripidae)</t>
  </si>
  <si>
    <t>2-s2.0-0043247877</t>
  </si>
  <si>
    <t>['matched using', 'good compromise', 'coaxial cable', 'antennas built']</t>
  </si>
  <si>
    <t>Antennas built from coaxial cable are easy to implement, can be matched using the same coaxial cable wired as baluns and give a good compromise between gain and size. Dominic DiMario explains.</t>
  </si>
  <si>
    <t>788-790</t>
  </si>
  <si>
    <t>Antennas from co-ax</t>
  </si>
  <si>
    <t>2-s2.0-11544339977</t>
  </si>
  <si>
    <t>['well suited', 'conventional antennas', 'building communications']</t>
  </si>
  <si>
    <t>Conventional antennas are not well suited to mobile, in-building communications.</t>
  </si>
  <si>
    <t>Communications International (London)</t>
  </si>
  <si>
    <t>7102130511;7006797356</t>
  </si>
  <si>
    <t>Burt, Dennis;Warwick, Martyn</t>
  </si>
  <si>
    <t>Burt D.</t>
  </si>
  <si>
    <t>Information leak</t>
  </si>
  <si>
    <t>2-s2.0-11544366601</t>
  </si>
  <si>
    <t>['sufficient separation', 'specific examples', 'spacecraft oscillations', 'spacecraft constructions', 'spacecraft construction', 'solar batteries', 'significant number', 'rather cumbersome', 'partial features', 'oscillation tone', 'neighboring tones', 'natural frequencies', 'interperiodica publishing', 'generalized masses', 'general case', 'frequency tests', 'flexible elements', 'dynamic properties', 'dynamic features', 'describe oscillations', 'damping coefficients', 'corresponding system', 'approximate determination', '1 ].']</t>
  </si>
  <si>
    <t>One of the important investigation stages of the dynamic properties of spacecraft constructions with flexible elements is the determination of partial dynamic features by frequency tests of separate flexible elements, for example, panels of solar batteries (SB), antennas, etc. With the partial features at hand, natural frequencies and forms of spacecraft oscillations, damping coefficients, and generalized masses are defined as a result of the solution of a corresponding system of equations that describe oscillations of the spacecraft construction. In the general case, when a significant number of the degrees of freedom is taken into account, this system is rather cumbersome [1]. Below, it is shown by specific examples that with a sufficient separation of the frequencies of oscillations of a spacecraft construction, it is possible to neglect the influence of neighboring tones on the oscillation tone under study and to use simplified equations without allowing substantial errors. The dependences for the approximate determination of the dynamic features of spacecraft constructions by the features of separate flexible elements are obtained. ¬© 1998 MAEe cyrillic signK HayŒ∫a/Interperiodica Publishing.</t>
  </si>
  <si>
    <t>489-493</t>
  </si>
  <si>
    <t>Aminov, V. R.</t>
  </si>
  <si>
    <t>Korolev</t>
  </si>
  <si>
    <t>Central Research Institute for Machine Building</t>
  </si>
  <si>
    <t>Aminov V.</t>
  </si>
  <si>
    <t>Approximate determination of the dynamic features of spacecraft constructions by frequency tests of flexible elements</t>
  </si>
  <si>
    <t>2-s2.0-27144454621</t>
  </si>
  <si>
    <t>96-02-19457</t>
  </si>
  <si>
    <t>['priori known', 'noise background', 'moves near', 'linearized maximum', 'likelihood equations', 'like emitter', 'extended noise']</t>
  </si>
  <si>
    <t>We consider the methods of covariance matrix reconstruction for sensing an extended noise-like emitter which moves near the receiving antenna array and is modelled as a random longitudinal distribution of external elementary sources. Linearized maximum-likelihood equations for the desired covariance matrix are obtained in the cases of a priori known and unknown covariance matrix of the noise background. The variance of estimates for the elements of the covariance matrix characterizing the emitter is studied.</t>
  </si>
  <si>
    <t>783-792</t>
  </si>
  <si>
    <t>60011774;60011774;60011774</t>
  </si>
  <si>
    <t>6701498756;55354871700;57212998791</t>
  </si>
  <si>
    <t>Vdovicheva, N. K.;Turchin, V. I.;Fiks, I. Sh</t>
  </si>
  <si>
    <t>Vdovicheva N.K.</t>
  </si>
  <si>
    <t>Remote sensing of moving wide-band sources</t>
  </si>
  <si>
    <t>10.1007/BF02677633</t>
  </si>
  <si>
    <t>2-s2.0-84946116129</t>
  </si>
  <si>
    <t>['tie patch', 'range 2', 'radiating edges', 'obtained using', 'frequency operation', 'flare angle', 'experimental results', 'antenna design']</t>
  </si>
  <si>
    <t>By loading a pair of narrow slots close to the radiating edges of a bow-tie microstrip antenna, dual-frequency operation can be obtained using a single probe feed. Various frequency ratios, within the range 2.0-3.0, of the two operating frequencies can be obtained by varying the flare angle of the bow-tie patch. Details of the antenna design and experimental results are presented and discussed.</t>
  </si>
  <si>
    <t>1713-1714</t>
  </si>
  <si>
    <t>35460663000;7409640753</t>
  </si>
  <si>
    <t>Wong, Kin Lu;Chen, Wen Shan</t>
  </si>
  <si>
    <t>Slot-loaded bow-tie microstrip antenna for dual-frequency operation</t>
  </si>
  <si>
    <t>10.1049/el:19981220</t>
  </si>
  <si>
    <t>2-s2.0-0032480195</t>
  </si>
  <si>
    <t>DMB85-12587</t>
  </si>
  <si>
    <t>['wavelength component', 'spectral inhomogeneity', 'singlet annihilation', 'single lh1', 'rhodobacter sphaeroides', 'reaction centers', 'phospholipid enrichment', 'peripheral lh2', 'native membranes', 'native bilayer', 'lh2 rings', 'lh2 complexes', 'increased size', 'improved method', 'fusion induces', 'fracture replicas', 'fold decrease', 'energy trap', 'energy transfer', 'controlled procedure', 'cluster size', 'closed vesicles', 'annihilation curves', 'anisotropic long', 'also reflected', '8 bchls', '4 k']</t>
  </si>
  <si>
    <t>Energy transfer | Fluorescence spectroscopy | Light-harvesting complex | Membrane fusion | Photosynthesis | Rhodobacter sphaeroides | Singlet-singlet annihilation</t>
  </si>
  <si>
    <t>An improved method for fusion of liposomes to intracytoplasmic membrane vesicles of Rhodobacter sphaeroides was developed that involves repeated cycles of freeze-thaw-sonication and provides a controlled procedure for phospholipid enrichment of up to 15-fold. In freeze-fracture replicas, the fusion products appeared as closed vesicles of increased size and reduced intramembrane particle densities. Fluorescence yield measurements at 300 and 4 K showed that the gradual bilayer dilution was accompanied by reductions in energy transfer between the peripheral LH2 and core LH1 antennae, as well as from LH1 to reaction centers. Singlet-singlet annihilation at 4 K revealed a two-fold decrease in the cluster size of core antenna BChls, which was also reflected by changes in fluorescence polarization spectra. Energy transfer dynamics and structural considerations suggested that the annihilation curves were affected by non-uniformities. When taken into account, this led to the conclusion that in native membranes, on average two LH1-reaction center complexes are associated, that most peripheral antenna complexes are adjacent to at least one core assembly, and that fusion induces a separation of single LH1 and LH2 rings. At 4 K, a relatively large Stokes shift severely limits transfer between LH2 complexes in the native bilayer, while restricted transfer among two or three LH1 complexes arises mainly from spectral inhomogeneity. This explanation also implies that the anisotropic long-wavelength component of the LH1 absorption spectrum, which acts as an energy trap at 4 K, exists as an excitonic state involving 6-8 BChls. Copyright (C) 1998 Elsevier Science B.V.</t>
  </si>
  <si>
    <t>317-329</t>
  </si>
  <si>
    <t>60119141-60001881;60003878;60008734;60003878;60119141</t>
  </si>
  <si>
    <t>6603200778;24395538800;35599806700;7004456032;7006668582</t>
  </si>
  <si>
    <t>Westerhuis, Willem H.J.;Vos, Marcel;Van Grondelle, Rienk;Amesz, Jan;Niederman, Robert A.</t>
  </si>
  <si>
    <t>United States;Netherlands;Netherlands;United Kingdom</t>
  </si>
  <si>
    <t>New Brunswick;Amsterdam;Leiden;Sheffield</t>
  </si>
  <si>
    <t>Rutgers University‚ÄìNew Brunswick;Vrije Universiteit Amsterdam;Sterrewacht Leiden;The University of Sheffield</t>
  </si>
  <si>
    <t>60119141;60008734;60003878;60001881</t>
  </si>
  <si>
    <t>Westerhuis W.</t>
  </si>
  <si>
    <t>Altered organization of light-harvesting complexes in phospholipid-enriched Rhodobacter sphaeroides chromatophores as determined by fluorescence yield and singlet-singlet annihilation measurements</t>
  </si>
  <si>
    <t>S0005272898001327</t>
  </si>
  <si>
    <t>10.1016/S0005-2728(98)00132-7</t>
  </si>
  <si>
    <t>2-s2.0-0032494284</t>
  </si>
  <si>
    <t>['¬© 1998', 'zero mean', 'polarity dependent', 'laboratory plasma']</t>
  </si>
  <si>
    <t>A magnetic loop antenna, immersed in a laboratory plasma, excites whistlers whose wave magnetic field exceeds the ambient dc field and forms magnetic null points. The propagation becomes amplitude and polarity dependent. A time-average dc magnetic field is generated with an applied ac magnetic field of zero mean. ¬© 1998 The American Physical Society.</t>
  </si>
  <si>
    <t>2064-2067</t>
  </si>
  <si>
    <t>7004643397;7005745994</t>
  </si>
  <si>
    <t>Stenzel, R. L.;Urrutia, J. M.</t>
  </si>
  <si>
    <t>Stenzel R.</t>
  </si>
  <si>
    <t>Generation of dc magnetic fields by rectifying nonlinear whistlers</t>
  </si>
  <si>
    <t>10.1103/PhysRevLett.81.2064</t>
  </si>
  <si>
    <t>2-s2.0-3743062210</t>
  </si>
  <si>
    <t>['small number', 'nervous processing', 'large number', 'labeled glomeruli', 'different specimen', 'different odors', 'dg uptake', 'control brains', 'clearly distinct', 'antennal lobes', 'activity across']</t>
  </si>
  <si>
    <t>Activity mapping | Autoradiography | Glomeruli | Insect olfactory system | Odor representation</t>
  </si>
  <si>
    <t>The distribution of odor-evoked neuronal activity in the antennal lobes of the blowfly Calliphora vicina has been studied by means of [3H] 2- deoxyglucose (2-DG) uptake. Stimulation with natural attractants like meat or cheese induced uptake of 2-DG in a large number of glomeruli, stimulation with the single odorant butyric acid only in a small number of glomeruli. In control brains, the majority of glomeruli showed low 2-DG uptake. The distribution of labeled glomeruli was odor-specific and consistent in different specimen. The labeling patterns evoked by different odors overlapped partially but were clearly distinct. The highest uptake within the glomeruli was found in the axons of antennal receptor neurons. The present data provide evidence that different odors are represented as defined spatial patterns of activity across the antennal lobe glomeruli. The overlapping patterns suggest that certain glomeruli participate in the nervous processing of different odors.</t>
  </si>
  <si>
    <t>263-266</t>
  </si>
  <si>
    <t>Brain Research</t>
  </si>
  <si>
    <t>6602724826;6602279649;6701782875</t>
  </si>
  <si>
    <t>Distler, Paul G.;Bausenwein, Bernhard;Boeckh, J√ºrgen</t>
  </si>
  <si>
    <t>Localization of odor-induced neuronal activity in the antennal lobes of the blowfly Calliphora vicina: A [&lt;sup&gt;3&lt;/sup&gt;H] 2-deoxyglucose labeling study</t>
  </si>
  <si>
    <t>S000689939800715X</t>
  </si>
  <si>
    <t>10.1016/S0006-8993(98)00715-X</t>
  </si>
  <si>
    <t>2-s2.0-0032517161</t>
  </si>
  <si>
    <t>['useful cross', 'thermal motion', 'spectral density', 'good agreement', 'finite mirrors', 'fast calculation', 'allowing one']</t>
  </si>
  <si>
    <t>We present a direct and very fast calculation of the low frequency tail of the spectral density of thermal noise due to the thermal motion of matter in the cylindrical mirrors generally used in gravitational wave interferometric detectors. This calculation is based on the method recently proposed by Levin, that we extend to the case of finite mirrors, allowing one to study the aspect ratio dependence of the noise. Results are found in good agreement with those found in heavier preceding approaches, and provide a useful cross-check. ¬© 1998 Elsevier Science B.V.</t>
  </si>
  <si>
    <t>227-236</t>
  </si>
  <si>
    <t>60023053;60073296;60006158</t>
  </si>
  <si>
    <t>35227002200;7004310344;57223680419</t>
  </si>
  <si>
    <t>Bondu, Fran√ßois;Hello, Patrice;Vinet, Jean Yves</t>
  </si>
  <si>
    <t>France;United States;France</t>
  </si>
  <si>
    <t>Orsay;Gaithersburg;Palaiseau</t>
  </si>
  <si>
    <t>Laboratoire de l'Acc√©l√©rateur Lin√©aire;National Institute of Standards and Technology;Laboratoire d'Optique Appliqu√©e</t>
  </si>
  <si>
    <t>60073296;60023053;60006158</t>
  </si>
  <si>
    <t>Bondu F.</t>
  </si>
  <si>
    <t>Thermal noise in mirrors of interferometric gravitational wave antennas</t>
  </si>
  <si>
    <t>S0375960198004502</t>
  </si>
  <si>
    <t>10.1016/S0375-9601(98)00450-2</t>
  </si>
  <si>
    <t>2-s2.0-0042325391</t>
  </si>
  <si>
    <t>['uniform state', 'temperature less', 'spokewise antenna', 'produced utilizing', 'plasma source', 'plasma maintains', 'magnetic field', 'highly crystallized', 'high potential', 'h film', 'ar mixture', '45 ghz', '16cm diameter', '1011 cm']</t>
  </si>
  <si>
    <t>High deposition rate | High-density plasma | Large-area plasma | Low electron temperature | Microwave plasma | SiH Cl 2 2 | Spokewise antenna | Œºc-Si:H</t>
  </si>
  <si>
    <t>A low-temperature, uniform, and high-density microwave plasma (2.45 GHz) is produced utilizing a spokewise antenna with no use of magnetic field. The plasma maintains a uniform state in Ar low pressure of lOmTorr with high electron density, &gt; 1011 cm-3, and temperature less than of 2.5eV within ¬±6% over a 16cm diameter. Highly crystallized, photoconductive, hydrogenated microcrystalline silicon, Œºc-Si:H film is produced from dichlorosilane (SiH2Cl2), H2 and Ar mixture at a high deposition rate of more than 5 √Ö/s. This plasma source has high potential not only for etching but also for the large-area film deposition processes.</t>
  </si>
  <si>
    <t>9 PART A/B</t>
  </si>
  <si>
    <t>60028263;60028263;100438704</t>
  </si>
  <si>
    <t>7202945191;7404175516;7102921642</t>
  </si>
  <si>
    <t>Shirai, Hajime;Arai, Takeshi;Ueyama, Hiroyuki</t>
  </si>
  <si>
    <t>Saitama;Yokohama</t>
  </si>
  <si>
    <t>Saitama University;Nihon Koshuha Co., Ltd.</t>
  </si>
  <si>
    <t>60028263;100438704</t>
  </si>
  <si>
    <t>The generation of high-density microwave plasma and its application to large-area microcrystalline silicon thin film formation</t>
  </si>
  <si>
    <t>10.1143/jjap.37.l1078</t>
  </si>
  <si>
    <t>2-s2.0-0032155734</t>
  </si>
  <si>
    <t>['well known', 'surrounding field', 'rights reserved', 'relationship existing', 'new approach', 'measured field', 'experiments demonstrate', 'directly proportional', 'dipole length', 'dipole antenna']</t>
  </si>
  <si>
    <t>Fluxgate magnetometer | Magnetic sensors | ULF and ELF antennas</t>
  </si>
  <si>
    <t>The relationship existing between the open circuit terminal voltage of a dipole antenna and the intensity of the surrounding field is well known. A magnetic structure whose properties are similar is obtained by replacing the pair of the dipole conducting arms by a pair of highly permeable ferromagnetic arms. As a result, an MMF whose features are similar to those of the open circuit voltage appears across the gap between the arms. Our experiments demonstrate that this MMF is related to the magnetic structure length and surrounding field in the same way that the electric open circuit voltage is related to the dipole length and surrounding field. Furthermore, a relatively long fluxgate magnetometer was developed. It assisted in demonstrating that the measured field related flux and the magnetometer output signal are directly proportional to a gap MMF related value. In addition, a new approach has been discovered for relating the fluxgate magnetometer output signal to the surrounding field intensity in cases where the measured field is non-uniform. ¬© 1998 Elsevier Science S.A. All rights reserved.</t>
  </si>
  <si>
    <t>226-233</t>
  </si>
  <si>
    <t>Sensors and Actuators, A: Physical</t>
  </si>
  <si>
    <t>Experimental proof that fluxgates operation is directly related to electric antennas theory</t>
  </si>
  <si>
    <t>S0924424798000983</t>
  </si>
  <si>
    <t>10.1016/S0924-4247(98)00098-3</t>
  </si>
  <si>
    <t>2-s2.0-0032162496</t>
  </si>
  <si>
    <t>R29NS029740</t>
  </si>
  <si>
    <t>['two sgcs', 'study nos', 'stimulated significantly', 'sgcs ),', 'relatively simple', 'projection neurons', 'one way', 'olfactory system', 'obligate heterodimer', 'nos ),', 'nitric oxide', 'nervous system', 'msnos expressed', 'msgcs expressed', 'msgc functions', 'mediating communication', 'manduca sexta', 'manduca genes', 'mammalian homologs', 'highly similar', 'high levels', 'genes suggest', 'expression patterns', 'complementary pattern', 'antennal lobe', 'also find', '7 cells']</t>
  </si>
  <si>
    <t>cGMP | Manduca sexta | Nitric oxide synthase | NO | Olfaction | Soluble guanylyl cyclase</t>
  </si>
  <si>
    <t>The nitric oxide (NO)-cGMP signaling system is thought to play important roles in the function of the olfactory system in both vertebrates and invertebrates. One way of studying the role of NO in the nervous system is to study the distribution and properties of NO synthase (NOS), as well as the soluble guanylyl cyclases (sGCs), which are the best characterized targets of NO. We study NOS and sGC in the relatively simple and well characterized insect olfactory system of the hawkmoth, Manduca sexta. We have cloned Manduca sexta nitric oxide synthase (MsNOS) and two sGCs (MsGCŒ±1 and MsGCŒ≤1), characterized their basic biochemical properties, and studied their expression in the olfactory system. The sequences of the Manduca genes are highly similar to their mammalian homologs and show similar biochemical properties when expressed in COS-7 cells. In particular, we find that MsGC functions as an obligate heterodimer that is stimulated significantly by NO. We also find that MsNOS has a Ca2+-sensitive NO-producing activity similar to that of mammalian neuronal NOS. Northern and in situ hybridization analyses show that MsNOS and the MsGCs are expressed in a complementary pattern, with MsNOS expressed at high levels in the antennae and the MsGCs expressed at high levels in a subset of antennal lobe neurons. The expression patterns of these genes suggest that the NOsGC signaling system may play a role in mediating communication between olfactory receptor neurons and projection neurons in the glomeruli of the antennal lobe.</t>
  </si>
  <si>
    <t>7244-7255</t>
  </si>
  <si>
    <t>60023324;60023324;60023324;60023324;60016733</t>
  </si>
  <si>
    <t>8159756400;7102604324;7004958457;7102653635;36763591400</t>
  </si>
  <si>
    <t>Nighorn, Alan;Gibson, Nicholas J.;Rivers, David M.;Hildebrand, John G.;Morton, David B.</t>
  </si>
  <si>
    <t>Tucson;Portland</t>
  </si>
  <si>
    <t>Arizona Research Laboratories;Oregon Health &amp; Science University</t>
  </si>
  <si>
    <t>60023324;60016733</t>
  </si>
  <si>
    <t>Nighorn A.</t>
  </si>
  <si>
    <t>The nitric oxide-cGMP pathway may mediate communication between sensory afferents and projection neurons in the antennal lobe of Manduca sexta</t>
  </si>
  <si>
    <t>10.1523/jneurosci.18-18-07244.1998</t>
  </si>
  <si>
    <t>2-s2.0-0032530288</t>
  </si>
  <si>
    <t>['wild type', 'twofold higher', 'transport kinetics', 'saturate o2', 'residue 117', 'ps ii', 'proximal antenna', 'photosystem ii', 'pcc 6803', 'nine site', 'low temperature', 'light needed', 'hl17t mutant', 'his117 serving', 'h117t mutants', 'h117t mutant', 'h117n mutant', 'generated normally', 'evolution rates', 'directed mutations', 'd2 protein', 'control strain', 'containing background', 'conserved residue', 'chlorophyll ligand', 'chlorophyll cation', 'chlorophyll associated', 'bind chlorophyll', '695 nm', ')- containing']</t>
  </si>
  <si>
    <t>Chlorophyll fluorescence | Cyanobacteria | Energy transfer | Photosystem II | Reaction center</t>
  </si>
  <si>
    <t>His117 of the D2 protein of photosystem II (PS II) is a conserved residue in the second transmembrane region of the protein and has been suggested to bind chlorophyll. Nine site-directed mutations were introduced at residue 117, using both photosystem I (PS I)-containing and PS I-less background strains of the cyanobacterium Synechocystis sp. PCC 6803. Of these nine, four (H117C, H117M, H117N, and H117T) were photoautotrophic in the PS I-containing background. The other mutants (H117F, H117L, H117P, H117R, and H117Y) did not accumulate appreciable amounts of PS II in their thylakoids. The type of residues that can functionally replace His117 support the notion of His117 serving as a chlorophyll ligand. The properties of the H117N and H117T mutants were characterized in more detail. Whereas the properties of the H117N mutant were close to those of wild type, in the Hl17T mutant the 77-K fluorescence emission spectrum shows a much smaller amplitude at 695 nm than expected on the basis of the amount of PS II that is present. Moreover, in H117T, the amount of light needed to half-saturate O2-evolution rates was twofold higher than in the control strain, and the variable fluorescence yield was quenched. However, O2 evolution rates at saturating light intensity and electron-transport kinetics were normal in the mutant. Also, the radical accessory chlorophyll (Chl(z)/+) formed by donation of an electron to the PS-II reaction center could be generated normally by illumination at low temperature in the H117T mutant. We conclude that the chlorophyll associated with residue 117 of the D2 protein is important for efficient excitation transfer between the proximal antenna and the PS II reaction center. A possible mechanism involving a chlorophyll cation to explain the quenching in the H117T mutant is discussed.</t>
  </si>
  <si>
    <t>595-602</t>
  </si>
  <si>
    <t>60003892;60003892</t>
  </si>
  <si>
    <t>7801546472;7005345187</t>
  </si>
  <si>
    <t>Lince, Michael T.;Vermaas, Wim</t>
  </si>
  <si>
    <t>Lince M.</t>
  </si>
  <si>
    <t>Association of His117 in the D2 protein of photosystem II with a chlorophyll that affects excitation-energy transfer efficiency to the reaction center</t>
  </si>
  <si>
    <t>10.1046/j.1432-1327.1998.2560595.x</t>
  </si>
  <si>
    <t>2-s2.0-0032530881</t>
  </si>
  <si>
    <t>['within 2', 'vitro study', 'varying degrees', 'three models', 'submerged 0', 'representative models', 'pronounced effect', 'pacing output', 'one icd', 'monapole antenna', 'lower portion', 'inhibition followed', 'immediate proximity', 'icd header', 'generate strong', 'firing occurred', 'emi occurred', 'electromagnetic interference', 'digital phones', 'cellular telephones', 'cellular phones', 'cellular phone', '8 cm', '5 cm', '3 cm']</t>
  </si>
  <si>
    <t>Cellular phone | Compatibility | Electromagnetic | EMC | Interference | Pacemaker</t>
  </si>
  <si>
    <t>An in vitro study was undertaken to investigate the potential for cellular telephones to interfere with representative models of presently used ICDs. Digital cellular phones (DCPs) generate strong, amplitude modulated fields with pulse repetition rates near the physiological range sensed by the ICD as an arrhythmia. DCPs with Time Division Multiple Access (TDMA) pulsed amplitude modulation caused the most pronounced effect - high voltage firing or inhibition of pacing output of the ICDs. This electromagnetic interference (EMI) occurred only when the phones were within 2.3-5.8 cm of the ICD pulse generator that was submerged 0.5 cm in O. 18% saline. ICD performance always reverted to baseline when the cellular phones were removed from the immediate proximity of the ICD. Three models of ICDs were subjected tO EMI susceptibility testing using two types of digital phones and one analog cellular phone, each operating at their respective maximum output power. EMI was observed in varying degrees from all DCPs. Inhibition of pacer output occurred in one ICD, and high voltage firing occurred in the two other ICDs, when a TDMA11 Hz DCP was placed within 2.3 cm of the ICD. For the ICD that was most sensitive to delivering unintended therapy, inhibition followed by firing occurred at distances up to 5.8 cm. When a TDMA-50 Hz phone was placed at the minimum test distance of 2.3 cm, inhibition followed by firing was observed in one of the ICDs. EMI occurred most frequently when the lower portion of the monapole antenna of the cellular phone was placed over the ICD header.</t>
  </si>
  <si>
    <t>1709-1715</t>
  </si>
  <si>
    <t>101739759-60010237;60003531;101739759</t>
  </si>
  <si>
    <t>35566996300;57198220680;6603730758</t>
  </si>
  <si>
    <t>Bassen, Howard I.;Moore, Hans J.;Ruggera, Paul S.</t>
  </si>
  <si>
    <t>Rockville;Washington, D.C.;Rockville</t>
  </si>
  <si>
    <t>Food and Drug Administration;George Washington University Medical Center;Ctr. Devices Radiological Hlth.</t>
  </si>
  <si>
    <t>60010237;60003531;101739759</t>
  </si>
  <si>
    <t>Bassen H.</t>
  </si>
  <si>
    <t>Cellular phone interference testing of implantable cardiac defibrillators in vitro</t>
  </si>
  <si>
    <t>10.1111/j.1540-8159.1998.tb00268.x</t>
  </si>
  <si>
    <t>2-s2.0-0031719189</t>
  </si>
  <si>
    <t>['rf transmitter', 'reflecting transponder', 'printed circuit', 'novel retro']</t>
  </si>
  <si>
    <t>A novel retro-reflecting transponder is described. The structure is a modulated antenna array which reflects an interrogating signal back towards its source. It may be realised as a printed circuit and has low power requirements because an RF transmitter is not employed, unlike conventional transponders.</t>
  </si>
  <si>
    <t>1880-1881</t>
  </si>
  <si>
    <t>55429538200;35449666300</t>
  </si>
  <si>
    <t>Thornton, J.;Edwards, D. J.</t>
  </si>
  <si>
    <t>Thornton J.</t>
  </si>
  <si>
    <t>Modulating retro-reflector as a passive radar transponder</t>
  </si>
  <si>
    <t>10.1049/el:19981326</t>
  </si>
  <si>
    <t>2-s2.0-0032162511</t>
  </si>
  <si>
    <t>['slot cut', 'reactive loading', 'proposed design', 'microstrip structure', 'experimental results', 'circular patch', 'cascaded microstrip', 'antenna performance', '2 times']</t>
  </si>
  <si>
    <t>A novel broadband design for a circular microstrip antenna with reactive loading integrated within the circular patch is proposed and studied. The reactive loading is provided by a microstrip structure of cascaded microstrip-line sections embedded inside a slot cut in the circular patch. The proposed broadband design has been implemented, and the experimental study shows that an antenna bandwidth ‚àº3.2 times that of a conventional circular microstrip antenna can be obtained. Details of the proposed design are described, and experimental results of the antenna performance are presented and discussed.</t>
  </si>
  <si>
    <t>1804-1805</t>
  </si>
  <si>
    <t>35460663000;7102693589</t>
  </si>
  <si>
    <t>Wong, Kin Lu;Jan, Jen Yea</t>
  </si>
  <si>
    <t>Broadband circular micropstrip antenna with embedded reactive loading</t>
  </si>
  <si>
    <t>10.1049/el:19981316</t>
  </si>
  <si>
    <t>2-s2.0-0032163446</t>
  </si>
  <si>
    <t>['supporting substrate', 'stable across', 'shaped probe', 'rectangular u', 'measured results', 'impedance bandwidth', 'foam layer']</t>
  </si>
  <si>
    <t>The design and measured results of a rectangular U-slot patch antenna proximity fed by an L-shaped probe are described. Using a foam layer of thickness ‚àº7% wavelength as a supporting substrate, an impedance bandwidth of 42.7% and a gain of 6.7dBi has been achieved. The radiation patterns obtained are stable across the passband.</t>
  </si>
  <si>
    <t>1806-1807</t>
  </si>
  <si>
    <t>60013983;60013983;60006173;60013983</t>
  </si>
  <si>
    <t>55510527400;57198926864;7501501369;55664638500</t>
  </si>
  <si>
    <t>Luk, K. M.;Guo, Y. X.;Lee, K. F.;Chow, Y. L.</t>
  </si>
  <si>
    <t>L-probe proximity fed U-slot patch antenna</t>
  </si>
  <si>
    <t>10.1049/el:19981276</t>
  </si>
  <si>
    <t>2-s2.0-0032166035</t>
  </si>
  <si>
    <t>['simple way', 'interference gain', 'hence provide', 'effective values', 'cdma system', 'approximate formulas', 'adaptive antennas', 'adaptive antenna']</t>
  </si>
  <si>
    <t>Approximate formulas are presented for the signal to interference gain and the bit error rate when radiation pattern characteristics such as the beamwidth and average sidelobe level are considered for adaptive antennas in DS-CDMA. These formulas can be used to produce results easily for a range of ideal or effective values and hence provide a fast and simple way to evaluate the performance of an adaptive antenna in a DS-CDMA system.</t>
  </si>
  <si>
    <t>1802-1804</t>
  </si>
  <si>
    <t>Tsoulos, G. V.</t>
  </si>
  <si>
    <t>Approximate SIR and BER formulas for DS-CDMA based on radiation pattern characteristics of adaptive antennas</t>
  </si>
  <si>
    <t>10.1049/el:19981279</t>
  </si>
  <si>
    <t>2-s2.0-0032166251</t>
  </si>
  <si>
    <t>['parameter describes', 'downlink performance', 'average effect']</t>
  </si>
  <si>
    <t>A new parameter called the effective statistical G/T (ESGuT) is introduced. This parameter describes the downlink performance of a non-GEO satellite personal communication network (SPCN) taking into account the performance of the antenna on the mobile, the average effect of the environment, the handling of the handsets by the user and the satellite orbit statistics.</t>
  </si>
  <si>
    <t>1814-1816</t>
  </si>
  <si>
    <t>6603994383;7202876045</t>
  </si>
  <si>
    <t>Agius, A. A.;Saunders, S. R.</t>
  </si>
  <si>
    <t>Agius A.</t>
  </si>
  <si>
    <t>Effective statistical G/T (ESGuT): A parameter describing the performance for non-GEO satellite systems</t>
  </si>
  <si>
    <t>10.1049/el:19981302</t>
  </si>
  <si>
    <t>2-s2.0-0032166252</t>
  </si>
  <si>
    <t>['two u', 'supporting substrate', 'stable across', 'shaped slots', 'radiation patterns', 'impedance bandwidth', 'foam layer']</t>
  </si>
  <si>
    <t>A rectangular microstrip antenna with two U-shaped slots on the patch is described. Using a foam layer of thickness ‚àº9% wavelength as the supporting substrate, an impedance bandwidth of 44% is achieved. The radiation patterns are stable across the passband.</t>
  </si>
  <si>
    <t>1805-1806</t>
  </si>
  <si>
    <t>57198926864;55510527400;7501501369;55664638500</t>
  </si>
  <si>
    <t>Guo, Y. X.;Luk, K. M.;Lee, K. F.;Chow, Y. L.</t>
  </si>
  <si>
    <t>Guo Y.X.</t>
  </si>
  <si>
    <t>Double U-slot rectangular patch antenna</t>
  </si>
  <si>
    <t>10.1049/el:19981283</t>
  </si>
  <si>
    <t>2-s2.0-0032166518</t>
  </si>
  <si>
    <t>['two species', 'tested whether', 'species produces', 'similar extent', 'sex pheromones', 'sex pheromone', 'selective filtering', 'scarab beetles', 'receptor interactions', 'r )-', 'pbp complex', 'osaka beetle', 'opposite enantiomers', 'one sensillum', 'membrane receptors', 'japanese beetle', 'integrated approach', 'extremely specific', 'chiral discrimination', 'appropriate ligand', 'anomala osakana', ')- japonilure']</t>
  </si>
  <si>
    <t>Two species of scarab beetles, the Osaka beetle (Anomala osakana) and the Japanese beetle (Popillia japonica), utilize the opposite enantiomers of japonilure, (Z)-5-(1-decenyl)oxacyclopentan-2-one, as their sex pheromones. Each species produces only one of the enantiomers that functions as its own sex pheromone and as a very strong behavioral antagonist for the other species. Using an integrated approach we tested whether the discrimination of these two opposite signals is due to selective filtering by pheromone binding proteins or whether it originates in the specificity of ligand-receptor interactions. We found that the antennae of each of these two scarab species contain only a single pheromone binding protein, which associates with both enantiomers to a similar extent. The single neuron recording technique, on the other hand, showed that both species possess olfactory receptor neurons, colocalized in one sensillum, extremely specific to either (R)- or (S)-japonilure. Therefore, pheromone binding proteins (PBPs) alone cannot perform the task of chiral discrimination; enantiomeric specificity must be achieved by the interaction of the pheromone or the appropriate ligand-PBP complex with membrane receptors.</t>
  </si>
  <si>
    <t>217-222</t>
  </si>
  <si>
    <t>100318977;60029170;100318977</t>
  </si>
  <si>
    <t>6701686418;7103226689;35569644800</t>
  </si>
  <si>
    <t>Wojtasek, Hubert;Hansson, Bill S.;Leal, Walter Soares</t>
  </si>
  <si>
    <t>Sweden;Japan</t>
  </si>
  <si>
    <t>Lund;Tsukuba</t>
  </si>
  <si>
    <t>Lunds Universitet;Natl. Inst. Sericultural E.</t>
  </si>
  <si>
    <t>60029170;100318977</t>
  </si>
  <si>
    <t>Wojtasek H.</t>
  </si>
  <si>
    <t>Attracted or repelled? - A matter of two neurons, one pheromone binding protein, and a chiral center</t>
  </si>
  <si>
    <t>S0006291X98992786</t>
  </si>
  <si>
    <t>10.1006/bbrc.1998.9278</t>
  </si>
  <si>
    <t>2-s2.0-0032544373</t>
  </si>
  <si>
    <t>['urosomite 1', 'substrata subtidally', 'species possesses', 'rounded corners', 'new species', 'lysianassoid amphipod', 'lepidepecreum serraculum', 'distinctive rudder', 'american border']</t>
  </si>
  <si>
    <t>A new species of lysianassoid amphipod, Lepidepecreum serraculum, is described. This species possesses a distinctive rudder-shaped convec carination of urosomite 1 that combiend with a slightly carinate antenna 1, chelate gnathopod 2, and rounded corners of the epimera, distinguishes it from other species of Lepidepecreum. It occurs in a variety of substrata subtidally to 150 m depth from the Mexican-American border to Alaska.</t>
  </si>
  <si>
    <t>62-626</t>
  </si>
  <si>
    <t>Dalkey, A.</t>
  </si>
  <si>
    <t>Environmental Monitoring Division</t>
  </si>
  <si>
    <t>Dalkey A.</t>
  </si>
  <si>
    <t>A new species of amphipod (Crustacea: Amiphipoda: Lysianasspodea) from the Pacific Coast of North America</t>
  </si>
  <si>
    <t>2-s2.0-0032544818</t>
  </si>
  <si>
    <t>A new species of lysianassoid amphipod, Lepidepecreum serraculum, is described. This species possesses a distinctive rudder-shaped convex carination of urosomite 1 that combined with a slightly carinate antenna 1, chelate gnathopod 2, and rounded corners of the epimera, distinguishes it from other species of Lepidepecreum. It occurs in a variety of substrata subtidally to 150 m depth from the Mexican-American border to Alaska.</t>
  </si>
  <si>
    <t>621-626</t>
  </si>
  <si>
    <t>Dalkey, Ann</t>
  </si>
  <si>
    <t>A new species of amphipod (Crustacea: Amphipoda: Lysianassoidea) from the Pacific Coast of North America</t>
  </si>
  <si>
    <t>2-s2.0-33746239311</t>
  </si>
  <si>
    <t>['two aggregates', 'transfer energy', 'systems involve', 'strong coupling', 'results provide', 'readily generalized', 'photosynthetic organisms', 'monomeric bchl', 'exciton type', 'exciton states', 'excitation delocalization', 'entire aggregate', 'energy excitations', 'electronic states', 'electronic excitations', 'effective hamiltonian', 'detailed description', 'cross section', 'ci calculations', 'cases aggregates', 'capturing sunlight', 'biological function', 'bchls ).', 'bchl hexadecamer', 'bchl dimers', 'bchl aggregates', 'absorb light']</t>
  </si>
  <si>
    <t>Photosynthetic organisms have developed antenna systems to enlarge their cross section for capturing sunlight. These systems involve in some cases aggregates of bacteriochlorophylls (BChls). The structure of one such aggregate, a tightly coupled circular hexadecamer of BChls and a loosely coupled octamer of BChls, has recently been solved. In this paper we investigate the electronic excitations in these two aggregates as well as in monomeric BChl and BChl dimers by means of INDO/S-CI calculations. The results provide a detailed description of the properties of electronic states in the BChl aggregates (energies, dipole and transition dipole moments) that are relevant for the biological function of BChls, to absorb light and transfer energy on the subpicosecond time scale. The lower-energy excitations of the BChl hexadecamer are of exciton type, i.e., experiencing a strong coupling that leads to excitation delocalization over the entire aggregate. An effective Hamiltonian is provided which reproduces these exciton states and which can be readily generalized to other aggregates.</t>
  </si>
  <si>
    <t>7640-7650</t>
  </si>
  <si>
    <t>60013959;60013959;60000745;60000745</t>
  </si>
  <si>
    <t>7003360863;7004978129;7404709560;7102415947</t>
  </si>
  <si>
    <t>Cory, Marshall G.;Zerner, Michael C.;Hu, Xiche;Schulten, Klaus</t>
  </si>
  <si>
    <t>Gainesville;Urbana</t>
  </si>
  <si>
    <t>University of Florida;University of Illinois Urbana-Champaign</t>
  </si>
  <si>
    <t>60013959;60000745</t>
  </si>
  <si>
    <t>Cory M.G.</t>
  </si>
  <si>
    <t>Electronic excitations in aggregates of bacteriochlorophylls</t>
  </si>
  <si>
    <t>10.1021/jp980966l</t>
  </si>
  <si>
    <t>2-s2.0-0000922662</t>
  </si>
  <si>
    <t>96-1596780</t>
  </si>
  <si>
    <t>['wave antennae', 'traditional free', 'scheme makes', 'promising candidate', 'practical scheme', 'mass gravitational', 'lower substantially', 'circulating power']</t>
  </si>
  <si>
    <t>Quantum mechanics sets severe limits on the sensitivity and required circulating energy in traditional free-mass gravitational-wave antennae. One possible way to avoid these restrictions is the use of intracavity QND measurements. We analyze a new QND observable, which possesses a number of features that make it a promising candidate for such measurements, and propose a practical scheme for the realization of this measurement. In combination with an advanced coordinate meter, this scheme makes it possible to lower substantially the requirements on the circulating power. ¬© 1998 Published by Elsevier Science B.V.</t>
  </si>
  <si>
    <t>485-497</t>
  </si>
  <si>
    <t>7003908077;56264036600;35351478800</t>
  </si>
  <si>
    <t>Braginsky, V. B.;Gorodetsky, M. L.;Khalili, F. Ya</t>
  </si>
  <si>
    <t>Braginsky V.B.</t>
  </si>
  <si>
    <t>Quantum limits and symphotonic states in free-mass gravitational-wave antennae</t>
  </si>
  <si>
    <t>S0375960198005374</t>
  </si>
  <si>
    <t>10.1016/S0375-9601(98)00537-4</t>
  </si>
  <si>
    <t>2-s2.0-0008007337</t>
  </si>
  <si>
    <t>['xanthophyll cycle', 'statistical analysis', 'simultaneous increases', 'simultaneous effects', 'relative fraction', 'quantitatively explain', 'psii unit', 'psii chlorophyll', 'psii chl', 'photoprotective mechanisms', 'ph gradient', 'one z', 'molecule binds', 'model explains', 'model assumes', 'intrathylakoid ph', 'important regulatory', 'higher plants', 'heat dissipation', 'fractional intensity', 'fluorescence yield', 'fluorescence lifetime', "f '(", 'exciton trap', 'excitation energy', 'emission intensity', 'effects disappear', 'distribution component', 'dimmer switch', 'dependent dissipation', 'decreased conversion', 'data yields', 'concept ).', 'chloroplast trans', 'binding site', 'binding effectively', 'activated site', ')/ f']</t>
  </si>
  <si>
    <t>The xanthophyll cycle-dependent dissipation of excitation energy in higher plants is one of the most important regulatory and photoprotective mechanisms in photosynthesis. Using parallel time-resolved and pulse- amplitude modulation fluorometry, we studied the influence of the intrathylakoid pH and the xanthophyll cycle carotenoids on the PSII chlorophyll (Chl) a fluorescence yield in thylakoids of Arabidopsis, spinach, and barley. Increases in concentrations of dithiothreitol in thylakoids, which have a trans-thylakoid membrane pH gradient and are known to have decreased conversion of violaxanthin (V) to zeaxanthin (Z), lead to (1) decreases in the fractional intensity of the ~0.5 ns Chl a fluorescence lifetime (œÑ) distribution component and simultaneous increases in a 1.6-1.8 ns fluorescence component and (2) increases in the maximal fluorescence intensity. These effects disappear when the pH gradient is eliminated by the addition of nigericin. To quantitatively explain these results, we present a new mathematical model that describes the simultaneous effects of the chloroplast trans-thylakoid membrane pH gradient and xanthophyll cycle pigments on the PSII Chl a fluorescence œÑ distributions and intensity. The model assumes that (1) there exists a specific binding site for Z (or antheraxanthin, A) among or in an inner antenna complex (primarily CP29), (2) this binding site is activated by a low intrathylakoid pH (pK ‚âÉ4.5) that increases the affinity for Z (or A), (3) about one Z or A molecule binds to the activated site, and (4) this binding effectively 'switches' the fluorescence œÑ distribution of the PSII unit to a state with a decreased fluorescence œÑ and emission intensity (a 'dimmer switch' concept). This binding is suggested to cause the formation of an exciton trap with a rapid intrinsic rate constant of heat dissipation. Statistical analysis of the data yields an equilibrium association constant, K(a), that ranges from 0.7 to 3.4 per PSII for the protonated/activated binding site for Z (or A). The model explains (1) the relative fraction of the ~0.5 ns fluorescence component as a function of both Z and A concentration and intrathylakoid pH, (2) the dependence of the ratio of F'(m)/F(m) on the fraction of the 0.5 ns fluorescence œÑ component (where F'(m) and F(m) are maximal fluorescence intensities in the presence and the absence of a pH gradient), and (3) the dependence of the ratio of F'(m)/F(m) on the concentration of Z and A and the intrathylakoid pH.</t>
  </si>
  <si>
    <t>13582-13593</t>
  </si>
  <si>
    <t>60159889;60000745;60000745;60000745</t>
  </si>
  <si>
    <t>7102269996;7004098429;7003837452;16833617600</t>
  </si>
  <si>
    <t xml:space="preserve">Gilmore, Adam M.;Shinkarev, Vladimir P.;Hazlett, Theodore L.;Govindjee, </t>
  </si>
  <si>
    <t>Australia;United States</t>
  </si>
  <si>
    <t>Canberra;Urbana</t>
  </si>
  <si>
    <t>ANU Research School of Biology;University of Illinois Urbana-Champaign</t>
  </si>
  <si>
    <t>60159889;60000745</t>
  </si>
  <si>
    <t>Gilmore A.M.</t>
  </si>
  <si>
    <t>Quantitative analysis of the effects of intrathylakoid pH and xanthophyll cycle pigments on chlorophyll a fluorescence lifetime distributions and intensity in thylakoids</t>
  </si>
  <si>
    <t>10.1021/bi981384x</t>
  </si>
  <si>
    <t>2-s2.0-0032578572</t>
  </si>
  <si>
    <t>['wireless service', 'web browsing', 'speed transmission', 'solomon coding', 'server model', 'promising future', 'priority ordering', 'mobile communications', 'link budget', 'information retrieval', 'generation technologies', 'generation systems', 'explosive demand', 'evolutionary enhancements', 'cellular phones', 'attractive option', 'area mobile', 'acis ),']</t>
  </si>
  <si>
    <t>The public's desire for mobile communications and computing, as evidenced by the popularity of cellular phones and laptop computers combined with the explosive demand for Internet access suggest a very promising future for wireless data services. The key to realizing this potential is the development and deployment of high-performance radio systems. In this article we describe a basic service concept, Advanced Cellular Internet Service (ACIS), and the technologies for achieving reliable high-speed transmission to wide-area mobile and portable cellular subscribers with very high spectrum efficiency. Such a wireless service, optimized to meet the needs of a client-server model for information retrieval and Web browsing, and combined with evolutionary enhancements in second-generation technologies, can provide an attractive option for third-generation systems. The radio link design combines OFDM with transmit and receive antenna diversity and Reed-Solomon coding to overcome the link budget and dispersive fading limitations of the cellular mobile radio environment. For access, a dynamic packet assignment algorithm is proposed which combines rapid interference measurements, priority ordering, and a staggered frame assignment schedule to provide spectrum efficiencies of two-to-four times existing approaches.</t>
  </si>
  <si>
    <t>150-159</t>
  </si>
  <si>
    <t>60014300-60006297-60000251;60014300-60005429-60031707-60021211-60023456-114050155-60008592-114050492-60000251;60014300-100471989-60022401-60007776-60021378-60023456</t>
  </si>
  <si>
    <t>35494080500;7201692515;7005307748</t>
  </si>
  <si>
    <t>Cimini, Leonard J.;Chuang, Justin C.I.;Sollenberger, Nelson R.</t>
  </si>
  <si>
    <t>United States;United States;United States;United States;United States;United States;Hong Kong;United States;United States;Taiwan;United States;;;United States</t>
  </si>
  <si>
    <t>East Lansing;Piscataway;Grantham;Murray;Niskayuna;San Antonio;Hong Kong;Ithaca;Philadelphia;Taipei;New York;;;</t>
  </si>
  <si>
    <t>Michigan State University;Telcordia Technologies, Inc.;Messiah College;Nokia Bell Labs;GE Global Research;AT&amp;T Inc.;Hong Kong University of Science and Technology;Cornell University;University of Pennsylvania;National Taiwan University;IEEE;Wireless Systems Research Department;Radio Research Department;Wireless Systems Research Department</t>
  </si>
  <si>
    <t>60031707;60023456;60022401;60021378;60021211;60014300;60008592;60007776;60006297;60005429;60000251;114050492;114050155;100471989</t>
  </si>
  <si>
    <t>Cimini L.</t>
  </si>
  <si>
    <t>Advanced Cellular Internet Service (ACIS)</t>
  </si>
  <si>
    <t>10.1109/35.722151</t>
  </si>
  <si>
    <t>2-s2.0-0000842463</t>
  </si>
  <si>
    <t>BIR 9423903</t>
  </si>
  <si>
    <t>['specifically respond', 'spatial patterns', 'sensitive neurons', 'sensillum containing', 'receptor neurons', 'proximal half', 'preferentially located', 'new class', 'neurons insensitive', 'lateral margins', 'identified classes', 'found exclusively', 'electrophysiological responses', 'distribution along', 'antennal flagellum']</t>
  </si>
  <si>
    <t>Electrophysiology | Noctuidae | Pheromone | Sensilla trichodea | Single-cell</t>
  </si>
  <si>
    <t>Electrophysiological responses to stimulation with behaviorally relevant compounds were recorded from receptor neurons within specialized classes of sensilla on the antennae of male cabbage looper moths. Receptor neurons were found that specifically respond to stimulation with Z-7,12:AC, Z-7,14:AC, Z-9,14:AC, and Z-7,12:OH. Specialized receptor neurons were not found for the three remaining pheromone blend components, 12:AC, Z-5,12:AC, or 11,12:AC. However, a new class of sensillum containing a pair of neurons insensitive to all of the cabbage looper pheromone components was encountered. In addition, spatial patterns of distribution along the flagellum for identified classes of sensilla are described. Sensilla containing Z-7,12:AC-sensitive neurons are preferentially located on the proximal half of the antennal flagellum. In addition to this distribution along the length of the antenna, a pattern across individual flagellar subsegments is described. Sensilla containing neurons sensitive to Z-9,14:AC were found exclusively on the lateral margins of individual flagellar subsegments.</t>
  </si>
  <si>
    <t>433-442</t>
  </si>
  <si>
    <t>60000986;60000986;60000986</t>
  </si>
  <si>
    <t>7402445350;6507726569;7103138825</t>
  </si>
  <si>
    <t>Grant, A. J.;Riendeau, C. J.;O'Connell, R. J.</t>
  </si>
  <si>
    <t>Worcester</t>
  </si>
  <si>
    <t>University of Massachusetts Medical School</t>
  </si>
  <si>
    <t>Grant A.</t>
  </si>
  <si>
    <t>Spatial organization of olfactory receptor neurons on the antenna of the cabbage looper moth</t>
  </si>
  <si>
    <t>10.1007/s003590050269</t>
  </si>
  <si>
    <t>2-s2.0-0031735498</t>
  </si>
  <si>
    <t>['size class', 'significantly higher', 'shrimp crangon', 'shell disease', 'samples collected', 'previously recorded', 'population density', 'poole harbour', 'outermost sections', 'organic enrichment', 'lesion incidences', 'lesion incidence', 'l .)', 'high level', 'fishing activity', 'field survey', 'female shrimps', 'direct causes', 'detailed analysis', 'antennal flagellae', '87 %.']</t>
  </si>
  <si>
    <t>A field survey of the shrimp Crangon (L.) from Poole Harbour, Dorset, England, revealed high incidences of shell disease, a condition causing exoskeletal erosion. Further samples collected from two subsystems within the harbour were subjected to more detailed analysis. The number, location and size of the lesions on each shrimp were analyzed with respect to sex and size class. Lesion incidences were higher than any previously recorded for the species, with a maximum of 87%. Lesion incidence, number and size were significantly higher in larger size classes of C. crangon, and the incidence and number of lesions were significantly higher in female shrimps than in males. The most frequently affected appendages were the antennae, pereiopods and pleopods, of which the outermost sections had the greatest lesion frequencies, namely the antennal flagellae, the propus and dactyl of the pereiopods and the exopodite of the pleopods. Several factors including pollution, fishing activity and population density have previously been cited as direct causes of shell disease. The results of the current study together with observations from published literature suggest that predatory and cannabilistic interactions combined with the high level of organic enrichment (both natural and anthropogenic) are more likely to have contributed to the high incidences observed than pollution or fishing activity.</t>
  </si>
  <si>
    <t>445-452</t>
  </si>
  <si>
    <t>Marine Biology</t>
  </si>
  <si>
    <t>Dyrynda, E. A.</t>
  </si>
  <si>
    <t>Swansea</t>
  </si>
  <si>
    <t>Swansea University</t>
  </si>
  <si>
    <t>Dyrynda E.A.</t>
  </si>
  <si>
    <t>Shell disease in the common shrimp Crangon crangon: Variations within an enclosed estuarine system</t>
  </si>
  <si>
    <t>10.1007/s002270050410</t>
  </si>
  <si>
    <t>2-s2.0-0031741415</t>
  </si>
  <si>
    <t>['thin substrates', 'resonant frequency', 'current corresponding', 'correcting term', 'application example', 'also shown']</t>
  </si>
  <si>
    <t>The design of rectangular microstrip antennas (RMA) is presented. The resonant frequency of a rectangular microstrip antenna is found as the frequency for which the current corresponding to a single hybrid radiation mode of microstrip line reaches maximum value. The finite transversal dimension of the antenna is taken into account by introducing a correcting term that depends on the effective dielectric constant of an equivalent microstrip line. Numerical results confirming the accuracy of the approach (error &lt; 1% for thin substrates) are presented. An application example of the method for studying mutual coupling between antennas is also shown. Limitations and prospects for the future of the method are discussed.</t>
  </si>
  <si>
    <t>421-423</t>
  </si>
  <si>
    <t>Zieniutycz, W.</t>
  </si>
  <si>
    <t>Gdansk</t>
  </si>
  <si>
    <t>Gda≈Ñsk University of Technology</t>
  </si>
  <si>
    <t>Zieniutycz W.</t>
  </si>
  <si>
    <t>Application of hybrid radiation modes of a microstrip line in the design of rectangular microstrip antennas</t>
  </si>
  <si>
    <t>10.1049/ip-map:19982063</t>
  </si>
  <si>
    <t>2-s2.0-0032179073</t>
  </si>
  <si>
    <t>['tumour site', 'localised heating', 'investigated using', 'hyperthermic treatment', 'frequency scheme', 'attaining deep', 'antenna array']</t>
  </si>
  <si>
    <t>A multi-frequency scheme for annular phased arrays is proposed with the aim of attaining deep and localised heating for hyperthermic treatment of cancers. The concept is investigated using a 520MHz broadband microwave system including an antenna array of four microstrip spiral applicators. The results of measurements on a heterogeneous saline solution phantom demonstrate the possibility of producing homogenised heating patterns outside the tumour site.</t>
  </si>
  <si>
    <t>1901-1902</t>
  </si>
  <si>
    <t>Reduction of hot spots in hyperthermia by means of broadband energy transmission</t>
  </si>
  <si>
    <t>10.1049/el:19981363</t>
  </si>
  <si>
    <t>2-s2.0-0032180641</t>
  </si>
  <si>
    <t>['small car', 'rights reserved', 'reception system', 'cost ".', 'automotive engineers']</t>
  </si>
  <si>
    <t>To realize the DBS (Direct Broadcasting Satellite) reception system for a small car, we have developed an antenna system concentrating on "Miniaturization" and "Low-cost". In this paper, an outline and the features of the developed antenna system are described. It can be mounted on a small car, and is a small, low-cost antenna whose design is simplified by adopting the planar beam tilt antenna and abolishing elevation tracking. ¬© 1998 Society of Automotive Engineers of Japan, Inc. and Elsevier Science B.V. All rights reserved.</t>
  </si>
  <si>
    <t>379-383</t>
  </si>
  <si>
    <t>JSAE Review</t>
  </si>
  <si>
    <t>60002347;60002347;60002347;60003416;60007951</t>
  </si>
  <si>
    <t>57196914754;7007153720;36832602300;7403216058;7004521900</t>
  </si>
  <si>
    <t>Minami, Yoshiaki;Aoshima, Shigeki;Morita, Makoto;Nishikawa, Kunitoshi;Inamura, Shigeaki</t>
  </si>
  <si>
    <t>Minato;Aichi District;Toyota</t>
  </si>
  <si>
    <t>Fujitsu Ltd.;Toyota Central Research Development Laboratory Inc;Toyota Motor Corporation</t>
  </si>
  <si>
    <t>60007951;60003416;60002347</t>
  </si>
  <si>
    <t>Minami Y.</t>
  </si>
  <si>
    <t>Development of direct broadcasting satellite reception system for a small car</t>
  </si>
  <si>
    <t>S0389430498000289</t>
  </si>
  <si>
    <t>10.1016/S0389-4304(98)00028-9</t>
  </si>
  <si>
    <t>2-s2.0-0032180702</t>
  </si>
  <si>
    <t>['pitch angle', 'elevation angle', 'beam direction', 'antenna height']</t>
  </si>
  <si>
    <t>The conical beam control of quadrifilar helical antennas with a fixed helical arm length is investigated. By adjusting a portion of the antenna height to vary the pitch angle, the elevation angle of the beam direction can be controlled with an almost constant gain. It is found that the elevation angle of the beam direction varies in proportion to the pitch angle.</t>
  </si>
  <si>
    <t>1899-1901</t>
  </si>
  <si>
    <t>60004176;60004176;60004176</t>
  </si>
  <si>
    <t>35595653100;57207036191;7202817312</t>
  </si>
  <si>
    <t>Morishita, H.;Takahashi, S.;Kamei, T.</t>
  </si>
  <si>
    <t>Conical beam control of quadrifilar helical antennas</t>
  </si>
  <si>
    <t>10.1049/el:19981370</t>
  </si>
  <si>
    <t>2-s2.0-0032181858</t>
  </si>
  <si>
    <t>364-367</t>
  </si>
  <si>
    <t>60020438;60020438;60020438;60020438</t>
  </si>
  <si>
    <t>7402004027;7006559158;7402692049;7003512692</t>
  </si>
  <si>
    <t>Taniguchi, Tatsuaki;Shigeta, Kazuo;Kubota, Kenji;Satomura, Shigeyuki</t>
  </si>
  <si>
    <t>Fuchu</t>
  </si>
  <si>
    <t>Mazda Motor Corporation</t>
  </si>
  <si>
    <t>Taniguchi T.</t>
  </si>
  <si>
    <t>Development of integrated window antenna for VICS-FM multiplex broadcasting</t>
  </si>
  <si>
    <t>S0389430498000265</t>
  </si>
  <si>
    <t>10.1016/S0389-4304(98)00026-5</t>
  </si>
  <si>
    <t>2-s2.0-0032182136</t>
  </si>
  <si>
    <t>['scarce resources', 'government interference']</t>
  </si>
  <si>
    <t>Satellife's Healthnet provides vital information on disease and treatment that health workers around the world can put to use. This information is free of charge and free of government interference. Bringing this information to far-flung locales took visionary thinking and the ability to make the most of scarce resources.</t>
  </si>
  <si>
    <t>Data Communications</t>
  </si>
  <si>
    <t>Jander, Mary</t>
  </si>
  <si>
    <t>Jander M.</t>
  </si>
  <si>
    <t>Power to the people</t>
  </si>
  <si>
    <t>2-s2.0-0032182152</t>
  </si>
  <si>
    <t>Research Grants Council, University Grants Committee</t>
  </si>
  <si>
    <t>RGC, UGC</t>
  </si>
  <si>
    <t>['various numbers', 'support high', 'selective fading', 'results show', 'quasistationary frequency', 'equalization taps', 'diversity combining', 'combating isi', 'cochannel interference', 'cci ).', 'antenna branches']</t>
  </si>
  <si>
    <t>Antenna diversity combining | Cochannel interference (CCI) | Decision feedback equalization (DFE) | High-speed data transmission | Intersymbol interference (IFI) | Wireless communications</t>
  </si>
  <si>
    <t>The next-generation wireless communication systems are expected to support high-speed data transmission. Associated with high transmission rates, however, is the problem of multipath intersymbol interference (ISI) due to frequency-selective fading. Decision feedback equalization (DFE) and antenna diversity combining are two practical techniques for combating multipath ISI. Through simulations we investigate the performance of diversity combining, together with DFE, under various numbers of antenna branches and equalization taps, in a quasistationary frequency-selective fading environment with allitive white Gaussian noise (AWGN) and cochannel interference (CCI). We consider joint optimization combining and power selection diversity combining. We simulate the combiner, using quatenary phase shift keying (QPSK) modulation with up to four antenna branches. Our results show that using antenna diversity and DFE with joint optimization combining provides performance improvement with lower computational complexity, as compared to that of using either DFE or diversity combining alone for combating ISI.</t>
  </si>
  <si>
    <t>1367-1374</t>
  </si>
  <si>
    <t>60008592-60013983-117653053-113048690;60008592-60000251;60008592-60000251</t>
  </si>
  <si>
    <t>7202427233;55666697100;7006019510</t>
  </si>
  <si>
    <t>Ng, John C.L.;Letaief, Khaled Ben;Murch, Ross D.</t>
  </si>
  <si>
    <t>Hong Kong;Hong Kong;United States;Hong Kong;Hong Kong</t>
  </si>
  <si>
    <t>Kowloon;Hong Kong;New York;;Hong Kong</t>
  </si>
  <si>
    <t>City University of Hong Kong;Hong Kong University of Science and Technology;IEEE;Fujitsu (HK) Ltd;C.S. First Boston Hong Kong Ltd.</t>
  </si>
  <si>
    <t>60013983;60008592;60000251;117653053;113048690</t>
  </si>
  <si>
    <t>Ng J.</t>
  </si>
  <si>
    <t>Antenna diversity combining and finite-tap decision feedback equalization for high-speed data transmission</t>
  </si>
  <si>
    <t>S0733871698078883</t>
  </si>
  <si>
    <t>10.1109/49.730446</t>
  </si>
  <si>
    <t>2-s2.0-0032182654</t>
  </si>
  <si>
    <t>F04701-97-C-0010</t>
  </si>
  <si>
    <t>['unknown placement', 'unknown frequency', 'toeplitz form', 'time filtering', 'theoretical justification', "szeg √∂'", 'spatial responses', 'signal enhancement', 'sample data', 'results based', 'paper proposes', 'manifold information', 'least squares', 'largest eigenvalue', 'impractical due', 'form either', 'dominant source', 'beamforming technique', 'asymptotic distribution', 'array processing', 'approach uses', 'also given']</t>
  </si>
  <si>
    <t>Array processing | Beamformer | Micro-electromechanical (MEM) sensor | Sensor network | Source localization | Space-time filtering</t>
  </si>
  <si>
    <t>We consider a digital signal processing sensor array system, based on randomly distributed sensor nodes, for surveillance and source localization applications. In most array processing the sensor array geometry is fixed and known and the steering array vector/manifold information is used in beam-formation. In this system, array calibration may be impractical due to unknown placement and orientation of the sensors with unknown frequency/spatial responses. This paper proposes a blind beamforming technique, using only the measured sensor data, to form either a sample data or a sample correlation matrix. The maximum power collection criterion is used to obtain array weights from the dominant eigenvector associated with the largest eigenvalue of a matrix eigenvalue problem. Theoretical justification of this approach uses a generalization of Szeg√∂'s theory of the asymptotic distribution of eigenvalues of the Toeplitz form. An efficient blind beamforming time delay estimate of the dominant source is proposed. Source localization based on a least squares (LS) method for time delay estimation is also given. Results based on analysis, simulation, and measured acoustical sensor data show the effectiveness of this beamforming technique for signal enhancement and space-time filtering.</t>
  </si>
  <si>
    <t>1555-1566</t>
  </si>
  <si>
    <t>60000251-60027550-60003269-60006221-60025038-60022195-60032882;60027550-60025038-60033012;60027550-60025038-60011116-60020536-101523692-60005304-114050695;60027550;60027550</t>
  </si>
  <si>
    <t>57203486984;55950588000;7402210451;55725005400;6603665350</t>
  </si>
  <si>
    <t>Yao, Kung;Hudson, Ralph E.;Reed, Chris W.;Chen, Daching;Lorenzelli, Flavio</t>
  </si>
  <si>
    <t>United States;Netherlands;United States;United States;United States;United States;United States;United States;United States;United States;United States;;United States</t>
  </si>
  <si>
    <t>Monterey;Eindhoven;Los Angeles;Berkeley;Cambridge;Palo Alto;San Luis Obispo;Upton;Waltham;Princeton;New York;;San Luis Obispo</t>
  </si>
  <si>
    <t>Naval Postgraduate School;Technische Universiteit Eindhoven;University of California, Los Angeles;University of California, Berkeley;Massachusetts Institute of Technology;Hewlett-Packard Inc.;Cal Poly San Luis Obispo;Brookhaven National Laboratory;Raytheon;Princeton University;IEEE;Adv. Adaptive Proc. Sign. Proc. S.;Applied Research Facility</t>
  </si>
  <si>
    <t>60033012;60032882;60027550;60025038;60022195;60020536;60011116;60006221;60005304;60003269;60000251;114050695;101523692</t>
  </si>
  <si>
    <t>Yao K.</t>
  </si>
  <si>
    <t>Blind beamforming on a randomly distributed sensor array system</t>
  </si>
  <si>
    <t>S0733871698078846</t>
  </si>
  <si>
    <t>10.1109/49.730461</t>
  </si>
  <si>
    <t>2-s2.0-0032182758</t>
  </si>
  <si>
    <t>['substantial improvements', 'reverse link', 'receiver sensitivity', 'promising approach', 'practical issues', 'novel symbol', 'novel approach', 'multipath propagation', 'improving quality', 'cochannel interference', 'channel estimation', 'array processing', '4 db', '136 tdma']</t>
  </si>
  <si>
    <t>Adaptive equalizers | Antenna arrays | Array signal processing | Cochannel interference | Frequency control | Interference suppression | Maximum likelihood estimation | Phase locked loops</t>
  </si>
  <si>
    <t>Array processing is a promising approach for improving quality, coverage, and capacity in digital cellular communication systems. By combining array processing with maximum likelihood sequence estimation (MLSE), intersymbol interference (ISI) introduced by multipath propagation can be mitigated as well. In this paper, novel symbol-spaced and fractionally spaced adaptive array processing MLSE receivers are developed for both diversity and phased array antenna configurations. The practical issues of synchronization and channel estimation are addressed. A novel approach to automatic frequency error correction (AFC) is proposed and is shown to be critical when cancelling cochannel interference. Performance is evaluated for the reverse link of the IS-136 TDMA-based digital cellular system. Substantial improvements are obtained over conventional antenna configurations for receiver sensitivity (2.5-4 dB) and over traditional antenna combining when cochannel interference is present (0.5-25 dB).</t>
  </si>
  <si>
    <t>1340-1351</t>
  </si>
  <si>
    <t>60004661;</t>
  </si>
  <si>
    <t>7102480501;7003581744</t>
  </si>
  <si>
    <t>Molnar, K. J.;Bottomley, G. E.</t>
  </si>
  <si>
    <t>Telefonaktiebolaget LM Ericsson</t>
  </si>
  <si>
    <t>Molnar K.</t>
  </si>
  <si>
    <t>Adaptive array processing MLSE receivers for TDMA digital cellular/PCS communications</t>
  </si>
  <si>
    <t>S073387169807886X</t>
  </si>
  <si>
    <t>10.1109/49.730444</t>
  </si>
  <si>
    <t>2-s2.0-0032182776</t>
  </si>
  <si>
    <t>Motorola</t>
  </si>
  <si>
    <t>['therefore desirable', 'symbol basis', 'signal fading', 'selection rule', 'selection metric', 'selection diversity', 'receiver diversity', 'proposed method', 'practical ways', 'posteriori probability', 'ls )],', 'lowest estimated', 'least squares', 'isi ).', 'intersymbol interference', 'indoor high', 'former problem', 'final decision', 'feedback equalizer', 'efficient way', 'diversity branches', 'dfe ).', 'computationally intensive', 'approximately 1', 'also presented', 'adaptive equalization', 'adaptive decision', 'achieving almost', '25 db']</t>
  </si>
  <si>
    <t>Antenna arrays | Communication systems | Diversity methods | Equalizers | Signal processing | Wireless local area network (LAN)</t>
  </si>
  <si>
    <t>Indoor high-speed wireless data networks encounter signal fading and delay-spread multipath propagation. Hence, the realization of low error rate transmission requires measures to combat the performance degradation due to both signal fading and intersymbol interference (ISI). Receiver diversity has been known to be an efficient way of coping with the former problem, while adaptive equalization could be used to mitigate the effects of the latter. Incorporation of receiver diversity with adaptive equalization is therefore desirable. In this paper, we propose a novel selection diversity approach with an adaptive decision-feedback equalizer (DFE). In this method, selection is done on a symbol-by-symbol basis such that the output of the branch with the lowest estimated a posteriori probability of error is used as the final decision. This final (and hence more reliable) decision is used to adapt the DFE for all diversity branches. It is shown in this paper that the proposed selection rule is optimal for selection diversity in the maximum a posteriori probability (MAP) sense. A very simple selection metric can be derived from this selection rule and practical ways of computing the selection metric are also presented. Simulation results show that the proposed method is very efficient. It is capable of achieving almost the same performance as an optimal [least squares (LS)], but computationally intensive, combining diversity approach. Furthermore, at an average bit error rate (BER) of 10-4, a gain of approximately 1.25 dB can be achieved over a previously proposed selection diversity equalization approach.</t>
  </si>
  <si>
    <t>1376-1384</t>
  </si>
  <si>
    <t>60024590;</t>
  </si>
  <si>
    <t>13613276500;7403241218</t>
  </si>
  <si>
    <t>Lee, Yumin;Cox, D. C.</t>
  </si>
  <si>
    <t>Schaumburg</t>
  </si>
  <si>
    <t>MAP selection-diversity DFE for indoor wireless data communications</t>
  </si>
  <si>
    <t>S0733871698078895</t>
  </si>
  <si>
    <t>10.1109/49.730447</t>
  </si>
  <si>
    <t>2-s2.0-0032182777</t>
  </si>
  <si>
    <t>['without compensation', 'wide range', 'two techniques', 'system model', 'scattering objects', 'regularised inversion', 'process multi', 'look angles', 'local approximation', 'large band', 'integral operator', 'inherent variations', 'frequency band', 'channel techniques', 'channel deconvolution', 'aspect angles', 'approximate inversion', 'antenna shading', 'antenna response']</t>
  </si>
  <si>
    <t>Multi-channel techniques are introduced to calibrate for effects of antenna shading and crosstalk in wideband, wide-angle full polarisation radar imaging. The system is modelled as a two-dimensional integral operator which includes the transmit pulse functions, receive and transmit antenna transfer functions, and response from scattering objects. Existing imaging algorithms provide an approximate inversion of this integral operator, without compensation for the effect of the multi-channel antenna transfer functions. Thus, standard processing yields poor image quality, due to the inherent variations of the antenna response (in magnitude, phase, and polarisation) across the large band of frequencies and wide range of aspect angles. Two techniques are proposed for regularised inversion of the system model. Both techniques require measurements of the antenna transfer function over the look angles and frequency band of interest. The first technique adopts a local approximation to process multi-channel range lines separately and is suitable for imaging small regions. The second technique achieves multi-channel deconvolution of the antenna response in the transform (Doppler) domain and is suitable for large data records. The result is imagery with improved polarisation purity and a more localised point spread function.</t>
  </si>
  <si>
    <t>275-280</t>
  </si>
  <si>
    <t>6603246425;7102532108</t>
  </si>
  <si>
    <t>Ertin, E.;Potter, L. C.</t>
  </si>
  <si>
    <t>Ertin E.</t>
  </si>
  <si>
    <t>Polametric calibration for wideband synthetic aperture radar imaging</t>
  </si>
  <si>
    <t>10.1049/ip-rsn:19982224</t>
  </si>
  <si>
    <t>2-s2.0-0032182835</t>
  </si>
  <si>
    <t>['type used', 'service intended', 'nationwide viewing', 'modest pretensions', 'digital television', 'commercial television', 'analog tv']</t>
  </si>
  <si>
    <t>The introduction of digital television, albeit with only modest pretensions to glitz, is bound to invigorate competition among manufacturers and broadcasters. The British Broadcasting Corporation (BBC) and commercial television (TV) companies in Britain will launch what looks to be the world's first terrestrial digital TV (DTTV) service intended for nationwide viewing. It uses ground transmitters to send digital pictures and sound to an ordinary Yagi roof antenna of the type used for analog TV in Europe or even to indoor rabbit ears.</t>
  </si>
  <si>
    <t>IEEE Spectrum</t>
  </si>
  <si>
    <t>Fox, Barry</t>
  </si>
  <si>
    <t>Fox B.</t>
  </si>
  <si>
    <t>Digital TV comes down to earth</t>
  </si>
  <si>
    <t>10.1109/6.722317</t>
  </si>
  <si>
    <t>2-s2.0-0032182882</t>
  </si>
  <si>
    <t>MIP-9502885</t>
  </si>
  <si>
    <t>['wireless system', 'transmission strategy', 'snr criterion', 'small amount', 'side information', 'receivers increases', 'realized channel', 'quite valuable', 'properly chosen', 'point system', 'point case', 'performance measures', 'operating points', 'noise ratio', 'mutual information', 'multiple receivers', 'ideal beamforming', 'expected signal', 'efficient frontier', 'broadcast system', 'broadcast scenario', 'also show']</t>
  </si>
  <si>
    <t>Antenna arrays | Fading channels | Feedback communication | Space-time codes | Spatial diversity | Wireless communication</t>
  </si>
  <si>
    <t>We derive performance limits for two closely related communication scenarios involving a wireless system with multiple-element transmitter antenna arrays: a point-to-point system with partial side information at the transmitter, and a broadcast system with multiple receivers. In both cases, ideal beamforming is impossible, leading to an inherently lower achievable performance as the quality of the side information degrades or as the number of receivers increases. Expected signal-to-noise ratio (SNR) and mutual information are both considered as performance measures. In the point-to-point case, we determine when the transmission strategy should use some form of beamforming and when it should not. We also show that, when properly chosen, even a small amount of side information can be quite valuable. For the broadcast scenario with an SNR criterion, we find the efficient frontier of operating points and show that even when the number of receivers is larger than the number of antenna array elements, significant performance improvements can be obtained by tailoring the transmission strategy to the realized channel.</t>
  </si>
  <si>
    <t>1423-1436</t>
  </si>
  <si>
    <t>60024590-60006297-60022195-60024592;60022195-60005248-60020536-60121438;60097336-60000305-60012708-60022195;60000251-60022195-60010365-60021378-101595244</t>
  </si>
  <si>
    <t>7007057592;7404123977;7003263155;7003798695</t>
  </si>
  <si>
    <t>Narula, Aradhana;Lopez, Michael J.;Trott, Mitchell D.;Wornell, Gregory W.</t>
  </si>
  <si>
    <t>United States;United States;United States;United States;United States;United States;United States;United States;Canada;United States;United States;United States;United States;China</t>
  </si>
  <si>
    <t>Berkeley;Oak Brook;Lexington;Schaumburg;Cambridge;Murray;Palo Alto;Palo Alto;Vancouver;Philadelphia;Baltimore;Cleveland;New York;</t>
  </si>
  <si>
    <t>University of California, Berkeley;ArrayComm LLC;Lincoln Laboratory;Motorola;Massachusetts Institute of Technology;Nokia Bell Labs;Hewlett-Packard Inc.;Stanford University;The University of British Columbia;University of Pennsylvania;Johns Hopkins University;Case Western Reserve University;IEEE;Signal Processing Society</t>
  </si>
  <si>
    <t>60121438;60097336;60024592;60024590;60022195;60021378;60020536;60012708;60010365;60006297;60005248;60000305;60000251;101595244</t>
  </si>
  <si>
    <t>Narula A.</t>
  </si>
  <si>
    <t>Efficient use of side information in multiple-antenna data transmission over fading channels</t>
  </si>
  <si>
    <t>S0733871698078937</t>
  </si>
  <si>
    <t>10.1109/49.730451</t>
  </si>
  <si>
    <t>2-s2.0-0032182962</t>
  </si>
  <si>
    <t>['sample statistics', 'reverse link', 'remarkable difference', 'nonblind criteria', 'current u', 'cumulants based', 'baseband processing', 'adaptive implementation']</t>
  </si>
  <si>
    <t>Array signal processing | Higher order statistics | Interference suppression | Land mobile radio cellular systems</t>
  </si>
  <si>
    <t>The antenna array processing problem in the reverse link of the current U.S. digital cellular communication system is studied and higher-than-second-order-statistics (HOS) baseband processing is proposed as a possible candidate solution. The remarkable difference of our approach as compared to other existing similar techniques is the idea of the minimization of the mean squared error using fourth-order cumulants alone and nonblind criteria. A recursive Jacobi total least squares algorithm is used in the adaptive implementation to mitigate the effects of high error variance in the estimates of the cumulants based on sample statistics. The method is shown to be very effective in a fast fading environment with multiple cochannel interferers.</t>
  </si>
  <si>
    <t>1396-1410</t>
  </si>
  <si>
    <t>Martone, M.</t>
  </si>
  <si>
    <t>Watkins-Johnson Company</t>
  </si>
  <si>
    <t>Martone M.</t>
  </si>
  <si>
    <t>On MMSE real-time antenna array processing using fourth-order statistics in the U.S. cellular TDMA system</t>
  </si>
  <si>
    <t>S0733871698078913</t>
  </si>
  <si>
    <t>10.1109/49.730449</t>
  </si>
  <si>
    <t>2-s2.0-0032183244</t>
  </si>
  <si>
    <t>['toroidal antenna', 'rotary table', 'rfid chips', 'inspection reports', 'held computer', 'fatigue calculation', 'drillstring elements', 'drillstring assemblage', 'cyclic stress']</t>
  </si>
  <si>
    <t>The inspection of drillstring elements to measure the amount of accumulated fatigue due to cyclic stress is resolved by an identification method using radio-frequency-identification (RFID) chips. Readers are used to obtain the alphanumeric code stored in the RFID chips. The whole system depends on recording accurate information from the elements in the drillstring. A toroidal antenna is installed under the rotary table that sense the RFID when it passes. The fatigue calculation is done through a hand-held computer to register new elements, equipment for shipment, inspection reports, drillstring assemblage, operation, and tripping.</t>
  </si>
  <si>
    <t>47-48</t>
  </si>
  <si>
    <t>JPT, Journal of Petroleum Technology</t>
  </si>
  <si>
    <t>57197981419;6602837926;7202480364</t>
  </si>
  <si>
    <t>Sampaio, J. H.B.;Placido, J. C.R.;Ferreira, S. N.</t>
  </si>
  <si>
    <t>Sampaio J.</t>
  </si>
  <si>
    <t>Radio-frequency-identification chips for drillstring elements</t>
  </si>
  <si>
    <t>2-s2.0-0032183259</t>
  </si>
  <si>
    <t>MIP9457397</t>
  </si>
  <si>
    <t>['target value', 'reciprocal network', 'numerical studies', 'nonreciprocal network', 'noise ratio', 'mobile powers', 'jointly calculated', 'feasible solution', 'decentralized system', 'centralized system', 'cellular systems', 'calculated jointly', 'beamforming schemes', 'base stations', 'also proposed', 'adaptive arrays']</t>
  </si>
  <si>
    <t>Adaptive arrays | Downlink beamforming | Power control | Transmit beamforming</t>
  </si>
  <si>
    <t>Joint power control and beamforming schemes are proposed for cellular systems where adaptive arrays are used only at base stations. In the uplink, mobile powers and receiver diversity combining vectors at base stations are calculated jointly. The mobile transmitted power is minimized, while the signal-to-interference-and-noise ratio (SINR) at each link is maintained above a threshold. A transmit diversity scheme for the downlink is also proposed where the transmit weight vectors and downlink power allocations are jointly calculated such that the SINR at each mobile is above a target value. The proposed algorithm achieves a feasible solution for the downlink if there is one and minimizes the total transmitted power in the network. In a reciprocal network it can be implemented in a decentralized system, and it does not require global channel response measurements. In a nonreciprocal network, where the uplink and downlink channel responses are different, the proposed transmit beamforming algorithm needs to be implemented in a centralized system, and it requires the knowledge of the downlink channel responses. The performances of these algorithms are compared with previously proposed algorithms through numerical studies.</t>
  </si>
  <si>
    <t>1437-1449</t>
  </si>
  <si>
    <t>60000251-60021378-60027666-60020304;60000251-60078684;60000251-60078684</t>
  </si>
  <si>
    <t>6602901083;57218985068;36562504600</t>
  </si>
  <si>
    <t>Rashid-Farrokhi, Farrokh;Liu, K. J.Ray;Tassiulas, Leandros</t>
  </si>
  <si>
    <t>United States;Iran;United States;United States;United States</t>
  </si>
  <si>
    <t>College Park;Tehran;Murray;College Park;New York</t>
  </si>
  <si>
    <t>A. James Clark School of Engineering;Sharif University of Technology;Nokia Bell Labs;University of Maryland, College Park;IEEE</t>
  </si>
  <si>
    <t>60078684;60027666;60021378;60020304;60000251</t>
  </si>
  <si>
    <t>Rashid-Farrokhi F.</t>
  </si>
  <si>
    <t>Transmit beamforming and power control for cellular wireless systems</t>
  </si>
  <si>
    <t>S0733871698078949</t>
  </si>
  <si>
    <t>10.1109/49.730452</t>
  </si>
  <si>
    <t>2-s2.0-0032183287</t>
  </si>
  <si>
    <t>MIP-9202081</t>
  </si>
  <si>
    <t>['without requiring', 'spatially discriminate', 'error performance', 'antenna elements', 'additional information', 'adaptively combine']</t>
  </si>
  <si>
    <t>Array signal processing | CDMA | Interference cancellation | Multiuser detection</t>
  </si>
  <si>
    <t>Interference canceling receivers have been suggested as low complexity multiuser receivers for code division multiple access (CDMA) systems. A multi-element interference canceling receiver is proposed, and it is demonstrated that using spatial information about the users will improve the performance of the receiver. Two blind algorithms are suggested to adaptively combine the outputs of the antenna elements. The performances of these algorithms are compared, and it is shown that without requiring any additional information, the receiver can spatially discriminate between the users and improve the error performance.</t>
  </si>
  <si>
    <t>1542-1554</t>
  </si>
  <si>
    <t>60029445-100354998-60007751;60000251-60029445-60009254-60025038</t>
  </si>
  <si>
    <t>6602354795;7006795426</t>
  </si>
  <si>
    <t>Ghazi-Moghadam, Vafa;Kaveh, Mostafa</t>
  </si>
  <si>
    <t>United States;United States;United States;Iran;United States;United States</t>
  </si>
  <si>
    <t>Minneapolis;Berkeley;West Lafayette;Tehran;New York;Redmond</t>
  </si>
  <si>
    <t>University of Minnesota Twin Cities;University of California, Berkeley;Purdue University;Amirkabir University of Technology;IEEE;AT and T Wireless Services</t>
  </si>
  <si>
    <t>60029445;60025038;60009254;60007751;60000251;100354998</t>
  </si>
  <si>
    <t>Ghazi-Moghadam V.</t>
  </si>
  <si>
    <t>A CDMA interference canceling receiver with an adaptive blind array</t>
  </si>
  <si>
    <t>S0733871698079013</t>
  </si>
  <si>
    <t>10.1109/49.730460</t>
  </si>
  <si>
    <t>2-s2.0-0032183289</t>
  </si>
  <si>
    <t>['whitening procedure', 'whiten music', 'usually coarse', 'target number', 'target detection', 'simulated data', 'sea clutter', 'resolution performance', 'research institute', 'relative strength', 'processing method', 'music ),', 'heavily degrade', 'harbin institute', 'estimation errors', 'electronic engineering', 'decametric wavelength', 'better resolution', 'background noise', 'atmospheric noise', 'antenna array', 'angular resolution', 'accurate determination']</t>
  </si>
  <si>
    <t>Covariance matrix | HFSWR | MUSIC | Pre-whiten</t>
  </si>
  <si>
    <t>Owing to the decametric wavelength, the angular resolution of high-frequency surface wave radar (HFSWR) is usually coarse, especially when dimensions of antenna array are restricted such as in shipborne HFSWR applications. In this paper, the relative strength of atmospheric noise and sea clutter that will heavily degrade the capabilities of HFSWR in target detection and resolution are calculated, then a method for estimating the spatial covariance matrix of background noise is presented. By introducing a pre-whitening procedure in multiple signal classification (MUSIC), the resolution performance of MUSIC is enhanced in spatially colored noise environment. Results with data from the aircraft detecting experiment conducted by the Research Institute of Electronic Engineering of Harbin Institute of Technology in 1994 and simulated data of two targets show that pre-whiten MUSIC can provide a better resolution and accurate determination of target number. Furthermore, a post-processing method is proposed to eliminate the sidelobe of spatial spectrum arising from the estimation errors of a noise covariance matrix.</t>
  </si>
  <si>
    <t>313-321</t>
  </si>
  <si>
    <t>IEEE Journal of Oceanic Engineering</t>
  </si>
  <si>
    <t>60019616-102012921-60003353;60019616-60012070;60000251-60019616-60025278-60019499</t>
  </si>
  <si>
    <t>7402994901;7402709257;7410228491</t>
  </si>
  <si>
    <t>Xie, Junhao;Yuan, Yeshu;Liu, Yongtan</t>
  </si>
  <si>
    <t>China;China;China;United Kingdom;China;United States;China</t>
  </si>
  <si>
    <t>Beijing;Harbin;Beijing;Leeds;Harbin;New York;</t>
  </si>
  <si>
    <t>Tsinghua University;Harbin Institute of Technology;Chinese Academy of Sciences;University of Leeds;Harbin Engineering University;IEEE;Harbin Inst. of Shipbldg. Eng</t>
  </si>
  <si>
    <t>60025278;60019616;60019499;60012070;60003353;60000251;102012921</t>
  </si>
  <si>
    <t>Xie J.</t>
  </si>
  <si>
    <t>Super-resolution processing for HF surface wave radar based on pre-whitened MUSIC</t>
  </si>
  <si>
    <t>S0364905998063997</t>
  </si>
  <si>
    <t>10.1109/48.725227</t>
  </si>
  <si>
    <t>2-s2.0-0032183467</t>
  </si>
  <si>
    <t>['warrant oversampling', 'systems using', 'single antenna', 'several second', 'paper focuses', 'order statistical', 'mobile communications', 'linear approximation', 'gsm systems', 'gsm signals', 'gmsk signal', 'derotation scheme', 'conventional studies', 'computational costs', 'blind equalization', 'baud rate']</t>
  </si>
  <si>
    <t>Blind equalization | Forward-link equalization | GSM equalization | Nonlinear modulation</t>
  </si>
  <si>
    <t>Our work in this paper focuses on the study of blind equalization global system for mobile communications (GSM) systems using a single antenna. In order to utilize the well-known linear system model in conventional studies of blind equalization, an equivalent baseband quadrature amplitude modulation (QAM) approximation is used for the nonlinear GMSK signal in GSM systems. Since the GMSK signal in GSM has very little excess bandwidth to warrant oversampling, a derotation scheme is developed to create two subchannels for each received GMSK signal sampled at the baud rate. Linear approximation of the GMSK signal makes the traditional QAM blind equalization system model applicable for GSM. Derotation induces channel diversity without additional antenna and reduces the number of necessary radio frequency (RF) receivers (sensors) without increasing hardware or computational costs. Several second-order statistical and higher order statistical methods of blind equalization are adopted for GSM signals.</t>
  </si>
  <si>
    <t>1493-1505</t>
  </si>
  <si>
    <t>60011754;</t>
  </si>
  <si>
    <t>56028423100;55999545600</t>
  </si>
  <si>
    <t>Ding, Zhi;Li, Ge</t>
  </si>
  <si>
    <t>Single-channel blind equalization for GSM cellular systems</t>
  </si>
  <si>
    <t>S0733871698078974</t>
  </si>
  <si>
    <t>10.1109/49.730456</t>
  </si>
  <si>
    <t>2-s2.0-0032183607</t>
  </si>
  <si>
    <t>['simple two', 'scheme provides', 'receive antennas', 'paper presents', 'new scheme', 'diversity order', 'computation complexity', 'bandwidth expansion', 'also shown']</t>
  </si>
  <si>
    <t>Antenna array processing | Baseband processing | Diversity | Estimation and detection | Fade mitigation | Maximalratio combining | Rayleigh fading | Smart antennas | Space block coding | Space-time coding | Transmit diversity | Wireless communications</t>
  </si>
  <si>
    <t>This paper presents a simple two-branch transmit diversity scheme. Using two transmit antennas and one receive antenna the scheme provides the same diversity order as maximal-ratio receiver combining (MRRC) with one transmit antenna, and two receive antennas. It is also shown that the scheme may easily be generalized to two transmit antennas and M receive antennas to provide a diversity order of 2M. The new scheme does not require any bandwidth expansion any feedback from the receiver to the transmitter and its computation complexity is similar to MRRC.</t>
  </si>
  <si>
    <t>1451-1458</t>
  </si>
  <si>
    <t>100354998-101444522-60010365-60028873-100616647-101712635</t>
  </si>
  <si>
    <t>Alamouti, Siavash M.</t>
  </si>
  <si>
    <t>United States;Canada;Canada;United States;Canada;United States</t>
  </si>
  <si>
    <t>San Jose;Vancouver;Vancouver;Bellevue;Richmond;Redmond</t>
  </si>
  <si>
    <t>Cadence Design Systems;The University of British Columbia;MPR Teltech;Cadence Design Systems;MDSI Mobile Data Solutions;AT and T Wireless Services</t>
  </si>
  <si>
    <t>60028873;60010365;101712635;101444522;100616647;100354998</t>
  </si>
  <si>
    <t>Alamouti S.</t>
  </si>
  <si>
    <t>A simple transmit diversity technique for wireless communications</t>
  </si>
  <si>
    <t>S0733871698078858</t>
  </si>
  <si>
    <t>10.1109/49.730453</t>
  </si>
  <si>
    <t>2-s2.0-0032183752</t>
  </si>
  <si>
    <t>['tracking properties', 'time structure', 'time separation', 'temporal array', 'strong interference', 'star reconstructs', 'star offers', 'simulations confirm', 'relative magnitude', 'provides fast', 'propagation channel', 'processing gain', 'new space', 'multipath components', 'mobile transmitter', 'increasing capacity', 'identified channel', 'high potential', 'fast doppler', 'accurate estimates']</t>
  </si>
  <si>
    <t>Array signal processing | Blind identification | Eigensubspace tracking | Equalization and beamforming | Localization and tracking | Source separation | Space-time processing | Time-delay synchronization and tracking</t>
  </si>
  <si>
    <t>We propose a spatio-temporal array-receiver (STAR) for asynchronous code division multiple access (CDMA), using a new space/time structural approach. First, STAR performs blind identification and equalization of the propagation channel from each mobile transmitter. Second, it provides fast and accurate estimates of the number, relative magnitude, and delay of the multipath components. From this space/time separation, STAR reconstructs the identified channel with respect to a partially revealed space/time structure and reduces identification errors by the order of the ratio of the processing gain and the number of paths. Therefore, STAR offers a high potential for increasing capacity, with relatively low computational complexity. Simulations confirm the good multipath acquisition and tracking properties of STAR in the presence of strong interference and fast Doppler.</t>
  </si>
  <si>
    <t>1411-1422</t>
  </si>
  <si>
    <t>60005415;</t>
  </si>
  <si>
    <t>7003384623;35894775400</t>
  </si>
  <si>
    <t>Affes, S.;Mermelstein, P.</t>
  </si>
  <si>
    <t>Varennes</t>
  </si>
  <si>
    <t>Centre √ânergie Mat√©riaux T√©l√©communications</t>
  </si>
  <si>
    <t>Affes S.</t>
  </si>
  <si>
    <t>A new receiver structure for asynchronous CDMA: STAR - The spatio-temporal array-receiver</t>
  </si>
  <si>
    <t>S0733871698078925</t>
  </si>
  <si>
    <t>10.1109/49.730450</t>
  </si>
  <si>
    <t>2-s2.0-0032184277</t>
  </si>
  <si>
    <t>['two transmit', 'state eight', 'st code', 'simulation results', 'shift keyed', 'receiver uses', 'psi ).', 'proposed modem', 'pilot sequences', 'performance results', 'paper presents', 'noise ratio', 'new technology', 'n streams', 'multiple transmit', 'khz channel', 'fading channel', 'diversity schemes', 'decoding process', 'channel encoder', 'channel conditions', 'also provided', 'also compare', '8 kb', '7 db', '180 hz']</t>
  </si>
  <si>
    <t>Coded modulation | Space-time (ST) coding | Space-time processing | Wireless communications</t>
  </si>
  <si>
    <t>This paper presents the theory and practice of a new advanced modem technology suitable for high-data-rate wireless communications and presents its performance over a frequency-flat Rayleigh fading channel. The new technology is based on space-time coded modulation (STCM) [1]-[5] with multiple transmit and/or multiple receive antennas and orthogonal pilot sequence insertion (O-PSI). In this approach, data is encoded by a space-time (ST) channel encoder and the output of the encoder is split into N streams to be simultaneously transmitted using N transmit antennas. The transmitter inserts periodic orthogonal pilot sequences in each of the simultaneously transmitted bursts. The receiver uses those pilot sequences to estimate the fading channel. When combined with an appropriately designed interpolation filter, accurate channel state information (CSI) can be estimated for the decoding process. Simulation results of the proposed modem, as applied to the IS-136 cellular standard, are presented. We present the frame error rate (FER) performance results as a function of the signal-to-noise ratio (SNR) and the maximum Doppler frequency, in the presence of timing and frequency offset errors. Simulation results show that for 10% FER, a 32-state eight-phase-shift keyed (8-PSK) ST code with two transmit and two receive antennas can support data rates up to 55.8 kb/s on a 30-kHz channel, at an SNR of 11.7 dB and a maximum Doppler frequency of 180 Hz. Simulation results for other codes and other channel conditions are also provided. We also compare the performance of the proposed STCM scheme with delay-diversity schemes and conclude that STCM can provide significant SNR improvement over simple delay diversity.</t>
  </si>
  <si>
    <t>1459-1477</t>
  </si>
  <si>
    <t>60000251-60008383;60000251-60008383;60000251-60008383;60000251-60008383</t>
  </si>
  <si>
    <t>7004611847;7005206764;55410111400;35586083000</t>
  </si>
  <si>
    <t>Naguib, Ayman F.;Tarokh, Vahid;Seshadri, Nambirajan;Calderbank, A. Robert</t>
  </si>
  <si>
    <t>Florham Park;New York</t>
  </si>
  <si>
    <t>AT&amp;T Laboratories Florham Park;IEEE</t>
  </si>
  <si>
    <t>60008383;60000251</t>
  </si>
  <si>
    <t>Naguib A.</t>
  </si>
  <si>
    <t>A space-time coding modem for high-data-rate wireless communications</t>
  </si>
  <si>
    <t>S0733871698078950</t>
  </si>
  <si>
    <t>10.1109/49.730454</t>
  </si>
  <si>
    <t>2-s2.0-0032184376</t>
  </si>
  <si>
    <t>NCR-9613108</t>
  </si>
  <si>
    <t>['wireless communications', 'whole frame', 'training symbols', 'training preamble', 'small number', 'received signal', 'proposed techniques', 'propagation vector', 'new technique', 'linear techniques', 'linear combining', 'intersymbol interference', 'interference suppression', 'impulsive phenomena', 'impulsive noise', 'gaussian noise', 'first propose', 'estimation method', 'dispersive channels', 'desired user', 'degrade substantially', 'decidedly non', 'data frame', 'computational complexity', 'array inputs', 'array combining', 'ambient noise']</t>
  </si>
  <si>
    <t>Adaptive array | Channel estimation | Non-Gaussian noise | Robust signal processing</t>
  </si>
  <si>
    <t>In the application of a receiver antenna array to wireless communications, a known signal preamble is used for estimating the propagation vector at the beginning of each data frame. The estimated propagation vector is then used in linear combining of array inputs for interference suppression and demodulation of a desired user's information data stream. Since the training preamble is usually very short, conventional training methods, which estimate the propagation vector based solely on the training preamble, may incur large estimation errors. In many wireless channels, the ambient noise is known to be decidedly non-Gaussian, due to impulsive phenomena. The conventional training methods may suffer further from such impulsive noise. Moreover, performance of linear combining techniques can degrade substantially in the presence of impulsive noise. In this paper, we first propose a new technique for propagation vector estimation which exploits the whole frame of the received signal. It is shown that as the length of the signal frame tends to infinity, in the absence of noise, this method can recover the propagation vector of the desired user exactly, given a small number of training symbols for that user. We then develop robust techniques for propagation vector estimation and array combining in the presence of impulsive noise. These techniques are nonlinear in nature and are based on the M-estimation method. It is seen that the proposed robust methods offer performance improvement over linear techniques in non-Gaussian noise, with little attendant increase in computational complexity. Finally, we address the extension of the proposed techniques to dispersive channels with intersymbol interference.</t>
  </si>
  <si>
    <t>1352-1366</t>
  </si>
  <si>
    <t>60020547;</t>
  </si>
  <si>
    <t>55000636900;55665272100</t>
  </si>
  <si>
    <t>Wang, Xiaodong;Poor, H. V.</t>
  </si>
  <si>
    <t>Wang X.</t>
  </si>
  <si>
    <t>Robust adaptive array for wireless communications</t>
  </si>
  <si>
    <t>S0733871698078871</t>
  </si>
  <si>
    <t>10.1109/49.730445</t>
  </si>
  <si>
    <t>2-s2.0-0032184463</t>
  </si>
  <si>
    <t>Experimental studies of a 2 √ó 2 triangular microstrip subarray are presented. Measured results of the array's operating bandwidth and radiation characteristic are analyzed, and the results are also compared with those obtained from a rectangular microstrip subarray at the same operating frequency. Theoretical results of the radiation patterns of the microstrip subarrays are also computed to verify the measured data. Results indicate that, due to the smaller physical size of the triangular patch as compared to the rectangular one, the triangular microstrip array can have a relatively larger space for the coplanar feed-network layout. However, the performance of the triangular microstrip array is also affected by its smaller element size. Details of experimental results are presented and discussed.</t>
  </si>
  <si>
    <t>Wong, K. L.;Hsieh, G. B.</t>
  </si>
  <si>
    <t>Characteristics of a 2 √ó 2 triangular microstrip subarray</t>
  </si>
  <si>
    <t>10.1002/(SICI)1098-2760(19981020)19:3&lt;221::AID-MOP14&gt;3.0.CO;2-4</t>
  </si>
  <si>
    <t>2-s2.0-0032187080</t>
  </si>
  <si>
    <t>['taper distribution', 'radiating field', 'discontinuous antenna']</t>
  </si>
  <si>
    <t>Some wave beam peculiarities which usually are wasted are useful in Wireless Power Transmission Systems. These peculiarities: the focussing of the beam; the taper distribution of the radiating field; and the discontinuous antenna are discussed in this paper.</t>
  </si>
  <si>
    <t>39-41</t>
  </si>
  <si>
    <t>60032321;60021331;60021331;60021331;60021331</t>
  </si>
  <si>
    <t>57213297630;7003706658;7003717629;6508354709;6603624071</t>
  </si>
  <si>
    <t>Garmash, V. R.;Katsenelenbaum, B. Z.;Shaposhnikov, S. S.;Tioulpakov, V. N.;Vaganov, R. B.</t>
  </si>
  <si>
    <t>Moscow Technical University of Communication and Informatics;Russian Academy of Sciences</t>
  </si>
  <si>
    <t>60032321;60021331</t>
  </si>
  <si>
    <t>Garmash V.R.</t>
  </si>
  <si>
    <t>Some peculiarities of the wave beams in wireless power transmission</t>
  </si>
  <si>
    <t>10.1109/62.722419</t>
  </si>
  <si>
    <t>2-s2.0-0032187148</t>
  </si>
  <si>
    <t>['works well', 'short ranges', 'receiving antenna', 'radiated impulses', 'pulse radar', 'onboard computer', 'measure changes', 'led directly', 'landmarc system', 'landmarc ).', 'imaging technologies', 'enabling technology', 'conductivity properties', 'bounce back']</t>
  </si>
  <si>
    <t>The Lawrence Livermore National Laboratory (LANL) has combined its micropower impulse radar and imaging technologies through the development of the system called land-mine detection advanced radar concept (LANDMARC). The LANDMARC system's enabling technology is micropower impulse radar (MIR) that led directly to a battery-operated, pulse radar that is small, inexpensive, has a wide frequency band and works well at short ranges. The radiated impulses that strike and penetrate buried objects then bounce back to a receiving antenna are sampled and processed by an onboard computer to measure changes in the dielectric and conductivity properties of the subsurface.</t>
  </si>
  <si>
    <t>19-20</t>
  </si>
  <si>
    <t>IEEE Potentials</t>
  </si>
  <si>
    <t>Azevedo, Stephen</t>
  </si>
  <si>
    <t>Laser Programs Directorate</t>
  </si>
  <si>
    <t>Azevedo S.</t>
  </si>
  <si>
    <t>LANDMARC</t>
  </si>
  <si>
    <t>10.1109/45.721728</t>
  </si>
  <si>
    <t>2-s2.0-0032187997</t>
  </si>
  <si>
    <t>Japan Science and Technology Corporation</t>
  </si>
  <si>
    <t>['significantly enhanced', 'signal sequence', 'results indicated', 'regenerating legs', 'precursor protein', 'p10 gene', 'molecular mass', 'localized exclusively', 'increases transiently', 'external side', 'et al', 'adult cockroaches', '389 ].', '10 kda']</t>
  </si>
  <si>
    <t>CDNA cloning | Cockroach Regeneration | Gene expression | P10</t>
  </si>
  <si>
    <t>Previously, we purified a protein with a molecular mass of 10 kDa (p10) that increases transiently during the regeneration of legs in the nymphal American cockroach Periplaneta americana, and showed that it is localized exclusively in the cytosol and on the external side of the newly formed epidermis of the regenerating legs [Nomura, A. et al. (1992) Int. J. Dev. Biol. 36, 391-389]. We isolated p10 cDNA and analyzed the expression of the p10 gene. The results indicated that p10 is synthesized as a precursor protein with a putative prosegment including a signal sequence at its N- terminal. The deduced amino acid sequence of p10 showed 53% and 47% identities with those of A10 (a Drosophila antennal protein) and CLP-1 (a moth, Cactoblastis cactorum labial palp protein), respectively. Expression of the p10 gene was shown to be significantly enhanced in regenerating Periplaneta legs. Immunoblotting analysis revealed that p10 was expressed not only in the regenerating legs, but also in the antennae and heads of nymphal and adult cockroaches.</t>
  </si>
  <si>
    <t>785-790</t>
  </si>
  <si>
    <t>6506805254;7404175870;35227541600;16139258600</t>
  </si>
  <si>
    <t>Nomura Kitabayashi, Aya;Arai, Toshimitsu;Kubo, Takeo;Natori, Shunji</t>
  </si>
  <si>
    <t>Nomura Kitabayashi A.</t>
  </si>
  <si>
    <t>Molecular cloning of cDNA for p10, a novel protein that increases in the regenerating legs of Periplaneta americana (American cockroach)</t>
  </si>
  <si>
    <t>S0965174898000587</t>
  </si>
  <si>
    <t>10.1016/S0965-1748(98)00058-7</t>
  </si>
  <si>
    <t>2-s2.0-0032191484</t>
  </si>
  <si>
    <t>National Research Foundation of Korea</t>
  </si>
  <si>
    <t>NRF</t>
  </si>
  <si>
    <t>['still necessary', 'standard stimulus', 'reported previously', 'recorded closer', 'position b', 'plant volatiles', 'olfactory receptor', 'intact antenna', 'excised antennae', 'eag responses', 'eag recording', 'different preparations', 'dependent characteristics', 'c although', 'b ),', 'aphis fabae', 'antennal segments', '), 4th']</t>
  </si>
  <si>
    <t>Aphids | Aphis fabae | EAG | Electroantennogram | Olfaction | Plant volatiles</t>
  </si>
  <si>
    <t>Excised antennae have been used to record aphid electroantennograms (EAGs) but these preparations have small, rapidly declining responses and a short usable life. An improved EAG technique is described and evaluated using alate virginoparae of the black bean aphid, Aphis fabae, and a series of plant volatiles. EAG recording with fine-tip glass electrodes inserted into the surface of the intact antenna of a whole insect preparation gave stable EAG peaks of a few mV and EAG peak amplitude decreased by only 22% over an 8 hour recording period. The EAG responses showed typical dose-dependent characteristics. There was variation in EAGs from different preparations, so normalisation of the EAG responses against a standard stimulus is still necessary. The thirty compounds tested elicited an EAG response profile largely similar to that reported previously from excised antennae. EAG responses recorded with the electrode at three different positions, between the 5th-6th (A), 4th-5th (B), and 3rd-4th (C) antennal segments, were smaller when recorded closer to the head. Position B produced larger EAG responses than those at C although there was no olfactory receptor between position B and C.</t>
  </si>
  <si>
    <t>919-928</t>
  </si>
  <si>
    <t>120893809;120893809</t>
  </si>
  <si>
    <t>7408066828;7101763729</t>
  </si>
  <si>
    <t>Park, K. C.;Hardie, Jim</t>
  </si>
  <si>
    <t>Ascot</t>
  </si>
  <si>
    <t>Aphid Biology Group</t>
  </si>
  <si>
    <t>Park K.C.</t>
  </si>
  <si>
    <t>An improved aphid electroantennogram</t>
  </si>
  <si>
    <t>S0022191098000602</t>
  </si>
  <si>
    <t>10.1016/S0022-1910(98)00060-2</t>
  </si>
  <si>
    <t>2-s2.0-0032192628</t>
  </si>
  <si>
    <t>['two areas', 'surveyed areas', 'structural variations', 'steps required', 'single slices', 'selective exploitation', 'rock units', 'reef structures', 'rapid means', 'quarried selectively', 'pulseekko 100', 'powerful way', 'potential volumes', 'penetrating radar', 'obtain three', 'made possible', 'limestone quarry', 'limestone formation', 'like structures', 'gpr system', 'geological structures', 'free limestone', 'free areas', 'faxe kalk', 'data gathering', 'coral reefs', 'coral limestone', 'continuous mode', 'bryozoan mounds', 'bryozoan limestone']</t>
  </si>
  <si>
    <t>3-D visualization | Denmark | Ground penetrating radar | Limestone | Mineral exploration</t>
  </si>
  <si>
    <t>Ground-penetrating radar (GPR) offers a simple and rapid means of providing valuable information for mapping of geological and structural variations in limestone. Data from closely spaced radar sections were gathered in two areas in Faxe Kalk's limestone quarry on the island of Zealand, Denmark. A 'pulseEKKO 100' GPR system with 100 MHz antennas was used for data gathering. In this paper we describe the steps required to obtain three-dimensional (3-D) data. Data were collected in continuous mode with readings every 20 cm. The 3-D cubes were prepared for visualization by using several processing routines. Various data presentations, including chair views, and multiple and single slices, were generated from the 3-D cube to enhance the outline and distribution of flint-free limestone in the surveyed areas. Animation of 3-D data was found to be a very powerful way of visualizing the geological structures in the surveyed areas. The limestone formation in the quarry is of middle Danian age (approx. 63 million years old) and is divided into two main deposition facies-coral limestone and bryozoan limestone. The coral limestone appears as reef structures in the more abundant bryozoan limestone. In the bryozoan limestone frequent flint layers appear often delineating mound-like structures. Coral limestone and areas of bryozoan limestone without flint are quarried selectively and used for high quality products. Division of the limestone formation into areas of coral reefs and bryozoan mounds and separation of flint-free areas is made possible through distinctive reflection patterns and differing penetration depths between the rock units. The 3-D visualization allows estimation of potential volumes of limestone for selective exploitation.</t>
  </si>
  <si>
    <t>100940295;100520392</t>
  </si>
  <si>
    <t>57200407100;6507078711</t>
  </si>
  <si>
    <t>Sigurdsson, Thrainn;Overgaard, Torben</t>
  </si>
  <si>
    <t>Lerum;Kobenhavn</t>
  </si>
  <si>
    <t>TS Geokonsult;Faxe Kalk A/S</t>
  </si>
  <si>
    <t>Sigurdsson T.</t>
  </si>
  <si>
    <t>Application of GPR for 3-D visualization of geological and structural variation in a limestone formation</t>
  </si>
  <si>
    <t>S0926985198000159</t>
  </si>
  <si>
    <t>10.1016/S0926-9851(98)00015-9</t>
  </si>
  <si>
    <t>2-s2.0-0032194646</t>
  </si>
  <si>
    <t>√âcole Polytechnique F√©d√©rale de Lausanne</t>
  </si>
  <si>
    <t>EPFL</t>
  </si>
  <si>
    <t>['turn differentiate', 'sensor technologies', 'sensor system', 'preliminary results', 'often gives', 'metallic debris', 'metal detector', 'imaging purposes', 'gpr data', 'first experiments', 'false alarms', 'experimental setup', 'double sandbox', 'detec /).', 'data acquisition', 'computerized system', 'autonomous robot', 'automated positioning']</t>
  </si>
  <si>
    <t>Data acquisition | Detection | Electromagnetic induction | Ground penetrating radar | Image analysis | Landmines</t>
  </si>
  <si>
    <t>DeTeC (Demining Technology Center) is developing a sensor system for humanitarian demining enabling reduction in the number of false alarms and usable by a man or an autonomous robot (see http://diwww.epfl.ch/lami/detec/). We have chosen to concentrate our first experiments on a commercial impulse ground penetrating radar with a 1 GHz antenna and a metal detector used for imaging purposes. The metal detector should help to distinguish two objects with similar radar echoes but different metal content, e.g. a mine and a stone of the same size. The GPR should in turn differentiate a mine from metallic debris, which often gives a similar metal detector answer. An experimental setup, consisting of a double sandbox with a computerized system that allows the automated positioning of the sensors, has been constructed. Preliminary results of data acquisition and treatment on both sensor technologies are presented with a comparison between the metal detector and the GPR data.</t>
  </si>
  <si>
    <t>59-71</t>
  </si>
  <si>
    <t>60028186;60028186;60028186;60028186;60028186</t>
  </si>
  <si>
    <t>6602113028;7003588657;6504317546;6503884096;6602911405</t>
  </si>
  <si>
    <t>Bruschini, Claudio;Gros, Bertrand;Guerne, Fr√©d√©ric;Pi√®ce, Pierre Yves;Carmona, Olivier</t>
  </si>
  <si>
    <t>Bruschini C.</t>
  </si>
  <si>
    <t>Ground penetrating radar and imaging metal detector for antipersonnel mine detection</t>
  </si>
  <si>
    <t>S0926985197000384</t>
  </si>
  <si>
    <t>10.1016/S0926-9851(97)00038-4</t>
  </si>
  <si>
    <t>2-s2.0-0032194767</t>
  </si>
  <si>
    <t>['white prawn', 'tiger prawn', 'shrimp hatcheries', 'sand crab', 'possible compared', 'penaeus indicus', 'mem eagle', 'infectious virus', 'forming monolayer', 'eye stalk', 'emerita asiatica', 'culture surface', 'cell line', '15 medium']</t>
  </si>
  <si>
    <t>Emerita asiatica | L-15 medium | P. monodon | Penaeus indicus | Primary cell culture</t>
  </si>
  <si>
    <t>An in vitro primary cell culture system was developed using eye tissues of white prawn, Penaeus indicus, tissues of eye, eye stalk, and antennae of tiger prawn, P.monodon and antennae of sand crab, Emerita asiatica. The cells were physically disrupted using L-15 medium for passages, after forming monolayer on the culture surface of the vessel. The cells grew better in leibovitz (L-15) medium containing 10% PEG precipitated calf serum at 25¬∞C to 28¬∞C than MEM Eagle with Eagle's and MEM Eagle with Hank's salts. Establishment of cell line from any of the primary cell lines was not successful. More number of passages from primary cell culture of E.asiatica's antennae, was possible compared to primary cell cultures of P.indicus and P.monodon. Sometimes cells originated from antennae of E.asiatica produced monolayer within 2 days. This in vitro cell culture system may provide, a simple and laboratory oriented method for the detection and assay of infectious virus in shrimp hatcheries and industries.</t>
  </si>
  <si>
    <t>1097-1099</t>
  </si>
  <si>
    <t>Indian Journal of Animal Sciences</t>
  </si>
  <si>
    <t>60023933;60023933;60023933;60023933-60008648</t>
  </si>
  <si>
    <t>6603844113;6508307030;7004307042;9939941400</t>
  </si>
  <si>
    <t>Purushothaman, V.;Sankaranarayanand, K.;Ravikumar, M. Ramesh;Ramasamy, P.</t>
  </si>
  <si>
    <t>Chennai;Chennai</t>
  </si>
  <si>
    <t>Tamilnadu Veterinary Animal Sciences University;University of Madras</t>
  </si>
  <si>
    <t>60023933;60008648</t>
  </si>
  <si>
    <t>Purushothaman V.</t>
  </si>
  <si>
    <t>Development of in vitro primary cell culture system from penaeid shrimp, Penaeus indicus, Penaeus monodon and a sand crab, Emerita asiatica</t>
  </si>
  <si>
    <t>2-s2.0-0032236321</t>
  </si>
  <si>
    <t>['serrate antennae', 'sensilla trichodea', 'sensilla chaetica', 'sensilla campaniformia', 'sensilla basiconica', 'respectively ).', 'male beetle', 'female beetle', 'bohm sensilla', 'average number', 'aeruginosus consist', '9 flagellomeres', '5 types', '108 pegs', '1 type']</t>
  </si>
  <si>
    <t>Antennal morphology | Scanning electron microscopy</t>
  </si>
  <si>
    <t>Antennal sensilla typology, number and distribution of the click beetle Limonius aeruginosus (Olivier) (Coleoptera: Elateridae) were studied using scanning electron microscopy. The serrate antennae of both sexes of L. aeruginosus consist of the scape, pedicel and of the flagellum which is composed of 9 flagellomeres. In both sexes, 5 types of sensilla basiconica, 1 type of sensilla trichodea, 1 type of sensilla chaetica, 1 type of sensilla campaniformia and Bohm sensilla were distinguished. No remarkable sexual differences in the types, numbers and distribution of sensilla were found on the antennae, except for the sensilla basiconica type II. The average number of sensilla basiconica type II on the antennae of the male beetle surpassed that on the antennae of the female beetle (3562 and 108 pegs, respectively). It is suggested that this type of sensilla on the male beetle's antennae is responsible for the reception of the sex pheromone produced by the female beetle.</t>
  </si>
  <si>
    <t>311-318</t>
  </si>
  <si>
    <t>60068854;60068880;60007971;60033219;60068854</t>
  </si>
  <si>
    <t>6602410812;6602227559;7003302246;7006250269;7006419065</t>
  </si>
  <si>
    <t>Merivee, Enno;Rahi, M√§rt;Bresciani, Jos√©;Ravn, Hans Peter;Luik, Anne</t>
  </si>
  <si>
    <t>Estonia;Estonia;Denmark;Denmark</t>
  </si>
  <si>
    <t>Tartu;Tartu;Copenhagen;Copenhagen</t>
  </si>
  <si>
    <t>Zooloogia Ja Botaanika Instituut;Estonian University of Life Sciences;Danish Centre for Forest, Landscape and Planning;University of Copenhagen, Faculty of Life Sciences</t>
  </si>
  <si>
    <t>60068880;60068854;60033219;60007971</t>
  </si>
  <si>
    <t>Merivee E.</t>
  </si>
  <si>
    <t>Antennal sensilla of the click beetle, Limonius aeruginosus (Olivier) (Coleoptera: Elateridae)</t>
  </si>
  <si>
    <t>S0020732298000233</t>
  </si>
  <si>
    <t>10.1016/S0020-7322(98)00023-3</t>
  </si>
  <si>
    <t>2-s2.0-0032411667</t>
  </si>
  <si>
    <t>['typical characteristics', 'transformed distribution', 'processes using', 'physically long', 'one dimension', 'measured data', 'locating aperture', 'length patterns', 'fourier transform', 'error correction', 'collapsed distribution', 'antennas ).']</t>
  </si>
  <si>
    <t>The Fourier transform of an antenna radiation pattern is the aperture space distribution across the antenna. The transform from a single pattern results in a collapsed distribution and, therefore, is most useful for antennas that are physically long and arrayed in one dimension (typical characteristics of cellular and personal communications service (PCS) antennas). Investigation of the transformed distribution is helpful in identifying and locating aperture (amplitude and phase) errors. In addition, the aperture distribution may be used in the synthesis of an error correction for finite-range-length patterns. A description and limitations of the processes using both synthesized and measured data are presented.</t>
  </si>
  <si>
    <t>122-128</t>
  </si>
  <si>
    <t>60075382-60001439-101047617</t>
  </si>
  <si>
    <t>Marino, Ronald A.</t>
  </si>
  <si>
    <t>Marlboro;University Park;Chatsworth</t>
  </si>
  <si>
    <t>Celwave Inc.;Pennsylvania State University;MDM Inc</t>
  </si>
  <si>
    <t>60075382;60001439;101047617</t>
  </si>
  <si>
    <t>Marino R.A.</t>
  </si>
  <si>
    <t>Application of the Fourier transform in antenna pattern measurements</t>
  </si>
  <si>
    <t>2-s2.0-11744341969</t>
  </si>
  <si>
    <t>['possible reason', 'olfactory behavior', 'odotopic arrangement', 'lower amounts', 'low doses', 'different odors', 'developmental effect', 'antennal lobes', 'antennal lobe', 'allowed glomeruli']</t>
  </si>
  <si>
    <t>Antennal lobes | Insect brain | Locusta-tachykinin | Neuronal development | Pattern formation | Pyrethroids | Tenebrio molitor</t>
  </si>
  <si>
    <t>Low doses of fenvalerate (a Type II pyrethroid) were applied to the beetle Tenebrio molitor at pupation, to ascertain its effects on the developing olfactory system. Doses of fenvalerate that prevent the formation of glomeruli in the primary olfactory neuropil (antennal lobes) also inhibit olfactory orientation behavior for different odors, despite the fact that sensory neurons developed responses to these odors. Even when lower amounts of fenvalerate that allowed glomeruli to develop were applied to pupae, the olfactory behavior was affected. Therefore, the formation of glomerular structures within the antennal lobe is not sufficient to establish olfactory behavior. A possible reason for this developmental effect of fenvalerate is a change in the odotopic arrangement of sensory axons within the glomeruli.</t>
  </si>
  <si>
    <t>3241-3245</t>
  </si>
  <si>
    <t>NeuroReport</t>
  </si>
  <si>
    <t>60012345;60012345;60012345</t>
  </si>
  <si>
    <t>56630976900;6508068904;56042921200</t>
  </si>
  <si>
    <t>Wegerhoff, Rainer;G√§thje, Heiko;Shailaja, Donempudi</t>
  </si>
  <si>
    <t>Kiel</t>
  </si>
  <si>
    <t>Christian-Albrechts-Universit√§t zu Kiel</t>
  </si>
  <si>
    <t>Wegerhoff R.</t>
  </si>
  <si>
    <t>Effects of fenvalerate on the development of olfactory perception in a beetle</t>
  </si>
  <si>
    <t>10.1097/00001756-199810050-00020</t>
  </si>
  <si>
    <t>2-s2.0-0032487423</t>
  </si>
  <si>
    <t>['spectroscopically studied', 'lanthanide ion', 'iii ),', 'energy transfer', '450 nm']</t>
  </si>
  <si>
    <t>Aza compounds | Lanthanides | Luminescence</t>
  </si>
  <si>
    <t>Near-infrared luminescent ytterbium(III), neodymium(III), and erbium(III) complexes containing novel organic chromophores derived from azatriphenylene have been prepared and spectroscopically studied. The complexes can be excited from 350 to 450 nm, leading after intramolecular energy transfer to intense lanthanide luminescence in acetonitrile. Quenching of the luminescence of the complexes by molecular oxygen reveals information on the rate of energy transfer from the 'antenna' to the lanthanide ion.</t>
  </si>
  <si>
    <t>7583-7586</t>
  </si>
  <si>
    <t>60020599;60020599;60024415;60024415;60020599</t>
  </si>
  <si>
    <t>36819606400;7005488026;7006241440;7006697527;35467605800</t>
  </si>
  <si>
    <t>Steemers, Frank J.;Verboom, Willem;Hofstraat, Johannes W.;Geurts, Frank A.J.;Reinhoudt, David N.</t>
  </si>
  <si>
    <t>Amsterdam;Enschede</t>
  </si>
  <si>
    <t>Akzo Nobel N.V.;Universiteit Twente</t>
  </si>
  <si>
    <t>60024415;60020599</t>
  </si>
  <si>
    <t>Steemers F.</t>
  </si>
  <si>
    <t>Near-infrared luminescence of Yb&lt;sup&gt;3+&lt;/sup&gt;, Nd&lt;sup&gt;3+&lt;/sup&gt;, and Er&lt;sup&gt;3+&lt;/sup&gt; azatriphenylene complexes</t>
  </si>
  <si>
    <t>S0040403998016189</t>
  </si>
  <si>
    <t>10.1016/S0040-4039(98)01618-9</t>
  </si>
  <si>
    <t>2-s2.0-0032497607</t>
  </si>
  <si>
    <t>Kn 276/3-3</t>
  </si>
  <si>
    <t>['viridis mutants', 'plant photosystem', 'native psi', 'intact leaves', 'f730 ).', 'approach indicates', '742 nm', '730 proteins', '730 nm', '720 nm', '1998 federation']</t>
  </si>
  <si>
    <t>Chlorina | Hordeum | Long-wavelength chlorophyll | Photosystem I | Viridis</t>
  </si>
  <si>
    <t>The isolated subcomplex LHCI-730 of plant photosystem I (PSI) chlorophyll (Chl) a/b binding antenna is a heterodimer of Lhca1 and Lhca4 and has a 77 K fluorescence emission peak at 730 nm (F730). Recently, three Chl spectral forms with 77 K fluorescence emission peaks at 720 nm, 730 nm and 742 nm were identified in native PSI. In an attempt to assign the two longest wavelength emission maxima to peripheral PSI antenna proteins, we performed 77 K fluorescence emission spectroscopy on intact leaves of chlorina and viridis mutants from barley which lack individual LHCI-730 proteins. This approach indicates that F732 is found only in Lhca1 and F742 only in Lhca4, when these proteins are associated with the PSI reaction centre. Copyright (C) 1998 Federation of European Biochemical Societies.</t>
  </si>
  <si>
    <t>339-342</t>
  </si>
  <si>
    <t>60008293;60008293;60008293</t>
  </si>
  <si>
    <t>6602072663;56899850300;7003617788</t>
  </si>
  <si>
    <t>Knoetzel, J√ºrgen;Bossmann, Bj√∂rn;Grimme, L. Horst</t>
  </si>
  <si>
    <t>Bremen</t>
  </si>
  <si>
    <t>Universit√§t Bremen</t>
  </si>
  <si>
    <t>Knoetzel J.</t>
  </si>
  <si>
    <t>Chlorina and viridis mutants of barley (Hordeum vulgare L.) allow assignment of long-wavelength chlorophyll forms to individual Lhca proteins of photosystem I in vivo</t>
  </si>
  <si>
    <t>S0014579398011582</t>
  </si>
  <si>
    <t>10.1016/S0014-5793(98)01158-2</t>
  </si>
  <si>
    <t>2-s2.0-0031788230</t>
  </si>
  <si>
    <t>['streamers form', 'spreading reduces', 'rights reserved', 'proportionality due', 'ppac ).', 'magnitude compared', 'charge density', 'breakdown limits', 'breakdown limit', 'bare msgc', '2 orders']</t>
  </si>
  <si>
    <t>We have studied the charge and breakdown limits of Microstrip Gas Counters (MSGC's) with two different preamplification structures: the Gas Electron Multiplier (GEM) and the Parallel-Plate Avalanche Counter (PPAC). It was found that in both cases the breakdown limit was increased by 1-2 orders of magnitude compared to the bare MSGC and that this was due to the spreading of the primary electron cloud during pre-amplification. This spreading reduces the charge density in the final MSGC avalanche, permitting much higher total gains before streamers form. The real practical gain limitations in these two-stage detectors arose not from sparking, but from a loss of proportionality due to space charge effects. ¬© 1998 Elsevier Science B.V. All rights reserved.</t>
  </si>
  <si>
    <t>23-31</t>
  </si>
  <si>
    <t>Nuclear Instruments and Methods in Physics Research, Section A: Accelerators, Spectrometers, Detectors and Associated Equipment</t>
  </si>
  <si>
    <t>;60011779;60011779</t>
  </si>
  <si>
    <t>56256973000;35377193400;7102692828</t>
  </si>
  <si>
    <t>Fonte, P.;Peskov, V.;Ramsey, B. D.</t>
  </si>
  <si>
    <t>Huntsville</t>
  </si>
  <si>
    <t>NASA Marshall Space Flight Center</t>
  </si>
  <si>
    <t>Fonte P.</t>
  </si>
  <si>
    <t>A study of breakdown limits in microstrip gas counters with preamplification structures</t>
  </si>
  <si>
    <t>S0168900298006494</t>
  </si>
  <si>
    <t>10.1016/S0168-9002(98)00649-4</t>
  </si>
  <si>
    <t>2-s2.0-0032178820</t>
  </si>
  <si>
    <t>['test results', 'rights reserved', 'quench origin', 'heater position', 'current redistribution']</t>
  </si>
  <si>
    <t>Accelerator | Current redistribution | Pickup coil | Quench detection | Superconducting magnet</t>
  </si>
  <si>
    <t>A quench antenna consists of four multipole coils whose signals give us information about the position of a quench origin and current redistribution. In this paper, we report a simulation and test results of the quench antenna developed for the TRISTAN insertion quadrupole magnets (QCS magnets). Heater quench tests were performed, and it was confirmed that the quench start locations evaluated from quench antenna signals were consistent with those from the voltage tap signals and the heater position. The amplitude and the direction of the current redistribution were calculated, and they did not conflict with what was expected from a simulation. ¬© 1998 Elsevier Science B.V. All rights reserved.</t>
  </si>
  <si>
    <t>60014256;112788806;112788806;112788806</t>
  </si>
  <si>
    <t>56553553500;7005272198;7005606087;56479879800</t>
  </si>
  <si>
    <t>Sasaki, K.;Ogitsu, T.;Ohuchi, N.;Tsuchiya, K.</t>
  </si>
  <si>
    <t>Tsukuba;Tsukuba</t>
  </si>
  <si>
    <t>University of Tsukuba;Research Organization</t>
  </si>
  <si>
    <t>60014256;112788806</t>
  </si>
  <si>
    <t>Sasaki K.</t>
  </si>
  <si>
    <t>Study of quench propagation with quench antennas</t>
  </si>
  <si>
    <t>S0168900298006172</t>
  </si>
  <si>
    <t>10.1016/S0168-9002(98)00617-2</t>
  </si>
  <si>
    <t>2-s2.0-0032180684</t>
  </si>
  <si>
    <t>['‚ äô', 'tidal shaping', 'star formation', 'reveal clusters', 'relaxation times', 'possibly hundreds', 'outer regions', 'merger galaxy', 'many dozens', 'light ratios', 'light ratio', 'large fraction', 'insignificant amount', 'hundred parsecs', 'hundred myr', 'dark matter', '500 pc']</t>
  </si>
  <si>
    <t>Galaxies: interactions | Galaxies: kinematics and dynamics | Galaxies: star clusters | Galaxies: stellar content | Globular clusters: general | Local Group</t>
  </si>
  <si>
    <t>Recent images taken with the Hubble Space Telescope (HST) of the interacting disc galaxies NGC 4038/4039 (the Antennae) reveal clusters of many dozens and possibly hundreds of young compact massive star clusters within projected regions spanning about 100 to 500 pc. It is shown here that a large fraction of the individual star clusters merge within a few tens to a hundred Myr. Bound stellar systems with radii of a few hundred parsecs, masses ‚â≤109 M‚äô and relaxation times of 1011-1012 yr may form from these. These spheroidal dwarf galaxies contain old stars from the pre-merger galaxy and much younger stars formed in the massive star clusters, and possibly from later gas accretion events. The possibility that star formation in the outer regions of gas-rich tidal tails may also lead to superclusters is raised. The mass-to-light ratio of these objects is small, because they contain an insignificant amount of dark matter. After many hundred Myr such systems may resemble dwarf spheroidal satellite galaxies with large apparent mass-to-light ratios, if tidal shaping is important.</t>
  </si>
  <si>
    <t>200-204</t>
  </si>
  <si>
    <t>Monthly Notices of the Royal Astronomical Society</t>
  </si>
  <si>
    <t>Kroupa, Pavel</t>
  </si>
  <si>
    <t>Heidelberg</t>
  </si>
  <si>
    <t>Universit√§t Heidelberg</t>
  </si>
  <si>
    <t>Kroupa P.</t>
  </si>
  <si>
    <t>The dynamical evolution of stellar superclusters</t>
  </si>
  <si>
    <t>10.1046/j.1365-8711.1998.01892.x</t>
  </si>
  <si>
    <t>2-s2.0-0039062900</t>
  </si>
  <si>
    <t>['various gap', 'utilized particularly', 'unequivocally demonstrated', 'surface manipulation', 'size vacancies', 'reproducibly generate', 'rationally utilized', 'nonthermal nature', 'new approach', 'domestic oven', 'directly drive', 'basic research', 'achieve specific']</t>
  </si>
  <si>
    <t>We demonstrate a new approach to the study and application of microwave-induced chemical reactions, using a purpose-designed molecular film as a discrete ultrathin antenna that can utilize absorbed electromagnetic energy to directly drive a specific chemical transformation. Exposure of such a bilayer "antenna" self-assembled on silicon to common microwave radiation in a domestic oven is shown to reproducibly generate a depleted top monolayer structure with molecular-size vacancies that can incorporate and control the further surface manipulation of various gap-fitting guest species. The nonthermal nature of this process is unequivocally demonstrated, as the irradiated bilayer cannot store heat, while conventional heating causes its irreversible structural deterioration, before an equivalent thermally activated transformation could occur. These findings shed new light on the much disputed issue of nonthermal microwave effects, suggesting, beyond obvious implications for basic research in this area, that microwave radiation could be rationally utilized to achieve specific (nondestructive) transformations in properly designed supramolecular systems and could be utilized particularly as an attractive new synthetic tool in molecular surface engineering.</t>
  </si>
  <si>
    <t>5988-5993</t>
  </si>
  <si>
    <t>Langmuir</t>
  </si>
  <si>
    <t>60017563;60017563;60017563</t>
  </si>
  <si>
    <t>6603953208;35512246200;6603703769</t>
  </si>
  <si>
    <t>Maoz, Rivka;Cohen, Hagai;Sagiv, Jacob</t>
  </si>
  <si>
    <t>Rehovot</t>
  </si>
  <si>
    <t>Weizmann Institute of Science Israel</t>
  </si>
  <si>
    <t>Maoz R.</t>
  </si>
  <si>
    <t>Specific nonthermal chemical structural transformation induced by microwaves in a single amphiphilic bilayer self-assembled on silicon</t>
  </si>
  <si>
    <t>10.1021/la980223r</t>
  </si>
  <si>
    <t>2-s2.0-0032183403</t>
  </si>
  <si>
    <t>NS09927</t>
  </si>
  <si>
    <t>['used time', 'unique redox', 'samples containing', 'redox state', 'psii ).', 'previous work', 'potent quencher', 'photosystem ii', 'peripheral antennas', 'low temperature', 'large decrease', 'incomplete among', 'good correlation', 'fractional amount', 'fluorescence measurements', 'exciton equilibration', 'effective quencher', 'decay components', 'd1 subunit', 'core antenna', 'chlz +.', 'chlz +,', 'chlorophyll z', '77 k']</t>
  </si>
  <si>
    <t>Chlorophyll Z (ChlZ) is a unique redox-active chlorophyll bound to His118 in the D1 subunit of photosystem II (PSII). Previous work has shown that ChlZ+ is a potent quencher of fluorescence. In this study, we have used time-resolved fluorescence spectroscopy 10 determine the effect of ChlZ+ on the decay components in PSII at low temperature. Both EPR and fluorescence measurements were made to ascertain the redox state of the sample under the conditions of the fluorescence measurements. We have compared spinach PSII membranes, which contain both the core antenna and the peripheral LHCII antennae, with PSII core complexes from Synechocystis PCC 6803, which contain only the core antenna. The presence of ChlZ+ decreases the steady-state fluorescence intensity by about 10-fold, and this decrease is associated with a large decrease in the yield of the nanosecond decay components. In samples containing a fractional amount of ChlZ+, there is a good correlation between the fluorescence decay time and the amount of ChlZ+. ChlZ+ is an effective quencher of emission from all of the core antenna chlorophylls. This result is consistent with "rapid exciton equilibration" within the PSII core antenna. However, emission from the peripheral LHCII antenna was less effectively quenched by ChlZ+, indicating that exciton equilibration is incomplete among the core and peripheral antennas, at least at 77 K.</t>
  </si>
  <si>
    <t>8320-8326</t>
  </si>
  <si>
    <t>60005455;60003892;60003892;60005455</t>
  </si>
  <si>
    <t>57210095473;6602820819;57203046340;54790507700</t>
  </si>
  <si>
    <t>Schweitzer, Robert H.;Melkozernov, Alexander N.;Blankenship, Robert E.;Brudvig, Gary W.</t>
  </si>
  <si>
    <t>New Haven;Tempe</t>
  </si>
  <si>
    <t>Yale University;Arizona State University</t>
  </si>
  <si>
    <t>60005455;60003892</t>
  </si>
  <si>
    <t>Schweitzer R.H.</t>
  </si>
  <si>
    <t>Time-resolved fluorescence measurements of photosystem II: The effect of quenching by oxidized chlorophyll Z</t>
  </si>
  <si>
    <t>10.1021/jp982098y</t>
  </si>
  <si>
    <t>2-s2.0-0000235659</t>
  </si>
  <si>
    <t>['wavelengths longer', 'upon excitation', 'transfer energy', 'state decay', 'room temperature', 'primary donor', 'overall excited', 'lived charge', 'fmo protein', 'containing complex', 'complexes include', 'antenna protein', 'antenna components', 'also include', '590 nm', '35 ps']</t>
  </si>
  <si>
    <t>Reaction center complexes from the green sulfur bacterium Chlorobium tepidum were examined using picosecond absorption difference spectroscopy at room temperature. The complexes include the core proteins containing the primary electron donor P840 and associated core antenna pigments and also include some of the Fenna-Matthews-Olson (FMO) antenna protein. Upon excitation at 590 nm, long-lived absorption difference changes were observed that are interpreted to arise from a combination of the excited FMO protein and the P840-containing complex. Most of the FMO protein does not transfer energy to the core in this preparation. Excitation at 840 nm directly into the core complex gave an overall excited-state decay of 35 ps, forming the long-lived charge-separated state P840+A0-and no excited FMO complex. No antenna components were observed with absorption at wavelengths longer than the primary donor, in contrast to the situation in the related reaction centers from heliobacteria and photosystem I.</t>
  </si>
  <si>
    <t>8190-8195</t>
  </si>
  <si>
    <t>60024322;60024322;60028385;60003892;60003892;60003892</t>
  </si>
  <si>
    <t>7004600421;7102457871;7201547799;7407162691;7006490282;57203046340</t>
  </si>
  <si>
    <t>Oh-oka, Hirozo;Kamei, Shoichiro;Matsubara, Hiroshi;Lin, Su;Van Noort, Paula I.;Blankenship, Robert E.</t>
  </si>
  <si>
    <t>Japan;Japan;United States</t>
  </si>
  <si>
    <t>Okayama;Suita;Tempe</t>
  </si>
  <si>
    <t>Okayama University of Science;Osaka University;Arizona State University</t>
  </si>
  <si>
    <t>60028385;60024322;60003892</t>
  </si>
  <si>
    <t>Oh-oka H.</t>
  </si>
  <si>
    <t>Transient absorption spectroscopy of energy-transfer and trapping processes in the reaction center complex of Chlorobium tepidum</t>
  </si>
  <si>
    <t>10.1021/jp981478g</t>
  </si>
  <si>
    <t>2-s2.0-0000566493</t>
  </si>
  <si>
    <t>['uniform period', 'time delay', 'strained part', 'optical carrier', 'localised part', 'fibre grating', 'bragg wavelength']</t>
  </si>
  <si>
    <t>A variable delay line is presented for phased array antennas based on a fibre Bragg grating which has a uniform period and operates at constant optical wavelength. The Bragg wavelength of a localised part of the fibre grating is modified by straining the fibre, the optical carrier is reflected by the strained part of the grating and the time delay of the microwave modulating signal is determined by the position where the strain has been applied. In this initial experiment time delay variations up to 330ps in the frequency range 1-14GHz have been achieved.</t>
  </si>
  <si>
    <t>2051-2053</t>
  </si>
  <si>
    <t>60011476;60002644;60002644;60002644;60011476;60011476</t>
  </si>
  <si>
    <t>7006293956;7402505705;7103249917;25637144000;57197372570;7102722103</t>
  </si>
  <si>
    <t>Ortega, B.;Cruz, J. L.;Andr√©s, M. V.;D√≠ez, A.;Pastor, D.;Capmany, J.</t>
  </si>
  <si>
    <t>Valencia;Valencia</t>
  </si>
  <si>
    <t>Universitat Polit√®cnica de Val√®ncia;Universitat de Val√®ncia</t>
  </si>
  <si>
    <t>60011476;60002644</t>
  </si>
  <si>
    <t>Ortega B.</t>
  </si>
  <si>
    <t>Microwave phase shifter based on fibre Bragg grating</t>
  </si>
  <si>
    <t>10.1049/el:19981703</t>
  </si>
  <si>
    <t>2-s2.0-0032180945</t>
  </si>
  <si>
    <t>['significant directivity', 'predicted performance', 'negligible loss', 'modified log', 'minimal distortion', 'independent feeds', 'bandlimited pulse', 'antenna capable']</t>
  </si>
  <si>
    <t>An antenna capable of radiating a bandlimited pulse with minimal distortion, negligible loss and significant directivity is reported. The design is a modified log-periodic dipole array with independent feeds to each dipole. This was modelled with a time-domain integral equation program and then realised in hardware; : measurements showed good agreement with the predicted performance.</t>
  </si>
  <si>
    <t>1990-1991</t>
  </si>
  <si>
    <t>60008524-60025488;60008524;60008524</t>
  </si>
  <si>
    <t>7006824457;6602820455;7403070877</t>
  </si>
  <si>
    <t>Excell, P. S.;Tinniswood, A. D.;Clarke, R. W.</t>
  </si>
  <si>
    <t>Salt Lake City;Bradford</t>
  </si>
  <si>
    <t>The University of Utah;University of Bradford</t>
  </si>
  <si>
    <t>60025488;60008524</t>
  </si>
  <si>
    <t>Excell P.</t>
  </si>
  <si>
    <t>Log-periodic antenna for pulsed radiation</t>
  </si>
  <si>
    <t>10.1049/el:19981430</t>
  </si>
  <si>
    <t>2-s2.0-0032181103</t>
  </si>
  <si>
    <t>['uniquely suited', 'slot antennas', 'reduce memory', 'original grid', 'large number', 'intricate details', 'finite element', 'dimensional geometries', 'contain small', 'backed antennas', 'authors examine', 'also presented']</t>
  </si>
  <si>
    <t>Fast integral equation algorithms such as the adaptive integral method (AIM) have been demonstrated to reduce memory and execution time associated with moment method solutions for computing electromagnetic scattering and radiation from arbitrarily shaped three-dimensional geometries. The authors examine the efficiency of AIM in modelling planar structures that contain small and intricate details as is the case with spirals and slot antennas. Such geometries require high tessellation due to the inclusion of very small features resulting in a large number of unknowns. The AIM, with its ability to translate the original grid into an equivalent sparser uniform grid, is uniquely suited to the analysis of such geometries. The application of the AIM in connection with finite element-boundary integral formulation for cavity-backed antennas is also presented.</t>
  </si>
  <si>
    <t>2015-2016</t>
  </si>
  <si>
    <t>60025778;60025778</t>
  </si>
  <si>
    <t>6701576894;7102576479</t>
  </si>
  <si>
    <t>Bindiganavale, S. S.;Volakis, J. L.</t>
  </si>
  <si>
    <t>Bindiganavale S.</t>
  </si>
  <si>
    <t>Scattering and radiation from planar structures containing small features using a finite element-fast integral method</t>
  </si>
  <si>
    <t>10.1049/el:19981429</t>
  </si>
  <si>
    <t>2-s2.0-0032181457</t>
  </si>
  <si>
    <t>['‚ âé0', 'significantly lowered', 'resonant frequency', 'proposed design', 'patch edges', 'line length', 'length ratio', 'increasing spur', 'feed equilateral', 'circular polarisation']</t>
  </si>
  <si>
    <t>A novel compact circular polarisation (CP) design for a single-feed equilateral-triangular microstrip antenna with inserted spur lines at the patch edges is presented. It is found that, with increasing spur-line length, the resonant frequency of the triangular microstrip patch is significantly lowered. Also, by further adjusting the inserted spur lines to have a length ratio of ‚âÉ0.96, the proposed design can achieve CP radiation at a much lowered operating frequency, resulting in compact triangular microstrip antennas with circular polarisation.</t>
  </si>
  <si>
    <t>1989-1990</t>
  </si>
  <si>
    <t>7601561423;7405855986;35460663000</t>
  </si>
  <si>
    <t>Lu, Jui Han;Yu, Hung Chin;Wong, Kin Lu</t>
  </si>
  <si>
    <t>Compact circular polarisation design for equilateral-triangular microstrip antenna with spur lines</t>
  </si>
  <si>
    <t>10.1049/el:19981395</t>
  </si>
  <si>
    <t>2-s2.0-0032181732</t>
  </si>
  <si>
    <t>R01CA053475</t>
  </si>
  <si>
    <t>['vertebrate ap', 'transient transfection', 'transcription factors', 'starting point', 'stage 9', 'spatially regulated', 'overall identity', 'optical lobe', 'maxillary complex', 'highly conserved', 'functionally conserved', 'expressed initially', 'embryogenesis provides', 'early embryogenesis', 'drosophila homologue', 'dna binding', 'dimerization domain', 'designated dap', 'antennal disc', 'also shown', 'also detected', '92 %)', '2œ ≥)', '2œ ≤', '2 transcripts', '2 proteins', '2 homologue', '2 family']</t>
  </si>
  <si>
    <t>AP-2 transcription factor | Development regulation | Drosophila | Functional conservation</t>
  </si>
  <si>
    <t>The AP-2 family of transcription factors (AP-2Œ±, AP-2Œ≤ and AP-2Œ≥) is temporally and spatially regulated in mammals and has also been implicated in oncogenesis. Here we report the isolation of genomic and cDNA clones encoding the Drosophila homologue of AP-2, designated DAP-2. The predicted amino acid sequence exhibits 42-45% overall identity with the vertebrate AP-2 proteins. A sequence of 107 amino acids within the DNA binding and dimerization domain of the vertebrate AP-2 proteins is highly conserved (90-92%) with the DAP-2 homologue. An in vitro translation product of DAP-2 cDNA binds specifically to AP-2 consensus binding sites. DAP-2 was also shown to be functionally conserved in vivo because transient transfection of a DAP-2 expression plasmid activated transcription through AP-2 binding sites in both mammalian and Drosophila cell lines. DAP-2 is expressed during early embryogenesis and DAP-2 transcripts are also detected in the adult. Whole-mount in situ hybridizations demonstrated that DAP-2 is expressed initially at stage 9 of Drosophila embryonic development and that DAP-2 transcripts are detected in regions of the brain, eye-antennal disc, optical lobe, antenno-maxillary complex, and in a subset of cells of the ventral nerve cord. The cloning of DAP-2 and the identification of the DAP-2 expression pattern during embryogenesis provides a starting point to address the function of AP-2 during differentiation and development in a well understood model system.</t>
  </si>
  <si>
    <t>1911-1922</t>
  </si>
  <si>
    <t>Oncogene</t>
  </si>
  <si>
    <t>60015023;60015023;60015023;60015023-60009408</t>
  </si>
  <si>
    <t>9638717000;6701429636;6701749154;7005503021</t>
  </si>
  <si>
    <t>Bauer, Reinhard;McGuffin, M. Elaine;Mattox, William;Tainsky, Michael A.</t>
  </si>
  <si>
    <t>Houston;Detroit</t>
  </si>
  <si>
    <t>University of Texas MD Anderson Cancer Center;Wayne State University</t>
  </si>
  <si>
    <t>60015023;60009408</t>
  </si>
  <si>
    <t>Bauer R.</t>
  </si>
  <si>
    <t>Cloning and characterization of the Drosophila homologue of the AP-2 transcription factor</t>
  </si>
  <si>
    <t>10.1038/sj.onc.1202114</t>
  </si>
  <si>
    <t>2-s2.0-0032532564</t>
  </si>
  <si>
    <t>['simulated near', 'numerical solution', 'narrow gap', 'integration contours', 'integral representation', 'immediate vicinity', 'field radiation', 'everywhere else', 'electromagnetic wavefield', 'electromagnetic field', 'dipole antennas', 'dipole antenna', 'conducting wire']</t>
  </si>
  <si>
    <t>We present a 3-D finite-difference time domain (FDTD) solution of Maxwell's equations for modeling the near-field radiation of dipole antennas in ground-penetrating radar surveys. The antenna is represented as a conducting wire with a narrow gap in the middle. The electromagnetic field in the immediate vicinity of the wire is evaluated by numerical solution of an integral representation of Maxwell's equations. Integration contours and surfaces are defined by the finite-difference cells surrounding the wire. Everywhere else the electromagnetic wavefield is calculated using conventional FDTD approximations of Maxwell's equations. The accuracy of the algorithm has been tested by comparing the simulated near-field radiation of a dipole antenna between two dielectric media with corresponding experimental observations.</t>
  </si>
  <si>
    <t>3883-3886</t>
  </si>
  <si>
    <t>35615225800;7006119244</t>
  </si>
  <si>
    <t>Holliger, Klaus;Bergmann, Tim</t>
  </si>
  <si>
    <t>Holliger K.</t>
  </si>
  <si>
    <t>Accurate and efficient FDTD modeling of ground-penetrating radar antenna radiation</t>
  </si>
  <si>
    <t>10.1029/1998GL900049</t>
  </si>
  <si>
    <t>2-s2.0-0032532871</t>
  </si>
  <si>
    <t>['tetraruthenated porphyrazine', 'q bands', 'porphyrazine center', 'peripheral ruthenium', 'peripheral groups', 'four peripheral', 'fluorescence emission', 'electrochemical properties', 'direct excitation', 'bipyridine complexes', '1o2 species']</t>
  </si>
  <si>
    <t>Porphyrazine | Supramolecular photochemistry | Vectorial energy transfer</t>
  </si>
  <si>
    <t>Tetra(3-pyridyl)porphyrazine has been modified with four peripheral [Ru(bipy)2CI]+ groups, yielding a novel, dark green supramolecular species. The spectroscopic and electrochemical properties of the tetraruthenated porphyrazine have indicated a significant electronic interaction between the central and peripheral groups. In addition, fluorescence emission from the porphyrazine center has been observed at room temperature either by direct excitation at the Soret and Q bands, or by excitation at the peripheral ruthenium-bipyridine complexes, evidencing an efficient antenna effect. The generation of 1O2 species from the porphyrazine excited triplet states has also been demonstrated.</t>
  </si>
  <si>
    <t>60008088;60008088;60008088;60008088;60008088</t>
  </si>
  <si>
    <t>7102450712;56207496400;7003593379;7402551612;7103334107</t>
  </si>
  <si>
    <t>Toyama, Marcos M.;Franco, Marcelo;Catalani, Luiz H.;Araki, Koiti;Toma, Henrique E.</t>
  </si>
  <si>
    <t>Sao Paulo</t>
  </si>
  <si>
    <t>Universidade de S√£o Paulo</t>
  </si>
  <si>
    <t>Toyama M.</t>
  </si>
  <si>
    <t>Spectroelectrochemical and photophysical properties of a (3,4-pyridyl) porphyrazine supermolecule containing four [Ru(bipy)&lt;inf&gt;2&lt;/inf&gt;Cl]&lt;sup&gt;+&lt;/sup&gt; groups</t>
  </si>
  <si>
    <t>S1010603098003372</t>
  </si>
  <si>
    <t>10.1016/S1010-6030(98)00337-2</t>
  </si>
  <si>
    <t>2-s2.0-0039573738</t>
  </si>
  <si>
    <t>['using steady', 'taken together', 'systematic series', 'state absorption', 'spheroidene analogues', 'spectroscopic properties', 'significant degree', 's1 route', 'resonance raman', 'qx transition', 'molecular features', 'less carbon', 'harvesting complexes', 'harvesting complex', 'fluorescence excitation', 'energy transfer', 'data support', 'conjugated carbon', 'carotenoid becomes', 'b850 light', 'b850 complex', 'b850 bchl', '13 carbon', '.; farhoosh']</t>
  </si>
  <si>
    <t>Spheroidene and a series of spheroidene analogues with extents of œÄ-electron conjugation ranging from 7 to 13 carbon-carbon double bonds were incorporated into the B850 light-harvesting complex of Rhodobacter sphaeroides R-26.1. The structures and spectroscopic properties of the carotenoids and the dynamics of energy transfer from the carotenoid to bacteriochlorophyll (BChl) in the B850 complex were studied by using steady-state absorption, fluorescence, fluorescence excitation, resonance Raman, and time-resolved absorption spectroscopy. The spheroidene analogues used in this study were 5‚Ä≤,6‚Ä≤-dihydro-7‚Ä≤,8‚Ä≤-didehydrospheroidene, 7‚Ä≤,8‚Ä≤-didehydrospheroidene, and 1‚Ä≤,2‚Ä≤-dihydro-3‚Ä≤,4‚Ä≤,7‚Ä≤,8‚Ä≤- tetradehydrospheroidene. These data, taken together with results from 3,4,7,8-tetrahydrospheroidene, 3,4,5,6-tetrahydrospheroidene, 3,4-dihydrospheroidene, and spheroidene already published (Frank, H. A.; Farhoosh, R.; Aldema, M. L.; DeCoster, B.; Christensen, R. L.; Gebhard, R.; Lugtenburg, J. Photochem. Photobiol. 1993, 57, 49. Farhoosh, R.; Chynwat, V.; Gebhard, R.; Lugtenburg, J.; Frank, H. A. Photosynth. Res. 1994, 42, 157), provide a systematic series of molecules for understanding the molecular features that determine the mechanism of energy transfer from carotenoids to BChl in photosynthetic bacterial light-harvesting complexes. The data support the hypothesis that only carotenoids having 10 or less carbon-carbon double bonds transfer energy via their 21Ag (S1) states to BChl to any significant degree. Energy transfer via the 11Bu (S2) state of the carotenoid becomes more important than the S1 route as the number of conjugated carbon-carbon double bonds increases. The results also suggest that the S2 state associated with the Qx transition of the B850 BChl is the most likely acceptor state for energy transfer originating from both the 21Ag (S1) and 11Bu (S2) states of all carotenoids.</t>
  </si>
  <si>
    <t>8151-8162</t>
  </si>
  <si>
    <t>60022659;60022659;60070193;60070193;60070193;60028609;60028609-60007363;60029526;60029526;60022659</t>
  </si>
  <si>
    <t>6506678929;6603543639;6602229207;7102799542;7006085551;6701530168;7005602540;6603056923;7006535218;7201842354</t>
  </si>
  <si>
    <t>Desamero, Ruel Z.B.;Chynwat, Veeradej;Van Der Hoef, Ineke;Jansen, Frans Jos;Lugtenburg, Johan;Gosztola, David;Wasielewski, Michael R.;Cua, Agnes;Bocian, David F.;Frank, Harry A.</t>
  </si>
  <si>
    <t>Netherlands;United States;United States;United States;United States</t>
  </si>
  <si>
    <t>Leiden;Riverside;Lemont;Storrs;Evanston</t>
  </si>
  <si>
    <t>Gorlaeus Laboratory;University of California, Riverside;Argonne National Laboratory;University of Connecticut;Northwestern University</t>
  </si>
  <si>
    <t>60070193;60029526;60028609;60022659;60007363</t>
  </si>
  <si>
    <t>Desamero R.Z.B.</t>
  </si>
  <si>
    <t>Mechanism of energy transfer from carotenoids to bacteriochlorophyll: Light-harvesting by carotenoids having different extents of œÄ-electron conjugation incorporated into the B850 antenna complex from the carotenoidless bacterium Rhodobacter sphaeroides R-26.1</t>
  </si>
  <si>
    <t>10.1021/jp980911j</t>
  </si>
  <si>
    <t>2-s2.0-11744291937</t>
  </si>
  <si>
    <t>['solvatochromic effects', 'relatively safe', 'raman spectra', 'protein matrix', 'previous work', 'pigments within', 'pigment molecules', 'pigment interactions', 'photosynthetic complexes', 'paper represents', 'high pressure', 'first application', 'biological molecules', 'binding site', 'absorption spectrum', 'absorption spectra', '625 mpa']</t>
  </si>
  <si>
    <t>In this paper we examine the effect of pressure on the absorption spectrum and binding site of the core antenna complex from the photosynthetic bacterium Rhodospirillum rubrum. Absorption spectra and Raman spectra in preresonance with the Q(y) transition of the bacteriochlorophyll a were studied at pressures up to 625 MPa. In agreement with previous work we observe a pressure-induced red shift and broadening of the absorption spectrum. We show that at these pressures the pigments within the protein matrix at room temperature experience little if any distortion, and the hydrogen-bonding network involving the C2 and C9 carbonyl groups of the pigment molecules are undisturbed. Having shown the lack of sensitivity to pressure of the binding site interactions, which are known to modulate the absorption spectrum, we feel that it is relatively safe to attribute the pressure-induced red shift broadly to solvatochromic effects and, in particular, to the modulation of the pigment-pigment interactions by the pressure. This paper represents the first vibrational study of photosynthetic complexes at high pressure and the first application of FT Raman spectroscopy to biological molecules at high pressure.</t>
  </si>
  <si>
    <t>14875-14880</t>
  </si>
  <si>
    <t>60007816;60007816;60068856;60068856;60007816</t>
  </si>
  <si>
    <t>7004230215;7004341328;6602997654;7005109792;7103125115</t>
  </si>
  <si>
    <t>Sturgis, James N.;Gall, Andrew;Ellervee, Aleksandr;Freiberg, Arvi;Robert, Bruno</t>
  </si>
  <si>
    <t>Estonia;France</t>
  </si>
  <si>
    <t>Tartu;Gif-sur-Yvette</t>
  </si>
  <si>
    <t>Tartu √úlikool;Commissariat a L'Energie Atomique CEA</t>
  </si>
  <si>
    <t>60068856;60007816</t>
  </si>
  <si>
    <t>Sturgis J.N.</t>
  </si>
  <si>
    <t>The effect of pressure on the bacteriochlorophyll a binding sites of the core antenna complex from Rhodospirillum rubrum</t>
  </si>
  <si>
    <t>10.1021/bi9810003</t>
  </si>
  <si>
    <t>2-s2.0-0032552883</t>
  </si>
  <si>
    <t>['whose amplitudes', 'value indicates', 'triplet yield', 'triplet states', 'triplet state', 'strongly dependent', 'redox state', 'redox conditions', 'reaction center', 'primary donor', 'possibly involving', 'organic solvents', 'heliobacterium chlorum', 'field transitions', 'detected belonging', 'cryogenic temperatures', 'considerable heterogeneity', 'conclude therefore', 'antenna pigments', '814 nm', '705 mhz', '5 mhz', '230 mhz', '227 mhz', '2 k']</t>
  </si>
  <si>
    <t>The triplet states of antenna and reaction center bacteriochlorophyll (BChl) g in membranes of Heliobacterium chlorum were studied by optically detected magnetic resonance in zero magnetic field, using absorbance detection. A variety of triplet states was detected, which were all localized on single BChl g chromophores as concluded from a comparison with the triplet state of monomeric BChl g in organic solvents. With the aid of the microwave- induced absorbance difference spectra, we assign a triplet state with zero- field splitting parameters |D| = 727.5 and |E| = 254.5 MHz to that of the primary donor. The low |E| value indicates that the BChls of the primary donor are monoligated. The intensities of the zero-field transitions were strongly dependent on the redox state of the secondary electron acceptors. A triplet state with |D| = 690-705 MHz and |E| =230 MHz, present under all redox conditions, is associated with antenna BChl g absorbing at 814 nm. Its triplet yield was independent of the redox conditions; we conclude therefore that the antenna chromophores absorbing at 814 nm are not connected with the reaction center at cryogenic temperatures (1.2 K). In addition, relatively strong signals were detected belonging to triplet states with |D| and |E| of 663-680 and 220-227 MHz, respectively, whose amplitudes were dependent on the redox conditions. Triplet states with these zero-field splitting parameters are located on antenna chromophores absorbing between 798-814 nm; their zero-field transitions and absorbance difference spectra indicate a considerable heterogeneity. The concentration of triplet states of antenna chromophores absorbing around 800 nm decreased markedly upon prolonged excitation at 1.2 K. This phenomenon is attributed to quenching of excitations on antenna pigments by stable charge separation in the closely connected reaction center, possibly involving a low-quantum yield menaquinone electron acceptor.</t>
  </si>
  <si>
    <t>14900-14909</t>
  </si>
  <si>
    <t>60003878;60003878;60003878</t>
  </si>
  <si>
    <t>6602749184;6603444401;7103325525</t>
  </si>
  <si>
    <t>Vrieze, J.;Van De Meent, E. J.;Hoff, A. J.</t>
  </si>
  <si>
    <t>Sterrewacht Leiden</t>
  </si>
  <si>
    <t>Vrieze J.</t>
  </si>
  <si>
    <t>Triplet properties and interactions of the primary electron donor and antenna chromophores in membranes of Heliobacterium chlorum, studied with ADMR spectroscopy</t>
  </si>
  <si>
    <t>10.1021/bi981207w</t>
  </si>
  <si>
    <t>2-s2.0-0032552890</t>
  </si>
  <si>
    <t>['xanthophyll present', 'xanthophyll composition', 'xanthophyll class', 'type rates', 'third mutant', 'substitutes zeaxanthin', 'stoichiometric increase', 'selectively eliminate', 'results suggest', 'respective roles', 'replaced mainly', 'remarkably conserved', 'rapid rise', 'optimal assembly', 'often lethal', 'normal complement', 'nonphotochemical quenching', 'near wild', 'mutant lines', 'lutein contributes', 'lutein contribute', 'individual xanthophylls', 'higher plants', 'critical roles', 'carotenoids perform']</t>
  </si>
  <si>
    <t>Collectively, the xanthophyll class of carotenoids perform a variety of critical roles in light harvesting antenna assembly and function. The xanthophyll composition of higher plant photosystems (lutein, violaxanthin, and neoxanthin) is remarkably conserved, suggesting important functional roles for each. We have taken a molecular genetic approach in Arabidopsis toward defining the respective roles of individual xanthophylls in vivo by using a series of mutant lines that selectively eliminate and Substitute a range of xanthophylls. The mutations, lut1 and lut2 (lut= lutein deficient), disrupt lutein biosynthesis. In lut2, lutein is replaced mainly by a stoichiometric increase in violaxanthin and antheraxanthin. A third mutant, aba1, accumulates normal levels of lutein and substitutes zeaxanthin for violaxanthin and neoxanthin. The lut2aba1 double mutant completely lacks lutein, violaxanthin, and neoxanthin and instead accumulates zeaxanthin. All mutants were viable in soil and had chlorophyll a/b ratios ranging from 2.9 to 3.5 and near wild-type rates of photosynthesis. However, mutants accumulating zeaxanthin exhibited a delayed greening virescent phenotype, which was most severe and often lethal when zeaxanthin was the only xanthophyll present. Chlorophyll fluorescence quenching kinetics indicated that both zeaxanthin and lutein contribute to nonphotochemical quenching; specifically, lutein contributes, directly or indirectly, to the rapid rise of nonphotochemical quenching. The results suggest that the normal complement of xanthophylls, while not essential, is required for optimal assembly and function of the light harvesting antenna in higher plants.</t>
  </si>
  <si>
    <t>13324-13329</t>
  </si>
  <si>
    <t>60003892;60121355;60024613;60001769</t>
  </si>
  <si>
    <t>6701345805;7003777478;7004044029;7003974967</t>
  </si>
  <si>
    <t>Pogson, Barry J.;Niyogi, Krishna K.;Bj√∂rkman, Olle;DellaPenna, Dean</t>
  </si>
  <si>
    <t>Berkeley;Washington, D.C.;Tempe;Reno</t>
  </si>
  <si>
    <t>Department of Plant &amp; Microbial Biology;Carnegie Institution of Washington;Arizona State University;University of Nevada, Reno</t>
  </si>
  <si>
    <t>60121355;60024613;60003892;60001769</t>
  </si>
  <si>
    <t>Pogson B.</t>
  </si>
  <si>
    <t>Altered xanthophyll compositions adversely affect chlorophyll accumulation and nonphotochemical quenching in Arabidopsis mutants</t>
  </si>
  <si>
    <t>10.1073/pnas.95.22.13324</t>
  </si>
  <si>
    <t>2-s2.0-0032573152</t>
  </si>
  <si>
    <t>['treatment alternatives', 'treated using', 'slow increase', 'shock strategy', 'rapid increase', 'prostatic apex', 'maximum flow', 'life scores', 'least similar', 'intraprostatic temperatures', 'helical antenna', 'four patients', 'flow variables', 'flow results', 'flow outcome', 'detrusor pressure', 'compare pressure', 'better pressure', '3 months', '25 patients']</t>
  </si>
  <si>
    <t>Higher energy | Microwave thermotherapy | Pressure-flow | Prostatic hyperplasia</t>
  </si>
  <si>
    <t>Objective. To compare pressure-flow results before and 3 months after transurethral microwave thermotherapy (TUMT) for benign prostatic hyperplasia (BPH), performed with lower and higher energy protocols. Patients and methods. Twenty-four patients were treated using a high-energy protocol performed with a heat-shock strategy, i.e. a rapid increase in intraprostatic temperatures to a maximum of 55-67¬∞C. A helical antenna was used which produced maximum heating at the base of the prostate. A further 25 patients were treated using a lower energy protocol with a slow increase in intraprostatic temperatures to a maximum of 45-53¬∞C. A first-generation filament antenna was used with the maximum heat produced at the prostatic apex. All treatments were performed as single-session outpatient procedures of 60-70 min duration. Results. There was a significantly greater improvement in pressure-flow variables, i.e. maximum urinary flow rate, detrusor pressure at maximum flow and minimal urethral opening pressure, in those treated with higher energy TUMT than in those receiving the lower energy protocol. The Madsen and quality-of-life scores, and maximum urinary flow rate on uroflowmetry, were also significantly better in the higher energy group. Conclusion. Higher energy TUMT performed using a heat-shock strategy provides a better pressure-flow outcome than lower energy thermotherapy. Compared with previously published results, the outcome after higher energy TUMT is at least similar to other treatment alternatives for BPH.</t>
  </si>
  <si>
    <t>513-519</t>
  </si>
  <si>
    <t>British Journal of Urology</t>
  </si>
  <si>
    <t>60031040;60019295;60031040</t>
  </si>
  <si>
    <t>7004857194;7007149688;6603191345</t>
  </si>
  <si>
    <t>Eliasson, T.;Damber, J. E.;Teri√∂, H.</t>
  </si>
  <si>
    <t>Sweden;Sweden</t>
  </si>
  <si>
    <t>Umea;Stockholm</t>
  </si>
  <si>
    <t>Ume√• Universitet;Karolinska University Hospital</t>
  </si>
  <si>
    <t>60031040;60019295</t>
  </si>
  <si>
    <t>Pressure-flow studies before and after transurethral microwave thermotherapy of benign prostatic hyperplasia using low- and high-energy protocols</t>
  </si>
  <si>
    <t>10.1046/j.1464-410X.1998.00770.x</t>
  </si>
  <si>
    <t>2-s2.0-0031721458</t>
  </si>
  <si>
    <t>3100-046860.96/1</t>
  </si>
  <si>
    <t>['simulated acceptably', 'redox reactions', 'psii population', 'psii centres', 'psii ).', 'possible applications', 'physiological state', 'photosystem ii', 'intrusive probe', 'intact leaves', 'homogeneous population', 'called non', 'average values', 'antenna system', 'antenna size', 'acceptor side']</t>
  </si>
  <si>
    <t>Cooperativity | Fast fluorescence transient | Grouping | JIP-Test | Numerical simulation</t>
  </si>
  <si>
    <t>The in vivo variable fluorescence of chlorophyll a is used as a non-intrusive probe of the physiological state of intact leaves. It was established that the origin of this signal is the antenna system of photosystem II (PSII). The PSII population is heterogeneous with respect to antenna size, connectivity, electron transport activity, and localization. In this paper we have simulated the effect of these heterogeneities on the fluorescence transient using a mathematical model based on the redox reactions from the acceptor side of PSII. We have concluded that the systems with heterogeneous antenna size and connectivity can be simulated acceptably with a homogeneous population of PSII centres having average values for antenna size and the connectivity constant C. However, this is not possible if there are inactive PSII centres in the system (the so-called non-QB active centres). Finally, we have presented some possible applications of these types of simulations. ¬© 1998 IMACS/Elsevier Science B.V.</t>
  </si>
  <si>
    <t>Mathematics and Computers in Simulation</t>
  </si>
  <si>
    <t>60004718;60004718-60001478</t>
  </si>
  <si>
    <t>7102071600;6603417677</t>
  </si>
  <si>
    <t>Strasser, Reto J.;Stirbet, Alexandrina D.</t>
  </si>
  <si>
    <t>Switzerland;Romania</t>
  </si>
  <si>
    <t>Geneva;Bucharest</t>
  </si>
  <si>
    <t>Universit√© de Gen√®ve;Universitatea din Bucuresti</t>
  </si>
  <si>
    <t>60004718;60001478</t>
  </si>
  <si>
    <t>Strasser R.J.</t>
  </si>
  <si>
    <t>Heterogeneity of photosystem II probed by the numerically simulated chlorophyll a fluorescence rise (O-J-I-P)</t>
  </si>
  <si>
    <t>S0378475498001505</t>
  </si>
  <si>
    <t>10.1016/s0378-4754(98)00150-5</t>
  </si>
  <si>
    <t>2-s2.0-0002589305</t>
  </si>
  <si>
    <t>['spectrum monitoring', 'research programs', 'research laboratories', 'product developments', 'paper describes', 'military applications', 'including concepts', 'growing number', 'going activity', 'electronic warfare', 'csf communications', 'based upon', 'active participation', '20 engineers']</t>
  </si>
  <si>
    <t>Adaptive antenna | Array antenna | Cellular network | Electronic warfare | Frequency monitoring | GSM | HF | Mobile radiocommunication | Multiple access | Research and development | Research program | Signal processing | Telecommunication industry | Thomson</t>
  </si>
  <si>
    <t>This paper describes the on-going activity on smart antenna systems at Thomson-CSF Communications (TCC) including concepts, prototypes and product developments. These smart antenna systems are dedicated to both civilian and military applications, to radiocommunications as well as electronic warfare or spectrum monitoring. This activity is based upon a team of 20 engineers and a growing number of collaboration with research laboratories in France and within the EEC through the active participation in research programs.</t>
  </si>
  <si>
    <t>466-482</t>
  </si>
  <si>
    <t>60019269;60019269</t>
  </si>
  <si>
    <t>57191195314;7102614599</t>
  </si>
  <si>
    <t>Demeure, C√©dric;Chevalier, Pascal</t>
  </si>
  <si>
    <t>Puteaux</t>
  </si>
  <si>
    <t>Thales Group</t>
  </si>
  <si>
    <t>Demeure C.</t>
  </si>
  <si>
    <t>The smart antennas at Thomson-CSF communications: Concepts, implementations, performances and applications</t>
  </si>
  <si>
    <t>2-s2.0-0003797458</t>
  </si>
  <si>
    <t>['uplink processing', 'processing uplink', 'possible implementation', 'may turn', 'lesser studied', 'high interest', 'handled well', 'gsm case', 'first explains', 'downlink processing', 'base station']</t>
  </si>
  <si>
    <t>Adaptive antenna | Arrival angle | Beamforming | Cellular network | Frequency conversion | GSM | Mobile radiocommunication | Space diversity | Statistical estimation</t>
  </si>
  <si>
    <t>This paper is concerned with the possible implementation of antenna array processing at the base station of cellular radiomobile networks, typically the GSM case. It first explains how those antennas would increase the capacity of such a network, processing uplink as well as downlink. Then the attention is focused on downlink processing, that has been lesser studied than uplink processing and is a more difficult case due to frequency duplex division, but remains of high interest because it may turn into a bottleneck if not handled well. A criterion for transmit and some solutions to optimize it are then suggested and compared, before we conclude.</t>
  </si>
  <si>
    <t>435-448</t>
  </si>
  <si>
    <t>60014541;60014541;60014541;125167931</t>
  </si>
  <si>
    <t>7003460449;7102608789;7801514935;6602186195</t>
  </si>
  <si>
    <t>Ast√©, Thierry;Forster, Philippe;F√©ty, Luc;Mayrargue, Sylvie</t>
  </si>
  <si>
    <t>Paris;</t>
  </si>
  <si>
    <t>Conservatoire National des Arts et Metiers;CNET/DMR/ATH</t>
  </si>
  <si>
    <t>60014541;125167931</t>
  </si>
  <si>
    <t>Ast√© T.</t>
  </si>
  <si>
    <t>Downlink beamforming for cellular mobile communications (GSM system)</t>
  </si>
  <si>
    <t>2-s2.0-0003898751</t>
  </si>
  <si>
    <t>['results define', 'paper investigates', 'fading characteristics', 'coupling ).', 'compact space', 'antenna array', 'angular spread']</t>
  </si>
  <si>
    <t>Antenna array | Code division multiple access | Covariance matrix | Error probability | Experimental result | Mobile radiocommunication | Sensitivity | Signal to noise ratio | Space diversity | Theoretical study</t>
  </si>
  <si>
    <t>This paper investigates the performance of a compact space-time diversity receiver for mobile communication systems. Expressions for the bit error rate and outage mean SNR are derived as a function of the channel covariance matrix. These results define the sensitivity of the performance of such a receiver to the environment (fading characteristics and angular spread) and the antenna array (geometry and coupling). Furthermore, these results are validated for a practical antenna system.</t>
  </si>
  <si>
    <t>425-434</t>
  </si>
  <si>
    <t>60032006;60121655-60032503;60099663</t>
  </si>
  <si>
    <t>6602895840;35602298100;6602546346</t>
  </si>
  <si>
    <t>Diouris, Jean Fran√ßois;Zeidler, James;Buljore, Soodesh</t>
  </si>
  <si>
    <t>United States;France;United States;France</t>
  </si>
  <si>
    <t>San Diego;Saint-Aubin;San Diego;Nantes</t>
  </si>
  <si>
    <t>The Electrical and Computer Engineering Department;Motorola France;Space and Naval Warfare Systems Center San Diego;Universit√© de Nantes</t>
  </si>
  <si>
    <t>60121655;60099663;60032503;60032006</t>
  </si>
  <si>
    <t>Diouris J.F.</t>
  </si>
  <si>
    <t>Space-path diversity in CDMA using a compact array</t>
  </si>
  <si>
    <t>2-s2.0-0004703535</t>
  </si>
  <si>
    <t>Ta 82/7-1</t>
  </si>
  <si>
    <t>['standing laterally', 'several factors', 'separate substrata', 'sealed cells', 'open cells', 'light conditions', 'least attracted', 'infrared light', 'glassplate bees', 'distance depends', 'dances illuminated', 'dancer bee', 'dance group', 'dance follower', 'dance floor', 'antennal contact']</t>
  </si>
  <si>
    <t>Dance communication | Dance followers | Honeybee | Waggle dance</t>
  </si>
  <si>
    <t>In the vicinity of a dancer, a honeybee can become a dance follower after touching the dancer or a dance follower with an antenna. If the attraction occurs without such antennal contact, the strength of the attraction over distance depends on several factors: the kind of dance floor (empty open cells versus capped brood cells); whether dancers and dance followers stand on the same substratum or on separate substrata; the position and direction of the attracted bee relative to the dancer bee; the size of the dance group (the dancer plus follower bees); and the light conditions under which the dance takes place. Dances on open cells are significantly more attractive than dances on sealed cells. Dancers on open cells attracted 90% of all followers from within 27 mm (about five to six cell diameters). Dancers on sealed cells attracted 90% of all followers within 18 mm (about three cell diameters). The majority of bees that were attracted by the dancer were standing laterally to the dancer. Dances illuminated by artificial visible light are significantly more attractive than dances illuminated by infrared light. As a group, 'glassplate bees' (bees standing mechanically isolated from the dancer bee) were least attracted.</t>
  </si>
  <si>
    <t>661-667</t>
  </si>
  <si>
    <t>60012689;60012689</t>
  </si>
  <si>
    <t>7004559400;6602656603</t>
  </si>
  <si>
    <t>Tautz, J.;Rohrseitz, K.</t>
  </si>
  <si>
    <t>Wurzburg</t>
  </si>
  <si>
    <t>Julius-Maximilians-Universit√§t W√ºrzburg</t>
  </si>
  <si>
    <t>Tautz J.</t>
  </si>
  <si>
    <t>What attracts honeybees to a waggle dancer?</t>
  </si>
  <si>
    <t>10.1007/s003590050289</t>
  </si>
  <si>
    <t>2-s2.0-0031730561</t>
  </si>
  <si>
    <t>Nederlandse Organisatie voor Wetenschappelijk Onderzoek</t>
  </si>
  <si>
    <t>NWO</t>
  </si>
  <si>
    <t>['used donors', 'total amount', 'tetraantennary fraction', 'structures containing', 'specific feature', 'sda determinant', 'repeating n', 'released tetra', 'one compound', 'horsfall glycoprotein', 'higher expression', 'glycan moiety', 'five n', 'enzymatically released', 'donor specific', 'display n', 'different donors', 'carbohydrate moiety', 'carbohydrate chains', 'branch location', 'better accessibility', 'additional n', 'active pentasaccharide', 'acetyllactosamine units', 'acetyllactosamine unit', 'acetyllactosamine elongation', '718 œºg']</t>
  </si>
  <si>
    <t>Carbohydrate | Donor specificity | N-acetyllactosamine repeat | NMR | Tamm-Horsfall glycoprotein</t>
  </si>
  <si>
    <t>Previously, treatment of Tamm-Horsfall glycoprotein (THp) from different donors with endo-Œ≤-galactosidase has been shown to liberate a tetra- and a Sda-active pentasaccharide, concluding the presence of N-linked carbohydrate chains containing additional N-acetyllactosamine units. These type of oligosaccharides were not found in a detailed structure elucidation of the carbohydrate moiety of THp of one male donor, suggesting a donor-specific feature for these type of structures. Therefore, THp was isolated from four healthy male donors and each subjected to endo-Œ≤-galactosidase treatment in order to release these tetra- and Sda-active pentasaccharide. Differences were observed in the total amount of released tetra- and Sda-active pentasaccharide of the used donors (42, 470, 478, 718 Œºg/100 mg THp), indicating that the presence of repeating N-acetyllactosamine units incorporated into the N-glycan moiety of THp is donor specific. Furthermore, a higher expression of the Sda determinant on antennae which display N-acetyllactosamine elongation was observed, suggesting a better accessibility for the Œ≤-N-acetylgalactosaminyltransferase. In order to characterize the N-glycans containing repeating N-acetyllactosamine units, carbohydrate chains were enzymatically released from THp and isolated. The tetraantennary fraction, which accounts for more than 33% of the total carbohydrate moiety of THp, was used to isolate oligosaccharides containing additional N-acetyllactosamine units. Five N-linked tetraantennary oligosaccharides containing a repeating N-acetyllactosamine unit were identified, varying from structures bearing four Sda determinants to structures containing no Sda determinant. One compound was used in order to specify the branch location of the additional N-acetyllactosamine unit, and it appeared that only the Gal-6' and Gal-8' residues were occupied by a repeating N-acetyllactosamine unit.</t>
  </si>
  <si>
    <t>1065-1075</t>
  </si>
  <si>
    <t>Glycobiology</t>
  </si>
  <si>
    <t>60010954;60010954;60010954</t>
  </si>
  <si>
    <t>36908656200;7102491429;35473444200</t>
  </si>
  <si>
    <t>Van Rooijen, Johannes J.M.;Kamerling, Johannis P.;Vliegenthart, Johannes F.G.</t>
  </si>
  <si>
    <t>Van Rooijen J.</t>
  </si>
  <si>
    <t>The abundance of additional N-acetyllactosamine units in N-linked tetraantennary oligosaccharides of human Tamm-Horsfall glycoprotein is a donor-specific feature</t>
  </si>
  <si>
    <t>10.1093/glycob/8.11.1065</t>
  </si>
  <si>
    <t>2-s2.0-0031764961</t>
  </si>
  <si>
    <t>['output power', 'multifactorial anova', 'mobile phone', 'five parameters', 'electrophysiological marker', 'described exposure', 'confounding effects', 'cns dysfunction', 'authors performed', '5 w', '5 minutes']</t>
  </si>
  <si>
    <t>Electromagnetic fields | Mobile phone | Visual evoked potentials</t>
  </si>
  <si>
    <t>To search for a potential negative influence on the central nervous system (CNS) of the electromagnetic field emitted by a mobile phone, the authors performed a pilot experimental study of the influence of a single short acute exposure to the GSM mobile phone Motorola 8700, using visual evoked potentials (VEP) examination as an electrophysiological marker of CNS dysfunction. The study group consisted of 20 healthy volunteers. The duration of exposure was 5 minutes. The output power of the device was 1.5 W when the antenna was pulled up. Five parameters of VEP were evaluated by means of multifactorial ANOVA. Confounding effects of age, sex, and of the call in itself were taken into consideration. No statistically significant influence of the above-described exposure to the electromagnetic field emitted by the mobile phone on amplitudes of VEP was observed.</t>
  </si>
  <si>
    <t>288-290</t>
  </si>
  <si>
    <t>Central European Journal of Public Health</t>
  </si>
  <si>
    <t>60012911;60012911;60012911</t>
  </si>
  <si>
    <t>7103252218;7004756994;7006418893</t>
  </si>
  <si>
    <t>Urban, P.;Luk√°≈°, E.;Roth, Z.</t>
  </si>
  <si>
    <t>National Institute of Public Health Prague</t>
  </si>
  <si>
    <t>Urban P.</t>
  </si>
  <si>
    <t>Does acute exposure to the electromagnetic field emitted by a mobile phone influence visual evoked potentials? A pilot study</t>
  </si>
  <si>
    <t>2-s2.0-0031785802</t>
  </si>
  <si>
    <t>['wafer stage', 'unpatterned polysilicon', 'two films', 'tool state', 'time etch', 'temporal optical', 'situ two', 'sio2 films', 'simultaneous etch', 'real time', 'rate selectivity', 'rate ratios', 'gas pressure', 'flow rates', 'etched simultaneously', 'etched separately', 'etch selectivity', 'etch rates', 'etch rate', 'etch radicals', 'dependent density', 'density characterization', 'computer controlled', 'chlorine discharge', 'atomic chlorine']</t>
  </si>
  <si>
    <t>Real-time etch-rate selectivity of thin transparent films is determined within seconds by an in situ two-colour laser interferometer. Two-point laser reflectrometry is used to determine the etch rates and etch selectivity of unpatterned polysilicon and SiO2 films. The state of a magnetically confined inductively coupled plasma tool used in the experiments, including rf power to the antenna and the wafer stage, gas pressure and flow rates, is computer controlled and monitored. The dependence of the etch selectivity on tool state parameters is characterized in real time by varying the tool state and monitoring the etch rate of the films. The etch rate measurements have been combined with density characterization of the etch radicals in the discharge. The time-dependent density of atomic chlorine during the process is obtained by temporal optical-emission actinometry combined with in-line mass spectrometry from a pressure calibrated residual gas analyser. The etch selectivity of polysilicon to SiO2 in a chlorine discharge, determined by a simultaneous etch of both films, differs from the etch-rate ratios of the films when they are etched separately. It is suggested that this difference is due to the presence of oxygen in the polysilicon etch process when the two films are etched simultaneously.</t>
  </si>
  <si>
    <t>60032179-60012222;60032179;60032179;60032179;60032179</t>
  </si>
  <si>
    <t>Sarfaty, Moshe;Baum, Chris;Harper, Michael;Hershkowitz, Noah;Shohet, J. Leon</t>
  </si>
  <si>
    <t>Madison;Santa Clara</t>
  </si>
  <si>
    <t>University of Wisconsin-Madison;Applied Materials Incorporated</t>
  </si>
  <si>
    <t>60032179;60012222</t>
  </si>
  <si>
    <t>Real-time determination of plasma etch-rate selectivity</t>
  </si>
  <si>
    <t>S0963025298976320</t>
  </si>
  <si>
    <t>10.1088/0963-0252/7/4/015</t>
  </si>
  <si>
    <t>2-s2.0-0032202363</t>
  </si>
  <si>
    <t>['single antenna', 'rf power', 'much higher', 'helicon discharge', 'gas depletion', 'density limit', '2 kw']</t>
  </si>
  <si>
    <t>To produce the highest possible density in a helicon discharge, two helical antennas were used to launch m = +1 waves colliding at the midplane. With 2 kW of RF power on each antenna, a maximum plasma density of 8 √ó 1013 cm-3 was achieved, not much higher than with a single antenna. This density limit is explained by gas depletion, and a method to avoid this is suggested.</t>
  </si>
  <si>
    <t>537-549</t>
  </si>
  <si>
    <t>Density limit in helicon discharges</t>
  </si>
  <si>
    <t>S0963025298969845</t>
  </si>
  <si>
    <t>10.1088/0963-0252/7/4/011</t>
  </si>
  <si>
    <t>2-s2.0-0032202691</t>
  </si>
  <si>
    <t>['time array', 'jammer multipath', 'cancelled using', 'adaptive space']</t>
  </si>
  <si>
    <t>It is demonstrated by simulation that jammers and jammer multipath can be cancelled using an adaptive space-time array, leading to nearly ideal GPS performance.</t>
  </si>
  <si>
    <t>60012564;60012564</t>
  </si>
  <si>
    <t>7006009447;7801492586</t>
  </si>
  <si>
    <t>Fante, Ronald L.;Vacarro, John J.</t>
  </si>
  <si>
    <t>McLean</t>
  </si>
  <si>
    <t>MITRE Corporation</t>
  </si>
  <si>
    <t>Fante R.</t>
  </si>
  <si>
    <t>Cancellation of jammers and jammer multipath in a GPS receiver</t>
  </si>
  <si>
    <t>10.1109/62.730617</t>
  </si>
  <si>
    <t>2-s2.0-0032203051</t>
  </si>
  <si>
    <t>Department of Electrical and Computer Engineering, University of Texas at Dallas</t>
  </si>
  <si>
    <t>ECE, UTD</t>
  </si>
  <si>
    <t>['system permits', 'simulation environment', 'named webmath', 'mathematica commands', 'line execution', 'java applets', 'deferred output', 'antenna education']</t>
  </si>
  <si>
    <t>An on-line asynchronus learning and simulation environment for antenna education is described. The simulation environment revolves around a Web-based mathematica gateway, named WebMath. WebMath accepts standard common gateway interface input from forms and Java applets and applications. The system permits the on-line execution of mathematica commands with immediate or deferred output and acts as a front-end to external computational engines. Beyond conventional mathematica kernel output, WebMath provides optional animations and virtual reality modeling language renditions. Several examples demonstrate how WebMath can be used in an introductory antenna course as a supplement to traditional teaching methods.</t>
  </si>
  <si>
    <t>Mathematica-assisted Web-based antenna education</t>
  </si>
  <si>
    <t>10.1109/TE.1998.787379</t>
  </si>
  <si>
    <t>2-s2.0-0032203780</t>
  </si>
  <si>
    <t>['two polynomials', 'rational function', 'obtained using', 'numerical results', 'numerical calculations', 'mom technique', 'input characteristics', 'individual frequencies', 'hybrid fem', 'good agreement', 'frequency range', 'frequency derivatives', 'fast computation', 'electric field', 'differential equation', 'cpu timings']</t>
  </si>
  <si>
    <t>Model Based Parameter Estimation (MBPE) is presented in conjunction with the hybrid Finite Element Method (FEM)/Method of Moments (MoM) technique for fast computation of the input characteristics of cavity-backed aperture antennas over a frequency range. The hybrid FEM/ MoM technique is used to form an integro-partial-differential equation to compute the electric field distribution of a cavity-backed aperture antenna. In MBPE, the electric field is expanded as a rational function of two polynomials. The coefficients of the rational function are obtained using the frequency derivatives of the integro-partial-differential equation formed by the hybrid FEM/MoM technique. Using the rational function approximation, the electric field is calculated and the input characteristics of the antenna are obtained over the frequency range. Numerical results for an open coaxial line and a cavity-backed microstrip patch antenna are presented. Good agreement between MBPE and the solutions over individual frequencies is observed. CPU timings for all numerical calculations are presented.</t>
  </si>
  <si>
    <t>283-290</t>
  </si>
  <si>
    <t>60031249;60025331;60000854;60000854</t>
  </si>
  <si>
    <t>7403176992;7102211143;7004414709;7202917810</t>
  </si>
  <si>
    <t>Reddy, C. J.;Deshpande, M. D.;Cockrell, C. R.;Beck, F. B.</t>
  </si>
  <si>
    <t>Hampton;Hampton;Hampton</t>
  </si>
  <si>
    <t>Hampton University;ViGYAN, Inc.;NASA Langley Research Center</t>
  </si>
  <si>
    <t>60031249;60025331;60000854</t>
  </si>
  <si>
    <t>Reddy C.</t>
  </si>
  <si>
    <t>Fast frequency response calculations of cavity-backed aperture antennas using hybrid FEM/MoM technique in conjunction with model based parameter estimation</t>
  </si>
  <si>
    <t>2-s2.0-0032203913</t>
  </si>
  <si>
    <t>['using equivalence', 'two subroutines', 'three versions', 'three geometries', 'periodic structures', 'one version', 'fields due', 'electromagnetic sources', 'current sheets', 'circular cylindrical', 'appropriate subproblems']</t>
  </si>
  <si>
    <t>We introduce an algorithm for calculating spectral domain Green's functions of planar, circular cylindrical and spherical multilayer structures. The three spectral domain problems are interpreted as multilayer spatial domain problems with electromagnetic sources in the forms of current sheets, tubes and shells, respectively, and with harmonic spatial variation. The algorithm, which is the same for all three geometries, is based on dividing these three field problems into appropriate subproblems by using equivalence, and on determining the tangential field components at the interfaces between the layers of the structure. The algorithm is implemented into three versions of a Fortran routine called G1DMULT, one version for each geometry. The only difference between the three versions is in two subroutines which calculate the fields due to harmonic current sheets, tubes and shells, respectively, located in an infinite homogeneous material. We have tested the routine by calculating the properties of microstrip patch antennas and periodic structures.</t>
  </si>
  <si>
    <t>243-254</t>
  </si>
  <si>
    <t>60159855;60000990;60000990;60024411</t>
  </si>
  <si>
    <t>7003852951;7101988263;6506366190;8380618500</t>
  </si>
  <si>
    <t>≈†ipu≈°, Zvonimir;Kildal, Per Simon;Leijon, Robert;Johansson, Martin</t>
  </si>
  <si>
    <t>Croatia;Sweden;Sweden</t>
  </si>
  <si>
    <t>Zagreb;Molndal;Gothenburg</t>
  </si>
  <si>
    <t>University of Zagreb, Faculty of Electrical Engineering and Computing;Ericsson Microwave Systems AB;Chalmers University of Technology</t>
  </si>
  <si>
    <t>60159855;60024411;60000990</t>
  </si>
  <si>
    <t>≈†ipu≈° Z.</t>
  </si>
  <si>
    <t>An algorithm for calculating Green's functions of planar, circular cylindrical, and spherical multilayer substrates</t>
  </si>
  <si>
    <t>2-s2.0-0032204286</t>
  </si>
  <si>
    <t>['technique solves', 'technique based', 'propagation characteristics', 'presented showing', 'parametric surfaces', 'one presents', 'iterative scheme', 'high degree', 'electromagnetic methods', 'cpu time', 'body surface', 'best relationship', 'based method', 'arbitrary structures', 'approximate expressions', 'analysis avoiding']</t>
  </si>
  <si>
    <t>A technique based on an iterative scheme and a current-based method has been developed to determine the scattering and propagation characteristics of arbitrary structures and environments. To obtain a high degree of accuracy, parametric surfaces (NURBS) have been used to model the body surface. The technique solves the MFIE (Magnetic Field Integral Equation) defined over the body surface. The aim of the method is to make the analysis avoiding the memory and CPU time restrictions imposed by low frequency methods such as Method of Moments. Approximate expressions, based on dipole moment formulations, are applied to speed-up the calculations. Two initial guesses for the CGM (Conjugate Gradient Method) have been compared in order to see which one presents the best relationship between convergence and CPU time. Results are presented showing the behavior of the developed methods comparing them with measurements and other electromagnetic methods.</t>
  </si>
  <si>
    <t>272-282</t>
  </si>
  <si>
    <t>60015179;60027800</t>
  </si>
  <si>
    <t>7005302312;15842946800</t>
  </si>
  <si>
    <t>Conde, Olga M.;C√°tedra, Manuel F.</t>
  </si>
  <si>
    <t>Alcala de Henares;Santander</t>
  </si>
  <si>
    <t>Universidad de Alcal√°;Universidad de Cantabria</t>
  </si>
  <si>
    <t>60027800;60015179</t>
  </si>
  <si>
    <t>Conde O.M.</t>
  </si>
  <si>
    <t>Efficient CGM application for scattering and radiation of antennas on board arbitrary structures</t>
  </si>
  <si>
    <t>2-s2.0-0032204337</t>
  </si>
  <si>
    <t>['stratified media', 'space ).', 'satisfactory agreement', 'results available', 'numerical implementation', 'including ground', 'homogeneous half', 'fresh water', 'certain approximations', 'buried antennas', 'antennas buried', '4 uses']</t>
  </si>
  <si>
    <t>Buried antennas | NEC-4 | Radiation | Sommerfeld integrals | Validation</t>
  </si>
  <si>
    <t>The use of the computer program NEC-4 for the simulation of radiation from buried antennas is considered. NEC-4 uses the "exact" Sommerfeld integral formulation for stratified media (in NEC-4, restricted to an homogeneous half-space). Although the formulation is rigorous, certain approximations have to be made for numerical implementation. The formulation, and some of these issues, are outlined in the paper. Several validation examples comparing results computed using NEC-4 and results available in the literature are presented for antennas buried in various typical media, including ground, fresh water and the sea. Satisfactory agreement has generally been obtained; where differences have been noted, we have able to explain most in terms of approximate implementation issues.</t>
  </si>
  <si>
    <t>302-308</t>
  </si>
  <si>
    <t>60001565;60001565</t>
  </si>
  <si>
    <t>7402300315;6701656301</t>
  </si>
  <si>
    <t>Davidson, David B.;Du Toit Mouton, H.</t>
  </si>
  <si>
    <t>South Africa</t>
  </si>
  <si>
    <t>Stellenbosch</t>
  </si>
  <si>
    <t>Stellenbosch University</t>
  </si>
  <si>
    <t>Davidson D.</t>
  </si>
  <si>
    <t>Validation of, and limitations on, the use of NEC-4 for radiation from antennas buried within a homogeneous half-space</t>
  </si>
  <si>
    <t>2-s2.0-0032204451</t>
  </si>
  <si>
    <t>['vsat networks', 'output power', 'low cost', 'bands selected', '33dbm changing']</t>
  </si>
  <si>
    <t>Under the Spanish National Project PLANSAT, a low cost, low size high power transmitter has been made. The resulting module makes it possible to obtain an output power of 22dBm or 33dBm changing only the SSPA block depending on the data transmission speed. In general, the system will emit and receive in the bands selected by HISPASAT for VSAT networks.</t>
  </si>
  <si>
    <t>60015179;60015179;60015179;60015179</t>
  </si>
  <si>
    <t>7102417077;7006421061;6701428928;55619305627</t>
  </si>
  <si>
    <t>Herrera, A.;Fernandez, T.;Tazon, A.;Garcia, J. L.</t>
  </si>
  <si>
    <t>Herrera A.</t>
  </si>
  <si>
    <t>Low-cost low-size RF front-end for VSAT application</t>
  </si>
  <si>
    <t>2-s2.0-0032204681</t>
  </si>
  <si>
    <t>['vœä calculated', 'requires 56', 'phase shift', 'new design', 'minimum requirement', 'external contacts', 'experimental results', 'device structure', 'allows duplication', 'active waveguides', '70 v', '65 v']</t>
  </si>
  <si>
    <t>Device simulation | Integrated optics | Optical beamsteering | Optical waveguides | Phase modulation | Silicon-on-insulator (SOI)</t>
  </si>
  <si>
    <t>A new design of optical phase modulator in SIMOX has been demonstrated, which allows duplication of active waveguides with a minimum requirement for external contacts and metallization. The device is based on a common cathode configuration and requires 56.5 mA at 1.65 V to produce a œÄ-phase shift. To confirm the experimental results, the same device structure has been modeled, and provided good agreement, with VœÄ calculated to 1.70 V and 52.6 mA.</t>
  </si>
  <si>
    <t>2016-2019</t>
  </si>
  <si>
    <t>Journal of Lightwave Technology</t>
  </si>
  <si>
    <t>60021097-112495075;60021097-60010818;60021097;60021097-60014551;60025225-60020661-60026851;60025225-60015150-102012316;60025225;60019255-60025225-60025063</t>
  </si>
  <si>
    <t>55419782100;57197362711;7201361376;7404394014;7404362954;7407828421;7801356473;35595370900</t>
  </si>
  <si>
    <t>Jackson, S. M.;Hewitt, P. D.;Reed, G. T.;Tang, C. K.;Evans, A. G.R.;Clark, J.;Aveyard, C.;Namavar, F.</t>
  </si>
  <si>
    <t>United Kingdom;United Kingdom;Belgium;United Kingdom;United Kingdom;Netherlands;United Kingdom;United Kingdom;United Kingdom;United Kingdom;United Kingdom</t>
  </si>
  <si>
    <t>Oxford;Southampton;3000 Leuven;Guildford;Liverpool;The Hague;London;Birmingham;Canterbury;Crawley;Southampton</t>
  </si>
  <si>
    <t>University of Oxford;University of Southampton;KU Leuven;University of Surrey;University of Liverpool;Eternalsun Spire;Imperial College London;Aston University;University of Kent;MEL;Philips Corporation</t>
  </si>
  <si>
    <t>60026851;60025225;60025063;60021097;60020661;60019255;60015150;60014551;60010818;112495075;102012316</t>
  </si>
  <si>
    <t>Jackson S.</t>
  </si>
  <si>
    <t>A novel optical phase modulator design suitable for phased arrays</t>
  </si>
  <si>
    <t>S0733872498083248</t>
  </si>
  <si>
    <t>10.1109/50.730364</t>
  </si>
  <si>
    <t>2-s2.0-0032205207</t>
  </si>
  <si>
    <t>['waveguide axis', 'te20 modes', 'slot derived', 'slot aperture', 'sinusoidal distribution', 'scattering matrix', 'rectangular waveguide', 'normally assumed', 'longitudinal slots', 'isolated slot', 'easily extended', 'broad wall', 'approximate shunt']</t>
  </si>
  <si>
    <t>A scattering matrix approach to the analysis and design of planar waveguide slot arrays is described in this paper. The new method employs the scattering matrix for TE10 and TE20 (to the waveguide axis) modes of isolated slot in the broad wall of a rectangular waveguide, rather than the admittance of the slot derived from approximate shunt or series lumped element model for the slot. The method fully accounts for the external mutual coupling due to the TE10 and TE20 modes on the slot, and can be easily extended to include higher order waveguide modes. Furthermore, it takes into account the deviation of the slot aperture from the sinusoidal distribution that is normally assumed with a nearly resonant slot. Numerical results demonstrating the viability of the scattering matrix approach, including an example for the design of a 2√ó3 planar array of longitudinal slots, are presented.</t>
  </si>
  <si>
    <t>264-271</t>
  </si>
  <si>
    <t>100396598;60010294;60010491</t>
  </si>
  <si>
    <t>7003471772;6701487674;35556538100</t>
  </si>
  <si>
    <t>Mahadevan, Karthikeyan;Auda, Hesham A.;Smith, Charles E.</t>
  </si>
  <si>
    <t>United States;Egypt;Canada</t>
  </si>
  <si>
    <t>University;Giza;Kitchener</t>
  </si>
  <si>
    <t>University of Mississippi;Cairo University;SG Microwave Inc</t>
  </si>
  <si>
    <t>60010491;60010294;100396598</t>
  </si>
  <si>
    <t>Mahadevan K.</t>
  </si>
  <si>
    <t>Analysis and design of planar waveguide slot arrays using scattering matrix approach</t>
  </si>
  <si>
    <t>2-s2.0-0032205285</t>
  </si>
  <si>
    <t>['treated proceeding', 'stable discharge', 'specific shape', 'results obtained', 'power balance', 'power absorption', 'plasma edge', 'plasma density', 'monotonic variation', 'model yields', 'magnetic field', 'linear conversion', 'helicon waves', 'helicon wave', 'gas pressure', 'electrostatic waves', 'driving frequency', 'discharge regimes', 'discharge disruptions', 'antenna geometry', 'absorption peaks', 'absorption curve', 'absorbed power', 'abrupt transitions', 'abrupt changes']</t>
  </si>
  <si>
    <t>Abrupt changes of discharge regimes in a helicon plasma source are treated proceeding from the model that assumes an rf power absorption to arise from a linear conversion of helicon waves into electrostatic waves at a plasma edge. The efficiency of conversion and thus of power absorption is found to be proportional to the squared edge amplitude of the helicon wave. The model yields a non-monotonic variation of absorbed power with the plasma density at a fixed antenna current. The specific shape of the absorption curve, that is the location, heights and widths of absorption peaks, turns out to depend on the source and antenna geometry, external magnetic field and driving frequency, whereas the absorption demonstrates extremely weak dependence on gas pressure. A power balance for the source plasma predicts a stable discharge in several density modes, and a possibility of abrupt transitions between them. The density jumps may be stimulated by the variation of absorbed power, driving frequency and/or magnetic field. The increase of magnetic field or the decrease of driving frequency may give rise to discharge disruptions. A discussion is presented of experimental data confirming the validity of the model and results obtained.</t>
  </si>
  <si>
    <t>499-511</t>
  </si>
  <si>
    <t>Shamrai, Konstantin P.</t>
  </si>
  <si>
    <t>Institute of Nuclear Research, National Academy of Sciences in Ukraine</t>
  </si>
  <si>
    <t>Shamrai K.</t>
  </si>
  <si>
    <t>Stable modes and abrupt density jumps in a helicon plasma source</t>
  </si>
  <si>
    <t>S096302539896875X</t>
  </si>
  <si>
    <t>10.1088/0963-0252/7/4/008</t>
  </si>
  <si>
    <t>2-s2.0-0032205341</t>
  </si>
  <si>
    <t>['two purposes', 'signal level', 'semiconductive object', 'second reason', 'safety matter', 'radio transmitters', 'radiation pattern', 'predictable performance', 'performance variations', 'operate safely', 'layer dielectric', 'human body', 'body represents', 'antenna pattern']</t>
  </si>
  <si>
    <t>If we expect the many wireless communications devices to operate safely and with predictable performance, we need to understand the interaction of the radiation from their antennas with the multi-layer dielectric that is the human body. This understanding is required for two purposes. First is a concern for safety. The second reason is to accommodate the performance variations in antenna pattern and radiation efficiency caused by the proximity of radio transmitters and receivers to a large (in wavelength) semiconductive object that body represents. Radiation from antennas is affected by the human body's proximity. The effects include absorption of energy, which is a safety matter, and distortion of the antenna's radiation pattern, which may require modification of communication system performance parameters to allow for variations in signal level.</t>
  </si>
  <si>
    <t>Breed, G. A.</t>
  </si>
  <si>
    <t>Breed G.</t>
  </si>
  <si>
    <t>Primer on antenna/human body interaction</t>
  </si>
  <si>
    <t>2-s2.0-0032205508</t>
  </si>
  <si>
    <t>['related issues', 'proposed algorithms', 'order determination', 'one determines', 'multiple inputs', 'invariant multi', 'equalizers directly', 'channels first', 'channel variations', 'addressed briefly', 'accomplished without']</t>
  </si>
  <si>
    <t>In this paper, we study the blind equalization problem of time-varying (TV) systems where the channel variations are too rapid to be tracked with conventional adaptive equalizers. We show that using a finite Fourier basis expansion, a TV antenna array system can be cast into a time-invariant multi-input, multi-output (MIMO) framework. The multiple inputs are related through the bases, thereby allowing blind equalization to be accomplished without the use of higher order statistics. Two deterministic blind equalization approaches are presented: One determines the channels first and then the equalizers, whereas the other estimates the equalizers directly. Related issues such as order determination are addressed briefly. The proposed algorithms are illustrated using simulations.</t>
  </si>
  <si>
    <t>3003-3013</t>
  </si>
  <si>
    <t>60015481;60015481</t>
  </si>
  <si>
    <t>36100496000;36049280600</t>
  </si>
  <si>
    <t>Liu, Hui;Giannakis, Georgios B.</t>
  </si>
  <si>
    <t>Seattle</t>
  </si>
  <si>
    <t>University of Washington</t>
  </si>
  <si>
    <t>Liu H.</t>
  </si>
  <si>
    <t>Deterministic approaches for blind equalization of time-varying channels with antenna arrays</t>
  </si>
  <si>
    <t>10.1109/78.726813</t>
  </si>
  <si>
    <t>2-s2.0-0032206092</t>
  </si>
  <si>
    <t>['year 2000', 'us industry', 'unique opportunity', 'two earth', 'surface deformation', 'surface change', 'shuttle bay', 'science community', 'scansar modes', 'resolution mapping', 'reduce mass', 'quad polarization', 'practical applications', 'performed simultaneously', 'operational responsibility', 'nima ).', 'near future', 'natural hazards', 'national imagery', 'measure elevation', 'mapping agency', 'lightweight materials', 'large area', 'jointly sponsored', 'interferometric pair', 'interferometric measurements', 'innovative government', 'industry sharing', 'industry partners', 'increase lightsar', 'including cloud', 'global high', 'fly aboard', 'first single', 'existing sir', 'enable mapping', 'elevation postings', 'earth science', 'dual polarization', 'developing lightsar', 'cycle costs', 'covered areas', 'commercial rights', 'civilian applications', 'c antenna', 'band designs', 'approximately 60', 'advanced microelectronics', 'accurate topography', '30 meters', '1994 aboard', '16 meters']</t>
  </si>
  <si>
    <t>Interferometry | Radar | Remote sensing | ScanSAR | Synthetic-aperture | Topography | Vegetation</t>
  </si>
  <si>
    <t>Two Earth-orbiting radar missions are planned for the near future by NASA - Shuttle Radar Topography Mission (SRTM) and LightSAR. The SRTM will fly aboard the Shuttle using interferometric synthetic aperture radar (IFSAR) to provide a global digital elevation map. SRTM is jointly sponsored by NASA and the National Imagery and Mapping Agency (NIMA). The LightSAR will utilize emerging technology to reduce mass and life-cycle costs for a mission to acquire SAR data for Earth science and civilian applications and to establish commercial utility. LightSAR is sponsored by NASA and industry partners. The use of IFSAR to measure elevation is one of the most powerful and practical applications of radar. A properly equipped spaceborne IFSAR system can produce a highly accurate global digital elevation map, including cloud-covered areas, in significantly less time and at significantly lower cost than other systems. For accurate topography over a large area, the interferometric measurements can be performed simultaneously in physically separate receive systems. The Spaceborne Imaging Radar C (SIR-C), successfully flown twice in 1994 aboard the Space Shuttle Endeavour, offers a unique opportunity for global multifrequency elevation mapping by the year 2000. The addition of a C-band receive antenna of approximately 60 m length, extended from the Shuttle bay on a mast, and operating in concert with the existing SIR-C antenna, produces an interferometric pair. It is estimated that the 90% linear absolute elevation error achievable is less than 16 meters for elevation postings of 30 meters. The SRTM will be the first single-pass spaceborne IFSAR instrument and will produce a near-global high-resolution digital topography data set. Since LightSAR offers important benefits to both the science community and US industry, an innovative government-industry teaming approach is being explored, with industry sharing the cost of developing LightSAR in return for commercial rights to its data and operational responsibility. LightSAR will enable mapping of surface change. The instrument's high-resolution mapping, along with its quad polarization, dual polarization, interferometric and ScanSAR modes will enable continuous monitoring of natural hazards, Earth's surface deformation, surface vegetation change, and ocean mesoscale features to provide commercially viable and scientifically valuable data products. Advanced microelectronics and lightweight materials will increase LightSAR's functionality without increasing the mass. Dual frequency L/X-band designs have been examined.</t>
  </si>
  <si>
    <t>60009037;60009037;60009037;60009037;60009037;60009037;60009037</t>
  </si>
  <si>
    <t>6603937244;6506181841;7401887715;24284619600;36700390300;7401611011;6603961455</t>
  </si>
  <si>
    <t>Hilland, Jeffrey E.;Stuhr, Frederick V.;Freeman, Anthony;Imel, David;Shen, Yuhsyen;Jordan, Rolando L.;Caro, Edward R.</t>
  </si>
  <si>
    <t>Hilland J.</t>
  </si>
  <si>
    <t>Future NASA spaceborne SAR missions</t>
  </si>
  <si>
    <t>10.1109/62.730609</t>
  </si>
  <si>
    <t>2-s2.0-0032206374</t>
  </si>
  <si>
    <t>['several categories', 'rapidly growing', 'potential applications']</t>
  </si>
  <si>
    <t>Today, the use of linear power amplification is rapidly growing. Available linear amplifier and transmitter techniques fall into several categories: narrowband vs broadband; linearized amplifier vs linearized transmitter; linearization vs RF synthesis. Examples of systems that fall into these categories are presented. In particular, it is illustrated how each of the potential applications of high-power linear signal transmission may be realized.</t>
  </si>
  <si>
    <t>Kenington, Peter B.</t>
  </si>
  <si>
    <t>Wireless Systems Int Ltd</t>
  </si>
  <si>
    <t>Kenington P.</t>
  </si>
  <si>
    <t>Linearised RF amplifier and transmitter techniques</t>
  </si>
  <si>
    <t>2-s2.0-0032206382</t>
  </si>
  <si>
    <t>['wdm transmission', 'type module', 'tuned simultaneously', 'standard butterfly', 'small size', 'performance wavelength', 'nm range', 'key components', 'cost high', 'channel monitors', '3 db']</t>
  </si>
  <si>
    <t>Optical filters | Optical receivers | Phased arrays | Semiconductor waveguide | Waveguide arrays | Wavelength-division multiplexing</t>
  </si>
  <si>
    <t>Low-cost high-performance wavelength-division-multiplexing (WDM) monitors and receivers are key components in WDM transmission and local area optical networks. A semiconductor arrayed waveguide grating integrated with a photodiode is attractive because of its small size and simple fabrication process. A low-loss (7.3 dB) polarization-insensitive packaged WDM monitor has been fabricated in an industry-standard butterfly-type module. The eight-channel monitors, which have 200-GHz channel spacing, can be tuned simultaneously in the 4.5-nm range.</t>
  </si>
  <si>
    <t>1614-1616</t>
  </si>
  <si>
    <t>60000251-60025555;60000251-60025555;60000251-60025555;60000251-60025555;60000251-60025555</t>
  </si>
  <si>
    <t>7004313298;6701554048;7006279471;7006037529;7102890086</t>
  </si>
  <si>
    <t>Kohtoku, M.;Sanjoh, H.;Oku, S.;Kadota, Y.;Yoshikuni, Y.</t>
  </si>
  <si>
    <t>Tokyo;New York</t>
  </si>
  <si>
    <t>Nippon Telegraph and Telephone Corporation;IEEE</t>
  </si>
  <si>
    <t>60025555;60000251</t>
  </si>
  <si>
    <t>Kohtoku M.</t>
  </si>
  <si>
    <t>Packaged polarization-insensitive WDM monitor with low loss (7.3 dB) and wide tuning range (4.5 nm)</t>
  </si>
  <si>
    <t>S1041113598079063</t>
  </si>
  <si>
    <t>10.1109/68.726767</t>
  </si>
  <si>
    <t>2-s2.0-0032207353</t>
  </si>
  <si>
    <t>['two radios', 'two percent', 'rover reached', 'rover ).', 'rdgps maintained', 'rdgps accuracy', 'opposite direction', 'one receiver', 'one meter', 'mobile receiver', 'average accuracy', 'almost equal']</t>
  </si>
  <si>
    <t>Field test | GPS accuracy | Position data | Precision farming</t>
  </si>
  <si>
    <t>A real-time differentially corrected global positioning system (RDGPS) was assembled and tested in the field. The RDGPS was assembled using two GPS receivers and two radios. One receiver was utilized as a base station receiver and its antenna was fixed at a benchmark, while the other was used as a mobile receiver (rover). RDGPS accuracy was tested by collecting position data from the rover and comparing it to a previously determined position of a point in the field. The effect of imprecise position determination of base station benchmark on the RDGPS accuracy was investigated. Moreover, the effect of the age of differential correction messages on position determination accuracy produced by the rover was revealed. The RDGPS maintained an average accuracy of less than one meter. The average position determination error produced by the rover was almost equal to and in the opposite direction of the error in base station benchmark coordinates. Seventy-two percent of the tested rover data maintained an accuracy of less than 3 in with a correction message age of less than 29 s. However, location determination error of the rover reached up to 30.84 in with a correction message age of 98 s.</t>
  </si>
  <si>
    <t>Applied Engineering in Agriculture</t>
  </si>
  <si>
    <t>60009226;60009226</t>
  </si>
  <si>
    <t>57194902989;7006131821</t>
  </si>
  <si>
    <t>Al-Gaadi, K. A.;Ayers, P. D.</t>
  </si>
  <si>
    <t>Fort Collins</t>
  </si>
  <si>
    <t>Colorado State University</t>
  </si>
  <si>
    <t>Al-Gaadi K.</t>
  </si>
  <si>
    <t>Assembling a real-time DGPS - Testing and investigating factors that affect its accuracy</t>
  </si>
  <si>
    <t>2-s2.0-0032207588</t>
  </si>
  <si>
    <t>['wave fiber', 'tree network', 'therefore enable', 'subcarrier multiplexing', 'single carrier', 'radio star', 'radio signals', 'radio network', 'optical signals', 'incorporating wavelength', 'hybrid star', 'ghz full', 'duplex millimeter', 'duplex fiber', 'division multiplexing', 'broadband services', 'also demonstrate', '8 mb', '3 ghz']</t>
  </si>
  <si>
    <t>Millimeter-wave modulation | Millimeter-wave radio communication | Optical fiber communication | Subcarrier multiplexing | Wavelength-division multiplexing</t>
  </si>
  <si>
    <t>We propose a full-duplex millimeter-wave fiber-radio network for providing wireless customer access to broadband services. It consists of a hybrid star-tree architecture connecting remote antenna base stations to a central control office (CO) by incorporating wavelength-division multiplexing (WDM) of the optical signals and subcarrier multiplexing (SCM) of the radio signals. These multiplexing schemes allow the sharing of equipment at the CO and therefore enable a simple radio distribution architecture to be implemented. We also demonstrate a 35.5-39.5-GHz full-duplex fiber-radio star-tree network, featuring three WDM carriers in the downstream and a single carrier in the upstream. Each downstream wavelength carries three 155-Mb/s BPSK SCM channels between 35.8-39.3 GHz, while a 37-GHz carrier transports 51.8 Mb/s upstream.</t>
  </si>
  <si>
    <t>1650-1652</t>
  </si>
  <si>
    <t>60000251-60026553;60000251-60026553;60000251-60026553</t>
  </si>
  <si>
    <t>55740984500;7103230273;55480890000</t>
  </si>
  <si>
    <t>Smith, G. H.;Novak, D.;Lim, C.</t>
  </si>
  <si>
    <t>Parkville;New York</t>
  </si>
  <si>
    <t>University of Melbourne;IEEE</t>
  </si>
  <si>
    <t>60026553;60000251</t>
  </si>
  <si>
    <t>A millimeter-wave full-duplex fiber-radio star-tree architecture incorporating WDM and SCM</t>
  </si>
  <si>
    <t>S104111359807935X</t>
  </si>
  <si>
    <t>10.1109/68.726779</t>
  </si>
  <si>
    <t>2-s2.0-0032207890</t>
  </si>
  <si>
    <t>DAAH04-96-1-0005</t>
  </si>
  <si>
    <t>['tuned load', 'second hybrid', 'pull amplifier', 'higher harmonics', 'b push', 'added efficiency']</t>
  </si>
  <si>
    <t>FET | Integrated antenna | Power amplifier | Push-pull</t>
  </si>
  <si>
    <t>A new integrated antenna power amplifier architecture is investigated. In this topology, a multifeed patch antenna is used as the tuned load of a class-B push - pull amplifier in such a manner that the fundamental radiates efficiently and higher harmonics are suppressed. This eliminates the necessity of using a second hybrid at the output of the amplifier and results in an extremely compact class of push - pull front end with lower associated circuit losses. Measured data shows that the power-added efficiency of the amplifier is greater than 55%, indicating that this new approach works as expected.</t>
  </si>
  <si>
    <t>405-407</t>
  </si>
  <si>
    <t>60027550;60027550;60027550;60027550</t>
  </si>
  <si>
    <t>7006826516;7003812689;7402872518;36041035600</t>
  </si>
  <si>
    <t>Deal, W. R.;Radisic, Vesna;Qian, Yongxi;Itoh, Tatsuo</t>
  </si>
  <si>
    <t>Deal W.</t>
  </si>
  <si>
    <t>Novel Push - Pull Integrated Antenna Transmitter Front-End</t>
  </si>
  <si>
    <t>S1051820798095956</t>
  </si>
  <si>
    <t>10.1109/75.736262</t>
  </si>
  <si>
    <t>2-s2.0-0032207998</t>
  </si>
  <si>
    <t>['rf close', 'phase noise', 'optical 1', 'f noise', 'experimentally studied', 'dominant source', 'coherence time']</t>
  </si>
  <si>
    <t>Frequency stability | Microwave | Optical fiber applications | Phase noise | Phased array radar</t>
  </si>
  <si>
    <t>Close-in optical interferometric noise spectrum and its conversion to RF close-in phase noise are theoretically and experimentally studied. The optical 1/f frequency noise is the dominant source of the close-in interferometric phase noise and is converted into the 1/f ŒΩ noise, where ŒΩ is determined by the time delay scaled to the coherence time of the 1/f noise. The study also indicates that reflective type devices and optically amplified links exacerbate the interferometric phase noise degradation.</t>
  </si>
  <si>
    <t>1617-1619</t>
  </si>
  <si>
    <t>60000251-60009037-60026638;60009037</t>
  </si>
  <si>
    <t>7102282115;7005382150</t>
  </si>
  <si>
    <t>Shieh, William;Maleki, Lute</t>
  </si>
  <si>
    <t>Finland;United States;United States</t>
  </si>
  <si>
    <t>Espoo;Pasadena;New York</t>
  </si>
  <si>
    <t>Nokia Corporation;Jet Propulsion Laboratory;IEEE</t>
  </si>
  <si>
    <t>60026638;60009037;60000251</t>
  </si>
  <si>
    <t>Shieh W.</t>
  </si>
  <si>
    <t>Phase noise of optical interference in photonic RF systems</t>
  </si>
  <si>
    <t>S1041113598079348</t>
  </si>
  <si>
    <t>10.1109/68.726768</t>
  </si>
  <si>
    <t>2-s2.0-0032208407</t>
  </si>
  <si>
    <t>['significant variations', 'polarizer permits', 'polarization properties', 'pattern performance', 'model prediction', 'measured results', 'measured data', 'line polarizer', 'designed properly']</t>
  </si>
  <si>
    <t>A meander-line polarizer is a passive broadband device used to convert the polarization properties of a wave. When designed properly, the polarizer permits a linear polarized antenna to propagate circular polarization without any significant variations in the pattern performance. Modeling of the device has historically been empirical in nature and relies on measured results. A means to model this mechanism that is both efficient and accurate is presented. The results of the model prediction and measured data are included.</t>
  </si>
  <si>
    <t>Marlboro</t>
  </si>
  <si>
    <t>Celwave Inc.</t>
  </si>
  <si>
    <t>Marino R.</t>
  </si>
  <si>
    <t>Accurate and efficient modeling of meander-line polarizers</t>
  </si>
  <si>
    <t>2-s2.0-0032208936</t>
  </si>
  <si>
    <t>SFB 515</t>
  </si>
  <si>
    <t>['water vapour', 'two ligands', 'treated side', 'similar effects', 'significant effects', 'significant 5', 'sch 23390', 'putative dopamine', 'partly also', 'partial correlations', 'mushroom body', 'injected drop', 'injected alone', 'good correlations', 'dopamine reduces', 'contralateral side', 'behavioural data', 'antagonistic effects']</t>
  </si>
  <si>
    <t>5-HT | Dopamine | Honeybee | Insect brain | Mushroom body | Neuromodulator | Proboscis extension reflex | Serotonin</t>
  </si>
  <si>
    <t>The proboscis extension response (PER) which can be elicited in bees by stimulating one antenna with water vapour, was used to quantify the effects of dopamine, serotonin (5-HT) and putative receptor ligands in the mushroom body of the bee. The drugs were microinjected into the Œ±-lobe of the mushroom body in one brain hemisphere. Injection of dopamine reduces the water vapour-elicited PER significantly. The effects of dopamine are limited to the treated side. Injection of 5-HT has similar effects to dopamine. The effects of 5-HT are apparent on the treated and partly also on the contralateral side. Significant effects for dopamine on the treated side were found when the concentration in the injected drop was 10-7 M. For 5-HT significant effects on the treated side were apparent for concentrations of 10-8 M. Putative dopamine and 5-HT receptor ligands were injected alone and coinjected with the amines. Two ligands with dopamine-antagonistic effects were found: buspirone &gt; spiperone, while lisuride, sulpiride, chlorpromazine, SCH 23390, butaclamol and haloperidol had no dopamine-antagonistic effects. All tested putative 5-HT receptor ligands had significant 5-HT-antagonistic effects: butaclamol &gt; methysergide &gt; lisuride &gt; cyproheptadine &gt; SCH 23390. Good correlations between the behavioural data and in vitro radioligand binding studies were found for 5-HT receptor ligands, while there exist only partial correlations for dopamine receptor ligands.</t>
  </si>
  <si>
    <t>115-124</t>
  </si>
  <si>
    <t>60011604;60011604</t>
  </si>
  <si>
    <t>6602106977;7006073714</t>
  </si>
  <si>
    <t>Blenau, Wolfgang;Erber, Joachim</t>
  </si>
  <si>
    <t>Technical University of Berlin</t>
  </si>
  <si>
    <t>Blenau W.</t>
  </si>
  <si>
    <t>Behavioural pharmacology of dopamine, serotonin and putative aminergic ligands in the mushroom bodies of the honeybee (Apis mellifera)</t>
  </si>
  <si>
    <t>S0166432897002015</t>
  </si>
  <si>
    <t>10.1016/S0166-4328(97)00201-5</t>
  </si>
  <si>
    <t>2-s2.0-0032211363</t>
  </si>
  <si>
    <t>['two pigment', 'sequence analysis', 'recent models', 'proteolytic digest', 'protein complexes', 'photosystem ii', 'peptides derived', 'nearest neighbourhood', 'membrane fragments', 'major conjugate', 'lhc b4', 'lhc b1', 'induced cross', 'chemical techniques', 'chemical cross', 'antenna system', '60 kda']</t>
  </si>
  <si>
    <t>Cross-linking | Nearest neighhour analysis | O-phthalaldehyde | Photosystem II | Pigment proteins of LHC II</t>
  </si>
  <si>
    <t>The nearest neighbourhood of pigment-protein complexes within Photosystem II (PSII) membrane fragments has been studied by means of chemical cross-linking with o-phthalaldehyde (OPA) in conjunction with protein-chemical techniques. By means of OPA-induced cross-linking a major conjugate of about 60 kDa has been identified. This conjugate was shown to consist of two pigment-protein complexes of light-harvesting complex II (LHC II), Lhc b1 (CP27) and Lhc b4 (CP29) by means of SDS/PAGE in combination with an immunological analysis using mAbs directed against Lhc b4 and by matrix- assisted-laser-desorption-ionization mass spectrometry (MALDI-MS) and sequence analysis of peptides derived from a proteolytic digest of the conjugate. Domains of Lhc b1 and Lhc b4 have been localized to a distance of not more than 5 √Ö within LHC II. Our results are discussed in the light of recent models on the topography of the two subunits within the antenna system of Photosystem II.</t>
  </si>
  <si>
    <t>586-591</t>
  </si>
  <si>
    <t>60011604;60011604;60011604;60030718;60011604</t>
  </si>
  <si>
    <t>57217339619;7004095338;7003429837;7103338099;7003868616</t>
  </si>
  <si>
    <t>Miao, Jihong;Irrgang, Klaus Dieter;Salnikow, Johann;Franke, Peter;Vater, Joachim</t>
  </si>
  <si>
    <t>Miao J.</t>
  </si>
  <si>
    <t>Close vicinity of Lhc b1 and Lhc b4 in photosystem II membrane fragments as verified by chemical cross-linking</t>
  </si>
  <si>
    <t>10.1046/j.1432-1327.1998.2570586.x</t>
  </si>
  <si>
    <t>2-s2.0-0032211477</t>
  </si>
  <si>
    <t>RO1-DC00588</t>
  </si>
  <si>
    <t>['technically difficult', 'studies requiring', 'specific sequences', 'retroviral vectors', 'retroviral infection', 'replication defective', 'pseudotyped momlv', 'proviral dna', 'powerful tools', 'pcr amplification', 'manduca sexta', 'gene expression', 'gene constructs', 'first report', 'drosophilid insects', 'also documented']</t>
  </si>
  <si>
    <t>Antenna | Insect | Manduca sexta | Pseudotyped retrovirus | Vector</t>
  </si>
  <si>
    <t>Studies requiring the introduction and expression of manipulated gene constructs have been technically difficult in non-drosophilid insects. Retroviruses can be engineered to be replication defective and to serve as vectors for gene constructs of interest. In this study, pseudotyped MoMLV(VSV-G) retroviral vectors are shown to successfully infect lepidopteran cells in vitro and in vivo. In Spodoptera frugiperda cells in vitro and in Manduca sexta in vivo, infection and conversion to proviral DNA were confirmed by PCR amplification and Southern blot hybridization of vector- specific sequences. Gene expression and integration of proviral DNA were also documented in vitro. This is the first report of retroviral infection in lepidoptera and suggests that pseudotyped retroviral vectors could be powerful tools in gene manipulation studies of non-drosophilid insects.</t>
  </si>
  <si>
    <t>819-825</t>
  </si>
  <si>
    <t>60018179;60018179;60014754;60014754;60018179;60014754</t>
  </si>
  <si>
    <t>56207496500;57214090596;7006192297;6602714294;7202412220;7403680561</t>
  </si>
  <si>
    <t>Franco, Marie Dominique;Rogers, Matthew E.;Shimizu, Chisato;Shike, Hiroko;Vogt, Richard G.;Burns, Jane C.</t>
  </si>
  <si>
    <t>Columbia;San Diego</t>
  </si>
  <si>
    <t>University of South Carolina;UC San Diego School of Medicine</t>
  </si>
  <si>
    <t>60018179;60014754</t>
  </si>
  <si>
    <t>Franco M.D.</t>
  </si>
  <si>
    <t>Infection of lepidoptera with a pseudotyped retroviral vector</t>
  </si>
  <si>
    <t>S0965174898000563</t>
  </si>
  <si>
    <t>10.1016/S0965-1748(98)00056-3</t>
  </si>
  <si>
    <t>2-s2.0-0032212336</t>
  </si>
  <si>
    <t>['precipitation radar', 'pr system', 'pr observation', 'measure precipitation', 'initial check', 'first described', 'developed jointly', 'also presented']</t>
  </si>
  <si>
    <t>Precipitation Radar (PR) onboard the Tropical Rainfall Measuring Mission (TRMM) is the first spaceborne radar to measure precipitation from space. The PR has been developed jointly by National Space Development Agency of Japan (NASDA) and Communications Research Laboratory (CRL) based on a long-year basic research of spaceborne rain radar at CRL. After the launch of TRMM, a series of initial check-out has been performed. In this article, the PR system is first described, and the result of the initial check-out is outlined which confirms that the PR is functioning as expected. An example of rain images obtained from the PR observation is also presented.</t>
  </si>
  <si>
    <t>175-181</t>
  </si>
  <si>
    <t>Journal of the Communications Research Laboratory</t>
  </si>
  <si>
    <t>;;;;;</t>
  </si>
  <si>
    <t>7006711251;7202149369;7201587916;8324800300;36799436600;56207456000</t>
  </si>
  <si>
    <t>Kozu, Toshiaki;Kumagai, Hiroshi;Iguchi, Toshio;Okamoto, Ken'ichi;Kuroiwa, Hiroshi;Kawanishi, Toneo</t>
  </si>
  <si>
    <t>Kozu T.</t>
  </si>
  <si>
    <t>Development of precipitation radar onboard the tropical rainfall measuring mission (TRMM) satellite</t>
  </si>
  <si>
    <t>2-s2.0-0032255824</t>
  </si>
  <si>
    <t>['virgo interferometer', 'optical apparatus', 'gravitational field', 'couples directly']</t>
  </si>
  <si>
    <t>In this paper we analyse the noise level induced by changes in the mass density distribution around the Virgo interferometric antenna. These stochastic mass density fluctuations generate a gravitational field which couples directly to the mirrors of the optical apparatus, and it could be relevant if the planned final sensitivity of the Virgo interferometer is to be reached.</t>
  </si>
  <si>
    <t>3339-3362</t>
  </si>
  <si>
    <t>Classical and Quantum Gravity</t>
  </si>
  <si>
    <t>60113665;60113665;60113665;60113665;60113665;60113665;101261065;60113665;60113665-60028868;60113665;60113665-60028868;60113665;60113665;60113665;60113665;60113665;60113665;60113665;60113665;60028868;60113665-60028868;60113665;60113665;60113665;60113665;60113665;60113665-60028868;60113665-60030674;60113665;60113665-60028868;60113665;60113665;60113665;60113665;60113665;60113665;60113665-60028868;60113665;60113665;60113665;60113665;60113665</t>
  </si>
  <si>
    <t>7004325567;57220432599;35225713700;35227009000;7006004815;6701827917;35225728300;6602778945;56231989000;57201410817;7006947408;8731743800;56041282600;6603948191;7004046447;35225744100;7004467405;22946972800;16019420600;35227185800;7005683393;7004685937;7006238449;7004316945;57190085639;22943966700;8731368400;7006390922;7007170193;57225467377;56448183900;12763109500;35277425100;6602110784;35227729800;7003569996;22035952900;6506685912;57207902551;36858831000;7003843703;35315212300</t>
  </si>
  <si>
    <t>Beccaria, M.;Bernardini, M.;Braccini, S.;Bradaschia, C.;Bozzi, A.;Casciano, C.;Cella, G.;Ciampa, A.;Cuoco, E.;Curci, G.;D'Ambrosio, E.;Dattilo, V.;De Carolis, G.;De Salvo, R.;Di Virgilio, A.;Delapierre, A.;Enard, D.;Errico, A.;Feng, G.;Ferrante, I.;Fidecaro, F.;Frasconi, F.;Gaddi, A.;Gennai, A.;Gennaro, G.;Giazotto, A.;La Penna, P.;Losurdo, G.;Maggiore, M.;Mancini, S.;Palla, F.;Pan, H. B.;Paoletti, F.;Pasqualetti, A.;Passaquieti, R.;Passuello, D.;Poggiani, R.;Popolizio, P.;Raffaelli, F.;Rapisarda, S.;Vicer√©, A.;Zhang, Z.</t>
  </si>
  <si>
    <t>Italy;Italy;Italy;Italy</t>
  </si>
  <si>
    <t>Pisa;Pisa;Pisa;Lucca</t>
  </si>
  <si>
    <t>Istituto Nazionale di Fisica Nucleare, Sezione di Pisa;Scuola Normale Superiore di Pisa;Universit√† di Pisa;GCTP Renaio</t>
  </si>
  <si>
    <t>60113665;60030674;60028868;101261065</t>
  </si>
  <si>
    <t>Beccaria M.</t>
  </si>
  <si>
    <t>Relevance of Newtonian seismic noise for the VIRGO interferometer sensitivity</t>
  </si>
  <si>
    <t>S0264938198900983</t>
  </si>
  <si>
    <t>10.1088/0264-9381/15/11/004</t>
  </si>
  <si>
    <t>2-s2.0-0032326971</t>
  </si>
  <si>
    <t>['two fractions', 'three fractions', 'subchloroplast particles', 'protein complexes', 'photosystem ii', 'photochemical activities', 'p700 +.', 'light particles', 'last characteristic', 'isolated pea', 'intergranal thylakoids', 'induction curves', 'induced oxidation', 'harvesting antennae', 'granal thylakoids', 'granal particles', 'exposed regions', 'excitation spectra', 'electron transfer', 'dark reduction', 'chlorophyll fluorescence']</t>
  </si>
  <si>
    <t>Fluorescence | Photosystem I | Photosystem II | Pigment-protein complexes | Pisum sativum | Thylakoids</t>
  </si>
  <si>
    <t>Two fractions of light particles enriched in photosystem I and a fraction of heavy granal particles were obtained from isolated pea (Pisum sativum L.) thylakoids. The composition of pigment-protein complexes, spectra of low-temperature chlorophyll fluorescence and excitation spectra of long-wave chlorophyll fluorescence, the rates of light-induced oxidation and dark reduction of P700, photochemical activities of photosystem I and photosystem II, and induction curves of chlorophyll fluorescence were measured in these particles. It was found that photosystem I complexes in the three fractions of thylakoid fragments differed by the size of their light-harvesting antennae and the rate of dark reduction of P700+. The last characteristic was sensitive to 3-(3,4-dichlorophenol)-1, 1-ditnethylurea, an inhibitor of linear electron transport, only in granal particles, which indicates the presence of electron transfer between photosystem I and photosystem II in these particles. Characteristics of photosystem II complexes differed in the three fractions of subchloroplast particles. The comparison of our results and data in the literature allowed us to identify the two fractions of light particles as fragments of intergranal thylakoids and stroma-exposed regions of granal thylakoids.</t>
  </si>
  <si>
    <t>695-701</t>
  </si>
  <si>
    <t>Russian Journal of Plant Physiology</t>
  </si>
  <si>
    <t>60011313;60011313;60011313;60011313;60011313</t>
  </si>
  <si>
    <t>7003340068;6602513053;7003935923;6506968394;57196358932</t>
  </si>
  <si>
    <t>Kochubei, S. M.;Volovik, O. I.;Korneev, D. Yu;Porubleva, L. V.;Shevchenko, V. V.</t>
  </si>
  <si>
    <t>National Academy of Sciences in Ukraine</t>
  </si>
  <si>
    <t>Kochubei S.</t>
  </si>
  <si>
    <t>Organization and functional activity of intergranal and granal fragments of pea thylakoids</t>
  </si>
  <si>
    <t>2-s2.0-0032332605</t>
  </si>
  <si>
    <t>['volatile solids', 'volatile compounds', 'submerged bio', 'simulate aeration', 'significant according', 'results showed', 'oxidizing agent', 'liquid parameters', 'hydrogen sulfide', 'hydrogen peroxide', 'h2o2 added', 'enhanced due', 'direct oxidization', 'control samples', 'blanket aiming', 'ammonia nitrogen', 'aerobic population', 'aerobic microbes', 'aerobic environment', 'aerobic bacteria', 'aerial ammonia']</t>
  </si>
  <si>
    <t>Bio-cover | Lagoons | Microbes | Surface aeration | Swine manure odor control</t>
  </si>
  <si>
    <t>The effectiveness of an aerated, submerged bio-blanket for controlling the release of odorous and volatile compounds from swine manure storage lagoons was examined. Hydrogen peroxide was used as oxidizing agent to simulate aeration by increasing the dissolved oxygen level in the bio-blanket. Commercially available dry aerobic microbes were added into the bio-blanket aiming at increasing the aerobic population. The results showed that the aerobic environment in the bio-blanket was not established by adding hydrogen peroxide and the levels of aerobic bacteria in the bio-blanket were not enhanced due to the addition of aerobic microbes. The reduction of volatile fatty acids could be caused by the direct oxidization by the H2O2 added, which resulted in up to 65% reduction in odor threshold compared with the control samples. The effect of this bio-blanket on the emissions of aerial ammonia and hydrogen sulfide as well as on the other liquid parameters such as total and ammonia nitrogen, pH, and total and volatile solids was not significant according to this study. ¬© Publications Division Selper Ltd, 1998.</t>
  </si>
  <si>
    <t>1085-1093</t>
  </si>
  <si>
    <t>1479487X</t>
  </si>
  <si>
    <t>Environmental Technology (United Kingdom)</t>
  </si>
  <si>
    <t>Zhu, J.</t>
  </si>
  <si>
    <t>Minneapolis</t>
  </si>
  <si>
    <t>University of Minnesota Twin Cities</t>
  </si>
  <si>
    <t>Zhu J.</t>
  </si>
  <si>
    <t>A laboratory study of an aerated lagoon bio-blanket for swine manure odor control</t>
  </si>
  <si>
    <t>10.1080/09593331908616766</t>
  </si>
  <si>
    <t>2-s2.0-0032438284</t>
  </si>
  <si>
    <t>['shaped 13', 'plasma uniformity', 'plasma source', 'plasma density', 'plasma densities', 'o2 plasma', 'large volume', 'langmuir probe', 'high density', 'electron temperatures', 'electron density', 'axial profiles', 'argon pressure', '16cm diameter', '13cm diameter', '10cm diameter', '1 pa', '1 kw']</t>
  </si>
  <si>
    <t>A large volume, high density, and pagoda-shaped radio frequency (rf) plasma source has been developed for use in large scale plasma processing. The inductively coupled plasma (ICP) is created by a pagoda-shaped 13.65 MHz antenna to improve the plasma uniformity on substrate. Plasma densities and electron temperatures are measured by using a Langmuir probe and their radial and axial profiles are attained. Electron density of &gt; 1 √ó 1011 cm-3 on the substrate and uniform to ‚â§ ¬±1.6% over 16cm diameter can be produced at argon pressure of 6.65√ó10-1 Pa and input rf power of 1 kW. ICP etching photoresist in O2 plasma has been tested and the etching uniformity consists with that of the plasma density on the substrate. A large scale etched sample with the uniformity to ‚â§ ¬±1.1% over 10cm diameter or to ‚â§ ¬±2.2% over 13cm diameter has been obtained.</t>
  </si>
  <si>
    <t>823-831</t>
  </si>
  <si>
    <t>Chinese Physics</t>
  </si>
  <si>
    <t>60012820;60012820;60019499;60019499</t>
  </si>
  <si>
    <t>7402530357;7401574498;8937871000;7102429436</t>
  </si>
  <si>
    <t>Yao, Xin Zi;Jiang, De Yi;Liu, Xun Chun;Ye, Tian Chun</t>
  </si>
  <si>
    <t>Beijing;Beijing</t>
  </si>
  <si>
    <t>Chinese Academy of Sciences;Institute of Physics Chinese Academy of Sciences</t>
  </si>
  <si>
    <t>60019499;60012820</t>
  </si>
  <si>
    <t>Yao X.</t>
  </si>
  <si>
    <t>2-s2.0-11544273973</t>
  </si>
  <si>
    <t>Ian Hickman describes a simple yet high performance field sterngth meter suitable for evaluating antenna radiation patterns.</t>
  </si>
  <si>
    <t>929-934</t>
  </si>
  <si>
    <t>How strong is your field?</t>
  </si>
  <si>
    <t>2-s2.0-11744312916</t>
  </si>
  <si>
    <t>['signal level', 'shed light', 'safety matter', 'radiation pattern', 'ongoing study', 'human body']</t>
  </si>
  <si>
    <t>Radiation from antennas is affected by the human body's proximity. The effects include absorption of energy, which is a safety matter, and distortion of the antenna's radiation pattern, which may require modification of communication system performance parameters to allow for variations in signal level. Ongoing study in both safety and performance areas continues to shed light on the nature of these interactions.</t>
  </si>
  <si>
    <t>70-73</t>
  </si>
  <si>
    <t>Breed, Gary A.</t>
  </si>
  <si>
    <t>A primer on antenna/human body interaction</t>
  </si>
  <si>
    <t>2-s2.0-19944376912</t>
  </si>
  <si>
    <t>['wave complex', 'two sets', 'triaxial search', 'preliminary results', 'magnetic sensors', 'interperiodica publishing', 'intermediate altitudes', 'elf emissions', 'electronic unit', 'digitized form', 'coil magnetometer', 'associated phenomena', 'akr emissions', '5 hz', '40 khz', '250 khz', '2 mhz', '01 hz', '0 khz']</t>
  </si>
  <si>
    <t>The MEMO experiment consists of two sets of magnetic sensors: ULF/ELF (0.01 Hz-1.0 kHz) triaxial search-coil magnetometer and three separated HF (40 kHz-2 MHz) search coil magnetic antennas, as well as an electronic unit. Unlike other experiments on wave complex, this experiment is designed to measure the waveforms of signals in a wide frequency range from 5 Hz to 250 kHz in digitized form. Preliminary results on AKR emissions and associated phenomena are presented. Peculiarities of ELF emissions in the magnetosphere at intermediate altitudes are discussed. ¬© 1998 MAEe cyrillic signK HayŒ∫a/Interperiodica Publishing.</t>
  </si>
  <si>
    <t>559-574</t>
  </si>
  <si>
    <t>60002930;60002930;60017989;60002930;60002930;60002930;60002930;60002930;60002930;60002930;60002930;60017989</t>
  </si>
  <si>
    <t>6603706866;7004587851;57209056490;7102683873;8847418300;8847418400;6507376770;6701861137;56309231100;55414985700;8847418900;6602335233</t>
  </si>
  <si>
    <t>Lefeuvre, F.;Parrot, M.;Mogilevsky, M. M.;Rauch, J. L.;Poirier, B.;Dume, J. P.;Fergeau, P.;Leveque, M.;Martin, Ph;Moreau, J. M.;Zamora, P.;Romantsova, T. V.</t>
  </si>
  <si>
    <t>Moscow;Orleans</t>
  </si>
  <si>
    <t>Space Research Institute of the Russian Academy of Sciences;Laboratoire de Physique et de Chimie de l'Environnement et de l'Espace (LPC2E)</t>
  </si>
  <si>
    <t>60017989;60002930</t>
  </si>
  <si>
    <t>Lefeuvre F.</t>
  </si>
  <si>
    <t>Multicomponent measurements of wave processes aboard the Auroral Probe satellite of the INTERBALL project: The MEMO experiment</t>
  </si>
  <si>
    <t>2-s2.0-27144475850</t>
  </si>
  <si>
    <t>['results show', 'obtained using', 'novel disk', 'flare angle', 'experimentally studied', 'design considerations', 'circular polarisation']</t>
  </si>
  <si>
    <t>A novel disk-sector microstrip antenna with specific flare angles for circular polarisation (CP) operation is proposed and experimentally studied. Results show that by selecting the flare angle of the disk-sector microstrip patch to be 65 or 70 ¬∞, right-hand or left-hand CP radiation can easily be obtained using a single probe feed. Details of the design considerations are described, and measured CP characteristics are presented.</t>
  </si>
  <si>
    <t>2188-2190</t>
  </si>
  <si>
    <t>8396240400;35460663000</t>
  </si>
  <si>
    <t>Hsu, Wen Hsiu;Wong, Kin Lu</t>
  </si>
  <si>
    <t>Hsu W.H.</t>
  </si>
  <si>
    <t>Circularly-polarised disk-sector microstrip antenna</t>
  </si>
  <si>
    <t>10.1049/el:19981587</t>
  </si>
  <si>
    <t>2-s2.0-0032202528</t>
  </si>
  <si>
    <t>['‚ âé2', 'œ ¥', 'proposed design', 'nonradiating edges', 'experimental results', 'antenna bandwidth', '6 times', '2 ),']</t>
  </si>
  <si>
    <t>A novel broadband design of a probe-fed rectangular microstrip antenna with a pair of toothbrush-shaped slots embedded close to the nonradiating edges of the patch is presented. The proposed broadband design is achieved by the excitation of two adjacent resonant frequencies of the TM10 and TMŒ¥0 modes (1 &lt; Œ¥ &lt; 2), to obtain a wide operating bandwidth. An antenna bandwidth as large as ‚âÉ2.6 times that of a conventional rectangular microstrip antenna has also been obtained. Details of the proposed design and experimental results are presented.</t>
  </si>
  <si>
    <t>2186-2187</t>
  </si>
  <si>
    <t>35249332900;35460663000</t>
  </si>
  <si>
    <t>Sze, Jia Yi;Wong, Kin Lu</t>
  </si>
  <si>
    <t>Sze J.</t>
  </si>
  <si>
    <t>Broadband rectangular microstrip antenna with pair of toothbrush-shaped slots</t>
  </si>
  <si>
    <t>10.1049/el:19981569</t>
  </si>
  <si>
    <t>2-s2.0-0032202987</t>
  </si>
  <si>
    <t>['various thickness', 'relative permittivities', 'measured results', 'capacitive coupling', 'adapted osm']</t>
  </si>
  <si>
    <t>Capacitive coupling to a microstrip patch antenna from adapted OSM or N-type connectors mounted on the ground plane affords a way of exciting the patch without requiring a probe through the substrate. The benefits and limitations of this method when applied to substrates of various thickness and relative permittivities are discussed, and measured results are presented.</t>
  </si>
  <si>
    <t>2187-2188</t>
  </si>
  <si>
    <t>7003982481;7003504220</t>
  </si>
  <si>
    <t>Haskins, P. M.;Dahele, J. S.</t>
  </si>
  <si>
    <t>Haskins P.</t>
  </si>
  <si>
    <t>Capacitive coupling to patch antenna by means of modified coaxial connectors</t>
  </si>
  <si>
    <t>10.1049/el:19981576</t>
  </si>
  <si>
    <t>2-s2.0-0032203050</t>
  </si>
  <si>
    <t>['proposed antenna', 'microstrip antennas', 'line feed', 'inset microstrip', 'impedance bandwidth', 'experimental results', 'determined experimentally', 'design rules', 'broadband operation', '0 times']</t>
  </si>
  <si>
    <t>By embedding a pair of properly-bent narrow slots in an equilateral-triangular microstrip patch, broadband operation of microstrip antennas with an inset microstrip-line feed can be achieved. With the proposed antenna design, the impedance bandwidth can be as large as ‚àº 3.0 times that of a corresponding simple triangular microstrip antenna. Some simple design rules for the proposed antenna have also been determined experimentally. The design rules and experimental results are presented and discussed.</t>
  </si>
  <si>
    <t>2184-2186</t>
  </si>
  <si>
    <t>7402422499;35460663000;7102866407</t>
  </si>
  <si>
    <t>Fang, Shyh Tirng;Wong, Kin Lu;Chiou, Tzung Wern</t>
  </si>
  <si>
    <t>Bandwidth enhancement of insetmicrostrip-line-fed equilateral-triangular microstrip antenna</t>
  </si>
  <si>
    <t>10.1049/el:19981578</t>
  </si>
  <si>
    <t>2-s2.0-0032204134</t>
  </si>
  <si>
    <t>['sequential rotation', 'return loss', 'radiation patterns', 'axial ratio', 'antenna array', '1 %.']</t>
  </si>
  <si>
    <t>A 2 √ó 2 circularly polarised (CP) microstrip antenna array using a proximity coupled feed and sequential rotation is described. As compared with a previously presented single-element circularly polarised microstrip antenna with a cross-slot, the new array achieves a much wider impedance bandwidth of 11.18% and has an axial ratio bandwidth of 4.1%. The return loss, radiation patterns and axial ratio of the antenna array were measured and are presented.</t>
  </si>
  <si>
    <t>2190-2191</t>
  </si>
  <si>
    <t>7201502439;55511318500;55510527400</t>
  </si>
  <si>
    <t>Lo, W. K.;Chan, C. H.;Luk, K. M.</t>
  </si>
  <si>
    <t>Lo W.</t>
  </si>
  <si>
    <t>Circularly polarised microstrip antenna array using proximity coupled feed</t>
  </si>
  <si>
    <t>10.1049/el:19981573</t>
  </si>
  <si>
    <t>2-s2.0-0032204135</t>
  </si>
  <si>
    <t>['view coverage', 'subarraying qualities', 'produce arrays', 'minimum number', 'low sidelobes', 'limited field', 'contiguous subarrays']</t>
  </si>
  <si>
    <t>A technique is presented which combines the subarraying qualities of constrained dual transform beamforming sections and partial overlapping networks to produce arrays of contiguous subarrays. This approach is shown to facilitate wideband scanning or limited field of view coverage with a minimum number of controls and low sidelobes.</t>
  </si>
  <si>
    <t>2191-2193</t>
  </si>
  <si>
    <t>Mailloux, R. J.</t>
  </si>
  <si>
    <t>Mailloux R.</t>
  </si>
  <si>
    <t>Constrained feed technique for subarrays of large phased arrays</t>
  </si>
  <si>
    <t>10.1049/el:19981584</t>
  </si>
  <si>
    <t>2-s2.0-0032204136</t>
  </si>
  <si>
    <t>['uniplanar antenna', 'reflecting element', 'polarisation level', 'novel yagi', 'broadband characteristics', 'back ratio', '5db gain', '18db front', '17 %,', '15db cross']</t>
  </si>
  <si>
    <t>A compact and uniplanar antenna with broadband characteristics is presented. The novel Yagi-like printed dipole array antenna is fed by a microstrip-to-coplanar strip transition, and uses the truncated microstrip ground plane as its reflecting element. An X-band prototype measures a bandwidth of 17%, with 6.5dB gain, 18dB front-to-back ratio, and lower than -15dB cross-polarisation level at 10GHz.</t>
  </si>
  <si>
    <t>2194-2196</t>
  </si>
  <si>
    <t>7402872518;7006826516;57224704376;36041035600</t>
  </si>
  <si>
    <t>Qian, Y.;Deal, W. R.;Kaneda, N.;Itoh, T.</t>
  </si>
  <si>
    <t>Qian Y.</t>
  </si>
  <si>
    <t>Microstrip-fed quasi-Yagi antenna with broadband characteristics</t>
  </si>
  <si>
    <t>10.1049/el:19981583</t>
  </si>
  <si>
    <t>2-s2.0-0032204771</t>
  </si>
  <si>
    <t>['x bands', 'upper frequency', 'single low', 'profile aperture', 'perforated proximity', 'lower frequency', 'impedance bandwidth', 'frequency ratio', 'element consists', 'compact enough', 'band operation', '6 %,']</t>
  </si>
  <si>
    <t>A novel printed antenna element capable of providing dual polarised operation over two widely separated frequency bands is described. The element consists of a perforated proximity-fed microstrip patch antenna operating at the lower frequency, layered over a subarray of aperture coupled microstrip elements operating at the upper frequency. Results for a specific example operating at L and X bands (a frequency ratio of 8:1) are presented. The impedance bandwidth for both bands is &gt; 6%, with isolation within bands &gt; 20dB and isolation between bands &gt; 40dB. The element and feed network also has the advantage of being compact enough to be used in arrays, providing dual polarised dual-band operation from a single low-profile aperture.</t>
  </si>
  <si>
    <t>2193-2194</t>
  </si>
  <si>
    <t>6603820268;7006061921</t>
  </si>
  <si>
    <t>Targonski, S. D.;Pozar, D. M.</t>
  </si>
  <si>
    <t>Targonski S.</t>
  </si>
  <si>
    <t>Dual-band dual polarised printed antenna element</t>
  </si>
  <si>
    <t>10.1049/el:19981581</t>
  </si>
  <si>
    <t>2-s2.0-0032204791</t>
  </si>
  <si>
    <t>['user case', 'receiver comprises', 'rake combiner', 'interference ratio', '096 mchip']</t>
  </si>
  <si>
    <t>A four-element pilot symbol-assisted coherent adaptive antenna array diversity receiver for 4.096 Mchip/s wideband direct sequence code division multiple access mobile radio is implemented and its performance in a multipath fading environment is evaluated by a laboratory experiment using hardware fading simulators. The receiver comprises an adaptive antenna array using the normalised least mean square algorithm and Rake combiner. It is demonstrated that, for the three-user case, the required average signal-to-interference ratio for obtaining average BER of 10-3 can be reduced by ‚àº 8dB compared to four-branch antenna diversity.</t>
  </si>
  <si>
    <t>2204-2205</t>
  </si>
  <si>
    <t>55649567818;57206187624;55411183500;7103400688</t>
  </si>
  <si>
    <t>Tanaka, S.;Harada, A.;Sawahashi, M.;Adachi, F.</t>
  </si>
  <si>
    <t>Experiment on coherent adaptive antenna array for wideband DS-CDMA mobile radio</t>
  </si>
  <si>
    <t>10.1049/el:19981579</t>
  </si>
  <si>
    <t>2-s2.0-3743097123</t>
  </si>
  <si>
    <t>['tier ds', 'real environment', 'presented formulas', 'interference gain', 'different options', 'considered ).', 'cdma system', 'approximate formulas', 'adaptive antennas', 'adaptive antenna']</t>
  </si>
  <si>
    <t>The issue of multiple cell deployment of adaptive antennas for a direct sequence code division multiple access (DS-CDMA) system is investigated. The approximate formulas for the signal to interference gain and the bit error rate are extended, using the method of the effective radiation pattern characteristics, produced with an adaptive antenna in a real environment. (The word effective implies that the value for the parameter under discussion is what can be achieved if the scattering and signal mismatching effects are considered). The presented formulas are then used to study the different options for the deployment of adaptive antennas in a multi-tier DS-CDMA system.</t>
  </si>
  <si>
    <t>2196-2197</t>
  </si>
  <si>
    <t>Single and multiple cell deployment of adaptive antennas with CDMA</t>
  </si>
  <si>
    <t>10.1049/el:19981538</t>
  </si>
  <si>
    <t>2-s2.0-3743102660</t>
  </si>
  <si>
    <t>['wave antenna', 'measured h', 'hemt vco', 'feeding structure', 'dominant mode', 'covered wire', 'coupled structure', 'coupled leaky', 'controlled oscillator', 'active aperture']</t>
  </si>
  <si>
    <t>An active aperture-coupled leaky-wave antenna which is integrated with a varactor-tuned high electron mobility transistor voltage-controlled oscillator (HEMT VCO) is presented. To excite the first higher mode of the microstrip, the aperture-coupled structure is used and a sequence of covered wire is added at the centre of this antenna to suppress the dominant mode. The measured H-plane main beam can be continuously scanned 10¬∞ as the HEMT VCO frequency is varied from 9.05 to 9.5GHz. This feeding structure is very suitable for active phase antenna array applications.</t>
  </si>
  <si>
    <t>2183-2184</t>
  </si>
  <si>
    <t>60012370;60012370;60006576;60012370</t>
  </si>
  <si>
    <t>7006325317;57214062291;56123316200;7005109058</t>
  </si>
  <si>
    <t>Kao, Nien An;Hu, Cheng Chi;Wu, Jin Jei;Jou, C. F.</t>
  </si>
  <si>
    <t>National Chiao Tung University;Kao Yuan Institute of Technology Taiwan</t>
  </si>
  <si>
    <t>60012370;60006576</t>
  </si>
  <si>
    <t>Kao N.</t>
  </si>
  <si>
    <t>Active aperture-coupled leaky-wave antenna</t>
  </si>
  <si>
    <t>10.1049/el:19981539</t>
  </si>
  <si>
    <t>2-s2.0-3743125070</t>
  </si>
  <si>
    <t>MCB-9204672</t>
  </si>
  <si>
    <t>['whereas pcbab', 'three genes', 'similarly detected', 'rnas vary', 'region upstream', 'pcbc mrnas', 'pcbabc transcript', 'pcb region', 'low light', 'light regimes', 'light intensity', 'light influences', 'larger transcripts', 'large 4', 'individual pcba', 'high light', 'half lives', 'enhanced stability', 'darkness results', 'cultures maintained', 'complex pattern', 'c mrnas', 'binding apoproteins', '60 min', '1998 federation', '15 min']</t>
  </si>
  <si>
    <t>Cyanobacteria | Photosynthetic antenna | Prochlorothrix | Promoter | Transcript stability</t>
  </si>
  <si>
    <t>The tightly linked pcbABC genes encode the chlorophyll a/b-binding apoproteins in the oxygenic photosynthetic prokaryote Prochlorothrix hollandica. Northern blotting experiments employing gene-specific DNA probes have identified a complex pattern of transcription from the pcb region. A large 4.4-kb transcript detected in cultures maintained in high light, low light and in darkness results from the cotranscription of all three genes, whereas pcbAB, pcbBC and individual pcbA, B, and C mRNAs are similarly detected in all light regimes. The half lives of the RNAs vary from 15 min for the pcbABC transcript, to over 60 min for the pcbA and pcbC mRNAs. The lack of identifiable promoter sequences other than the region upstream from pcbA, plus the enhanced stability of the individual single gene transcripts, suggest that the smaller RNA species arise from processing of larger transcripts. Transcription and mRNA turnover occurs largely independent of light intensity, in contrast to what is seen in most other phototrophs, in which light influences the accumulation of antenna apoprotein gene mRNAs. Copyright (C) 1998 Federation of European Microbiological Societies.</t>
  </si>
  <si>
    <t>100545056;100545056</t>
  </si>
  <si>
    <t>6508310695;7004682381</t>
  </si>
  <si>
    <t>Nikolaitchik, Olga A.;Bullerjahn, George S.</t>
  </si>
  <si>
    <t>Center for Photochemical Sciences</t>
  </si>
  <si>
    <t>Nikolaitchik O.A.</t>
  </si>
  <si>
    <t>Transcript analysis of the pcbABC genes encoding the antenna apoproteins in the photosynthetic prokaryote, Prochlorothrix hollandica</t>
  </si>
  <si>
    <t>S0378109798004376</t>
  </si>
  <si>
    <t>10.1016/S0378-1097(98)00437-6</t>
  </si>
  <si>
    <t>2-s2.0-0031790045</t>
  </si>
  <si>
    <t>['widespread distribution', 'variously modified', 'trisialylated components', 'total n', 'tetraantennary n', 'structures comprised', 'structural groups', 'sialylated structures', 'sialyl lewis', 'showed abundances', 'short chains', 'possibly indicating', 'possible charge', 'polysialylated n', 'polysialic acid', 'phase high', 'paper extends', 'neutral n', 'neutral glycans', 'neural cell', 'neuac residues', 'mediated interactions', 'mass spectrometry', 'linked galactose', 'least 40', 'individual glycoproteins', 'hybrid structures', 'high degree', 'glycans substituted', 'glycans modified', 'glycan pool', 'exoglycosidase digestions', 'exchange chromatography', 'earlier work', 'distinguishing sets', 'contained one', 'components substituted', 'bisecting glcnac', 'arm fucose', 'approximately 12', 'adhesion molecules', '4glcnac antennae']</t>
  </si>
  <si>
    <t>Brain | N-linked glycans | Rat | Sialylation | Structure determination</t>
  </si>
  <si>
    <t>This paper extends our earlier work on the analysis of neutral N- glycans from adult rat brain to glycans carrying NeuAc residues as their sole charged groups. These structures comprised at least 40% of the total (acidic and neutral) N-glycan pool. Compounds were identified by a combination of endoglycosidase and exoglycosidase digestions, anion-exchange chromatography, normal and reverse-phase high-performance liquid chromatography, matrix- assisted laser desorption/ionisation-mass spectrometry and combined gas chromatography/mass spectrometry. Mono-, di- and trisialylated components, together with components substituted with four (or more) NeuAc residues, showed abundances of approximately 12, 10, 7 and 7%, respectively, relative to the total N-glycan pool. In addition, neuraminidase digestion resulted in the neutralisation of a fraction of highly charged species, possibly indicating the presence of N-glycans substituted with short chains of polysialic acid. Sialylated bi-, tri- [mainly the (2,4)-branched isomer], tetraantennary complex, polylactosamine and hybrid structures were detected. Typically, for 'brain-type' N-glycosylation, these sialylated structures were variously modified by the presence of core Œ±l- 6-linked and outer-arm Œ±1- 3-linked fucose residues and by a bisecting GlcNAc. Structural groups such as sialyl Lewis(x) and NeuAcŒ±2-3 substituted GalŒ≤1-4GlcNAc antennae were common. In contrast to the neutral glycans, however, a widespread distribution of terminal Œ≤1-3-linked galactose residues was observed. The presence of Œ≤1-3-linked galactose allowed for a high degree of sialylation as afforded by the presence of the NeuAcŒ±2-3GalŒ≤1-3(NeuAcŒ±2-6)GlcNAc structural group. This revealed a number of novel structures including the presence of tetraantennary N-glycans with more than one Œ≤1-3 galactose residue and (2,4)-branched triantennary oligosaccharides containing three such residues. Disialylated hybrid glycans containing Œ≤1-3-linked galactose and 'polylactosamine' N-glycans with one to three terminal Œ≤1-3 galactose residues were additional novel features. The N-glycans modified by polysialylation lacked outer-arm fucose and bisecting GlcNAc residues but all contained one or more terminal Œ≤1-3-linked galactose residues. These may be representative, therefore, of the polysialylated N-glycans expressed mainly on neural cell-adhesion molecules and known to be present in adult rat brain. The diversity of presentation of terminal sialylated groups in rat brain implies potential specificity for possible charge or lectin-mediated interactions. The distinguishing sets of sialylated structures described here are indicative of differences in the natural glycosylation processing pathways in different cell types within the central nervous system, a specificity that may be further magnified on the individual glycoproteins.</t>
  </si>
  <si>
    <t>243-270</t>
  </si>
  <si>
    <t>60002634-60026324;60002634;60002634;60002634-60026324;60002634;60002634</t>
  </si>
  <si>
    <t>6701842103;7202064593;37095414800;6602389491;35399298000;7007068113</t>
  </si>
  <si>
    <t>Zamze, Susanne;Harvey, David J.;Chen, Yi Ju;Guile, Geoffrey R.;Dwek, Raymond A.;Wing, David R.</t>
  </si>
  <si>
    <t>Compton;Oxford</t>
  </si>
  <si>
    <t>Edward Jenner Institute for Vaccine Research;University of Oxford Medical Sciences Division</t>
  </si>
  <si>
    <t>60026324;60002634</t>
  </si>
  <si>
    <t>Zamze S.</t>
  </si>
  <si>
    <t>Sialylated N-glycans in adult rat brain tissue - A widespread distribution of disialylated antennae in complex and hybrid structures</t>
  </si>
  <si>
    <t>10.1046/j.1432-1327.1998.2580243.x</t>
  </si>
  <si>
    <t>2-s2.0-0032533383</t>
  </si>
  <si>
    <t>R01EY008152</t>
  </si>
  <si>
    <t>['two types', 'sensilla trichoidea', 'sensilla coeloconica', 'sensilla basiconica', 'sense organs', 'sense organ', 'results suggest', 'recruit neighbours', 'prepatterning genes', 'founder cell', 'far studied', 'epidermal field', 'drosophila antenna', 'dependent manner', 'appropriate type']</t>
  </si>
  <si>
    <t>Antenna | Cell fate specification | Lozenge | Olfactory sense organ | Runt</t>
  </si>
  <si>
    <t>Sense organ development in the Drosophila antenna is initiated by the selection of a founder cell from an epidermal field. This cell is believed to recruit neighbours to form a cluster of cells which then divides to form a mature sense organ. In most systems so far studied, sense organ type appears to be specified by the identity of proneural genes involved in the selection of precursors. The regulation of proneural gene expression is, in turn, controlled by the prepatterning genes. In the antenna, the only known proneural function is that of atonal, a gene that is involved in founder cell choice in the sensilla coeloconica, and no prepatterning gene function has yet been demonstrated. In this study, we show that Lozenge, a protein which possesses a DNA binding domain similar to that of the Acute myeloid leukemia- 1/Runt transcription factors, functions in a dose-dependent manner to specify the fate of the other two types of sense organs in the antenna: the sensilla trichoidea and the sensilla basiconica. Our results suggest that Lozenge may act on the epidermal field, resulting in founder cells acquiring specific cell fates that lead to the development of an appropriate type of sense organ.</t>
  </si>
  <si>
    <t>400-411</t>
  </si>
  <si>
    <t>Developmental Biology</t>
  </si>
  <si>
    <t>60031855;60027550;60027550;60031855</t>
  </si>
  <si>
    <t>7402195472;7101819821;57208455188;7101600442</t>
  </si>
  <si>
    <t>Gupta, Bhagwati P.;Flores, Gail V.;Banerjee, Utpal;Rodrigues, Veronica</t>
  </si>
  <si>
    <t>Mumbai;Los Angeles</t>
  </si>
  <si>
    <t>Tata Institute of Fundamental Research, Mumbai;University of California, Los Angeles</t>
  </si>
  <si>
    <t>60031855;60027550</t>
  </si>
  <si>
    <t>Gupta B.</t>
  </si>
  <si>
    <t>Patterning an epidermal field: Drosophila lozenge, a member of the AML- 1/Runt family of transcription factors, specifies olfactory sense organ type in a dose-dependent manner</t>
  </si>
  <si>
    <t>S0012160698990649</t>
  </si>
  <si>
    <t>10.1006/dbio.1998.9064</t>
  </si>
  <si>
    <t>2-s2.0-0032533675</t>
  </si>
  <si>
    <t>ECS-9222391</t>
  </si>
  <si>
    <t>['typical number', 'truss design', 'squares problems', 'square root', 'special cases', 'solving socps', 'shares many', 'semidefinite programs', 'sdps ).', 'robust least', 'rights reserved', 'quadratic programs', 'problem size', 'problem grows', 'point methods', 'point method', 'linear programming', 'linear function', 'less general', 'iterations required', 'iterations ranges', 'include linear', 'filter design', 'engineering applications', 'efficient primal', 'dual interior', 'basic theory', 'almost independent', 'affine set']</t>
  </si>
  <si>
    <t>Convex optimization | Interiorpoint methods | Quadratic programming | Semidefinite programming</t>
  </si>
  <si>
    <t>In a second-order cone program (SOCP) a linear function is minimized over the intersection of an affine set and the product of second-order (quadratic) cones. SOCPs are nonlinear convex problems that include linear and (convex) quadratic programs as special cases, but are less general than semidefinite programs (SDPs). Several efficient primal-dual interior-point methods for SOCP have been developed in the last few years. After reviewing the basic theory of SOCPs, we describe general families of problems that can be recast as SOCPs. These include robust linear programming and robust least-squares problems, problems involving sums or maxima of norms, or with convex hyperbolic constraints. We discuss a variety of engineering applications, such as filter design, antenna array weight design, truss design, and grasping force optimization in robotics. We describe an efficient primal-dual interior-point method for solving SOCPs, which shares many of the features of primal-dual interior-point methods for linear programming (LP): Worst-case theoretical analysis shows that the number of iterations required to solve a problem grows at most as the square root of the problem size, while numerical experiments indicate that the typical number of iterations ranges between 5 and 50, almost independent of the problem size. ¬© 1998 Elsevier Science Inc. All rights reserved.</t>
  </si>
  <si>
    <t>193-228</t>
  </si>
  <si>
    <t>Linear Algebra and Its Applications</t>
  </si>
  <si>
    <t>;60027550;;60019904</t>
  </si>
  <si>
    <t>7006647492;35585275200;35509523300;6603438958</t>
  </si>
  <si>
    <t>Lobo, Miguel Sousa;Vandenberghe, Lieven;Boyd, Stephen;Lebret, Herv√©</t>
  </si>
  <si>
    <t>United States;France</t>
  </si>
  <si>
    <t>Los Angeles;Palaiseau</t>
  </si>
  <si>
    <t>University of California, Los Angeles;ENSTA Paris</t>
  </si>
  <si>
    <t>60027550;60019904</t>
  </si>
  <si>
    <t>Lobo M.</t>
  </si>
  <si>
    <t>Applications of second-order cone programming</t>
  </si>
  <si>
    <t>S0024379598100320</t>
  </si>
  <si>
    <t>10.1016/S0024-3795(98)10032-0</t>
  </si>
  <si>
    <t>2-s2.0-0041940559</t>
  </si>
  <si>
    <t>['zinc porphyrins', 'upon irradiation', 'readily available', 'linear nickel', 'high regioselectivity']</t>
  </si>
  <si>
    <t>C-C coupling | Donor-acceptor systems photosynthesis | Porphyrinoids | Supramolecular chemistry</t>
  </si>
  <si>
    <t>Up to 14 porphyrin rings are present in the title compounds 1, which are readily available with high regioselectivity from linear nickel-zinc porphyrins. Upon irradiation with light a rapid energy transfer from the peripheral porphyrin rings to the diporphyrin core takes place.</t>
  </si>
  <si>
    <t>3023-3027</t>
  </si>
  <si>
    <t>Angewandte Chemie - International Edition</t>
  </si>
  <si>
    <t>60011001;60011001;60014652;60014652;60014652</t>
  </si>
  <si>
    <t>7201966564;7006373075;24586425300;35396822600;7403347966</t>
  </si>
  <si>
    <t>Nakano, Aiko;Osuka, Atsuhiro;Yamazaki, Iwao;Yamazaki, Tomoko;Nishimura, Yoshinobu</t>
  </si>
  <si>
    <t>Sapporo;Kyoto</t>
  </si>
  <si>
    <t>Hokkaido University;Kyoto University</t>
  </si>
  <si>
    <t>60014652;60011001</t>
  </si>
  <si>
    <t>Nakano A.</t>
  </si>
  <si>
    <t>Windmill-like porphyrin arrays as potent light-harvesting antenna complexes</t>
  </si>
  <si>
    <t>10.1002/(SICI)1521-3773(19981116)37:21&lt;3023::AID-ANIE3023&gt;3.0.CO;2-A</t>
  </si>
  <si>
    <t>2-s2.0-0032538774</t>
  </si>
  <si>
    <t>['whereas ft7', 'vivo properties', 'type glycans', 'stably expressed', 'significantly contribute', 'significant amounts', 'sialyl lewis', 'purified glycoprotein', 'proteolytically cleaved', 'monosialo chains', 'linked complex', 'ft6 indicate', 'ft6 cells', 'ft3 cells', 'enzyme produced', 'difucosylated chains', 'culture medium', 'characteristic ratio', '7 ).', '1 ),']</t>
  </si>
  <si>
    <t>Each of the five human Œ±1,3/4-fucosyltransferases (FT3 to FT7) has been stably expressed in BHK-21 cells together with human Œ≤-trace protein (Œ≤- TP) as a secretory reporter glycoprotein. In order to study their in vivo properties for the transfer of peripheral Fuc onto N-linked complex-type glycans, detailed structural analysis was performed on the purified glycoprotein. All fucosyltransferases were found to peripherally fucosylate 19-52% of the diantennary Œ≤-TP N-glycans, and all enzymes were capable of synthesizing the sialyl Lewis(x) (sLe(x)) motif. However, each enzyme produced its own characteristic ratio of sLe(x)/Le(x) antennae as follows: FT7 (only sLe(x), FT3 (14:1), FT5 (3:1), FT6 (1.1:1), and FT4 (1:7). Fucose transfer onto Œ≤-TP N-glycans was low in FT3 cells (11% of total antennae), whereas the values for FT7, FT5, FT4, and FT6 cells were 21, 25, 35, and 47%, respectively. FT3, FT4, FT5, and FT7 transfer preponderantly one Fuc per diantennary N-glycan. FT4 preferentially synthesizes di-Le(x) on asialo diantennary N-glycans and mono-Le(x) with monosialo chains. In contrast, FT6 forms mostly Œ±1,3-difucosylated chains with no, one, or two NeuAc residues. FT3, FT4, and FT6 were proteolytically cleaved and released into the culture medium in significant amounts, whereas FT7 and FT5 were found to be largely resistant toward proteolysis. Studies on engineered soluble variants of FT6 indicate that these forms do not significantly contribute to the in vivo fucose transfer activity of the enzyme when expressed at activity levels comparable to those obtained for the wild-type Golgi form of FT6 in the recombinant host cells.</t>
  </si>
  <si>
    <t>30985-30994</t>
  </si>
  <si>
    <t>60012279;60012279;60012279;60012279</t>
  </si>
  <si>
    <t>6603053833;7007064379;7402461218;7003687331</t>
  </si>
  <si>
    <t>Grabenhorst, E.;Nimtz, M.;Costa, J.;Conradt, H. S.</t>
  </si>
  <si>
    <t>Helmholtz Centre for Infection Research (HZI)</t>
  </si>
  <si>
    <t>Grabenhorst E.</t>
  </si>
  <si>
    <t>In vivo specificity of human Œ±1,3/4-fucosyltransferases III-VII in the biosynthesis of Lewis(X) and sialyl Lewis(X) motifs on complex-type N- glycans. Coexpression studies from BHK-21 cells together with human Œ≤-trace protein</t>
  </si>
  <si>
    <t>10.1074/jbc.273.47.30985</t>
  </si>
  <si>
    <t>2-s2.0-0032553325</t>
  </si>
  <si>
    <t>['two phase', 'thereby emphasising', 'space methods', 'numerical comparisons', 'inherent limitations', 'gabor representation', 'frame discretisation', 'frame decomposition', 'aperture radiation']</t>
  </si>
  <si>
    <t>An exact procedure based on frame discretisation is proposed as an alternative for overcoming the inherent limitations of the well-known Gabor expansion. Numerical comparisons of these two phase-space methods are presented in the context of aperture radiation to demonstrate the stability, efficiency and accuracy of the frame decomposition, thereby emphasising its advantages over the Gabor representation.</t>
  </si>
  <si>
    <t>2286-2287</t>
  </si>
  <si>
    <t>60104223;60104223</t>
  </si>
  <si>
    <t>6602643116;6602180191</t>
  </si>
  <si>
    <t>Lugara, D.;Letrou, C.</t>
  </si>
  <si>
    <t>Evry</t>
  </si>
  <si>
    <t>Telecom &amp; Management SudParis</t>
  </si>
  <si>
    <t>Lugara D.</t>
  </si>
  <si>
    <t>Alternative to Gabor's representation of plane aperture radiation</t>
  </si>
  <si>
    <t>10.1049/el:19981599</t>
  </si>
  <si>
    <t>2-s2.0-0032202439</t>
  </si>
  <si>
    <t>['short circuit', 'reference plane', 'reference load', 'network analysers', 'experimental calibration', 'difference time']</t>
  </si>
  <si>
    <t>The use of a reference load (here, a short circuit) in a finite-difference time-domain method combined with Floquet boundary conditions in order to compute the complex reflection coefficient of infinite periodic structures is described. The short circuit imposes the position of a reference plane, essential for the calculation of the phase. This approach is called 'numerical calibration', by analogy with the experimental calibration of network analysers.</t>
  </si>
  <si>
    <t>2289-2290</t>
  </si>
  <si>
    <t>60030553-60004981;60004981;60030553;60030553</t>
  </si>
  <si>
    <t>23973241400;6701865849;6602837855;7202044329</t>
  </si>
  <si>
    <t>Sauleau, R.;Coquet, Ph;Thouroude, D.;Daniel, J. P.</t>
  </si>
  <si>
    <t>Rennes;Cachan</t>
  </si>
  <si>
    <t>Universite de Rennes 1;√âcole Normale Sup√©rieure Paris-Saclay</t>
  </si>
  <si>
    <t>60030553;60004981</t>
  </si>
  <si>
    <t>Numerical calibration in FDTD to compute complex reflection coefficient of periodic structures</t>
  </si>
  <si>
    <t>10.1049/el:19981631</t>
  </si>
  <si>
    <t>2-s2.0-0032202440</t>
  </si>
  <si>
    <t>['‚ àº1', 'stripline feed', 'novel design', 'cp bandwidth', 'circular polarisation', 'carefully trimming', '25 turns']</t>
  </si>
  <si>
    <t>A novel design for a circularly-polarised printed square spiral slot antenna with a stripline feed is demonstrated. The printed slot antenna consists of a square spiral slot of ‚àº1.25 turns, and a total slot length of approximately one free-space operating wavelength. By carefully trimming both ends of the square spiral slot, circular polarisation (CP) operation with a wide operating bandwidth can easily be achieved. A CP bandwidth of &gt; 6% has been obtained.</t>
  </si>
  <si>
    <t>2290-2292</t>
  </si>
  <si>
    <t>7406886947;35460663000</t>
  </si>
  <si>
    <t>Huang, Chih Yu;Wong, Kin Lu</t>
  </si>
  <si>
    <t>Stripline-fed printed square spiral slot antenna for circular polarisation</t>
  </si>
  <si>
    <t>10.1049/el:19981644</t>
  </si>
  <si>
    <t>2-s2.0-0032202441</t>
  </si>
  <si>
    <t>['sidelobe level', 'parasitic elements', 'mesh frame', 'main features', 'impedance bandwidth', 'frequency band', 'experimental results', 'designed antenna', 'back ratio', '47 %.']</t>
  </si>
  <si>
    <t>The design and experimental results of a very wideband small printed dipole antenna array are presented. The impedance bandwidth (VSWR ‚â§ 1.7) of the antenna, centred at 780MHz, is 47%. In the frequency band 610 - 960MHz, the designed antenna has a gain of 9.5-11.9dBi, sidelobe level &lt; -16dB and front-to-back ratio &lt; 30dB. The main features of the design are the use of parasitic elements to expand the frequency band and the application of a mesh frame to decrease the sidelobe level.</t>
  </si>
  <si>
    <t>2292-2293</t>
  </si>
  <si>
    <t>60003780;60008783;60003780</t>
  </si>
  <si>
    <t>6506782137;57211891269;57197058829</t>
  </si>
  <si>
    <t>Evtioushkine, G. A.;Kim, J. W.;Han, K. S.</t>
  </si>
  <si>
    <t>Busan;Suwon</t>
  </si>
  <si>
    <t>Pusan National University;Samsung Electronics Co. Ltd.</t>
  </si>
  <si>
    <t>60008783;60003780</t>
  </si>
  <si>
    <t>Evtioushkine G.A.</t>
  </si>
  <si>
    <t>Very wideband printed dipole antenna array</t>
  </si>
  <si>
    <t>10.1049/el:19981615</t>
  </si>
  <si>
    <t>2-s2.0-0032202442</t>
  </si>
  <si>
    <t>['vivaldi antenna', 'va ).', 'measured results', 'input impedence', 'dielectric transformer', 'band frequencies']</t>
  </si>
  <si>
    <t>A new impedence matching technique for tapered slot antennas using a dielectric transformer is presented. The technique is demonstrated by measuring the input impedence, VSWR and the gain of a Vivaldi antenna (VA). Measured results at Ka-Band frequencies are presented and discussed.</t>
  </si>
  <si>
    <t>2287-2289</t>
  </si>
  <si>
    <t>60026717;60026717</t>
  </si>
  <si>
    <t>7202166511;24522606100</t>
  </si>
  <si>
    <t>Simons, R. N.;Lee, R. Q.</t>
  </si>
  <si>
    <t>NASA Glenn Research Center</t>
  </si>
  <si>
    <t>Simons R.</t>
  </si>
  <si>
    <t>Impedance matching of tapered slot antenna using a dielectric transformer</t>
  </si>
  <si>
    <t>10.1049/el:19981612</t>
  </si>
  <si>
    <t>2-s2.0-0032202915</t>
  </si>
  <si>
    <t>['would accompany', 'well modeled', 'temporal fading', 'system configurations', 'statistical basis', 'spatial variations', 'smaller area', 'reduced dispersion', 'received power', 'receive ranges', 'range exponent', 'propagation characteristics', 'power margin', 'paper reports', 'one building', 'omnidirectional antennas', 'narrowbeam antenna', 'multipath spreads', 'multipath dispersion', 'larger area', 'fixed links', 'different sizes', 'base station', '90th percentile', '7 db', '45 ns', '440 ns', '40 ghz', '370 ns']</t>
  </si>
  <si>
    <t>Ehf indoor system | Ehf radio lan | Fading | Indoor propagation | Indoor propagation loss | Multipath propagation | Time dispersion</t>
  </si>
  <si>
    <t>This paper reports the measurement and analysis of wideband propagation data for indoor radio channels at 40 GHz. Propagation characteristics are reported for two openconcept office areas of different sizes in two different buildings. Also, the results of measurements in one building are compared for system configurations in which either an omnidirectional or a narrowbeam antenna is employed at a base station for communications to multiple work stations with omnidirectional antennas. It is reported that, on a statistical basis, at the 90th percentile, multipath dispersion is the same for the two basestation antenna radiation patterns. Dispersion was, however, found to be lower in the smaller of the two measurement areas, where transmit/receive ranges were shorter. The 90th percentile of static rms delay spread for this area was 19 ns compared with 45 ns for the larger area. Multipath spreads at the -25dB relative power level were about 370 ns, compared with 440 ns in the larger area. In the larger area, global propagation loss was found to be well modeled by the one-way propagation equation with different range exponents (1.5 and 4) before and after a breakpoint at a range of 25 m. In the smaller area, the range exponent was found to be greater, being equal to 3.5. This is considered to be a result of reduced multipath infill, which would accompany the reduced dispersion. Temporal fading on fixed links with omnidirectional antennas was found to have depths such that a 14-dB fade margin is required for 99% reliability. Finally, spatial variations in received power at a given range indicated the requirement for a power margin between 4-7 dB for 99 % reliability. These results are used at the end of the paper in a link budget example for a broad-band indoor extremely high frequency (EHF) digital communications system. ¬© 1998 IEEE.</t>
  </si>
  <si>
    <t>235-245</t>
  </si>
  <si>
    <t>IEEE Transactions on Vehicular Technology</t>
  </si>
  <si>
    <t>60018714;60018714;60018714</t>
  </si>
  <si>
    <t>6603668841;54680819700;35380642300</t>
  </si>
  <si>
    <t>Bultitude, Robert J.C.;Hahn, Robert F.;Davies, Robert J.</t>
  </si>
  <si>
    <t>Bultitude R.</t>
  </si>
  <si>
    <t>Propagation considerations for the design of an indoor broad-band communications system at EHF</t>
  </si>
  <si>
    <t>S0018954598007105</t>
  </si>
  <si>
    <t>10.1109/25.661050</t>
  </si>
  <si>
    <t>2-s2.0-0000010775</t>
  </si>
  <si>
    <t>['three species', 'setal groups', 'setal group', 'setal addition', 'setae added', 'pelagic environment', 'copepodid stage', 'copepodid development', 'completed varies', 'calanoid copepods', 'antenna 1']</t>
  </si>
  <si>
    <t>Setae added to the antenna 1 of three species of calanoid copepods during copepodid development are allocated to setal groups present on the adult antenna 1. Development of these setal groups is not homogeneous; for a given setal group the copepodid stage at which the first seta appears and at which setal addition is completed varies; whether the setal group is trithek or quadrithek in adult males also varies. These variations suggest several sets of setal groups as candidates for the presumed extra groups added during the adaption of an ancestral calanoid copepod to the pelagic environment. Among these, a set of late developing setal groups is preferred. A model for adding setal groups during copepodid development assumes three source groups are responsible for adding 16 progeny groups.</t>
  </si>
  <si>
    <t>209-221</t>
  </si>
  <si>
    <t>60007670;</t>
  </si>
  <si>
    <t>7203060270;6504436603</t>
  </si>
  <si>
    <t>Ferrari, Frank D.;Benforado, Adam</t>
  </si>
  <si>
    <t>Smithsonian National Museum of Natural History</t>
  </si>
  <si>
    <t>Ferrari F.</t>
  </si>
  <si>
    <t>Setation and setal groups on antenna 1 of Ridgewayia klausruetzleri, Pleuromamma xiphias, and Pseudocalanus elongatus (Crustacea: Copepoda: Calanoida) during the copepodid phase of their development</t>
  </si>
  <si>
    <t>2-s2.0-0000025537</t>
  </si>
  <si>
    <t>['‚ äô', 'yr ).', 'type lb', 'strongly influenced', 'strong interference', 'stellar mass', 'sample selected', 'rich semiregular', 'pulsational behaviour', 'onsala 20', 'new detections', 'mira variables', 'mean value', 'loss rates', 'loss properties', 'line observations', 'inferred mass', 'e .,', 'detection rate', 'detected objects', 'detected among']</t>
  </si>
  <si>
    <t>Radio lines: stars | Stars: AGB | Stars: circumstellar matter | Stars: mass-loss | Stars: variables</t>
  </si>
  <si>
    <t>We report on the first systematic study of the mass-loss properties of O-rich irregular variables of type Lb. 12CO (J=1-0, 2-1, and 3-2) line observations were carried out using the SEST, the Onsala 20 m TELESCOPE, the JCMT and the IRAM 30m ANTENNA. In total 20 stars were detected among the 31 objects observed (all are new detections; in three cases detections are precluded because of strong interference from interstellar CO emission). Hence, the detection rate is very high for this sample selected on the basis of the 60 Œºm flux strength. The majority of the detected objects are weak in CO, and the inferred mass-loss rates are low (‚â≤ 10-7 M‚äô/yr). They have, with only a few exceptions, envelopes with small gas expansion velocities (the mean value is ‚âà8 km/s). We find that their mass-loss properties are very similar to those of bright O-rich semiregular (SRa or SRb) and Mira variables, i.e., at least in this mass-loss rate range the stellar mass-loss properties are not strongly influenced by the pulsational behaviour of the star.</t>
  </si>
  <si>
    <t>654-661</t>
  </si>
  <si>
    <t>60000353-60001850;60000353</t>
  </si>
  <si>
    <t>56273507700;55816323300</t>
  </si>
  <si>
    <t>Kerschbaum, F.;Olofsson, H.</t>
  </si>
  <si>
    <t>Sweden;Austria</t>
  </si>
  <si>
    <t>Stockholm;Vienna</t>
  </si>
  <si>
    <t>Stockholm Observatory;Institut f√ºr Astrophysik</t>
  </si>
  <si>
    <t>60001850;60000353</t>
  </si>
  <si>
    <t>Kerschbaum F.</t>
  </si>
  <si>
    <t>Irregular variables of type Lb: Circumstellar CO emission of an oxygen-rich sample</t>
  </si>
  <si>
    <t>2-s2.0-0000066232</t>
  </si>
  <si>
    <t>['tiny remnant', 'thus suggesting', 'species follows', 'slender propodus', 'sediment interface', 'second gnathopod', 'representing 11', 'relative length', 'pteropod shells', 'planktonic foraminiferans', 'peduncle segments', 'palm margin', 'palm angle', 'new taxon', 'new species', 'muddy bottoms', 'midway along', 'middle slope', 'massive mandibles', 'mainly concentrated', 'lower slope', 'juvenile individuals', 'gut content', 'foregoing limb', 'first antenna', 'developed rostrum', 'demographic categories', 'common amphipods', 'clearly dominant', 'calcified foraminiferans', 'biological cycle', 'adult males', '), whereas']</t>
  </si>
  <si>
    <t>Amphipoda | Bathymedon | Benthic boundary layer | Deep-sea | Ecology | Mediterranean | Oedicerotidae | Taxonomy</t>
  </si>
  <si>
    <t>Bathymedon longirostris sp. nov. (Amphipoda: Oedicerotidae) from the western Mediterranean bathyal suprabenthos is described. It is characterised by the well-developed rostrum; the discrete lateral lobe of head; the elongation of the peduncle segment 3 of the first antenna; the very slender propodus of the second gnathopod, which attains maximum width not at the palm angle, but at about midway along the palm margin; and by the relative length of the carpus of the foregoing limb, sub-equal to propodus. The discovery of a tiny remnant of the 2nd peduncle segment of the first antenna in the new species is commented with regard to the homologation of the peduncle segments in other members of the Family. The new taxon was captured below 593 m over muddy bottoms with pteropod shells and remains of planktonic foraminiferans. It was one of the most common amphipods in the lower slope (below - 1000 m), whereas in the depth range comprised between 1250 and 1859 m it was the second dominant species, representing 11.4 % of the total gammarideans captured. The area studied harbours three additional congeneric species, although their populations are mainly concentrated in the upper and middle slope. Over the bottom, adult males of the new species apparently tend to occupy higher levels beyond the water-sediment interface than the rest of demographic categories. The gut content of three individuals revealed a bulk of calcified foraminiferans, a diet in consonance with their massive mandibles. Juvenile individuals were more abundant in winter, whereas adult individuals were clearly dominant in summer, thus suggesting the biological cycle of the species follows some type of periodicity.</t>
  </si>
  <si>
    <t>341-356</t>
  </si>
  <si>
    <t>Scientia Marina</t>
  </si>
  <si>
    <t>60017294;60017294-60007870;100357037</t>
  </si>
  <si>
    <t>7004718892;7007130996;6701401067</t>
  </si>
  <si>
    <t>Jaume, Dami√†;Cartes, Joan E.;Sorbe, Jean Claude</t>
  </si>
  <si>
    <t>Spain;Spain;France</t>
  </si>
  <si>
    <t>Esporlas;Barcelona;Arcachon</t>
  </si>
  <si>
    <t>CSIC-UIB - Instituto Mediterraneo de Estudios Avanzados (IMEDEA);CSIC - Instituto de Ciencias del Mar (ICM);Lab. d'Oceanogr. Biologique</t>
  </si>
  <si>
    <t>60017294;60007870;100357037</t>
  </si>
  <si>
    <t>Jaume D.</t>
  </si>
  <si>
    <t>A new species of Bathymedon Sars, 1892 (Amphipoda: Oedicerotidae) from the western Mediterranean bathyal floor</t>
  </si>
  <si>
    <t>2-s2.0-0000239616</t>
  </si>
  <si>
    <t>['wideband propagation', 'tunnel channels', 'transmit antenna', 'slow variation', 'slow fading', 'severe fluctuations', 'rician distribution', 'results show', 'received signals', 'rayleigh distribution', 'narrowband propagation', 'generally less', 'five tunnels', 'fast fading', 'data rate', 'cross section', '103 ns']</t>
  </si>
  <si>
    <t>Microcellular | Personal communications, underground | Underground radio propagation channels</t>
  </si>
  <si>
    <t>Narrowband and wideband propagation measurements have been conducted in five tunnels. The effects of pedestrians, vehicles, and curvature on propagation are included in the characterization. The narrowband propagation is characterized in terms of power distance law, slow fading, and fast fading statistics: wideband propagation, rms delay spread, and its statistics. The results show that the power distance law is insensitive to the location of the transmit antenna in the cross section of a tunnel, but not to the antenna insertion loss. The lognormal distribution basically fits the slow variation of the received signals, whereas the Rician distribution, the fast fading in the straight empty sections of the tunnels. In the curved tunnel sections, the Rayleigh distribution does not fit the fast fading variation as is expected. Tunnel radio propagation channels are dependent strongly upon frequency. Higher frequency signals exhibit more severe fluctuations and larger rms delay spread. The rms delay spreads are found to be generally less than: 25 and 103 ns for the emptied and occupied tunnel conditions, respectively. One can conclude that the tunnel channels have a broad coherent bandwidth and can support the data rate up to 1 Mb per second without equalization. ¬© 1998 IEEE.</t>
  </si>
  <si>
    <t>283-296</t>
  </si>
  <si>
    <t>60013983;60013983</t>
  </si>
  <si>
    <t>Zhang Y.</t>
  </si>
  <si>
    <t>Characterization of UHF radio propagation channels in tunnel environments for microcellular and personal communications</t>
  </si>
  <si>
    <t>S0018954598001108</t>
  </si>
  <si>
    <t>10.1109/25.661054</t>
  </si>
  <si>
    <t>2-s2.0-0000393926</t>
  </si>
  <si>
    <t>['useful results', 'superquadric loop', 'rhombic loops', 'resonance characteristics', 'radiation pattern', 'geometric parameters', 'current distribution', 'analyzed using']</t>
  </si>
  <si>
    <t>Loop antennas | Numerical analysis | Printed antennas | Superqnadrics</t>
  </si>
  <si>
    <t>The printed superquadric loop antennas, whose geometries including square, rectangular, circular, elliptical, and rhombic loops can be represented in a convenient parametric form, are analyzed using the moment method based on quadratic parametric B-spline basis functions. A unified computational formulation for the current distribution and radiation pattern is developed. The effects of the geometric parameters of the superquadric loop on the resonance characteristics of printed wire antennas are investigated. Some useful results are presented. ¬© 1998 IEEE.</t>
  </si>
  <si>
    <t>2787-2790</t>
  </si>
  <si>
    <t>60003970;60030526;60003970</t>
  </si>
  <si>
    <t>6506451216;6506922196;55633340100</t>
  </si>
  <si>
    <t>Ronglin, Li;Guangzheng, Ni;Nakano, Hisamatsu</t>
  </si>
  <si>
    <t>Japan;China</t>
  </si>
  <si>
    <t>Tokyo;Hangzhou</t>
  </si>
  <si>
    <t>Hosei University;Zhejiang University</t>
  </si>
  <si>
    <t>60030526;60003970</t>
  </si>
  <si>
    <t>Ronglin L.</t>
  </si>
  <si>
    <t>Numerical analysis of printed superquadric wire loop antennas</t>
  </si>
  <si>
    <t>10.1109/20.717648</t>
  </si>
  <si>
    <t>2-s2.0-0000565151</t>
  </si>
  <si>
    <t>['wide range', 'source point', 'scattering principles', 'retrodirective reflector', 'remote identification', 'reflector possesses', 'possible applications', 'plate reflector', 'low cost', 'ivhs ).', 'incidence angles', 'feed structure']</t>
  </si>
  <si>
    <t>Microstrip antenna arrays | Microstrip patch antenna | Retrodirective antenna</t>
  </si>
  <si>
    <t>a Van Atta retrodirective reflector was designed and developed, using an aperture-coupled microstrip antenna array. This reflector possesses the advantage of reflecting high fields to the source point over a wide range of incidence angles and, owing to the low cost and coniforrnability of the structure, is suitable for applications in intelligent vehicle highway systems (IVHS). An approximate theory associated with the reradiation and scattering principles of the reflector is presented for the purpose of understanding and designing the reflector. The utility of the retrodirective reflector was demonstrated by comparison with a plate reflector and a microstrip antenna array without a feed structure. Finally, a reflector with switches in the middle of the microstrip feed lines was investigated for possible applications in communications and remote identification. ¬© 1998 IEEE.</t>
  </si>
  <si>
    <t>1802-1809</t>
  </si>
  <si>
    <t>55469205300;7404879378</t>
  </si>
  <si>
    <t>Chung, Shyh Jong;Chang, Kai</t>
  </si>
  <si>
    <t>A retrodirective microstrip antenna array</t>
  </si>
  <si>
    <t>S0018926X98096859</t>
  </si>
  <si>
    <t>10.1109/8.743816</t>
  </si>
  <si>
    <t>2-s2.0-0000676366</t>
  </si>
  <si>
    <t>['zeolite microcrystals', 'zeolite materials', 'zeolite l', 'wide variety', 'vacuum conditions', 'transfer radius', 'systems meet', 'system consists', 'supramolecular organization', 'size particles', 'situ synthesis', 'reversible functionalities', 'outer surface', 'optimal size', 'molecules penetrating', 'molecular chains', 'intercalated compounds', 'hexagonal framework', 'ground state', 'good quality', 'form chains', 'first step', 'explicitly involving', 'energy transport', 'electronic properties', 'dye molecules', 'dimensional channels', 'different substrates', 'conditions necessary', 'chemical reactivity', 'challenging properties', 'accessible otherwise', 'accessible either']</t>
  </si>
  <si>
    <t>Zeolite microcrystals can act as host for supramolecular organization of molecules, complexes, clusters, and quantum-size particles. They allow the design of precise and reversible functionalities. Techniques for arranging zeolite microcrystals of good quality and narrow size distribution as dense monograin layers on different substrates can be used to realize specific properties. The chemical reactivity between the intercalated molecules offers possibilities for in situ synthesis of molecular chains, clusters, and quantum-size particles, which might not be accessible otherwise. In some cases, guest-host reactivity must be considered. The reactivity of intercalated compounds with (small) molecules penetrating from the outside is an option for changing the composition of a material, i.e., molecules intercalated as monomers in a first step can be linked to form chains. New electronic structures are accessible either by specific geometrical arrangements made possible by the structure of the host and/or by explicitly involving its electronic properties. Some systems meet the conditions necessary for the occurrence of intrazeolite charge transport (ionic and electronic), realized by the guests in their ground state and in electronically excited states under high-vacuum conditions or in the presence of a solvent, depending on the composition and the structure of the material. In this article, we focus on organic dye molecules in the one-dimensional channels of zeolites with a hexagonal framework. This system consists of supramolecularly organized dye molecules. It is shown to provide fascinating possibilities for building an artificial antenna device which consists of highly concentrated monomeric dye molecules of up to 0.4M with a large F√∂rster energy-transfer radius and a high luminescence quantum yield in an ideal geometrical arrangement of optimal size. Extremely fast electronic excitation-energy transport has been demonstrated by us in oxonine- and pyronine-dye-loaded zeolite L microcrystals. Many other highly organized dye-zeolite materials can be prepared, and they are expected to show a wide variety of challenging properties. We report on methods to distinguish between dye molecules which are inside of a microcrystal and those adsorbed on its outer surface, and we explain a demonstration experiment illustrating the intercalation of thionine into zeolite L and the thus resulting improved chemical stability of this dye.</t>
  </si>
  <si>
    <t>525-532</t>
  </si>
  <si>
    <t>Chimia</t>
  </si>
  <si>
    <t>Calzaferri, Gion</t>
  </si>
  <si>
    <t>Bern</t>
  </si>
  <si>
    <t>University of Bern</t>
  </si>
  <si>
    <t>Calzaferri G.</t>
  </si>
  <si>
    <t>Zeolite microcrystals as hosts for supramolecular organization of dye molecules</t>
  </si>
  <si>
    <t>2-s2.0-0000711054</t>
  </si>
  <si>
    <t>['two approaches', 'results obtained', 'representative cases', 'practical interest', 'numerical procedure', 'monopole calibrations', 'good agreement', 'analytical expression']</t>
  </si>
  <si>
    <t>Antenna proximity factors | Calibration | Monopole antennas</t>
  </si>
  <si>
    <t>A numerical procedure for evaluating a nonplanarity correction factor used in monopole calibrations is presented. Results for this numerically computed correction factor are compared with results obtained from an analytical expression for some representative cases. The two approaches are found to be in good agreement for cases of practical interest.</t>
  </si>
  <si>
    <t>176-179</t>
  </si>
  <si>
    <t>60023053;60023053</t>
  </si>
  <si>
    <t>6507368171;35578175900</t>
  </si>
  <si>
    <t>Kawalko, Stephen F.;Kanda, Motohisa</t>
  </si>
  <si>
    <t>Gaithersburg</t>
  </si>
  <si>
    <t>National Institute of Standards and Technology</t>
  </si>
  <si>
    <t>Kawalko S.</t>
  </si>
  <si>
    <t>Numerical and analytical monopole nonplanarity correction factors</t>
  </si>
  <si>
    <t>S001893759804143X</t>
  </si>
  <si>
    <t>10.1109/15.673625</t>
  </si>
  <si>
    <t>2-s2.0-0000823378</t>
  </si>
  <si>
    <t>['uniquely suited', 'slot antennas', 'reduce memory', 'original grid', 'method solutions', 'latter part', 'large number', 'intricate details', 'integral formulation', 'element boundary', 'contain small', 'backed antennas']</t>
  </si>
  <si>
    <t>Adaptive integral method | Antennas | Fast integral equation solvers | Scattering</t>
  </si>
  <si>
    <t>Fast integral equation algorithms such as the adaptive integral method (AIM) have been demonstrated to reduce memory and execution time associated with moment-method solutions for arbitrarily shaped three-dimensional (3-D) geometries. In this paper, we examine the efficiency of AIM in modeling planar structures that contain small and intricate details as is the case with spirals and slot antennas. Such geometries require high tessellation due to the inclusion of very small features resulting in a large number of unknowns. AIM with its capability to translate the original grid to an equivalent sparser uniform grid is uniquely suited for the analysis of such geometries. In the latter part of the paper, we demonstrate the application of AIM in connection with a finite-element boundary-integral formulation for cavity-backed antennas. ¬© 1998 IEEE.</t>
  </si>
  <si>
    <t>1867-1878</t>
  </si>
  <si>
    <t>6701576894;7102576479;7003629437</t>
  </si>
  <si>
    <t>Bindiganavale, Sunil S.;Volakis, John L.;Anastassiu, Hristos</t>
  </si>
  <si>
    <t>Bindiganavale S.S.</t>
  </si>
  <si>
    <t>Scattering from planar structures containing small features using the adaptive integral method (AIM)</t>
  </si>
  <si>
    <t>S0018926X98097142</t>
  </si>
  <si>
    <t>10.1109/8.743831</t>
  </si>
  <si>
    <t>2-s2.0-0000828167</t>
  </si>
  <si>
    <t>['well suited', 'picocellular environments', 'fortran ??', 'easily adjusted', 'division multiple']</t>
  </si>
  <si>
    <t>The application of multiple directive antennas i.e. directional diversity may lead to significant capacity benefits in cellular mobile radio systems. In this paper a flexibly configurable statistical channel model for mobile radio systems using directional diversity is presented. The parameters of this model which is available as a FORTRAN?? program can be easily adjusted to various propagation areas such as e.g. rural urban microcellular and picocellular environments. Therefore the model is well suited to perform simulations evaluations and comparisons of mobile radio systems. Simulation results concerning a code-division multiple-access (CDMA) mobile radio system which uses multiple directive base station (BS) antennas in combination with joint detection illustrate the application of the presented channel model. ¬© 1998 IEEE.</t>
  </si>
  <si>
    <t>367-371</t>
  </si>
  <si>
    <t>60009941;60009941</t>
  </si>
  <si>
    <t>6701451098;57188732923</t>
  </si>
  <si>
    <t>Blanz, Josef Johannes;Jung, Peter</t>
  </si>
  <si>
    <t>Blanz J.</t>
  </si>
  <si>
    <t>A flexibly configurable spatial model for mobile radio channels</t>
  </si>
  <si>
    <t>S0090677898021242</t>
  </si>
  <si>
    <t>10.1109/26.662642</t>
  </si>
  <si>
    <t>2-s2.0-0000909503</t>
  </si>
  <si>
    <t>['wall contact', 'spatially extended', 'simulations include', 'numerical simulations', 'counter maximum']</t>
  </si>
  <si>
    <t>Numerical simulations were performed to predict the performance of microwave plasma reactors with various reactor geometries. The simulations include the calculation of the electric field distribution using the finite integration theory and the determination of the plasma density distribution based on a breakdown field algorithm. One reactor geometry with a cavity having the shape of a rotational ellipsoid turned out to be very promising. The electric field within this cavity exhibits two pronounced maxima at the two focal points of the ellipsoid. By coupling microwave energy into one maximum via an antenna, large electric field strengths can be generated in the counter maximum. This effect has been used to excite intense discharges that are very stable, spatially extended, homogeneous, and free from wall contact. These discharges were employed for the chemical vapor deposition of large area diamond wafers. ¬© 1998 American Institute of Physics.</t>
  </si>
  <si>
    <t>1149-1151</t>
  </si>
  <si>
    <t>Applied Physics Letters</t>
  </si>
  <si>
    <t>60030586;60030586;60030586</t>
  </si>
  <si>
    <t>6507244895;7103360196;7006226131</t>
  </si>
  <si>
    <t>F√ºner, M.;Wild, C.;Koidl, P.</t>
  </si>
  <si>
    <t>Freiburg im Breisgau</t>
  </si>
  <si>
    <t>Fraunhofer Institute for Applied Solid State Physics IAF</t>
  </si>
  <si>
    <t>F√ºner M.</t>
  </si>
  <si>
    <t>Novel microwave plasma reactor for diamond synthesis</t>
  </si>
  <si>
    <t>S0003695198018105</t>
  </si>
  <si>
    <t>10.1063/1.120997</t>
  </si>
  <si>
    <t>2-s2.0-0000981628</t>
  </si>
  <si>
    <t>['uses equalization', 'transmit diversity', 'transmit antenna', 'station antennas', 'single antenna', 'selective fading', 'results show', 'receive antennas', 'receive antenna', 'diversity benefit', 'create frequency', '1 db']</t>
  </si>
  <si>
    <t>Diversity gain | Rayleigh fading | Transmit diversity | Wireless communications</t>
  </si>
  <si>
    <t>In this paper, we study the ability of transmit diversity to provide diversity benefit to a receiver in a Rayleigh fading environment. With transmit diversity, multiple antennas transmit delayed versions of a signal to create frequency-selective fading at a single antenna at the receiver, which uses equalization to obtain diversity gain against fading. We use Monte Carlo simulation to study transmit diversity for the case of independent Rayleigh fading from each transmit antenna to the receive antenna and maximum likelihood sequence estimation for equalization at the receiver. Our results show that transmit diversity with M transmit antennas provides a diversity gain within 0.1 dB of that with M receive antennas for any number of antennas. Thus, we can obtain the same diversity benefit at the remotes and base stations using multiple base-station antennas only. ¬© 1998 IEEE.</t>
  </si>
  <si>
    <t>119-123</t>
  </si>
  <si>
    <t>San Antonio</t>
  </si>
  <si>
    <t>AT&amp;T Inc.</t>
  </si>
  <si>
    <t>The diversity gain of transmit diversity in wireless systems with rayleigh fading</t>
  </si>
  <si>
    <t>S0018954598001054</t>
  </si>
  <si>
    <t>10.1109/25.661038</t>
  </si>
  <si>
    <t>2-s2.0-0000984643</t>
  </si>
  <si>
    <t>U.S. Department of Education</t>
  </si>
  <si>
    <t>ED</t>
  </si>
  <si>
    <t>['varactor diode', 'simple transmission', 'several units', 'radiation patterns', 'planar array', 'mixing operations', 'mixing operation', 'mixer design', 'local oscillator', 'line models', 'gunn diode', 'general theory', 'frequency stabilization', 'duplex transceiver', 'circuit uses', 'circuit performance', 'band self', 'antenna uses', 'also compared', 'active device']</t>
  </si>
  <si>
    <t>Active antenna | Power combining | Self-mixing oscillator | Transceiver</t>
  </si>
  <si>
    <t>The general theory for oscillator and mixer design is applied to develop an X-band self-mixing oscillator antenna. The antenna uses a Gunn diode as the active device that provides the oscillations and self-mixing operations. The circuit uses a slotline ring resonator for frequency stabilization and can be modified to include a varactor diode for wide-band frequency tuning. The circuit performance is compared with theoretical results derived from simple transmission-line models. The radiation patterns of the self-mixing oscillator antenna are also compared with those measured from a similarly configured passive antenna. Since the radiated power also serves as the local oscillator (LO) frequency for the self-mixing operation, the circuit is useful as a half-duplex transceiver. When the self-mixing operation is not required, a single oscillator antenna can be used as a transmitter and several units can be assembled in a planar array for spatial powercombining applications. ¬© 1998 IEEE.</t>
  </si>
  <si>
    <t>1546-1551</t>
  </si>
  <si>
    <t>10 PART 2</t>
  </si>
  <si>
    <t>Montiel, Claudio M.</t>
  </si>
  <si>
    <t>An x-band self-mixing oscillator antenna for transceiver and spatial power-combining applications</t>
  </si>
  <si>
    <t>S0018948098067271</t>
  </si>
  <si>
    <t>10.1109/22.721163</t>
  </si>
  <si>
    <t>2-s2.0-0001159634</t>
  </si>
  <si>
    <t>['theoretical equations', 'successfully integrated', 'predict class', 'poweradded efficiency', 'output power', 'oriented analysis', 'microwave transmission', 'maximum frequency', 'line class', 'ghz class', 'four elements', 'experimental results', 'e power', 'e amplifier', 'drain efficiency', 'combining efficiency', 'antenna array', '64 %.', '61 w', '55 w', '5 ghz', '4 w', '05 ghz']</t>
  </si>
  <si>
    <t>Free-space power combining | High-efficiency amplifiers | Power-added efficiency</t>
  </si>
  <si>
    <t>A design-oriented analysis of the microwave transmission-line class-E amplifier is presented. Experiments and harmonic-balance circuit simulations verify the theoretical equations which predict class-E-amplifier output power, maximum frequency of operation, and dc-RF conversion efficiency. Experimental results at 0.5, 1, 2, and 5 GHz are presented. At 0.5 GHz, 83% drain efficiency and 80% poweradded efficiency (PAE) are measured, with an output power of 0.55 W, using the Siemens CLY5 MESFET. These results are compared to a class-A and class-F power amplifier using the same device. At 5 GHz, 81% drain efficiency and 72% PAE are measured, with an output power of 0.61 W, using the Fujitsu FLK052WG MESFET. Finally, the 5-GHz class-E power amplifier is successfully integrated into an active-antenna array, demonstrating power combining of four elements with an 85% power-combining efficiency. At 5.05 GHz, the class-E power-amplifier antenna array delivers a total of 2.4 W of output power, with a dc-RF conversion efficiency of 74% and a PAE of 64%. ¬©1998 IEEE.</t>
  </si>
  <si>
    <t>1391-1398</t>
  </si>
  <si>
    <t>10 PART 1</t>
  </si>
  <si>
    <t>60000251-60000221-60026227;60000251-60000221-60026227;60000251-60000221-60026227;60000251-106792722-60000221-60026227;60000251-106792722-60000221-60026227</t>
  </si>
  <si>
    <t>7005269685;6603078093;7101935726;57197915829;7101961963</t>
  </si>
  <si>
    <t>Mader, Thomas B.;Bryerton, Eric W.;Markovic, Milica;Forman, Michael;Popovic, Zoya</t>
  </si>
  <si>
    <t>Potsdam;New York;Boulder;Los Angeles</t>
  </si>
  <si>
    <t>Clarkson University;IEEE;University of Colorado Boulder;Hughes Aircraft Space and Communications Group</t>
  </si>
  <si>
    <t>60026227;60000251;60000221;106792722</t>
  </si>
  <si>
    <t>Mader T.</t>
  </si>
  <si>
    <t>Switched-mode high-efficiency microwave power amplifiers in a free-space power-combiner array</t>
  </si>
  <si>
    <t>S0018948098072494</t>
  </si>
  <si>
    <t>10.1109/22.721140</t>
  </si>
  <si>
    <t>2-s2.0-0001177731</t>
  </si>
  <si>
    <t>['thoroughly validated', 'system capacity', 'performance compared', 'numerically evaluated', 'mobile link', 'intrasystem interference', 'increasing traffic', 'crosspolarization effects', 'controlled direct']</t>
  </si>
  <si>
    <t>CodEdivision multiaccess | Diversity methods | Satellite mobile communications</t>
  </si>
  <si>
    <t>The satellitEto-mobile link of a mobile personal satellite communication system employing power-controlled direct-sequence codEdivision multiple access (DS-CDMA) and exploiting satellite diversity is analyzed and its performance compared with a more traditional communication system utilizing singlEsatellite reception. The semianalytical model developed has been thoroughly validated by means of extensive Monte Carlo computer simulations. System capacity and performance have been numerically evaluated in the presence of a realistic operating scenario, including antenna radiation pattern, imperfect power control, shadowing, and crosspolarization effects. It is shown how the capacity gain provided by diversity reception considerably shrinks in the presence of increasing traffic or in the case of mild shadowing conditions. Moreover, the quantitative results tend to indicate that to combat system capacity reduction due to the intrasystem interference, no more than two satellites sharing the same frequency slot must be active over the same region. ¬© 1998 IEEE.</t>
  </si>
  <si>
    <t>658-672</t>
  </si>
  <si>
    <t>60031159-60028868;60031159-60028868</t>
  </si>
  <si>
    <t>7006784913;57193672546</t>
  </si>
  <si>
    <t>De Gaudenzi, Riccardo;Giannetti, Filippo</t>
  </si>
  <si>
    <t>Noordwijk aan Zee;Pisa</t>
  </si>
  <si>
    <t>ESTEC - European Space Research and Technology Centre;Universit√† di Pisa</t>
  </si>
  <si>
    <t>60031159;60028868</t>
  </si>
  <si>
    <t>De Gaudenzi R.</t>
  </si>
  <si>
    <t>DS-CDMA satellite diversity reception for personal satellite communication: satellitEto-mobile link performance analysis</t>
  </si>
  <si>
    <t>S0018954598032873</t>
  </si>
  <si>
    <t>10.1109/25.669103</t>
  </si>
  <si>
    <t>2-s2.0-0001180864</t>
  </si>
  <si>
    <t>['¬± 0', 'term drift', 'superior performance', 'simply adding', 'phase shifter', 'phase fluctuation', 'oepll ).', 'new type', 'microwave signals', 'loop filter', 'locked loop', 'dual phase', 'accurate control', '4 ¬∞', '20 ghz', '09 ¬∞']</t>
  </si>
  <si>
    <t>Microwave | Optoelectronic | Phase shifter</t>
  </si>
  <si>
    <t>We demonstrate a new type of broad-band microwave phase shifter with superior performance at frequencies up to 20 GHz. This is implemented by simply adding an offset voltage prior to the loop filter (LF) in a laser-diode-based digital optoelectronic phase-locked loop (OEPLL). Accurate control of the phase of microwave signals with a continuously tunable range exceeding 640¬∞ (~3.6?r) is achieved. The phase fluctuation and long-term drift of any desired phase shift are as small as ¬±0.4¬∞ and 0.08¬∞, respectively, at 20 GHz. The relative phase instability can be maintained within 0.09¬∞ while operating in a phase-shiftkeying (PSK) scheme. We also demonstrate accurate control of relative phase difference between dual phase-locked microwave sources using the phase shifter. Our results indicate potential application of this broad-band optoelectronic phase shifter in a phased-array antenna system. ¬© 1998 IEEE.</t>
  </si>
  <si>
    <t>1419-1426</t>
  </si>
  <si>
    <t>60000251-60015763-60012370;60000251-60015763;60000251-60015763;60012370;60000251-60015763-60012370</t>
  </si>
  <si>
    <t>7401698870;7202849076;7202687354;12240576900;56027799400</t>
  </si>
  <si>
    <t>Lin, Gong Ru;Hwang, Tzung Shi;Chuang, Y. H.;Wang, S. C.;Pan, Ci Ling</t>
  </si>
  <si>
    <t>Taiwan;Taiwan;United States</t>
  </si>
  <si>
    <t>Taipei;Hsinchu;New York</t>
  </si>
  <si>
    <t>Tatung Institute of Technology Taiwan;National Chiao Tung University;IEEE</t>
  </si>
  <si>
    <t>60015763;60012370;60000251</t>
  </si>
  <si>
    <t>Lin G.</t>
  </si>
  <si>
    <t>Broad-band (&amp;gt;20 GHz) laser-diode-based optoelectronic microwave phase shifter</t>
  </si>
  <si>
    <t>S0018948098072469</t>
  </si>
  <si>
    <t>10.1109/22.721143</t>
  </si>
  <si>
    <t>2-s2.0-0001192709</t>
  </si>
  <si>
    <t>['tm mode', 'thin enough', 'te mode', 'poles contributions', 'point method', 'numerical results', 'evanescent lateral', 'electric field', 'dielectric layer', 'cutoff mode', 'coupling mechanism', 'branch points']</t>
  </si>
  <si>
    <t>Antennas | Electromagnetic coupling</t>
  </si>
  <si>
    <t>A coupling mechanism between two dipoles within a conductor-backed thin dielectric layer above the earth is calculated by a saddle-point method. When the dielectric layer is thin enough to support a cutoff mode, the electric field at the point of receiving dipole due to a transmitting point dipole may be approximated by sum of contributions of branch points of TE mode and poles of TM mode. The branch points and poles contributions are interpreted as evanescent lateral-waves and leakywaves, respectively. Comparison of numerical results and asymptotic results shows excellent agreement. ¬© 1998 IEEE.</t>
  </si>
  <si>
    <t>1586-1587</t>
  </si>
  <si>
    <t>60013361;60032144</t>
  </si>
  <si>
    <t>14320221900;7006884400</t>
  </si>
  <si>
    <t>Park, Dong Kook;Ra, Jung Woong</t>
  </si>
  <si>
    <t>Daejeon;Busan</t>
  </si>
  <si>
    <t>Korea Advanced Institute of Science and Technology;Korea Maritime and Ocean University</t>
  </si>
  <si>
    <t>60032144;60013361</t>
  </si>
  <si>
    <t>Park D.</t>
  </si>
  <si>
    <t>Coupling mechanism of two dipoles within a conductor-backed thin dielectric slab above the earth</t>
  </si>
  <si>
    <t>S0018926X98075085</t>
  </si>
  <si>
    <t>10.1109/8.725295</t>
  </si>
  <si>
    <t>2-s2.0-0001238522</t>
  </si>
  <si>
    <t>['stereochemical aspect', 'special emphasis', 'photonic materials', 'photoactive centers', 'new family', 'molecules performing', 'molecular wires', 'molecular devices', 'modular synthons', 'materials research', 'logical functions', 'fragments employed', 'devices envisaged', 'chiral pyridine', 'bipyridine ligands', 'antenna molecules', 'activated switches']</t>
  </si>
  <si>
    <t>Two related directions of materials research are described: i) The synthesis of photonic materials, based on transition-metal compounds mainly with ruthenium and osmium as the photoactive centers. The devices envisaged are antenna molecules, molecular wires, photon-activated switches, and molecules performing other logical functions. ii) The development of a strategy for the synthesis of complex coordination species suitable for molecular devices, based on modular synthons, where a special emphasis is put on the stereochemical aspect of the fragments employed. This strategy is based on a new family of chiral pyridine and bipyridine ligands that are useful for the construction of inert building blocks, as well as in self-assembly processes leading to highly organized systems.</t>
  </si>
  <si>
    <t>620-628</t>
  </si>
  <si>
    <t>60024631;</t>
  </si>
  <si>
    <t>7006513780;57208457129</t>
  </si>
  <si>
    <t>Von Zelewsky, Alex;Belser, Peter</t>
  </si>
  <si>
    <t>Fribourg</t>
  </si>
  <si>
    <t>University of Fribourg</t>
  </si>
  <si>
    <t>Von Zelewsky A.</t>
  </si>
  <si>
    <t>On the way towards new materials: Metal complexes as building blocks</t>
  </si>
  <si>
    <t>2-s2.0-0001379167</t>
  </si>
  <si>
    <t>['various excitation', 'two distributions', 'traps ".', 'spectral hole', 'rc complex', 'rc appear', 'rc ),', 'previously done', 'photosystem ii', 'individual spectra', 'hom determined', 'hole depth', 'fluorescence line', 'fln spectra', 'fln ),', 'detection wavelengths', 'center complexes', 'burning experiments', 'band absorption', '690 nm', '682 nm', '680 nm', '2 k', '11488 ].']</t>
  </si>
  <si>
    <t>Broad-band absorption and fluorescence, fluorescence line-narrowing (FLN), and spectral hole-burning experiments have been performed on the Qy-band of three subcore reaction-center complexes of photosystem II between 1.2 and 4.2 K: the isolated reaction center (RC), the inner core antenna CP47, and the CP47-RC complex. In the RC, fluorescence line-narrowing (FLN) is observed for excitation wavelengths Aexc 676 nm, whereas in CP47, this occurs for Aexc ^ 680 nm. The FLN spectra of CP47-RC appear to be the sum of the individual spectra of the RC and CP47, an indication that this complex has two "traps". This has been confirmed from the spectral distributions obtained by measuring the hole depth (at constant hole width) as a function of hK, as previously done for the RC [Groot, M. L., et al. J. Phys. Chem. 100, 1996, 11488]. The maxima of these distributions are at ~682 nm for the RC "trap" and at ~690 nm for the CP47 "trap" within the CP47-RC complex. Further support that the two distributions of pigments in CP47-RC belong indeed to "trap" pigments is provided by the "effective" homogeneous line width r'hom determined as a function of temperature for various excitation and detection wavelengths. ¬© 1998 American Chemical Society.</t>
  </si>
  <si>
    <t>11007-11016</t>
  </si>
  <si>
    <t>60070193;60008734;60070193;60008734</t>
  </si>
  <si>
    <t>6603266666;7202457418;35599806700;7004111252</t>
  </si>
  <si>
    <t>Den Hartog, F. T.H.;Dekker, J. P.;Van Grondelle, R.;V√∂lker, S.</t>
  </si>
  <si>
    <t>Leiden;Amsterdam</t>
  </si>
  <si>
    <t>Gorlaeus Laboratory;Vrije Universiteit Amsterdam</t>
  </si>
  <si>
    <t>60070193;60008734</t>
  </si>
  <si>
    <t>Den Hartog F.</t>
  </si>
  <si>
    <t>Spectral distributions of "trap" pigments in the RC, CP47, and CP47-RC complexes of photosystem II at low temperature: A fluorescence line-narrowing and hole-burning study</t>
  </si>
  <si>
    <t>2-s2.0-0001384302</t>
  </si>
  <si>
    <t>U.S. Army Materiel Command</t>
  </si>
  <si>
    <t>AMC</t>
  </si>
  <si>
    <t>['usually placed', 'tuning elements', 'transmitting frequency', 'smaller antennas', 'radiated wavelength', 'radiate efficiently', 'portable applications', 'maximum efficiency', 'matching networks', 'installation convenience', 'experimental data', 'efficient radiation', 'dimensions must', 'cannot easily', 'antenna structure', 'antenna input', '30 mhz']</t>
  </si>
  <si>
    <t>Antennas | Electrically small antennas</t>
  </si>
  <si>
    <t>For antennas to radiate at maximum efficiency, their dimensions must be on the same order as the radiated wavelength. At frequencies below 30 MHz, antennas with efficient radiation are often too large for mobile and portable applications. Smaller antennas can be made to radiate efficiently by use of matching networks. For installation convenience and ease of adjustment, these networks are usually placed between the transmitter and the antenna input; but it has been found that for best radiation efficiency, matching network elements should be placed at points on the antenna structure. Unfortunately, such matching networks must be tuned for each transmitting frequency and, when mounted on the antenna, they cannot easily be tuned. A meander element antenna was found to present some electrical and mechanical properties allowing convenient placement of tuning elements when configured as an electrically small transmitting antenna. Some simplified design guidelines were derived from experimental data. ¬© 1998 IEEE.</t>
  </si>
  <si>
    <t>1797-1801</t>
  </si>
  <si>
    <t>60011533;60011533</t>
  </si>
  <si>
    <t>6602739002;54681143100</t>
  </si>
  <si>
    <t>Warnagiris, Thomas J.;Minardo, Thomas J.</t>
  </si>
  <si>
    <t>Southwest Research Institute</t>
  </si>
  <si>
    <t>Warnagiris T.</t>
  </si>
  <si>
    <t>Performance of a meandered line as an electrically small transmitting antenna</t>
  </si>
  <si>
    <t>S0018926X98096896</t>
  </si>
  <si>
    <t>10.1109/8.743815</t>
  </si>
  <si>
    <t>2-s2.0-0001388054</t>
  </si>
  <si>
    <t>['wave oscillator', 'terahertz frequencies', 'several frequencies', 'periodic antenna', 'optical losses', 'noise performance', 'nbn superconductor', 'nbn microstriplines', 'mixer uses', 'local oscillator', 'infrared laser', 'gap frequency', 'frequency dependence', 'factor method', 'employ al', 'current density', 'center frequency', 'antireflection cap', '9 œºm', '457 k', '2 k', '1082 ghz']</t>
  </si>
  <si>
    <t>We have developed a low-noise quasioptical NbN/AlN/NbN superconductor-insulator-superconductor (SIS) mixer that operates at terahertz frequencies. The mixer uses a MgO hyperhemispherical lens with an antireflection cap, a single-crystal NbN log-periodic antenna, and two-junction tuning circuits which employ Al/SiO/NbN microstriplines. The NbN/AlN/NbN junction size was about 0.9 Œºm in diameter, and the current density was about 45kA/cm2. The frequency dependence of the receiver noise temperature was investigated by using an optically pumped far-infrared laser and a backward-wave oscillator as a local oscillator at several frequencies from 670 to 1082 GHz. The experimental results showed that the center frequency was around 800 GHz, and the receiver noise temperature measured by the standard Y-factor method was 457 K (DSB) at 783 GHz including a 9-Œºm-thick Mylar beam splitter loss and other optical losses at the physical bath temperature of 4.2 K. This is the first SIS mixer based on NbN with low-noise performance (12hŒΩ/kB) above the gap frequency of Nb. ¬© 1998 American Institute of Physics.</t>
  </si>
  <si>
    <t>680-682</t>
  </si>
  <si>
    <t>Terahertz NbN/AlN/NbN mixers with Al/SiO/NbN microstrip tuning circuits</t>
  </si>
  <si>
    <t>S0003695198036316</t>
  </si>
  <si>
    <t>10.1063/1.121946</t>
  </si>
  <si>
    <t>2-s2.0-0001455506</t>
  </si>
  <si>
    <t>DABT63-97-C-0041</t>
  </si>
  <si>
    <t>['tuned response', 'tenth wavelength', 'susceptance slope', 'static calculations', 'resonance frequency', 'ranges suitable', 'presented giving', 'impedance step', 'experimental results', 'design considerations', 'broad double']</t>
  </si>
  <si>
    <t>Folded monopole | Monopole antennas</t>
  </si>
  <si>
    <t>Design considerations and experimental performance data are presented for disk-loaded folded monopoles in which the vertical elements consist of flat parallel strips separated by a dielectric. The presence of the dielectric and the flat strip geometry permit control of resonance frequency, susceptance slope, and impedance step-up ratio over ranges suitable for the design of electrically small antennas with a broad double-tuned response. Graphs are presented giving the impedance stepup ratio due to folding for various strip dimensions derived from static calculations. Experimental results are shown for antennas with heights in the range of one-eighth to one-tenth wavelength. ¬© 1999 IEEE.</t>
  </si>
  <si>
    <t>1894-1896</t>
  </si>
  <si>
    <t>60010346;60010346;60010346</t>
  </si>
  <si>
    <t>6603050168;7203078908;6701623183</t>
  </si>
  <si>
    <t>Foltz, H. D.;McLean, J. S.;Crook, G.</t>
  </si>
  <si>
    <t>Foltz H.</t>
  </si>
  <si>
    <t>Disk-loaded monopoles with parallel strip elements</t>
  </si>
  <si>
    <t>S0018926X98097270</t>
  </si>
  <si>
    <t>10.1109/8.743844</t>
  </si>
  <si>
    <t>2-s2.0-0001541964</t>
  </si>
  <si>
    <t>['vertical profiles', 'significant change', 'poly gates', 'optimized recipe', 'oe step', 'minimum damage', 'gate leakage', 'gate formation', 'damage characteristics', '1 ¬∞.']</t>
  </si>
  <si>
    <t>Charging induced damage of thin gate dielectric during polysilicon gate etching in a high density decoupled plasma source was investigated for 0.16 and 0.24 Œºm gates on 30 √Ö nitrided gate oxide. The undoped polysilicon gates were etched with a HBr/He/02 based process recipe. The optimized process recipe resulted in vertical profiles (89¬∞-90¬∞) with microloading of &lt; 1 ¬∞. No notching of the polysilicon or punch through of the thin gate oxide was observed. Gate leakage and breakdown voltage measurements after gate formation were made on metal-oxide-semiconductor capacitor structures with antenna ratios ranging from 100:1 to 1000:1. These measurements did not exhibit any damage to the thin gate dielectric. In addition, no significant change in the damage characteristics was observed over a wide process window around the optimized recipe, i.e., increased over etch (OE) time, increased source power, or reduced bias power in the OE step. A soft landing scheme was used for the etching of poly gates. This scheme provides vertical profiles without punch through and with minimum damage to the thin gate oxide and the substrate. ¬© 1998 American Vacuum Society.</t>
  </si>
  <si>
    <t>1440-1443</t>
  </si>
  <si>
    <t>60010574;60012222;60012222</t>
  </si>
  <si>
    <t>7403725137;57213968173;8616215600</t>
  </si>
  <si>
    <t>Ma, Shawming;Jain, Mohit;Chinn, J. D.</t>
  </si>
  <si>
    <t>Santa Clara;Palo Alto</t>
  </si>
  <si>
    <t>Applied Materials Incorporated;Hewlett Packard Laboratories</t>
  </si>
  <si>
    <t>60012222;60010574</t>
  </si>
  <si>
    <t>Ma S.</t>
  </si>
  <si>
    <t>Evaluation of plasma charging damage during polysilicon gate etching process in a decoupled plasma source reactor</t>
  </si>
  <si>
    <t>10.1116/1.581165</t>
  </si>
  <si>
    <t>2-s2.0-0001563375</t>
  </si>
  <si>
    <t>['wireless transmission', 'suitable elements', 'paper proposes', 'overcomes difficulties', 'microwave energy', 'measured data', 'input impedance', 'frequency characteristics', 'fdtd method', 'fdtd analysis', 'difference time', 'design technique', 'also discuss']</t>
  </si>
  <si>
    <t>Cavity resonators | Fdtd technique | Slot antennas | Solar power satellite</t>
  </si>
  <si>
    <t>A cavity-backed slot antenna is thought to be one of the most suitable elements for the wireless transmission of microwave energy. A design technique is developed for the cavitybacked slot antenna using the finite-difference time-domain (FDTD) method. The technique is effective in characterizing antenna performance such as the input impedance and the far-field pattern since it takes into account the geometry of the feeder as well as the cavity. In this paper, we present a method that overcomes difficulties when the FDTD method is used to design the antenna. Moreover, we discuss how to determine the calculation parameters used in the FDTD analysis. Several numerical results are presented, along with measured data, which demonstrate the validity, efficiency, and capability of the techniques. The paper proposes a new prediction method for frequency characteristics of the cavity-backed slot antenna, which applies computational windows to time sequence data. It is emphasized that windowing the slow decaying signal enables the extraction of accurate antenna characteristics. We also discuss how to estimate antenna patterns when we use a sinusoidal voltage excitation. ¬© 1998 IEEE.</t>
  </si>
  <si>
    <t>1853-1858</t>
  </si>
  <si>
    <t>60014652;60014652;60014652;60014652;60014652</t>
  </si>
  <si>
    <t>7004236392;6701330770;8703656800;7006723543;7404897527</t>
  </si>
  <si>
    <t>Omiya, Manabu;Hikage, Takashi;Ohno, Norio;Horiguchi, Kenich;Itoh, Kiyohiko</t>
  </si>
  <si>
    <t>Omiya M.</t>
  </si>
  <si>
    <t>Design of cavity-backed slot antennas using the finite-difference time-domain technique</t>
  </si>
  <si>
    <t>S0018926X98097178</t>
  </si>
  <si>
    <t>10.1109/8.743823</t>
  </si>
  <si>
    <t>2-s2.0-0001588652</t>
  </si>
  <si>
    <t>University of Calgary</t>
  </si>
  <si>
    <t>U of C</t>
  </si>
  <si>
    <t>['travelling along', 'since triangulation', 'received signal', 'paper using', 'one antenna', 'nonlinear trajectory', 'new spectrum', 'narrowband signal', 'exploited resulting', 'estimation utilizing', 'computer simulations', 'assumptions regarding', 'antenna array']</t>
  </si>
  <si>
    <t>Angle of arrival | AOA | Aoa estimation | Cellular | Cellular telephone positioning | Multipath | MUSIC | Superresolution | Triangulation</t>
  </si>
  <si>
    <t>Angle of arrival (AOA) estimation utilizing the Multiple Signal Identification and Classification (MUSIC) algorithm is investigated for land vehicle location systems. A "virtual" antenna array is used to overcome problems inherent to MUSIC when operating in a highly correlated signal environment. Based on assumptions regarding the multipath radio environment, triangulation is possible by estimating the AOA of the line-of-sight (LOS) component in the received signal. Computer simulations are used to analyze the ability of techniques incorporating MUSIC to achieve this. Since triangulation is achieved in this paper using a narrowband signal, no new spectrum is required. Instead, the current cellular telephone bands as well as the existing basestation hardware could be exploited resulting in a cost-efficient and easily implemented system. A further cost reduction may be realized by processing received signal data while travelling along a nonlinear trajectory. In this way, an unambiguous angular spectrum is obtained with one antenna. ¬© 1998 IEEE.</t>
  </si>
  <si>
    <t>342-351</t>
  </si>
  <si>
    <t>100713046;100713046</t>
  </si>
  <si>
    <t>6602953350;6701822565</t>
  </si>
  <si>
    <t>Klukas, Richard;Fattouche, Michel</t>
  </si>
  <si>
    <t>Calgary</t>
  </si>
  <si>
    <t>Cell-Loc, Inc.</t>
  </si>
  <si>
    <t>Klukas R.</t>
  </si>
  <si>
    <t>Line-of-sight angle of arrival estimation in the outdoor multipath environment</t>
  </si>
  <si>
    <t>S0018954598001030</t>
  </si>
  <si>
    <t>10.1109/25.661059</t>
  </si>
  <si>
    <t>2-s2.0-0001614168</t>
  </si>
  <si>
    <t>['patch length', 'ft ),', 'dielectric constant', 'data containing']</t>
  </si>
  <si>
    <t>CAD | Neural network | Patch antenna</t>
  </si>
  <si>
    <t>An artificial neural network (ANN) has been developed and tested for square-patch antenna design. It transforms the data containing the dielectric constant (er), thickness of the substrate (ft), and antenna's dominant-mode resonant frequency (/r) to the patch length (I). ¬© 1999 IEEE.</t>
  </si>
  <si>
    <t>1890-1891</t>
  </si>
  <si>
    <t>Mishra, R. K.;Patnaik, A.</t>
  </si>
  <si>
    <t>Neural network-based CAD model for the design of square-patch antennas</t>
  </si>
  <si>
    <t>S0018926X98097245</t>
  </si>
  <si>
    <t>10.1109/8.743842</t>
  </si>
  <si>
    <t>2-s2.0-0001617974</t>
  </si>
  <si>
    <t>['wiener solution', 'results obtained', 'rbfnn ).', 'radiation pattern', 'optimum weights', 'excellent agreement', 'directions continuously', 'desired users', 'constantly track', 'approach suggested']</t>
  </si>
  <si>
    <t>Adaptive arrays | Antenna arrays | Beamforming | Neural network applications | Tracking</t>
  </si>
  <si>
    <t>In this letter, we present a neural network approach to the problem of finding the weights of one- (1-D) and two-dimensional (2-1)1 adaptive arrays. In modern cellular satellite mobile communications systems and in global positioning systems (GPS's), both desired and interfering signals change their directions continuously. Therefore, a fast tracking system is needed to constantly track the users and then adapt the radiation pattern of the antenna to direct multiple narrow beams to desired users and nulls interfering sources. In the approach suggested in this paper, the computation of the optimum weights is accomplished using three-layer radial basis function neural networks (RBFNN). The results obtained from this network are in excellent agreement with the Wiener solution. ¬© 1999 IEEE.</t>
  </si>
  <si>
    <t>1891-1893</t>
  </si>
  <si>
    <t>60022144;60022144;60022144</t>
  </si>
  <si>
    <t>6602768503;35465847700;7005656258</t>
  </si>
  <si>
    <t>El Zooghby, A. H.;Christodoulou, C. G.;Georgiopoulos, M.</t>
  </si>
  <si>
    <t>El Zooghby A.</t>
  </si>
  <si>
    <t>Neural network-based adaptive beamforming for one- and two-dimensional antenna arrays</t>
  </si>
  <si>
    <t>S0018926X98097233</t>
  </si>
  <si>
    <t>10.1109/8.743843</t>
  </si>
  <si>
    <t>2-s2.0-0001617975</t>
  </si>
  <si>
    <t>['two methods', 'toa measurements', 'radio location', 'propagation conditions', 'measured times', 'location estimate', 'codedivision multipleaccess', 'cellular networks', 'cdna receiver', 'base station', 'aoa measurements', 'aoa ).', 'antenna array']</t>
  </si>
  <si>
    <t>Cellular CDNA | Position location</t>
  </si>
  <si>
    <t>Subscriber radio location techniques are investigated for codEdivision multiplEaccess (CDNA) cellular networks. Two methods are considered for radio location: measured times of arrival (ToA) and angles of arrival (AoA). The ToA measurements are obtained from the code tracking loop in the CDNA receiver, and the AoA measurements at a base station (BS) are assumed to be made with an antenna array. The performance of the two methods is evaluated for both ranging and two-dimensional (2-D) location, while varying the propagation conditions and the number of BS's used for the location estimate. ¬© 1998 IEEE.</t>
  </si>
  <si>
    <t>406-416</t>
  </si>
  <si>
    <t>60021032;60021032</t>
  </si>
  <si>
    <t>6701458609;14068118600</t>
  </si>
  <si>
    <t>Caffery, James;Stiiber, Gordon L.</t>
  </si>
  <si>
    <t>Caffery J.</t>
  </si>
  <si>
    <t>Subscriber location in CDNA cellular networks</t>
  </si>
  <si>
    <t>S0018954598024773</t>
  </si>
  <si>
    <t>10.1109/25.669079</t>
  </si>
  <si>
    <t>2-s2.0-0001760782</t>
  </si>
  <si>
    <t>84-2221-E-008-010</t>
  </si>
  <si>
    <t>['traffic balancing', 'tilted mechanism', 'spot sector', 'spot antenna', 'snr ).', 'sequence code', 'sectored cells', 'paper presents', 'noise ratio', 'hot spot', 'highly promising', 'fixed antenna', 'extra facilities', 'dynamic mechanism', 'dynamic antenna', 'division multiple', 'cellular networks', 'balancing effect', 'automatically tilt', 'antenna mechanism', 'antenna corresponding', 'another benefit', 'amps ).']</t>
  </si>
  <si>
    <t>CDMA | Hot spot | Tilted antenna</t>
  </si>
  <si>
    <t>Direct-sequence code-division multiple-access (DSCDMA) cellular networks are highly promising in terms of their potential to provide more capacity than an advanced mobile phone system (AMPS). However, heterogeneous traffic loading causes traffic congestion in a CDMA hot spot. This paper presents a tilted-antenna mechanism for sectored cells in CDMA cellular networks to relieve the congestion in a hot-spot sector. The fixed antenna-tilted mechanism, which only tilts the hot-spot antenna, can provide the merit of traffic balancing. Besides, we design a dynamic antenna-tilted mechanism in which tilting the antennas of the hot spot and its adjacent cell sectors is based on varying the signal-to-noise ratio (SNR). The dynamic mechanism can automatically tilt the antenna corresponding to the variation of traffic. Consequently, more capacity can be provided than in fixed tilting mechanism, which only tilts the hot-spot antenna. Another benefit is the traffic-balancing effect with a tilted-antenna mechanism that reduces the transceivers of hot-spot base station. Therefore, extra facilities are unnecessary for the hot spot than for a normal or light traffic sector. ¬© 1998 IEEE.</t>
  </si>
  <si>
    <t>60024666;60024666;60024666</t>
  </si>
  <si>
    <t>7409254196;7404003241;7201367169</t>
  </si>
  <si>
    <t>Wu, Jung Shyr;Chung, Jen Kung;Wen, Chang Chung</t>
  </si>
  <si>
    <t>Taoyuan</t>
  </si>
  <si>
    <t>National Central University</t>
  </si>
  <si>
    <t>Wu J.</t>
  </si>
  <si>
    <t>Hot-spot traffic relief with a tilted antenna in CDMA cellular networks</t>
  </si>
  <si>
    <t>S0018954598006847</t>
  </si>
  <si>
    <t>10.1109/25.661026</t>
  </si>
  <si>
    <t>2-s2.0-0001760784</t>
  </si>
  <si>
    <t>['reverse link', 'received signal', 'postdetection integration', 'multiple h', 'false alarm', 'fading rate', 'fading characteristics', 'evaluated numerically', 'division multipleaccess', 'derived analytically', 'decision variable', 'cell cases', 'antenna diversity', 'antenna cases', 'also derived', 'acquisition technique']</t>
  </si>
  <si>
    <t>CDMA | Code acquisition | Maximum-likelihood detection</t>
  </si>
  <si>
    <t>In this paper, the performance of a maximumlikelihood (ML) code-acquisition technique is analyzed for slotted-mode preamble search in the code-division multipleaccess (CDMA) reverse link. The probabilities of detection, miss, and false alarm are derived analytically for multiple H\ cell cases, based on the statistics of the CDMA noncoherent demodulator output in a frequency-selective Rayleigh fading channel. The probability density function (pdf) of a decision variable is also derived by considering the fading characteristics of the received signal for both single- and dual-antenna cases. The performance of the code-acquisition technique is evaluated numerically with emphasis on the effects of postdetection integration, fading rate, antenna diversity, and so on. ¬© 1998 IEEE.</t>
  </si>
  <si>
    <t>65-74</t>
  </si>
  <si>
    <t>60001558;60001558</t>
  </si>
  <si>
    <t>12244433600;7401684702</t>
  </si>
  <si>
    <t>Park, Hyung Rae;Kang, Bub Joo</t>
  </si>
  <si>
    <t>Electronics and Telecommunications Research Institute</t>
  </si>
  <si>
    <t>Park H.</t>
  </si>
  <si>
    <t>On the performance of a maximum-likelihood code-acquisition technique for preamble search in a CDMA reverse link</t>
  </si>
  <si>
    <t>S0018954598007075</t>
  </si>
  <si>
    <t>10.1109/25.661033</t>
  </si>
  <si>
    <t>2-s2.0-0002132966</t>
  </si>
  <si>
    <t>['total field', 'similar simulation', 'scattered fields', 'scattered field', 'rcs calculations', 'radiation patterns', 'radar cross', 'obtained via', 'located within', 'fdtd volume', 'far field', 'domain scattering', 'domain near', 'domain calculations', 'dimensional finite', 'difference time', 'cartesian coordinates', 'built together', 'antenna analysis']</t>
  </si>
  <si>
    <t>Antenna simulation | Finite-difference time-domain | Numerical modeling | Radar cross-section</t>
  </si>
  <si>
    <t>In this paper, radar cross-section (RCS) analysis and antenna simulations based on time-domain calculations are given. A compact, three-dimensional finite-difference time-domain (FDTD) algorithm in cartesian coordinates is built together with time-domain near-to-far field (NTFF) transformation. Both versions, scattered field (FDTD-S) and total field (FDTD-T) are coded which are suitable for RCS calculationsand antenna simulations, respectively. For RCS calculations, the object under investigation is located within the FDTD volume, illuminated by a broad band pulsed plane wave and scattered fields are simulated all around the object via FDTD directly in time-domain. Similar simulation is performed for the antenna analysis and total fields radiated by the antenna under investigation for a pulsed voltage exication are generated. Using NTFF routine, far field responses are obtained for both scattered and total field cases. Frequency-domain scattering and radiation patterns for wide frequency ranges are obtained via off-line discrete Fourier (DFT) analysis.</t>
  </si>
  <si>
    <t>65-75</t>
  </si>
  <si>
    <t>AEU-Archiv fur Elektronik und Ubertragungstechnik</t>
  </si>
  <si>
    <t>60022002-60108318-112263560;60022002-112263560</t>
  </si>
  <si>
    <t>7004386207;55952785400</t>
  </si>
  <si>
    <t>Sevgi, Levent;Paker, Sel√ßuk</t>
  </si>
  <si>
    <t>United States;Turkey;Brazil</t>
  </si>
  <si>
    <t>New York;Istanbul;</t>
  </si>
  <si>
    <t>NYU Tandon School of Engineering;ƒ∞stanbul Teknik √úniversitesi;ITU</t>
  </si>
  <si>
    <t>60108318;60022002;112263560</t>
  </si>
  <si>
    <t>Sevgi L.</t>
  </si>
  <si>
    <t>FDTD Based RCS Calculations and Antenna Simulations</t>
  </si>
  <si>
    <t>2-s2.0-0002410354</t>
  </si>
  <si>
    <t>['vor station', 'two types', 'two antennas', 'single elements', 'sideband antenna', 'quantitative calculation', 'provides aircraft', 'mutual coupling', 'moment method', 'loading reactance', 'horizontal plane', 'elements forming', 'element known', 'dvor )-', 'doppler type', 'conventional type', 'carrier antenna', 'calculation made', 'azimuth information', 'azimuth error', 'antenna elements', 'ala ),', '600 fi', '320 fi']</t>
  </si>
  <si>
    <t>Alford loop antenna | Course errors | CVOR | DVOR | Moment method</t>
  </si>
  <si>
    <t>A VHP omnidirectional radio range (VOR) is a navigation aid radio beacon facility, which provides aircraft with azimuth information relative to the VOR station in question as the origin. In Japan, two types of VOR-the conventional type (referred to as a CVOR) and the Doppler type (referred to as a DVOR)-are currently in use. An element known as the Alford loop antenna (ALA), which changes the loading reactance, is used for the VOR because the horizontally polarized wave and nondirectivity in the horizontal plane are preferred. A VOR antenna consists of a carrier antenna and a sideband antenna-an aircraft receives separate signals from these two antennas and compares them to obtain azimuth information. The mutual coupling between the elements forming the carrier and the sideband antenna affects the directivity of single elements, resulting in errors in azimuth information. With the mutual coupling between the antenna elements being taken into consideration, quantitative calculation was made by using the moment method-the results of the calculation made it clear that a loading reactance value of -320 fi is better to make not mutually coupled elements nondirectional while a loading reactance value of -600 fi is optimum to minimize the azimuth error of a CVOR. ¬© 1998 IEEE.</t>
  </si>
  <si>
    <t>392-405</t>
  </si>
  <si>
    <t>60002407-60018735;60002407;100596119;60002407;60002407</t>
  </si>
  <si>
    <t>6603721454;7202484181;7103403544;54680643800;55624480027</t>
  </si>
  <si>
    <t>Wakabayashi, Ryoji;Kawakami, Haruo;Sato, Gentei;Amano, Takashi;Suzuki, Yasuo</t>
  </si>
  <si>
    <t>Tokyo;Tokyo;Saitama</t>
  </si>
  <si>
    <t>Toshiba Corporation;Tokyo Metropolitan College of Aeronautical Engineering;Antenna Giken Corp.</t>
  </si>
  <si>
    <t>60018735;60002407;100596119</t>
  </si>
  <si>
    <t>Wakabayashi R.</t>
  </si>
  <si>
    <t>Analysis of course errors on CVOR antennas (Including effects of mutual coupling between elements)</t>
  </si>
  <si>
    <t>S0018954598027649</t>
  </si>
  <si>
    <t>10.1109/25.669078</t>
  </si>
  <si>
    <t>2-s2.0-0004861840</t>
  </si>
  <si>
    <t>['wavefront deformations', 'telescope structure', 'telescope beam', 'panel frames', 'panel dimensions', 'night time', 'moon scans', 'july 1997', 'iram 30', 'full width', 'full moon', 'extended sources', 'essence determine', 'error beams', 'diffracted beam', 'beam pattern', 'astronomical observations', '86 mm', '8 mm', '4 mm', '350 ghz', '30 db', '3 mm', '1 %)', '075 mm', '0 mm']</t>
  </si>
  <si>
    <t>Telescopes</t>
  </si>
  <si>
    <t>Total power scans across the Moon around New Moon (mostly day time) and Full Moon (night time) at 3.4 mm (88 GHz), 2.0 mm (150 GHz), 1.3 mm (230 GHz), and 0.86 mm (350 GHz) wavelength are used to derive the beam pattern of the IRAM 30-m telescope to a level of approximately -30 dB (0.1%) and, dependent on wavelength, to a full width of 1000 - 1400‚Ä≥. From the reflector surface construction and application of the antenna tolerance theory we find that the measurable beam consists of the diffracted beam, two underlying error beams which can be explained from the panel dimensions, and a beam deformation mostly due to large-scale transient residual thermal deformations of the telescope structure. In view of the multiple beam structure of the 30-m telescope, and of other telescopes with a similar reflector construction of (mini-)panels and panel frames, we summarize the antenna tolerance theory for the influence of several independent surface/wavefront deformations. This theory makes use of different correlation lengths, which in essence determine the independent error distributions, and of the wavelength-scaling of the diffracted beam and of the error beams. From the Moon scans we derive the parameters for calculation of the 30-m telescope beam in the wavelength range 3 mm to 0.8 mm as required for the reduction of astronomical observations, in particular of extended sources. The parameters of the beam are primarily for the time after July 1997 when the reflector was re-adjusted and improved to the illumination weighted surface precision of œÉT = 0.065 - 0.075 mm. In the Appendix we explain the choice for this analysis of scans taken around New Moon and Full Moon.</t>
  </si>
  <si>
    <t>271-284</t>
  </si>
  <si>
    <t>60001753;60026785-60024025;60026785</t>
  </si>
  <si>
    <t>7003267978;55988867400;7005807954</t>
  </si>
  <si>
    <t>Greve, A.;Kramer, C.;Wild, W.</t>
  </si>
  <si>
    <t>Spain;Germany;France</t>
  </si>
  <si>
    <t>Granada;Koln;Saint Martin d'Heres</t>
  </si>
  <si>
    <t>Instituto de Radioastronomia Milimetrica;University of Cologne;IRAM Institut de RadioAstronomie Millim√©trique</t>
  </si>
  <si>
    <t>60026785;60024025;60001753</t>
  </si>
  <si>
    <t>Greve A.</t>
  </si>
  <si>
    <t>The beam pattern of the IRAM 30-m telescope (A reflector with several surface error distributions)</t>
  </si>
  <si>
    <t>10.1051/aas:1998454</t>
  </si>
  <si>
    <t>2-s2.0-0006309775</t>
  </si>
  <si>
    <t>['two types', 'test structures', 'results show', 'plasma source', 'nonuniform across', 'main disadvantage', 'high yield', 'high selectivity', 'contact walls', 'contact opening']</t>
  </si>
  <si>
    <t>Two types of plasma source, high density plasma and magnetically enhanced reactive ion etching, have been compared on contact and vias etch process performances for 0.25 Œºm complementary metal-oxide semiconductor technology application. High density plasma is able to provide high oxide etch rate, low contact resistance and high yield on 350 nm contact size after etching. On the other hand, selectivity to photoresist is low and nonuniform across the wafer. Moreover, due to interaction between high density plasma and deep ultraviolet photoresist, sanations are transferred on contact walls. Magnetically enhanced reactive ion etching is able to provide uniform etch rate and high selectivity to photoresist. Low contact resistance and high yield have also been obtained on 300 nm contact size after etching. The main disadvantage of this plasma source is the low oxide etch rate. Antenna effects due to contact opening have been evaluated on test structures. The results show a minimized induced damage effect for the high density plasma type reactor. ¬© 1998 American Vacuum Society.</t>
  </si>
  <si>
    <t>1604-1608</t>
  </si>
  <si>
    <t>60007823;60007823;60007823-60023682;60007823-60023682;60007823;60007823-60023682;60007823-100507281</t>
  </si>
  <si>
    <t>6506395446;6701484724;6507473318;7006039305;6603597949;6603879434;8265408300</t>
  </si>
  <si>
    <t>Berruyer, P.;Vinet, F.;Feldis, H.;Blanc, R.;Lerme, M.;Morand, Y.;Poiroux, T.</t>
  </si>
  <si>
    <t>Switzerland;France;France</t>
  </si>
  <si>
    <t>Geneva;Grenoble;Nantes</t>
  </si>
  <si>
    <t>STMicroelectronics;CEA LETI¬†;MATRA MHS</t>
  </si>
  <si>
    <t>60023682;60007823;100507281</t>
  </si>
  <si>
    <t>Berruyer P.</t>
  </si>
  <si>
    <t>Dielectric etching for 0.18 Œºm technologies</t>
  </si>
  <si>
    <t>10.1116/1.581127</t>
  </si>
  <si>
    <t>2-s2.0-0007042240</t>
  </si>
  <si>
    <t>['time tracking', 'squareroot decomposition', 'overdetermined system', 'order statistics', 'moving transmitters', 'method based', 'linear equations', 'basestation receiver']</t>
  </si>
  <si>
    <t>A method based on high-order statistics is proposed to mitigate the performance degradation caused by multipath RF propagation in a mobile radio communication system using a linear antenna array at the basEstation receiver. It is shown that an overdetermined system of linear equations (involving only cumulants of the received baseband digitized signal) can be obtained to perform noniterative deconvolution. An efficient adaptive algorithm based on squarEroot decomposition is proposed to avoid numerical problems when real-time tracking of moving transmitters is needed. ¬© 1998 IEEE.</t>
  </si>
  <si>
    <t>377-391</t>
  </si>
  <si>
    <t>Marione, Massimiliano</t>
  </si>
  <si>
    <t>Marione M.</t>
  </si>
  <si>
    <t>Cumulant-based adaptive multichannel filtering for wireless communication systems with multipath RF propagation using antenna arrays</t>
  </si>
  <si>
    <t>S0018954598024785</t>
  </si>
  <si>
    <t>10.1109/25.669077</t>
  </si>
  <si>
    <t>2-s2.0-0007798780</t>
  </si>
  <si>
    <t>['sit inverters', 'sit inverter', 'several tens', 'plasma devices', 'output power', 'matched load', 'heat plasmas', 'alfven waves', '80 kw', '56 kw', '30 db', '2 mhz', '1 mhz']</t>
  </si>
  <si>
    <t>We have constructed a rf power source using static induction transistor (SIT) inverters to generate high heat flux plasmas in the diverter plasma simulator, NAGDIS-II. Since the SIT can enlarge the operating frequency range of the high power inverter above 1 MHz with output power of several tens of kW, SIT inverters can be used to generate rf plasmas and to heat plasmas by exciting low frequency plasma waves, such as Alfven waves and ion cyclotron waves in plasma devices. The rf conversion efficiency of a SIT inverter with matched load is &gt;85% for frequencies up to 1.2 MHz. The third harmonic antenna current is found to be less than -30 dB. Using four sets of inverter power supplies, we can generate more than 56 kW in continuous rf power or 80 kW in 1 s pulses to produce high heat flux plasmas in the diverter plasma simulator. ¬© 1998 American Institute of Physics.</t>
  </si>
  <si>
    <t>3555-3557</t>
  </si>
  <si>
    <t>37092168700;7007048412;8426549200;7102111483</t>
  </si>
  <si>
    <t>Watanabe, Shinichi;Uesugi, Yoshihiko;Ohsawa, Shigeyuki;Takamura, Shuichi</t>
  </si>
  <si>
    <t>Application of high performance inverter circuit to plasma generation and heating in fusion devices</t>
  </si>
  <si>
    <t>S0034674898004109</t>
  </si>
  <si>
    <t>10.1063/1.1149136</t>
  </si>
  <si>
    <t>2-s2.0-0008595724</t>
  </si>
  <si>
    <t>['simulcast areas', 'simulation results', 'simple method', 'radio port', 'proposed method', 'paper presents', 'giving estimates', 'dynamic reconfiguration', 'division multiple', 'approximate knowledge']</t>
  </si>
  <si>
    <t>Code-division multiplexing | Communication system traffic | Fading channels | Personal communication networks | Radio propagation | Time-division multiplexing</t>
  </si>
  <si>
    <t>This paper presents a simple method for estimating the average local traffic load in a simulcast radio system. Such estimation is crucial to achieving efficient resource sharing and dynamic reconfiguration of the simulcast areas. The proposed method is based only on relative power measurements at each radio port (or distributed antenna element) and is applicable to both code-division multiple-access (CDMA) and time-division multiple-access (TDMA) systems. Simulation results are derived to test the method over various system conditions and assumptions. The proposed method is shown to provide excellent results, giving estimates to within ¬±15% of the actual Erlang traffic, while requiring only an approximate knowledge of the radio propagation environment. ¬© 1998 IEEE.</t>
  </si>
  <si>
    <t>30-37</t>
  </si>
  <si>
    <t>60014300;60014300</t>
  </si>
  <si>
    <t>7006783653;7004878411</t>
  </si>
  <si>
    <t>Ariyavisitakul, Sirikiat Lek;Greenstein, Larry J.</t>
  </si>
  <si>
    <t>Ariyavisitakul S.</t>
  </si>
  <si>
    <t>A method for estimating local traffic load in a simulcast radio system</t>
  </si>
  <si>
    <t>S0018954598014236</t>
  </si>
  <si>
    <t>10.1109/25.661029</t>
  </si>
  <si>
    <t>2-s2.0-0009087866</t>
  </si>
  <si>
    <t>['visibility function', 'thus enabling', 'thinned aperture', 'technique attractive', 'technical university', 'special feature', 'special emphasis', 'short distance', 'sequentially placing', 'required pairs', 'radiometer system', 'normal far', 'mechanical scan', 'low frequencies', 'imaging properties', 'images suitable', 'focused systems', 'field situation', 'demonstrate 2', 'corresponding samples', 'complex targets', 'certain aperture', 'antenna elements']</t>
  </si>
  <si>
    <t>Aperture synthesis | Radiometer</t>
  </si>
  <si>
    <t>The Technical University of Denmark (TUD) Synthetic Aperture Radiometer (SARad) is a two-channel demonstration model that can simulate a two-dimensional (2-D) thinned array radiometer having an unfilled aperture populated with several small antenna elements. Aperture synthesis obtained by interferometric measurements using the antenna elements in pairs, followed by an image reconstruction based on an inverse Fourier transform, results in an imaging instrument without the need of mechanical scan. The thinned aperture and the nonscanning feature make the technique attractive for spaceborne radiometer systems, especially at low frequencies. The TUD SARad demonstration model consists of a twochannel K u -band correlation radiometer with two horn antennas and an antenna mounting structure enabling the horns to be mounted in relevant positions within a certain aperture. A total aperture synthesis is obtained by sequentially placing the two antenna elements in all required pairs of positions and measuring the corresponding samples of the visibility function. The system has been used to demonstrate 2-D synthetic aperture imaging of complex targets in outdoor ground experiments. A special feature of the system is that it uses a focused antenna system, thus enabling a short distance to the target, yet still utilizing image reconstruction algorithms identical to those used in a normal far-field situation. The aperture synthesis theory is discussed, with special emphasis on focused systems; the radiometer system is described; and images suitable for demonstration of resolution and other imaging properties are presented and discussed. ¬© 1998 IEEE.</t>
  </si>
  <si>
    <t>822-832</t>
  </si>
  <si>
    <t>IEEE Transactions on Geoscience and Remote Sensing</t>
  </si>
  <si>
    <t>60011373;60011373</t>
  </si>
  <si>
    <t>57196842592;7003928581</t>
  </si>
  <si>
    <t>Laursen, Brian;Skou, Niels</t>
  </si>
  <si>
    <t>Denmark</t>
  </si>
  <si>
    <t>Lyngby</t>
  </si>
  <si>
    <t>Danmarks Tekniske Universitet</t>
  </si>
  <si>
    <t>Laursen B.</t>
  </si>
  <si>
    <t>Synthetic aperture radiometry evaluated by a two-channel demonstration model</t>
  </si>
  <si>
    <t>S0196289298011383</t>
  </si>
  <si>
    <t>10.1109/36.673675</t>
  </si>
  <si>
    <t>2-s2.0-0009598748</t>
  </si>
  <si>
    <t>P 11046-TEC</t>
  </si>
  <si>
    <t>['v description', 'proper setting', 'pmls helps', 'pml parameters', 'new interpretation', 'magnetic field', 'lossy objects', 'joining pmls', 'iterative solver', 'different directions']</t>
  </si>
  <si>
    <t>Finite element methods | Mesh truncation | Perfectly matched layers | Propagation</t>
  </si>
  <si>
    <t>Perfectly Matched Layers (PMLs) are used to truncate the mesh in a 3D edge finite element code. A new interpretation of the PMLs helps to solve the problem of joining PMLs of different directions and to estimate the proper setting of the PML parameters. The finite element code uses an A,V description to obtain a better convergence rate of the iterative solver. The program is used to model the electro-magnetic field of a linear dipole antenna in the vicinity of lossy objects. ¬© 1998 IEEE.</t>
  </si>
  <si>
    <t>2755-2758</t>
  </si>
  <si>
    <t>60009469;60019663;60009469;60019663;60009469</t>
  </si>
  <si>
    <t>7003790137;7004433923;7005929719;12790529500;7401954966</t>
  </si>
  <si>
    <t>Bardi, Istvan;Bir√∂, Oszk√¢r;Preis, Kurt;Renhart, Werner;Richter, Kurt R.</t>
  </si>
  <si>
    <t>Austria;United States</t>
  </si>
  <si>
    <t>Graz;Pittsburgh</t>
  </si>
  <si>
    <t>Technische Universitat Graz;Ansoft Corporation</t>
  </si>
  <si>
    <t>60019663;60009469</t>
  </si>
  <si>
    <t>Bardi I.</t>
  </si>
  <si>
    <t>Parameter estimation for PMLs used with 3D finite element codes</t>
  </si>
  <si>
    <t>10.1109/20.717640</t>
  </si>
  <si>
    <t>2-s2.0-0010263698</t>
  </si>
  <si>
    <t>['vinylnaphthalene containing', 'uv light', 'singlet oxygen', 'selectively absorbed', 'peryleue trapped', 'hypercoiled polymer', 'hydrophobic molecules', 'fluorescence emission', 'energy transfer', '50 mol']</t>
  </si>
  <si>
    <t>Anthracene | Perylene | Sulfonated vinyl naphthalene polymers | Transport of excitation energy | Trapping</t>
  </si>
  <si>
    <t>Polymers of 1- and 2-vinylnaphthalene containing more than about 50 mol% sulfonic acid groups dissolve in water to form "hypercoiled" conformations which have many of the properties of micelles. Hydrophobic molecules such as anthracene and perylene are selectively absorbed in these pseudo micellar structures, and their fluorescence emission is sensitized by energy transfer from the surrounding naphthalene chromophores. When irradiated with UV light in the presence of oxygen, the emission of perylene rapidly decreases. It is proposed that this is due to reaction of singlet oxygen with the peryleue trapped in the hypercoiled polymer.</t>
  </si>
  <si>
    <t>Chinese Journal of Polymer Science (English Edition)</t>
  </si>
  <si>
    <t>60016849;60016849</t>
  </si>
  <si>
    <t>7102379256;7202674958</t>
  </si>
  <si>
    <t>Guillet, James;Gu, Liying</t>
  </si>
  <si>
    <t>Toronto</t>
  </si>
  <si>
    <t>University of Toronto</t>
  </si>
  <si>
    <t>Guillet J.</t>
  </si>
  <si>
    <t>Studies of the antenna effect in polymer molecules energy migration and trapping in naphthalene-containing polyelectrolytes</t>
  </si>
  <si>
    <t>2-s2.0-0031634140</t>
  </si>
  <si>
    <t>IEE Colloquium (Digest)</t>
  </si>
  <si>
    <t>Nasir, B. M.</t>
  </si>
  <si>
    <t>Nasir B.</t>
  </si>
  <si>
    <t>Space communication systems engineering</t>
  </si>
  <si>
    <t>2-s2.0-0031642826</t>
  </si>
  <si>
    <t>ATM-9413453</t>
  </si>
  <si>
    <t>['viable option', 'various parameters', 'time sidelobes', 'target reshuffling', 'strong echoes', 'spectrum width', 'simulation procedure', 'signal returns', 'sidelobe suppression', 'research applications', 'pulse compression', 'precisely determining', 'precipitation systems', 'measured using', 'mean velocity', 'extremely important', 'extended targets', 'especially important', 'earlier work', 'doppler sensitivity', 'doppler radar', 'corrupt observations', 'compression process', 'comparative analysis', 'chill radar', 'accurately describe']</t>
  </si>
  <si>
    <t>Pulse compression | Weather radar</t>
  </si>
  <si>
    <t>Wideband waveform techniques, such as pulse compression, allow for accurate weather radar measurements in a short data acquisition time. However, for extended targets such as precipitation systems, range sidelobes mask and corrupt observations of weak phenomena occurring near areas of strong echoes. Therefore, sidelobe suppression is extremely important in precisely determining the echo scattering region. A simulation procedure has been developed to accurately describe the signal returns from distributed weather targets, with pulse compression waveform coding. This procedure is unique and improves on earlier work by taking into account the effect of target reshuffling during the pulse propagation time which is especially important for long duration pulses. The simulation procedure is capable of generating time series from various input range profiles of reflectivity, mean velocity, spectrum width, and SNR. Results from the simulation are used to evaluate the performance of phasecoded pulse compression in conjunction with matched and inverse compression filters. The evaluation is based on comparative analysis of the integrated sidelobe level and Doppler sensitivity after the compression process. Pulse compression data from the CSU-CHILL radar is analyzed. The results from simulation and the data analysis show that pulse-compression techniques indeed provide a viable option for faster scanning rates while still retaining good accuracy in the estimates of various parameters that can be measured using a pulsed-Doppler radar. Also, it is established that with suitable sidelobe suppression filters, the range-time sidelobes can be suppressed to levels that are acceptable for operational and research applications. ¬© 1998 IEEE.</t>
  </si>
  <si>
    <t>125-142</t>
  </si>
  <si>
    <t>60032205;60009226;60021243</t>
  </si>
  <si>
    <t>6602767972;7005071296;54681052000</t>
  </si>
  <si>
    <t>Mudukutore, Ashok S.;Chandrasekar, V.;Jeffrey Keeler, R.</t>
  </si>
  <si>
    <t>Research Triangle Park;Boulder;Fort Collins</t>
  </si>
  <si>
    <t>RTI International;National Center for Atmospheric Research;Colorado State University</t>
  </si>
  <si>
    <t>60032205;60021243;60009226</t>
  </si>
  <si>
    <t>Mudukutore A.S.</t>
  </si>
  <si>
    <t>Pulse compression for weather radars</t>
  </si>
  <si>
    <t>S0196289298000357</t>
  </si>
  <si>
    <t>10.1109/36.655323</t>
  </si>
  <si>
    <t>2-s2.0-0031646487</t>
  </si>
  <si>
    <t>['system capacity', 'simulation results', 'simple algorithm', 'shift keying', 'relatively simple', 'received signal', 'proposed algorithms', 'proposed algorithm', 'interfering signals', 'interferencelimited system', 'interference rejection', 'division multiple', 'diversity combining', 'considerable interest', 'channel phase', 'binary phase', 'antenna array', 'also exploit', 'also discussed', 'algorithm operates', '6 ],']</t>
  </si>
  <si>
    <t>Antenna array | Blind adaptation algorithm | Cochannel interference cancellation | Cyclostationary signal processing</t>
  </si>
  <si>
    <t>With the development of wireless and personal communication systems, there is considerable interest in using antenna array technology to improve the system capacity in both present and future generation wireless systems. A novel and simple algorithm is proposed for blind adaptive extraction of a binary phase-shift keying (BPSK) signal in the presence of interference by cyclostationary signal processing using an antenna array. The algorithm operates in an interferencelimited system in which the desired and interfering signals have identical symbol rates, but are modulated on slightly different carrier frequencies. Compared to existing blind algorithms which also exploit the cyclostationarity of the received signal, the new algorithm provides a simpler and faster converging means to estimate the channel phase for diversity combining. Analytical and simulation results are presented and performances are compared with direct matrix inversion (DMI) and existing blind algorithms. Based on the proposed algorithm and the result in [6], a time-division multiple-access (TDMA) system with the new channel assignment scheme called cyclic TDMA (CTDMA) is proposed. The simulation results also show that the proposed algorithm is relatively simple and very promising in applications to indoor wireless communication where interference rejection and increased spectrum efficiency are the objectives. Analysis and simulation results are presented to confirm interference rejection capabilities. The robustness of existing and proposed algorithms to the perturbation of cyclostationarity is also discussed in this paper. ¬© 1998 IEEE.</t>
  </si>
  <si>
    <t>61-70</t>
  </si>
  <si>
    <t>60030813;60030813;60030813</t>
  </si>
  <si>
    <t>55233269700;7102893730;57218945302</t>
  </si>
  <si>
    <t>Cui, Jian;Falconer, David D.;Sheikh, Asrar U.H.</t>
  </si>
  <si>
    <t>Nortel Networks</t>
  </si>
  <si>
    <t>Cui J.</t>
  </si>
  <si>
    <t>Blind adaptation of antenna arrays using a simple algorithm based on small frequency offsets</t>
  </si>
  <si>
    <t>S0090677898010642</t>
  </si>
  <si>
    <t>10.1109/26.655404</t>
  </si>
  <si>
    <t>2-s2.0-0031646702</t>
  </si>
  <si>
    <t>NSC-86-2215-E009-034</t>
  </si>
  <si>
    <t>['thin gate', 'test n', 'studied quantitatively', 'state density', 'previous model', 'plasma uniformity', 'parasitic resistance', 'oxide traps', 'oxide thickness', 'new model', 'measured results', 'latent interface', 'interface states', 'induced damage', 'excellent agreement', 'differential capacitance', 'circuit designers', 'antenna ratio', 'also investigated']</t>
  </si>
  <si>
    <t>Plasma ashing process-induced oxide damage is studied quantitatively in this paper. To simulate thin gate-oxide damage due to plasma ashing process, a new equivalent circuit model is proposed by including a differential capacitance, a parasitic resistance, an offset Hatband voltage, and the effects of feedback on the interface-state and trapped oxide charge densities generated during plasma ashing process. According to this new model, computation of gate oxide charging current is performed by correlating to the latent interface-state density. The test n-MOSFET devices including different antenna-ratios are measured, and excellent agreement is obtained as compared with measured results. Moreover, the deficiency of the previous model is stated and compared. In addition, the effects of substrate doping concentration on plasma-induced oxide damage are also investigated as well as those of plasma ion density, plasma uniformity, thin gate-oxide thickness. Therefore, the relationships between interface states/oxide traps and antenna ratio are linked to provide a guideline for circuit designers and the plasma ashing process-induced damage can be predicted. ¬© 1998 IEEE.</t>
  </si>
  <si>
    <t>239-246</t>
  </si>
  <si>
    <t>IEEE Transactions on Electron Devices</t>
  </si>
  <si>
    <t>7005330003;7404503853;7501660613</t>
  </si>
  <si>
    <t>You, Kuo Feng;Chang, Ming Chien;Wu, Ching Yuan</t>
  </si>
  <si>
    <t>You K.F.</t>
  </si>
  <si>
    <t>A new simulation model for plasma ashing process-induced oxide degradation in MOSFET</t>
  </si>
  <si>
    <t>S0018938398002834</t>
  </si>
  <si>
    <t>10.1109/16.658837</t>
  </si>
  <si>
    <t>2-s2.0-0031647691</t>
  </si>
  <si>
    <t>['smart structures', 'recursive algorithm', 'practically useful', 'polarisability polyadics', 'mutual coupling', 'modified multi', 'method presented', 'interacting sources', 'embedding procedure', 'composite materials', 'complex radiating', 'complete system', 'arbitrary number', 'antenna systems']</t>
  </si>
  <si>
    <t>Bianisotropic media | Complex composite media | De-embedding | Electromagnetic interaction | Multi-polarisabilitles | Multipole expansion | Mutual coupling</t>
  </si>
  <si>
    <t>A previously developed method for computing mutual coupling between two bianisotropic scatterers is extended here to include an arbitrary number of complex radiating or scattering centres using multipole modelling, A recursive algorithm is presented that allows for the computation of the total electromagnetic interaction in the complete system. The technique is based on a de-embedding procedure. It yields modified multipole moments and modified multi-polarisability polyadics that characterise the interacting sources or scatterers. The method presented here is practically useful to account for mutual coupling in a variety of complex electromagnetic systems: composite materials, smart structures, antenna systems, etc. and in more general hybrid systems consisting of antennas and scatterers of arbitrary number, shape and configuration.</t>
  </si>
  <si>
    <t>60010785-60033316-60003771</t>
  </si>
  <si>
    <t>Arnaut, Luk R.</t>
  </si>
  <si>
    <t>Belgium;United Kingdom;United Kingdom</t>
  </si>
  <si>
    <t>Ghent;Middlesex;Manchester</t>
  </si>
  <si>
    <t>Universiteit Gent;National Physical Laboratory;The University of Manchester</t>
  </si>
  <si>
    <t>60033316;60010785;60003771</t>
  </si>
  <si>
    <t>Arnaut L.</t>
  </si>
  <si>
    <t>Recurisive de-embedding procedure for computation of mutal coupling between bianisotropic or complex sources and scatterers</t>
  </si>
  <si>
    <t>2-s2.0-0031647876</t>
  </si>
  <si>
    <t>60020650;60020650;60020650;60020650</t>
  </si>
  <si>
    <t>6602262047;7102568206;7007161122;57191647447</t>
  </si>
  <si>
    <t>Hafezi, P.;Beach, M.;Nix, A.;Sun, Y.</t>
  </si>
  <si>
    <t>Hafezi P.</t>
  </si>
  <si>
    <t>Exploiting the spatial domain for high bit rate indoor communications</t>
  </si>
  <si>
    <t>2-s2.0-0031648142</t>
  </si>
  <si>
    <t>60000891;60000891;60000891</t>
  </si>
  <si>
    <t>55456024000;7006012418;15038837500</t>
  </si>
  <si>
    <t>Jackson, M. R.;Parkin, R. M.;Tao, B.</t>
  </si>
  <si>
    <t>Jackson M.</t>
  </si>
  <si>
    <t>Low cost FM-CW radar range finder</t>
  </si>
  <si>
    <t>2-s2.0-0031648149</t>
  </si>
  <si>
    <t>60016561;60022148</t>
  </si>
  <si>
    <t>6507218540;7202821654</t>
  </si>
  <si>
    <t>Relph, P. M.;Griffiths, H. D.</t>
  </si>
  <si>
    <t>United Kingdom;Netherlands</t>
  </si>
  <si>
    <t>London;Eindhoven</t>
  </si>
  <si>
    <t>University College London;Philips Research</t>
  </si>
  <si>
    <t>60022148;60016561</t>
  </si>
  <si>
    <t>Relph P.</t>
  </si>
  <si>
    <t>An electronically scanning antenna for automotive radar systems</t>
  </si>
  <si>
    <t>2-s2.0-0031648402</t>
  </si>
  <si>
    <t>['wide range', 'using fr4', 'pcb applications', 'path lengths', 'paper describes', 'microwave frequencies', 'microwave circuits', 'material could', 'low cost', 'less critical', 'high losses', 'era technology', 'consumer markets', 'considerable interest', '15 ghz', '1 ghz']</t>
  </si>
  <si>
    <t>Dielectric measurements | FR4</t>
  </si>
  <si>
    <t>FR4 epoxy glass substrates are the material of choice for most PCB applications. The material is very low cost and has excellent mechanical properties, making it ideal for a wide range of electronic component applications. As more and more microwave systems aimed at consumer markets are developed, there is a considerable interest in minimising the cost of these systems. Substantial cost savings could be realised by using FR4 in place of costly PTFE based substrates for microwave circuits and antennas. This paper describes a programme of work which has been undertaken at ERA Technology, as part of its Membership Research Programme, to evaluate the characteristics of this material at microwave frequencies between 1 GHz and 15 GHz. It is concluded that the use of FR4 is unlikely to be viable for antenna feeding structures due to its high losses. However, for high density microwave circuits where path lengths are short and for broadband antenna elements, where losses and absolute dielectric constant values are less critical, the material could be used in place of more conventional microwave substrate materials, offering significant cost savings.</t>
  </si>
  <si>
    <t>60011897;101703558;60011897;60011897</t>
  </si>
  <si>
    <t>7201714638;6602803445;57198905003;7006987468</t>
  </si>
  <si>
    <t>Aguilar, J. R.;Beadle, M.;Thompson, P. T.;Shelley, M. W.</t>
  </si>
  <si>
    <t>United Kingdom;United States</t>
  </si>
  <si>
    <t>Leatherhead;</t>
  </si>
  <si>
    <t>ERA Technology Ltd;Vertex Corporation</t>
  </si>
  <si>
    <t>60011897;101703558</t>
  </si>
  <si>
    <t>Aguilar J.</t>
  </si>
  <si>
    <t>The microwave and RF characteristics of FR4 substrates</t>
  </si>
  <si>
    <t>2-s2.0-0031651336</t>
  </si>
  <si>
    <t>['targets obscured', 'stap radar', 'simultaneous processing', 'sidelobe clutter', 'preprocessor design', 'platform motion', 'paper provides', 'mainlobe clutter', 'joint angle', 'ground clutter', 'filters used', 'doppler frequency', 'doppler estimation', 'doppler accuracy', 'detect targets', 'array antenna', 'approaches used']</t>
  </si>
  <si>
    <t>Advanced airborne radar systems are required to detect targets in the presence of both clutter and jamming. Ground clutter is extended in both angle and range, and is spread in Doppler frequency because of the platform motion. Space-time adaptive processing (STAP) refers to the simultaneous processing of the signals from an array antenna during a multiple pulse coherent waveform. STAP can provide improved detection of targets obscured by mainlobe clutter, sidelobe clutter, and jamming. This paper provides an overview of partially adaptive STAP approaches. Analysis of the clutter covariance matrix rank provides insight and conditions for preprocessor design. As the filters used for detection in a STAP radar depend on the background interference estimates, the approaches used for parameter estimation must be modified for a STAP radar. The effect of STAP on angle and Doppler accuracy is described, and an approach for joint angle and Doppler estimation in a STAP radar is described.</t>
  </si>
  <si>
    <t>Ward, James</t>
  </si>
  <si>
    <t>Ward J.</t>
  </si>
  <si>
    <t>Space-time adaptive processing for airborne radar</t>
  </si>
  <si>
    <t>2-s2.0-0031652897</t>
  </si>
  <si>
    <t>['voltage stress', 'two time', 'time dependence', 'tddb ),', 'qbd ),', 'plasma processing', 'degradation rate', 'current injection', 'apparently decrease', 'antenna ratio', 'antenna effect']</t>
  </si>
  <si>
    <t>The relationship between two time-dependent dielectric breakdown (TDDB), the charge-to-breakdown under constant-current injection (Qbd), and the time-to-breakdown under constant-voltage stress (tbd) is derived from a defect generation model and investigated for the gate oxide damaged by plasma processing such as the antenna effect. It is found that although the Qbd of the damaged oxide monotonously decreases with antenna ratio (r = exposed antenna surface area/gate area), the tbd does not apparently decrease in a certain antenna ratio region. The difference between the degradation rate of Qbd and tbd along r is explained by taking into account the r- and time dependence of gate current density under constant-voltage stress J and the r- and J-dependence of Qbd. ¬© 1998 IEEE.</t>
  </si>
  <si>
    <t>160-164</t>
  </si>
  <si>
    <t>60107350-100365526;100365526-60107350</t>
  </si>
  <si>
    <t>7003276205;7101861028</t>
  </si>
  <si>
    <t>Eriguchi, Koji;Kosaka, Yukiko</t>
  </si>
  <si>
    <t>Kadoma;Kyoto</t>
  </si>
  <si>
    <t>Panasonic Corporation;Matsushita Electronic</t>
  </si>
  <si>
    <t>60107350;100365526</t>
  </si>
  <si>
    <t>Eriguchi K.</t>
  </si>
  <si>
    <t>Correlation betweentwo time-dependent dielectric breakdown measurements for the gate oxides damaged by plasma processing</t>
  </si>
  <si>
    <t>S0018938398002718</t>
  </si>
  <si>
    <t>10.1109/16.658825</t>
  </si>
  <si>
    <t>2-s2.0-0031672298</t>
  </si>
  <si>
    <t>100665302;106791420;106791420;106791420</t>
  </si>
  <si>
    <t>6701607511;6506970583;6506337184;7202460872</t>
  </si>
  <si>
    <t>Stoiljkoviƒá, V.;Cockson, M.;Hamma, F.;Carter, E.</t>
  </si>
  <si>
    <t>Lincoln;Aylesbury</t>
  </si>
  <si>
    <t>Centurion International Inc.;Centurion International Limited</t>
  </si>
  <si>
    <t>106791420;100665302</t>
  </si>
  <si>
    <t>Stoiljkoviƒá V.</t>
  </si>
  <si>
    <t>A low-cost portable antenna with a switching mechanism</t>
  </si>
  <si>
    <t>2-s2.0-0031673023</t>
  </si>
  <si>
    <t>['tests performed', 'tests demonstrate', 'system capacity', 'successful integration', 'presented along', 'paper presents', 'orange testbed', 'key aims', 'initial results', 'coverage extension', 'calibration sub', 'adaptive networks']</t>
  </si>
  <si>
    <t>The TSUNAMI (II) project is an investigation into the application of adaptive antenna technology for use in future generation mobile communications systems. The key aims of the project are to study the complexity versus increase in system capacity and coverage extension that can be achieved over the existing, non-adaptive networks. This paper presents some of the initial results from the TSUNAMI (II) macrocellular field trials, currently being performed at the Orange Testbed in Almondsbury, Bristol. Field trial results obtained using spatial reference beamforming (SRB) are presented along with tests performed with the calibration sub-system. The results of these tests demonstrate the successful integration and operation of the TSUNAMI (II) system.</t>
  </si>
  <si>
    <t>60020650;60020650;100788401;100443537</t>
  </si>
  <si>
    <t>6701860355;7102568206;57196977107;7006200486</t>
  </si>
  <si>
    <t>Simmonds, C. M.;Beach, M. A.;Newman, M.;Arnott, R.</t>
  </si>
  <si>
    <t>United Kingdom;United Kingdom;United Kingdom</t>
  </si>
  <si>
    <t>Bristol;Bristol;Leatherhead</t>
  </si>
  <si>
    <t>University of Bristol;Orange PCS;ERA</t>
  </si>
  <si>
    <t>60020650;100788401;100443537</t>
  </si>
  <si>
    <t>Simmonds C.</t>
  </si>
  <si>
    <t>Tsunami (II) - Initial field trial results</t>
  </si>
  <si>
    <t>2-s2.0-0031673025</t>
  </si>
  <si>
    <t>Naval Surface Warfare Center</t>
  </si>
  <si>
    <t>N62269-93-C-0536</t>
  </si>
  <si>
    <t>NSWC</t>
  </si>
  <si>
    <t>['wideband interference', 'wideband degrees', 'tas methods', 'stap ).', 'spatial channel', 'slc consists', 'sidelobe canceler', 'sampling instant', 'paper presents', 'mvb outperforms', 'main channel', 'limited number', 'inherently narrowband', 'facilitate space', 'considerable increase', 'common solution']</t>
  </si>
  <si>
    <t>Classical adaptive array schemes which use only complex spatial weights are inherently narrowband and consequently perform poorly when attempting to suppress wideband interference. The common solution to this problem is the use of tapped delay line filters in each spatial channel to facilitate space-time adaptive processing (STAP). The higher performance provided by the STAP architecture comes at the cost of a considerable increase in complexity. This paper presents a simpler technique based on programmable time adjustable sampling (TAS) that provides a limited number of wideband degrees of freedom. Two TAS methods are introduced: TAS-sidelobe canceler (TAS-SLC) is based on the sidelobe canceler, while TAS-minimum variance beamformer (TAS-MVB) is derived from the minimum variance bearaformer. TAS is implemented by adjusting the sampling instant at selected array channels. TAS-SLC consists of controlling the sampling in the main channel of the sidelobe canceler. With TAS-MVB array complex weights are substituted with TAS time delays. The performance of TAS methods with wideband interference is compared to the conventional sidelobe canceler and minimum variance beamformers. It is shown that TAS-SLC provides better performance than the sidelobe canceler, while TAS-MVB outperforms the minimum variance beamformer. ¬© 1998 IEEE.</t>
  </si>
  <si>
    <t>IEEE Transactions on Aerospace and Electronic Systems</t>
  </si>
  <si>
    <t>60022904;60022904;105169679</t>
  </si>
  <si>
    <t>7005000103;6603361525;6602821713</t>
  </si>
  <si>
    <t>Haimovich, A. M.;Berin, M. O.;Teti, J. G.</t>
  </si>
  <si>
    <t>Newark;Wayne</t>
  </si>
  <si>
    <t>New Jersey Institute of Technology;LAMBDA SCIENCE, INC.</t>
  </si>
  <si>
    <t>60022904;105169679</t>
  </si>
  <si>
    <t>Haimovich A.</t>
  </si>
  <si>
    <t>A sampling-based approach to wideband interference cancellation</t>
  </si>
  <si>
    <t>10.1109/7.640256</t>
  </si>
  <si>
    <t>2-s2.0-0031673271</t>
  </si>
  <si>
    <t>['ttd ).', 'system issues', 'mwocpaa ).', 'multiwavelength scheme', 'multiwavelength ocppa', 'insertion loss', 'independent control', 'experimental prototype', 'entire bandwidth', 'common transmit', 'combining wavelength', 'channel isolation', 'beam steering', 'b resolution', 'azimuthal scan', 'azimuthal planes', 'array size', 'array antenna', 'also described']</t>
  </si>
  <si>
    <t>Bragg fiber grating | Optical beamforming | True time delay | Wavelength-division-multiplexed</t>
  </si>
  <si>
    <t>A novel multiwavelength scheme is proposed and demonstrated for one-dimensional (1-D) and two-dimensional (2-D) optically controlled phased-array antenna (OCPAA) systems with true time delay (TTD). This hardware-compressive architecture employs a multiwavelength laser source in conjunction with a programmable dispersion matrix (PDM) and switched optical delay lines (SODL's) to generate all the required time delays for beam steering in 2-D phased-array antenna systems. Independent control of elevation and azimuthal scan is achieved by combining wavelength-dependent and wavelengthindependent time delays. An experimental prototype of 4 x 2 array with 2-b x 2-b resolution is constructed to demonstrate the feasibility of the multiwavelength OCPPA (MWOCPAA). Broadband linear RF phase shift is measured in both elevation and azimuthal planes over the entire bandwidth of the electro-optic (EO) modulator. System issues such as insertion loss, array size, and channel isolation are discussed. Extension of the multiwavelength scheme to a common transmit/receive (T/R) module with TTD is also described. ¬© 1998 IEEE.</t>
  </si>
  <si>
    <t>108-115</t>
  </si>
  <si>
    <t>Multiwavelength optically controlled phased-array antennas</t>
  </si>
  <si>
    <t>S0018948098006231</t>
  </si>
  <si>
    <t>10.1109/22.654929</t>
  </si>
  <si>
    <t>2-s2.0-0031678057</t>
  </si>
  <si>
    <t>['transponder receives', 'car windscreen', 'antenna properties', 'also reported', '20 ghz', '10 ghz']</t>
  </si>
  <si>
    <t>Experimental results achieved from a frequency doubling active transponder circuit mounted in a car windscreen are reported. The transponder receives a signal at 10 GHz, doubles the frequency and retransmits it at 20 GHz. Effect of the windscreen glass superstrate on the circuit and antenna properties are also reported.</t>
  </si>
  <si>
    <t>7403594790;7201658579;57213425197</t>
  </si>
  <si>
    <t>Singh, D.;Gardner, P.;Hall, P. S.</t>
  </si>
  <si>
    <t>Singh D.</t>
  </si>
  <si>
    <t>An active antenna transponder in a car windscreen</t>
  </si>
  <si>
    <t>2-s2.0-0031679051</t>
  </si>
  <si>
    <t>Fitz, S. M.</t>
  </si>
  <si>
    <t>Great Chesterford</t>
  </si>
  <si>
    <t>Plextek Ltd.</t>
  </si>
  <si>
    <t>Fitz S.</t>
  </si>
  <si>
    <t>Receiver architectures for GSM handsets</t>
  </si>
  <si>
    <t>2-s2.0-0031679693</t>
  </si>
  <si>
    <t>['whole band', 'designed based']</t>
  </si>
  <si>
    <t>Two quadrifilar helical antennas (QHA) for a Satellite PCN handheld transceiver were designed based on previously published principles [1] and on the ICO system statistics. A long, slim QHA covers the two ICO sub-bands with the aid of a simple matching circuit and a short, wide design covers the whole band with intrinsically good matching properties.</t>
  </si>
  <si>
    <t>60021097;60021097;</t>
  </si>
  <si>
    <t>6603994383;7202876045;6508391862</t>
  </si>
  <si>
    <t>Agius, A. A.;Saunders, S. R.;Paulidou, P.</t>
  </si>
  <si>
    <t>Two low profile wire antennas for a satellite PCN handheld transceiver</t>
  </si>
  <si>
    <t>2-s2.0-0031685849</t>
  </si>
  <si>
    <t>['surface height', 'monitor changes', 'errors caused', 'different missions', 'antenna beamwidths']</t>
  </si>
  <si>
    <t>Satellite radar altimeters from different missions are being used to monitor changes in surface height over the terrestrial ice sheets. This communications highlights sources of error that do not appear to have been accounted for in these analyses, namely, errors caused by differences in antenna beamwidths, antenna pointing angles, and stabilities. ¬© 1998 IEEE.</t>
  </si>
  <si>
    <t>312-316</t>
  </si>
  <si>
    <t>Partington, Altimeters K.C.</t>
  </si>
  <si>
    <t>Fairbanks</t>
  </si>
  <si>
    <t>University of Alaska Fairbanks</t>
  </si>
  <si>
    <t>Partington A.</t>
  </si>
  <si>
    <t>Antenna beamwidth and antenna pointing-induced errors in topographic monitoring from radar sattellite</t>
  </si>
  <si>
    <t>S0196289298002587</t>
  </si>
  <si>
    <t>10.1109/36.655341</t>
  </si>
  <si>
    <t>2-s2.0-0031699490</t>
  </si>
  <si>
    <t>['two phase', 'single set', 'simulation results', 'phased arrays', 'perturbation algorithms', 'new algorithms', 'author defines', 'also shown', 'adaptive weights', 'adaptive phases', 'adaptive nulling']</t>
  </si>
  <si>
    <t>The author defines a phase-only gradient-based adaptive algorithm analogous to the least mean square (LMS) algorithm. Two phase-only perturbation algorithms are then defined. It is shown that the gradient for the perturbation algorithms can be obtained by cross-correlating binary perturbation sequences, that are applied to the adaptive phases, with the resulting instantaneous output power or voltage. It is also shown that a single set of phase-only adaptive weights can be used to simultaneously null interference in multiple output beams. Simulation results are presented for all of the new algorithms. The phase-only perturbation techniques eliminate the need for element level receivers and support low cost retrofitting of adaptive nulling on phased arrays by using conventional beamsteering circuits to apply the adaptive weights. ¬© 1998 IEEE.</t>
  </si>
  <si>
    <t>169-178</t>
  </si>
  <si>
    <t>60000251-60012564</t>
  </si>
  <si>
    <t>Davis, Richard M.</t>
  </si>
  <si>
    <t>McLean;New York</t>
  </si>
  <si>
    <t>MITRE Corporation;IEEE</t>
  </si>
  <si>
    <t>60012564;60000251</t>
  </si>
  <si>
    <t>Davis R.</t>
  </si>
  <si>
    <t>Phase-only LMS and perturbation adaptive algorithms</t>
  </si>
  <si>
    <t>10.1109/7.640274</t>
  </si>
  <si>
    <t>2-s2.0-0031699564</t>
  </si>
  <si>
    <t>['sufficiently uniform', 'receiving systems', 'receiving apertures', 'polarization becomes', 'field polarization', 'emitter polarization', 'direction finding', 'df systems', 'df error', 'certain class', 'array elements', 'array antennas', 'arbitrary polarization', 'analytically examined', 'amplitude across']</t>
  </si>
  <si>
    <t>The impact of emitter polarization on the distribution of phase and amplitude across an array of receiving apertures is analytically examined. That distribution is also dependent upon direction of arrival, and that dependence is the basis in receiving systems for direction finding (DF) and for beamforming with array antennas. Dependence on polarization may tend to confound DF measurement in a certain class of DF systems and may degrade array sidelobe performance in the presence of emitters of arbitrary polarization. Polarization becomes an issue when the array elements are not sufficiently uniform in their response to incident-field polarization. The effect of polarization on DF error from a phase-comparison monopulse receiver is quantified here. ¬© 1998 IEEE.</t>
  </si>
  <si>
    <t>319-329</t>
  </si>
  <si>
    <t>Seifer, Arnold D.</t>
  </si>
  <si>
    <t>Bethesda</t>
  </si>
  <si>
    <t>Lockheed Martin Corporation</t>
  </si>
  <si>
    <t>Seifer A.</t>
  </si>
  <si>
    <t>Impact of antenna-polarization response on direction-of-arrival measurement</t>
  </si>
  <si>
    <t>10.1109/7.640290</t>
  </si>
  <si>
    <t>2-s2.0-0031700756</t>
  </si>
  <si>
    <t>60004407;60004407</t>
  </si>
  <si>
    <t>Low cost linear arrays using polystyrene foam substrate</t>
  </si>
  <si>
    <t>2-s2.0-0031702270</t>
  </si>
  <si>
    <t>['weight vectors', 'three users', 'optimization problem', 'optimal algorithms', 'key innovation', 'improve capacity', 'form expressions', 'derive closed', 'compute orthogonal', 'channel capacity', 'broadcast channels']</t>
  </si>
  <si>
    <t>Antenna array | Broadcast channel | Channel capacity | SDMA</t>
  </si>
  <si>
    <t>We improve capacity of broadcast channels by employing multiple transmitters and exploiting the spatial diversity among the users. We derive fast algorithms to compute orthogonal, near-optimal, and optimal weight vectors for broadcasting message signals to two and three users. The key innovation is that we decouple the weight vectors in the measure of channel capacity to 1) simplify the optimization problem to a search for the maxima of a smooth multidimensional function and 2) derive closed-form expressions for the orthogonal and near-optimal algorithms. ¬© 1998 IEEE.</t>
  </si>
  <si>
    <t>243-246</t>
  </si>
  <si>
    <t>7003360436;7404265004;55540932000</t>
  </si>
  <si>
    <t>Torlak, M.;Xu, G.;Evans, B. L.</t>
  </si>
  <si>
    <t>Torlak M.</t>
  </si>
  <si>
    <t>Fast estimation of weight vectors to optimize multi-transmitter broadcast channel capacity</t>
  </si>
  <si>
    <t>S1053587X98005248</t>
  </si>
  <si>
    <t>10.1109/78.651228</t>
  </si>
  <si>
    <t>2-s2.0-0031704347</t>
  </si>
  <si>
    <t>['time processing', 'techniques applied', 'stap ),', 'resolution images', 'provides high', 'moving objects', "ii '.", 'efficient methods', 'doppler domain', 'data gathered', 'apply multi', 'adaptive space']</t>
  </si>
  <si>
    <t>Synthetic aperture radar (SAR) provides high-resolution images of the non-moving ground scene, but fails for the indication and positioning of moving objects. Like in airborne MTI systems the solution to this problem is to use an array of antennas or subapertures and several receiving channels ('MSAR' = multi-channel SAR), and to apply multi-channel clutter suppression. One of the most efficient methods is adaptive space-time processing (STAP), which can be simplified to frequency-dependent spatial processing in the Doppler domain. In this paper, some of these techniques applied to SAR are reviewed and illustrated with data gathered by the German experimental multi-channel SAR system 5AER-II'.</t>
  </si>
  <si>
    <t>Ender, Joachim H.G.</t>
  </si>
  <si>
    <t>Ender J.H.G.</t>
  </si>
  <si>
    <t>Space-Time Adaptive Processing for Synthetic Aperture Radar</t>
  </si>
  <si>
    <t>2-s2.0-0031704753</t>
  </si>
  <si>
    <t>['mobile transmitter', 'measurement site', 'estimated peak', 'downlink channels', 'data available', 'central london', 'brief note']</t>
  </si>
  <si>
    <t>This paper presents results of an adaptive antenna measurement platform for PCS1800 frequency division duplex operation. A description of the measurement site in central London, UK is followed by a brief note on the data available and used for post-processing in this paper. Frequency division duplex operation is analysed in terms of the estimated peak-energy spectral energy density 'look-direction' in the uplink and downlink channels and compared to GPS estimated positions of a mobile transmitter.</t>
  </si>
  <si>
    <t>Owen, R. H.</t>
  </si>
  <si>
    <t>Ashburton</t>
  </si>
  <si>
    <t>Motorola Inc., UK</t>
  </si>
  <si>
    <t>Owen R.</t>
  </si>
  <si>
    <t>The use of adaptive antennas for cellular subscriber location - Experimental results</t>
  </si>
  <si>
    <t>2-s2.0-0031705475</t>
  </si>
  <si>
    <t>100694806;100694806</t>
  </si>
  <si>
    <t>57202472103;55952197400</t>
  </si>
  <si>
    <t>Farina, A.;Timmoneri, L.</t>
  </si>
  <si>
    <t>Roma</t>
  </si>
  <si>
    <t>Radar System Division</t>
  </si>
  <si>
    <t>Real-time stap techniques</t>
  </si>
  <si>
    <t>2-s2.0-0031707625</t>
  </si>
  <si>
    <t>['two copies', 'testing high', 'test signals', 'supplied signal', 'spectrum analyzer', 'random noise', 'processing gain', 'precision signal', 'performing interference', 'patented design', 'one channel', 'noisy inputs', 'noisy channel', 'noise ratio', 'noise generated', 'making measurements', 'frequency resolution', 'frequency ranges', 'dynamic range', 'drt may', 'demonstration purposes', 'convenient tool', 'biomedical engineering', 'bandwidth testing', 'adding wideband', '1 ].']</t>
  </si>
  <si>
    <t>Acoustooptic correlators | Antennas | Correlators | Interference | Spread spectrum communications | Test equipment | White noise</t>
  </si>
  <si>
    <t>The dynamic range tester (DRT) is a patented prototype system that functions as a dual-channel, precision signal-to-noise ratio (SNR) generator [1]. It was designed for testing high-speed acoustooptic correlators, and can be used for many applications requiring "real-world" test signals. The DRT is a convenient tool for generating two highly isolated, noisy test signals from a single signal source, to simulate two antennas receiving the same signals. By splitting a user-supplied signal into two copies and adding wideband, random noise to each portion, the DRT generates two noisy test signals, one in each channel. The noise generated in one channel of the DRT is uncorrelated and isolated from the noise generated in the other channel by approximately 90 dB. The correlated (signal) and uncorrelated (noise) parts of the test signals are each variable over a wide dynamic range. The DRT is useful for a variety of testing and demonstration purposes: generally, for evaluating a system's tolerance to noisy inputs and specifically, for making measurements of dynamic range, processing gain, and frequency resolution of a correlator, spectrum analyzer, or other signal processing system. The DRT can also use two signal sources, one in each noisy channel, to simulate two antennas receiving different signals. This configuration of the DRT may be useful for performing interference and bandwidth testing of signal processing hardware. The patented design is extendible to all frequency ranges, perhaps for producing useful instrumentation in such fields as telecommunications, telemetry, biomedical engineering, etc.</t>
  </si>
  <si>
    <t>90-94</t>
  </si>
  <si>
    <t>IEEE Transactions on Instrumentation and Measurement</t>
  </si>
  <si>
    <t>60000251-60033252</t>
  </si>
  <si>
    <t>Marinelli, Anne Marie Petrich</t>
  </si>
  <si>
    <t>Adelphi;New York</t>
  </si>
  <si>
    <t>U.S. Army Research Laboratory;IEEE</t>
  </si>
  <si>
    <t>60033252;60000251</t>
  </si>
  <si>
    <t>Marinelli A.</t>
  </si>
  <si>
    <t>The dynamic range tester: A multipurpose "real-world" signal simulator for correlator testing and other applications</t>
  </si>
  <si>
    <t>S0018945698054497</t>
  </si>
  <si>
    <t>10.1109/19.728797</t>
  </si>
  <si>
    <t>2-s2.0-0031988284</t>
  </si>
  <si>
    <t>['wave equation', 'vacuum interface', 'systematic investigation', 'studied numerically', 'relaxation techniques', 'plasma centre', 'physical characteristics', 'kinetic effects', 'illustrative results', 'awcd generated', 'aspect ratio']</t>
  </si>
  <si>
    <t>Alfv√©n wave current drive (AWCD) in low-aspect ratio (A = R/a = 1/Œµ ‚â≥ 1) tokamaks (LARTs) is studied numerically. For this, the full-wave equation (E‚à• ‚â† 0) with a Vlasov-based dielectric tensor is solved by relaxation techniques, subject to appropriate boundary conditions at the plasma centre and at the plasma-vacuum interface, as well as the concentric antenna current sheet and at the external metallic wall. A systematic investigation of the physical characteristics of the AWCD generated in LARTs when kinetic effects are considered is carried out and illustrative results are presented and discussed. ¬© 1998 IOP Publishing Ltd.</t>
  </si>
  <si>
    <t>271-281</t>
  </si>
  <si>
    <t>6603563543;7003898879;6701674297</t>
  </si>
  <si>
    <t>Komoshvili, K.;Cuperman, S.;Bruma, C.</t>
  </si>
  <si>
    <t>Komoshvili K.</t>
  </si>
  <si>
    <t>Finite Larmor radius effects on Alfv√©n wave current drive in low-aspect ratio tokamaks</t>
  </si>
  <si>
    <t>S074133359884044X</t>
  </si>
  <si>
    <t>10.1088/0741-3335/40/2/008</t>
  </si>
  <si>
    <t>2-s2.0-0031992134</t>
  </si>
  <si>
    <t>['various heights', 'transverse component', 'theoretical study', 'temporal resolution', 'sampling technique', 'planar resonators', 'main resonance', 'investigated 7', 'high spatial', 'field pattern', 'external electro', 'experimental data', 'electric near', 'electric field', 'comprehensive experimental']</t>
  </si>
  <si>
    <t>Electro-optic measurements | Resonators</t>
  </si>
  <si>
    <t>A comprehensive experimental and theoretical study for the determination of the electric near-field above planar resonators is presented. The transverse component of the electric field is mapped by external electro-optic (EO) sampling technique with high spatial and temporal resolution. The evolution of the near-field radiation pattern of the investigated 7-GHz planar resonator to the onset of the far-field pattern is traced by measurements at various heights above the sample. Frequencydependent measurements allow to characterize the field pattern changes when the frequency is swept through the main resonance. Additional undesired resonances are identified by the detected mode pattern. The experimental data are reproduced by simulations based upon an electric field integral equation (EFIE) method. ¬© 1998 IEEE.</t>
  </si>
  <si>
    <t>284-291</t>
  </si>
  <si>
    <t>60001097-60019722;60001097-60019722;60001097-60019722;60001097-60019722;60001097-60019722;60001097-60019722</t>
  </si>
  <si>
    <t>7102250137;7003519023;7004848584;7202054618;57214056253;7004736208</t>
  </si>
  <si>
    <t>Pfeifer, Torsten;L√∂ffler, Torsten;Roskos, Hartmut G.;Kurz, Heinrich;Singer, Markus;Biebl, Erwin M.</t>
  </si>
  <si>
    <t>Munich;Aachen</t>
  </si>
  <si>
    <t>Technical University of Munich;Uniklinik RWTH Aachen</t>
  </si>
  <si>
    <t>60019722;60001097</t>
  </si>
  <si>
    <t>Pfeifer T.</t>
  </si>
  <si>
    <t>Electro-optic near-field mapping of planar resonators</t>
  </si>
  <si>
    <t>10.1109/8.660974</t>
  </si>
  <si>
    <t>2-s2.0-0031997153</t>
  </si>
  <si>
    <t>['square spreading', 'spectrum short', 'sp radar', 'source parameters', 'signal waveform', 'modification due', 'greatly reduced', 'essentially equivalent', 'electromagnetic missile', 'due attention', 'distance inverse', 'current distribution', 'continuous wave']</t>
  </si>
  <si>
    <t>Radar range equation | Short-pulse radiation | UWB radiation</t>
  </si>
  <si>
    <t>Conventional radar range equations based on the distance inverse-square spreading of energy should be further modified when taking into account a significant energy slow decay effect of the radiation. It is shown that the modification due to asymptotical energy slow decay effect in ultrawide-band (UWB) radiation can be neglected to certain extent since it is essentially equivalent to a continuous wave (CW) modification for specified radiation frequency defined as "characteristic frequency." For a wide-spectrum short-pulse (SP) radar, notable modification due to significantly enhanced slow decay effect should be taken into account. Generally, a reduction of the radar performance compared to that calculated for the inverse-square spreading of energy is obtained. The prospect of improving the radar range performance with an electromagnetic missile is greatly reduced by the harsh excitation needed to excite it. Moreover, the modified radar equation contains time-space source parameters such as the signal waveform and the current distribution of the antenna. Thus, an SP radar has a specialized radar equation and due attention should be paid to source parameters in the design of such a radar.</t>
  </si>
  <si>
    <t>60018308;60018308;60025578</t>
  </si>
  <si>
    <t>57198493323;7501758768;7403280923</t>
  </si>
  <si>
    <t>Wang, Gang;Wang, Wen Bing;Liang, Chang Hong</t>
  </si>
  <si>
    <t>Xi'an;Xi'an</t>
  </si>
  <si>
    <t>Xidian University;Xi'an Jiaotong University</t>
  </si>
  <si>
    <t>60025578;60018308</t>
  </si>
  <si>
    <t>Wang G.</t>
  </si>
  <si>
    <t>Further modification of the radar range equation due to slow decay effect in electromagnetic radiation</t>
  </si>
  <si>
    <t>S0018937598004244</t>
  </si>
  <si>
    <t>10.1109/15.659523</t>
  </si>
  <si>
    <t>2-s2.0-0031997838</t>
  </si>
  <si>
    <t>['equally basic', 'basic concept']</t>
  </si>
  <si>
    <t>Antenna theory | Electromagnetic analysis | Wire antennas</t>
  </si>
  <si>
    <t>The basic concept of the differential current element is extended to obtain an equally basic but more easily applied concept with which to characterize antenna behavior. The extension is accomplished by applying mathematical induction, using only algebra and a few well-known trigonometric identities.</t>
  </si>
  <si>
    <t>22-30</t>
  </si>
  <si>
    <t>Scott Bennett, W.</t>
  </si>
  <si>
    <t>Scott Bennett W.</t>
  </si>
  <si>
    <t>A basic theorem that simplifies the analysis of wire antennas</t>
  </si>
  <si>
    <t>10.1109/74.667322</t>
  </si>
  <si>
    <t>2-s2.0-0031998118</t>
  </si>
  <si>
    <t>['weighted green', 'two parts', 'tie antenna', 'spiral antenna', 'relative permittivity', 'radiation pattern', 'power gain', 'paper presents', 'linear equations', 'integral equation', 'input impedance', 'function extractions', 'formulated using', 'dielectric material', 'current distribution', 'circularly polarized', 'checked using', 'axial ratio', 'angle coverage', 'also described']</t>
  </si>
  <si>
    <t>Millimeter-wave antennas | Spiral antennas</t>
  </si>
  <si>
    <t>This paper presents an integral equation that can handle wire antennas on a semi-infinite dielectric material. The integral equation is reduced to a set of linear equations by the method of moments. For efficiency, the impedance matrix element Zmn is divided into two parts on the basis of weighted Green's function extractions. The far-zone radiation field, which is formulated using the stationary phase method, is also described. After the validity of the presented numerical techniques is checked using a bow-tie antenna, a spiral antenna is analyzed. The current distribution, radiation pattern, axial ratio, power gain, and input impedance are discussed. It is found that the radiation field inside a dielectric material is circularly polarized. As the relative permittivity of the dielectric material increases, the angle coverage over which the axial ratio is less than 3 dB becomes narrower. ¬© 1998 IEEE.</t>
  </si>
  <si>
    <t>267-274</t>
  </si>
  <si>
    <t>60030526-60003414;60030526-60003414;60030526-60003414;60030526-60003414</t>
  </si>
  <si>
    <t>55633340100;7403255155;7006748370;56405174700</t>
  </si>
  <si>
    <t>Nakano, Hisamatsu;Hirose, Kazuhide;Ohshima, Ichiro;Yamauchi, Junji</t>
  </si>
  <si>
    <t>An integral equation and its application to spiral antennas on semi-infinite dielectric materials</t>
  </si>
  <si>
    <t>S0018926X98014963</t>
  </si>
  <si>
    <t>10.1109/8.660972</t>
  </si>
  <si>
    <t>2-s2.0-0031999197</t>
  </si>
  <si>
    <t>['printed element', 'parasitic loading', 'nec data', 'mobile antennas', 'loop antennas', 'input impedance', 'index terms', 'good agreement', 'difference time', 'conducting box', 'cellular telephone']</t>
  </si>
  <si>
    <t>the vertical folded loop antenna, modeled as wire and printed radiating element mounted on a conducting box, simulating a cellular telephone with and without dielectric coating, is analyzed. Finite-difference time-domain (FDTD) method is used to calculate radiation patterns and input impedance. The results are compared with measurements and with NEC data. Very good agreement is obtained in all cases. Parasitic loading is used to enhance the bandwidth of the printed element. The antenna meets design requirements for existing and future mobile communication systems. Index Terms-Loop antennas, mobile antennas, portable radio communication. ¬© 1998 IEEE.</t>
  </si>
  <si>
    <t>260-266</t>
  </si>
  <si>
    <t>6507003785;54680711800;6701682267;57208464375</t>
  </si>
  <si>
    <t>Katsibas, Konstantinos D.;Baianis, Constantine A.;Tirkas, Panayiotis A.;Birtcher, Craig R.</t>
  </si>
  <si>
    <t>Katsibas K.</t>
  </si>
  <si>
    <t>Folded loop antenna for mobile hand-held units</t>
  </si>
  <si>
    <t>S0018926X98014951</t>
  </si>
  <si>
    <t>10.1109/8.660971</t>
  </si>
  <si>
    <t>2-s2.0-0031999579</t>
  </si>
  <si>
    <t>['yield wide', 'simple formula', 'similar results', 'reported disc', 'new configurations', 'maximum bandwidth', 'lower edge', 'impedance bandwidth', 'frequency corresponding', 'ellipticity ratio', '21 ghz', '13 ghz', '1 yields']</t>
  </si>
  <si>
    <t>Microstrip antennas</t>
  </si>
  <si>
    <t>the circular disc monopole (CDM) antenna has been reported to yield wide-impedance bandwidth. Experiments have been carried out on a CDM that has twice the diameter of the reported disc with similar results. New configurations are proposed such as elliptical (with different ellipticity ratios), square, rectangular, and hexagonal disc monopole antennas. A simple formula is proposed to predict the frequency corresponding to the lower edge of the bandwidth for each of these configurations. The elliptical disc monopole (EDM) with ellipticity ratio of 1.1 yields the maximum bandwidth from 1.21 GHz to more than 13 GHz for voltage standing wave ratio (VSWR) &lt; 2. -. ¬© 1998 IEEE.</t>
  </si>
  <si>
    <t>294-295</t>
  </si>
  <si>
    <t>60014153;60014153;60014153</t>
  </si>
  <si>
    <t>6506618375;7202418704;56003150900</t>
  </si>
  <si>
    <t>Agrawall, Narayan Prasad;Kumar, Girish;Ray, K. P.</t>
  </si>
  <si>
    <t>Agrawall N.</t>
  </si>
  <si>
    <t>Wide-band planar monopole antennas</t>
  </si>
  <si>
    <t>S0018926X97090637</t>
  </si>
  <si>
    <t>10.1109/8.660976</t>
  </si>
  <si>
    <t>2-s2.0-0031999663</t>
  </si>
  <si>
    <t>DAAL 03-92-G-0262</t>
  </si>
  <si>
    <t>['moments predictions', 'microstrip patch', 'conventional method', 'asymptotic part', 'analytical transformation', 'analytical technique']</t>
  </si>
  <si>
    <t>Impedance matrix | Microstrip antennas</t>
  </si>
  <si>
    <t>In this paper, an analytical technique is derived to solve the asymptotic part of impedance matrix elements for printed circuit structures using roof-top subdomain expansions. The key to this problem is the analytical transformation from an infinite double integral to a suitable linitc one-dimensional (1-D) integral. The newly developed formula is applied to the monostatic radar cross section (RCS) of a microstrip patch. Comparisons are made with measurements and conventional method of moments predictions. ¬© 1998 IEEE.</t>
  </si>
  <si>
    <t>251-259</t>
  </si>
  <si>
    <t>34971825100;35583458100;57208464375</t>
  </si>
  <si>
    <t>Park, Seong Ook;Balanis, Constantine A.;Birtcher, Craig R.</t>
  </si>
  <si>
    <t>Analytical evaluation of the asymptotic impedance matrix of a grounded dielectric slab with roof-top functions</t>
  </si>
  <si>
    <t>S0018926X9801494X</t>
  </si>
  <si>
    <t>10.1109/8.660970</t>
  </si>
  <si>
    <t>2-s2.0-0032000457</t>
  </si>
  <si>
    <t>MIP-9408154</t>
  </si>
  <si>
    <t>['upper bound', 'uniquely identified', 'time delays', 'spatial signatures', 'solution uniqueness', 'signal directions', 'secondary importance', 'received signals', 'rao bound', 'primary interest', 'performance relative', 'paper considers', 'far greater', 'different cases', 'channel estimation', 'also included', 'also derived', 'also considered']</t>
  </si>
  <si>
    <t>Acoustic signal processing | Array signal processing | Delay estimation | Mobile communications | Multipath channels | Radar signal processing</t>
  </si>
  <si>
    <t>This paper considers the problem of estimating the parameters of known signals received asynchronously by an array of antennas. The parameters of primary interest are the time delays of the signals and their spatial signatures at the array. Estimates of the signal directions of arrival are also considered but are of secondary importance in this work. Maximum likelihood algorithms and more computationally efficient approximations are developed for both the case where all received signals are identical (the channel estimation/overlapping echo problem) and where they are all distinct. Conditions are also derived under which the standard matched filter approach yields consistent and statistically efficient parameter estimates. The issue of solution uniqueness is addressed, and in particular, an upper bound on the number of signals whose parameters may be uniquely identified is derived for a number of different cases. Typically, the bound is far greater than the number of sensors and is limited only by the number of data samples collected. Some representative simulation examples are also included to illustrate the algorithms' performance relative to the Cram√©r-Rao bound. ¬© 1998 IEEE.</t>
  </si>
  <si>
    <t>449-462</t>
  </si>
  <si>
    <t>60000251-60006832</t>
  </si>
  <si>
    <t>Lee Swindlehurst, A.</t>
  </si>
  <si>
    <t>Provo;New York</t>
  </si>
  <si>
    <t>Brigham Young University;IEEE</t>
  </si>
  <si>
    <t>60006832;60000251</t>
  </si>
  <si>
    <t>Time Delay and Spatial Signature Estimation Using Known Asynchronous Signals</t>
  </si>
  <si>
    <t>S1053587X98013580</t>
  </si>
  <si>
    <t>10.1109/78.655429</t>
  </si>
  <si>
    <t>2-s2.0-0032000460</t>
  </si>
  <si>
    <t>['techniques include', 'radiated emissions', 'oats ).', 'new limit', 'maximum predicted', 'frequency range', 'existing techniques', 'existing technique', 'dipole moments', 'attractive environment', '3 db']</t>
  </si>
  <si>
    <t>GTEM cells | OATS | Radiated emissions</t>
  </si>
  <si>
    <t>The gigahertz transverse electromagnetic (GTEM) cell is a very attractive environment for the measurement of radiated emissions from electrically small equipments under test (EUT's). However, the GTEM is only accepted by the relevant measurement standards as long as the measurements in a GTEM can be used to predict the field that a particular EUT would produce on an open-area test site (OATS). Techniques for predicting equivalent OATS radiated fields from measurements in a GTEM have been developed. The techniques include the assumption that the dipole moments, which represent the radiation of an EUT, are all in phase. In this paper, we analyze the case where the EUT dipole moments are not in phase and propose a new upper limit for the predicted OATS radiated field. Our new limit is up to 5 dB greater than the maximum predicted by the existing techniques, but over most of the frequency range the difference with the existing technique is about 3 dB.</t>
  </si>
  <si>
    <t>62-69</t>
  </si>
  <si>
    <t>60026242;60026242-60016418</t>
  </si>
  <si>
    <t>7005672144;7005566736</t>
  </si>
  <si>
    <t>Turnbull, Luke;Marvin, Andrew C.</t>
  </si>
  <si>
    <t>Salisbury;York</t>
  </si>
  <si>
    <t>Defence Science and Technology Laboratory;University of York</t>
  </si>
  <si>
    <t>60026242;60016418</t>
  </si>
  <si>
    <t>Turnbull L.</t>
  </si>
  <si>
    <t>A treatment of the phase properties of GTEM to open-area test-site correlation techniques</t>
  </si>
  <si>
    <t>S0018937598017189</t>
  </si>
  <si>
    <t>10.1109/15.659521</t>
  </si>
  <si>
    <t>2-s2.0-0032001008</t>
  </si>
  <si>
    <t>International Science and Technology Center</t>
  </si>
  <si>
    <t>VOLNA 314</t>
  </si>
  <si>
    <t>–ú–ù–¢–¶</t>
  </si>
  <si>
    <t>['well described', 'waveguide modes', 'waveguide codes', 'waveguide apertures', 'studied cases', 'reflected modes', 'radiation spectra', 'plasma waves', 'folded waveguide', 'filled waveguide', 'fields across', 'consistent calculation', 'complete set', 'codes provide', 'arbitrary orientation']</t>
  </si>
  <si>
    <t>The radiation spectra of a dielectric-filled waveguide (DWG) and a folded waveguide (FWG) antenna in the ion cyclotron range of frequencies are evaluated for tokamaks with the waveguide codes, which model the coupling of the waveguide modes to the plasma waves with outward radiating boundary conditions. The codes provide a self-consistent calculation of the fields across the waveguide apertures for various antenna phasings taking into account a complete set of waveguide eigenmodes including the reflected modes and, in the case of DWG, an arbitrary orientation of the antenna to the plasma magnetic field. In the studied cases, the spectra are found to be well described by a model which is based on a simplified wave field pattern determined by the antenna aperture geometry. Comparison to the corresponding loop antenna is carried out. ¬© 1998 IEEE.</t>
  </si>
  <si>
    <t>26-35</t>
  </si>
  <si>
    <t>60033191;60000297;60033191</t>
  </si>
  <si>
    <t>7102290215;6603600927;6603415983</t>
  </si>
  <si>
    <t>Heikkinen, Jukka A.;Irzak, Mikhail A.;Shcherbinin, Oleg N.</t>
  </si>
  <si>
    <t>Finland;Russian Federation</t>
  </si>
  <si>
    <t>Espoo;Saint Petersburg (ex Leningrad)</t>
  </si>
  <si>
    <t>VTT Technical Research Centre of Finland;Ioffe Institute</t>
  </si>
  <si>
    <t>60033191;60000297</t>
  </si>
  <si>
    <t>Heikkinen J.</t>
  </si>
  <si>
    <t>Radiation properties of ICRF waveguide couplers</t>
  </si>
  <si>
    <t>S0093381398009862</t>
  </si>
  <si>
    <t>10.1109/27.659529</t>
  </si>
  <si>
    <t>2-s2.0-0032001591</t>
  </si>
  <si>
    <t>['voltage source', 'variational expression', 'terminal admittance', 'subsume results', 'special cases', 'situations considered', 'sin 6', 'sin #,', 'short dipole', 'received voltage', 'radiation pattern', 'radiated field', 'parameter 6', 'observation direction', 'limiting values', 'fixed length', 'existing literature', 'exciting frequency', 'excited symmetrically', 'electrically small', 'effective height', 'domain responses', 'angle approximation']</t>
  </si>
  <si>
    <t>The problem of radiation and reception of electromagnetic waves associated with a spherically capped biconical antenna having unequal cone angles 1 and 2 is investigated. Both cones that comprise a bicone are excited symmetrically at the apices by a voltage source so that the only higher order modes are TM. A variational expression for the terminal admittance is derived. Under the wide-angle approximation, expressions for the radiated field, the effective height, and the terminal admittance are obtained. In addition, limiting values of these quantities are derived for electrically small and electrically large wideangle bicones. The results for arbitrary cone angles are new and subsume results that appear in the existing literature as special cases such as where ipi -ip? or ip? K/2. Moreover, the approximations of this paper are more accurate than many in the literature. It is argued that the radiation pattern of an electrically small cone is proportional to sin#, which issimilar to that of a short dipole; whereas the pattern behaves like I/ sin 6 for electrically large cones. The parameter 6 is the angle from the bicone's axis of symmetry to the observation direction. Consequently, the direction of maximum radiation changes with exciting frequency for a bicone of fixed length. Although most of the analyses are presented in the frequency-domain, time-domain responses of bicones are discussed for some special cases that are similar to situations considered by Harrison and Williams. In particular, the time-domain radiated field and the received voltage are shown to depend on the input's passband and on the match between the source and the bicone.</t>
  </si>
  <si>
    <t>181-193</t>
  </si>
  <si>
    <t>16538973000;6603179063</t>
  </si>
  <si>
    <t>Samaddar, Surendra N.;Mokole, Eric L.</t>
  </si>
  <si>
    <t>Samaddar S.N.</t>
  </si>
  <si>
    <t>Biconical antennas with unequal cone angles</t>
  </si>
  <si>
    <t>S0018926X98014860</t>
  </si>
  <si>
    <t>10.1109/8.660962</t>
  </si>
  <si>
    <t>2-s2.0-0032001808</t>
  </si>
  <si>
    <t>Foundation for Ichthyosis and Related Skin Types</t>
  </si>
  <si>
    <t>FIRST</t>
  </si>
  <si>
    <t>['temperature superconductivity', 'technologies technically', 'major contribution', 'currently envisioned', 'commercially realistic', 'authors present', 'asic technologies']</t>
  </si>
  <si>
    <t>The authors present an overview of advances in three areas including software radio, adaptive antenna technology, and high-temperature superconductivity as currently envisioned for use in advanced cellular base stations. The conclusion broadly drawn is that the advancement in DSP and ASIC technologies will make the major contribution in making these technologies technically and commercially realistic.</t>
  </si>
  <si>
    <t>96-102</t>
  </si>
  <si>
    <t>60011897;60011897;60011897;60022995</t>
  </si>
  <si>
    <t>7006200486;6604052644;7404821715;7003780857</t>
  </si>
  <si>
    <t>Arnott, Robert;Ponnekanti, Seshaiah;Taylor, Carl;Chaloupka, Heinz</t>
  </si>
  <si>
    <t>Wuppertal;Leatherhead</t>
  </si>
  <si>
    <t>Bergische Universit√§t Wuppertal;ERA Technology Ltd</t>
  </si>
  <si>
    <t>60022995;60011897</t>
  </si>
  <si>
    <t>Advanced base station technology</t>
  </si>
  <si>
    <t>10.1109/35.648772</t>
  </si>
  <si>
    <t>2-s2.0-0032002206</t>
  </si>
  <si>
    <t>N00014-92-J-1070</t>
  </si>
  <si>
    <t>['unequal thicknesses', 'silicon material', 'si substrates', 'radiation patterns', 'presented herein', 'patch antenna', 'paper presents', 'niicrornachining techniques', 'index wafers', 'index substrate', 'conventional designs', 'bandwidth improvements', 'antenna placement']</t>
  </si>
  <si>
    <t>This paper presents the use of selective lateral etching based on niicrornachining techniques to enhance the performance of rectangular microstrip patch antennas printed on high-index wafers such as silicon, GaAs, and InP. Micromachined patch antennas on Si substrates have shown superior performance over conventional designs where the bandwidth and the efficiency have increased by as much as 64% and 28%, respectively. In this work, the silicon material is removed laterally underneath the patch antenna to produce a cavity that consists of a mixture of air and substrate with equal or unequal thicknesses. Characterization of the micromachined patch antenna is presented herein and includes a discussion on the bandwidth improvements, radiation patterns, and efficiency of the patch. In addition, antenna placement on the reduced index cavity with respect to the high-index substrate is described to achieve efficiency improvements over conventional patch antennas. ¬© 1998 IEEE.</t>
  </si>
  <si>
    <t>275-283</t>
  </si>
  <si>
    <t>60025778;60027561;60025778-60027561</t>
  </si>
  <si>
    <t>54681254100;7004553347;56246062600</t>
  </si>
  <si>
    <t>Papapolymerou, Loannis;Drayton, Rhonda Franklin;Katehi, Linda P.B.</t>
  </si>
  <si>
    <t>Chicago;Ann Arbor</t>
  </si>
  <si>
    <t>University of Illinois at Chicago;University of Michigan, Ann Arbor</t>
  </si>
  <si>
    <t>60027561;60025778</t>
  </si>
  <si>
    <t>Papapolymerou L.</t>
  </si>
  <si>
    <t>Micromachined patch antennas</t>
  </si>
  <si>
    <t>S0018926X98014975</t>
  </si>
  <si>
    <t>10.1109/8.660973</t>
  </si>
  <si>
    <t>2-s2.0-0032002207</t>
  </si>
  <si>
    <t>F49620-93-1-0093</t>
  </si>
  <si>
    <t>['square pulses', 'space distribution', 'range resolutions', 'radiation pattern', 'pulse fields', 'pulse duration', 'previous paper', 'nonimpulsive excitation', 'longitudinal dimensions', 'impulsive excitation', 'finite duration', 'collimated short', '1 ],']</t>
  </si>
  <si>
    <t>Transient propagation</t>
  </si>
  <si>
    <t>In a previous paper [1], we studied transient radiation from scalar colliniated volume source distributions subjected to impulsive excitation. In this paper, we extend our analysis and results to the case of nonimpulsive excitation, paying special attention to the parameterization of the radiation pattern of three-dimensional (3-D) ellipsoid source distributions driven by square pulses of finite duration. We study the role both of the source's space distribution and of the square pulse duration on the generation of well-collimated short-pulse fields. In particular, we explore the source's angular and range resolutions as functions of the transverse and longitudinal dimensions of the source (for a fixed source volume) and of the pulse duration. ¬© 1998 IEEE.</t>
  </si>
  <si>
    <t>243-250</t>
  </si>
  <si>
    <t>60028628-60005681;60028628-60005681;60028628-60005681</t>
  </si>
  <si>
    <t>7005957870;7005402043;7004468199</t>
  </si>
  <si>
    <t>Marengo, Edwin A.;Devaney, Anthony J.;Heyman, Ehud</t>
  </si>
  <si>
    <t>United States;Israel</t>
  </si>
  <si>
    <t>Boston;Tel Aviv-Yafo</t>
  </si>
  <si>
    <t>Northeastern University;Tel Aviv University</t>
  </si>
  <si>
    <t>60028628;60005681</t>
  </si>
  <si>
    <t>Marengo E.</t>
  </si>
  <si>
    <t>Analysis and characterization of ultrawide-band scalar volume sources and the fields they radiate: Part II-Square pulse excitation</t>
  </si>
  <si>
    <t>S0018926X98014938</t>
  </si>
  <si>
    <t>10.1109/8.660969</t>
  </si>
  <si>
    <t>2-s2.0-0032002208</t>
  </si>
  <si>
    <t>['tethered balloon', 'signals exist', 'radio communications', 'problems nowadays', 'operating frequency', 'mininec codes', 'made using', 'limiting factor', 'incidence skywave', 'extensive use', 'computed results', 'characteristic modes', 'certain situations', 'beyond line', 'artificial means', 'appropriate antennas']</t>
  </si>
  <si>
    <t>Land mobile radio | Method of Moments | Mobile antennas</t>
  </si>
  <si>
    <t>Radio communications over relatively short distances, but beyond line-of-sight, present few problems nowadays, except in certain situations when no suitable, artificial means of relaying the signals exist. A mode of propagation, known as NVIS, or NearVertical-Incidence Skywave, which relies only on the ionosphere, provides a solution. However, to exploit it requires careful choice of operating frequency, as well as the use of appropriate antennas. If the terminals are mobile, then the antennas, which are usually electrically small, can be the limiting factor. A method of optimizing antenna performance is presented that exploits the natural or characteristic modes of the structure on which the antenna is mounted. Extensive use is made of the Method of Moments, in the form of both the NEC and MININEC codes, to compute these modes, and to design and test antenna systems that exploit them. Measurements, made using an instrumentation package flown from a tethered balloon, compare very favorably with computed results.</t>
  </si>
  <si>
    <t>60020661;60020661-100359846</t>
  </si>
  <si>
    <t>7101618795;7203085840</t>
  </si>
  <si>
    <t>Austin, Brian A.;Murray, Kevin P.</t>
  </si>
  <si>
    <t>Liverpool;San Diego</t>
  </si>
  <si>
    <t>University of Liverpool;Wireless Facilities Inc</t>
  </si>
  <si>
    <t>60020661;100359846</t>
  </si>
  <si>
    <t>Austin B.</t>
  </si>
  <si>
    <t>The application of characteristic-mode techniques to vehicle-mounted NVIS antennas</t>
  </si>
  <si>
    <t>10.1109/74.667319</t>
  </si>
  <si>
    <t>2-s2.0-0032002806</t>
  </si>
  <si>
    <t>American Society for Photogrammetry and Remote Sensing</t>
  </si>
  <si>
    <t>U-M</t>
  </si>
  <si>
    <t>['wide range', 'validation results', 'sample data', 'research tool', 'radar facility', 'point target', 'improved understanding', 'ghz system', 'distributed targets', 'distributed target', 'design constraints', 'calibration technique', 'bistatic scattering', 'bistatic angles', '94 ghz']</t>
  </si>
  <si>
    <t>Bistatic radar | Millimeter-wave radar | Polarimetric measurements | Radar cross sections | Radar measurements</t>
  </si>
  <si>
    <t>A fully polarimetric bistatic-radar facility has been constructed at the University of Michigan, to serve as a research tool for improved understanding of the nature of bistatic scattering for point and distributed targets. The facility is capable of operation at 10, 35, and 94 GHz, but only the 10-GHz system will be described in this presentation. To meet both the size and design constraints both a horn antenna operating in the far-field, and a parabolic-dish antenna operating in a near-field focused mode, are utilized. A newly developed bistatic-calibration technique, using a flat metal plate, is used to calibrate the facility. Validation results, using a hemisphere over a conducting metal plate, show that the facility is capable of characterizing the radar cross section of a point target to within ¬±1dB in magnitude and ¬±5¬∞ in polarization phase difference over a wide range of bistatic angles. Sample data for a point target and a distributed target are presented.</t>
  </si>
  <si>
    <t>54680747900;7103159953;6701758938</t>
  </si>
  <si>
    <t>Hauch, Bryan;Ulaby, Fawwaz;DeRoo, Roger</t>
  </si>
  <si>
    <t>Hauch B.</t>
  </si>
  <si>
    <t>Polarimetric bistatic-measurement facility for point and distributed targets</t>
  </si>
  <si>
    <t>10.1109/74.667324</t>
  </si>
  <si>
    <t>2-s2.0-0032003243</t>
  </si>
  <si>
    <t>['wedge diffraction', 'typical cellular', 'telecommunications case', 'shadowing effect', 'shadowing caused', 'received power', 'power relationship', 'many cases', 'inverse fourth', 'edge diffraction', 'directly related', 'cellular telecommunications', 'blocking obstacles']</t>
  </si>
  <si>
    <t>Diffraction | Land mobile radio cellular systems | Land mobile radio propagation factors | Wedges</t>
  </si>
  <si>
    <t>Knife-edge diffraction has been used to estimate the effects of blocking obstacles and terrain for cellular telecommunications. Wedge diffraction is more appropriate in many cases. This paper presents simple formulas that quantify the effects of shadowing caused by rising terrain using wedge diffraction. The shadowing effect is directly related to the typical cellular-telecommunications case, where an inverse fourth-power relationship of received power with distance is characteristic.</t>
  </si>
  <si>
    <t>53-56</t>
  </si>
  <si>
    <t>Lopez, Alfred R.</t>
  </si>
  <si>
    <t>Waynesboro</t>
  </si>
  <si>
    <t>GEC-Marconi Hazeltine</t>
  </si>
  <si>
    <t>Lopez A.</t>
  </si>
  <si>
    <t>Cellular Telecommunications: estimating shadowing effects using wedge diffraction</t>
  </si>
  <si>
    <t>10.1109/74.667328</t>
  </si>
  <si>
    <t>2-s2.0-0032003538</t>
  </si>
  <si>
    <t>NSC 85-2221-E-009-030</t>
  </si>
  <si>
    <t>['widest bandwidth', 'two sides', 'two fins', 'tie antennas', 'tie antenna', 'quarterwave transformer', 'input characteristics', 'good agreement', 'experimental data', 'coupled striplines', 'bow tie', 'bcs feed']</t>
  </si>
  <si>
    <t>The design of a bow-tie antenna fed by broadside-coupled striplines (BCS) for the 2.4-GHz ISM band is described in this letter. The two fins of the bow tie are, respectively, on the two sides of the substrate. The feeding balanced lines adopted are the BCS. A quarterwave transformer is used to transform the microtrip line input to the BCS feed. Analysis method based on the mixed-potential integral equation method is used to characterize the input characteristics of the bow-tie antenna. Obtained numerical results are in good agreement with experimental data. Through experiments with bow-tie antennas of various extended angles, the bow-tie antenna with a 90¬∞ extended angle exhibits the widest bandwidth in the desired frequency band, which has a bandwidth of 19% for VSWR &lt; 1.5:1. ¬© 1998 IEEE.</t>
  </si>
  <si>
    <t>459-460</t>
  </si>
  <si>
    <t>57209831312;7403478846</t>
  </si>
  <si>
    <t>Lin, Yu De;Tsai, Syh Nan</t>
  </si>
  <si>
    <t>Analysis and design of broadside-coupled striplines-fed bow-tie antennas</t>
  </si>
  <si>
    <t>S0018926X98022546</t>
  </si>
  <si>
    <t>10.1109/8.662667</t>
  </si>
  <si>
    <t>2-s2.0-0032021843</t>
  </si>
  <si>
    <t>['transmitted signal', 'system performance', 'snr due', 'signal clipping', 'regenerated sidelobes', 'ofdm system', 'limiting factor', 'ifft processors', 'hardware nonlinearities', 'cofdm signal', 'clipping rate', 'band performance', 'band behavior']</t>
  </si>
  <si>
    <t>FFT-based Coded Orthogonal Frequency Division Multiplexing (COFDM) is one of the techniques for digital TV broadcasting over multipath fading channels. A FFT-based OFDM signal is subject to various hardware nonlinearities in both the transmitter and receiver. Hardware nonlinearities not only affect the in-band performance of a FFT-based OFDM system but also may affect the system performance of an adjacent channel signal because of regenerated sidelobes of the transmitted signal. The aim of this paper is to investigate the in-band and out-of-band behavior of a 64QAM-OFDM system under various nonlinear devices. It is shown that the inherent signal clipping in the IFFT processors with a limited word length reduces the required RF amplifier output backoff (OBO) where adjacent channel interference is the limiting factor. For 0.25% clipping rate, an additional 2dB OBO is required for the COFDM signal to achieve the same level of adjacent channel interference as for the single carrier system. The loss in SNR due to signal clipping is negligible in a coded OFDM system. ¬© 1998 IEEE.</t>
  </si>
  <si>
    <t>60017592;60017592;60017592;60017592</t>
  </si>
  <si>
    <t>7003514470;55664908100;7003693421;7202300038</t>
  </si>
  <si>
    <t>Chini, Ahmad;Wu Yiyan, ;El-Tanany, Mohammed;Mahmoud, Samy</t>
  </si>
  <si>
    <t>Chini A.</t>
  </si>
  <si>
    <t>Hardware nonlinearities in digital tv broadcasting using ofdm modulation</t>
  </si>
  <si>
    <t>S0018931698036397</t>
  </si>
  <si>
    <t>10.1109/11.713052</t>
  </si>
  <si>
    <t>2-s2.0-0032021852</t>
  </si>
  <si>
    <t>['two increase', 'two dimensions', 'three increase', 'strong correlation', 'spectral domain', 'second resonance', 'rf signal', 'polarization perpendicular', 'polarimetric receivers', 'local oscillator', 'even smaller', 'dielectric constant', 'design curves', 'db increase', 'db coupling', 'coupling must', 'coupling levels', 'constant width', 'applied along', 'antennas may', '8 ).', '2 ),']</t>
  </si>
  <si>
    <t>Moment methods | Slot antennas</t>
  </si>
  <si>
    <t>In this paper, design curves are given for minimizing the coupling between two perpedicular slot antennas on a dielectric half space. Such antennas may be utilized in polarimetric receivers in which coupling must be minimized to ensure polarization purity and in polarization diplexed quasioptical receivers in which the local oscillator (LO) is received in a polarization perpendicular to that of the RF signal. For this analysis, Galerkin's method in the spectral domain is applied along the length of the slots and point matching across their widths. At the second resonance, for equal length slots and for constant width/length (w/L) of the slots, there is a decrease of about 2-dB coupling for a factor of three increase in dielectric constant (ei = 1.0 -&gt; 3.8 and ei = 3.8 -&gt; 12.8). For fixed dielectric constant there is a 1-2-dB increase in coupling for a factor of two increase in w/L. For slots of unequal length (¬£2 -Li/2), the changes are even smaller. Design curves are shown for various relative positions of the slots in two dimensions. A strong correlation between coupling levels and peak crosspolarization levels is found. ¬© 1998 IEEE.</t>
  </si>
  <si>
    <t>383-390</t>
  </si>
  <si>
    <t>7201565355;7004646209</t>
  </si>
  <si>
    <t>Porter, Bradley G.;Gearhart, Steven S.</t>
  </si>
  <si>
    <t>Porter B.</t>
  </si>
  <si>
    <t>Theoretical analysis of coupling and cross polarization of perpendicular slot antennas on a dielectric half-space</t>
  </si>
  <si>
    <t>S0018926X98022637</t>
  </si>
  <si>
    <t>10.1109/8.662657</t>
  </si>
  <si>
    <t>2-s2.0-0032022336</t>
  </si>
  <si>
    <t>['substrate affect', 'relative direction', 'potential charge', 'often much', 'mos transistors', 'ion implantation', 'ic manufacturing', 'ic devices', 'gate antenna', 'four terminals', 'effective control', 'damage magnitude', 'damage effects', 'conductor lines', 'charge damage', 'automatically warn', 'antennas connected', 'antenna must']</t>
  </si>
  <si>
    <t>During the ion implantation and plasma processing steps in IC manufacturing, the magnitude of charge damage on IC devices is often not as severe as the conventional charge damage antenna test structure estimate. On the other hand, the magnitude of the charge damage on the particular IC devices are often much more severe than the prediction of conventional antenna theory. Based on the new CMOS transistor and capacitor test structures (Spider's SPIDER) which closely simulates actual IC circuit interconnections, it can be found that the conductor lines (antennas) connected to the source, drain, and substrate affect the damage magnitude of the MOS gate significantly. This suggests that to have effective control on the plasma charge damage in the advanced semiconductor manufacturing, the antenna must be connected to the MOS transistor gate, also the interactions of the antennas connected to the source, drain, and substrate to the gate antenna have to be considered. Depending on the relative direction, distance, and size of the antennas connected to the gate, source, drain, and substrate, the magnitude of the charge-damage effects can be enhanced or exacerbated. Furthermore, to predict and automatically warn the potential charge-damage during the phase of IC layout design, a new charge antenna Design Rule Check (DRC) software has been developed to perform systematic layout checking with the consideration of the interactions of the ULSI interconnection lines, which become antennas connected to all four terminals of MOS transistors. ¬© 1998 IEEE.</t>
  </si>
  <si>
    <t>722-730</t>
  </si>
  <si>
    <t>100498932-60005145;100498932;101923565;100498932</t>
  </si>
  <si>
    <t>6602452154;6504022591;6507184595;7102019594</t>
  </si>
  <si>
    <t>Aum, Paul K.;Brandshaft, Richard;Brandshaft, Donald;Dao, Thuy B.</t>
  </si>
  <si>
    <t>Austin;Santa Clara;Austin</t>
  </si>
  <si>
    <t>Motorola Austin;IC Editors, Inc.;Spider Systems, Inc</t>
  </si>
  <si>
    <t>60005145;101923565;100498932</t>
  </si>
  <si>
    <t>Aum P.K.</t>
  </si>
  <si>
    <t>Controlling plasma charge damage in advanced semiconductor manufacturing-challenge of small feature size device, large chip size, and large wafer size</t>
  </si>
  <si>
    <t>S0018938398016724</t>
  </si>
  <si>
    <t>10.1109/16.661234</t>
  </si>
  <si>
    <t>2-s2.0-0032022707</t>
  </si>
  <si>
    <t>['wide bandwidth', 'wave admittance', 'theoretical description', 'structural scattering', 'scattering obtainable', 'quantities determined', 'port antennas', 'polarization characteristics', 'optimum gain', 'multiport antennas', 'measurement technique', 'measurement setup', 'helps avoid', 'gain bandwidth', 'experimental results', 'example 2', 'evaluation gives', 'etc .,', 'especially advantageous', 'antenna radiation', 'antenna measurements', 'antenna characteristics', 'accurate information', '40 ghz', '24 unknowns']</t>
  </si>
  <si>
    <t>Antenna measurements | Antennas | Polarimetry</t>
  </si>
  <si>
    <t>A theoretical description of the scattering of multiport antennas is derived in accordance with the polarimetric radar target characterization. For two-port antennas with dual linear orthogonal polarization, a procedure for the determination of the antenna mode scattering parameters and the structural scattering parameters of the complete polarimetric antenna scattering matrix [S\ is given. A measurement setup and experimental results of wide-band polarimetric radar cross section (RCS) antenna measurements are presented. For two-port antennas, in total, 24 unknowns have to be determined. The load variation method is used. The polarimetric RCS antenna measurement is especially advantageous over a wide bandwidth; for example 2-40 GHz with only one single calibration. From the antenna scattering matrix [S], the antenna parameters like polarimetric gain, optimum gain, gain bandwidth, wave admittance, structural scattering, etc., are derived. Results are shown for an X-band horn antenna and a 2-18-GHz dual linearly polarized horn. The measurement technique and evaluation gives the most complete and very accurate information about antenna radiation, antenna characteristics, and scattering obtainable with one single measurement setup. Some quantities determined here, like the maximum available gain and the polarization characteristics, are difficult to access with standard transmission measurements. No cable from the antenna to the receiver is necessary. This helps avoid some difficulties usually experienced at low signal levels. ¬©1998 IEEE.</t>
  </si>
  <si>
    <t>341-350</t>
  </si>
  <si>
    <t>60029428;101767031</t>
  </si>
  <si>
    <t>7006593766;6602432280</t>
  </si>
  <si>
    <t>Wiesbeck, Werner;Heidrich, Eberhard</t>
  </si>
  <si>
    <t>Karlsruhe Institute of Technology, Campus South;LandS H√∂chfrequenztechnik GmbH</t>
  </si>
  <si>
    <t>Wiesbeck W.</t>
  </si>
  <si>
    <t>Wide-band multiport antenna characterization by polarimetric RCS measurements</t>
  </si>
  <si>
    <t>SUU1S926X9SU2255S</t>
  </si>
  <si>
    <t>10.1109/8.662653</t>
  </si>
  <si>
    <t>2-s2.0-0032022806</t>
  </si>
  <si>
    <t>N00014-94-1-0115</t>
  </si>
  <si>
    <t>['two extensions', 'signature waveform', 'received signal', 'proposed subspace', 'prior knowledge', 'previous minimum', 'obtained blindly', 'multipath channel', 'made within', 'linear minimum', 'e .,', 'diversity combining', 'decorrelating detector', 'better performance', 'asymptotic variance', 'array response', 'antenna array', 'also developed']</t>
  </si>
  <si>
    <t>Array response estimation | Blind adaptation | Channel estimation | Linear multiuser detection | Subspace tracking</t>
  </si>
  <si>
    <t>A new multiuser detection scheme based on signal subspace estimation is proposed. It is shown that under this scheme, both the decorrelating detector and the linear minimum-mean-square-error (MMSE) detector can be obtained blindly, i.e., they can be estimated from the received signal with the prior knowledge of only the signature waveform and timing of the user of interest. The consistency and asymptotic variance of the estimates of the two linear detectors are examined. A blind adaptive implementation based on a signal subspace tracking algorithm is also developed. It is seen that compared with the previous minimum-output-energy blind adaptive multiuser detector, the proposed subspace-based blind adaptive detector offers lower computational complexity, better performance, and robustness against signature waveform mismatch. Two extensions are made within the framework of signal subspace estimation. First, a blind adaptive method is developed for estimating the effective user signature waveform in the multipath channel. Secondly, a multiuser detection scheme using spatial diversity in the form of an antenna array is considered. A blind adaptive technique for estimating the array response for diversity combining is proposed. It is seen that under the proposed subspace approach, blind adaptive channel estimation and blind adaptive array response estimation can be integrated with blind adaptive multiuser detection, with little attendant increase in complexity. ¬© 1998 IEEE.</t>
  </si>
  <si>
    <t>677-690</t>
  </si>
  <si>
    <t>IEEE Transactions on Information Theory</t>
  </si>
  <si>
    <t>Wang, Xiaodong;Poor, H. Vincent</t>
  </si>
  <si>
    <t>Blind multiuser detection: A subspace approach</t>
  </si>
  <si>
    <t>S0018944898008402</t>
  </si>
  <si>
    <t>10.1109/18.661512</t>
  </si>
  <si>
    <t>2-s2.0-0032023746</t>
  </si>
  <si>
    <t>['within 2', 'trellis complexity', 'simulation results', 'received signal', 'receive antenna', 'outage capacity', 'n streams', 'minimum determinant', 'matrices quantifies', 'matrices constructed', 'linear superposition', 'gaussian channels', 'frequency nonselective', 'encoded data', 'diversity gain', 'diversity advantage', 'design criteria', 'decoding complexity', 'data rates', 'data rate', 'coding gain', 'codes constructed', 'channels using', 'channel codes', 'channel code', 'best tradeoff', '3 db', '3 bits']</t>
  </si>
  <si>
    <t>Array processing | Diversity | Multiple transmit antennas | Space-time codes | Wireless communications</t>
  </si>
  <si>
    <t>We consider the design of channel codes for improving the data rate and/or the reliability of communications over fading channels using multiple transmit antennas. Data is encoded by a channel code and the encoded data is split into n streams that are simultaneously transmitted using n transmit antennas. The received signal at each receive antenna is a linear superposition of the n transmitted signals perturbed by noise. We derive performance criteria for designing such codes under the assumption that the fading is slow and frequency nonselective. Performance is shown to be determined by matrices constructed from pairs of distinct code sequences. The minimum rank among these matrices quantifies the diversity gain, while the minimum determinant of these matrices quantifies the coding gain. The results are then extended to fast fading channels. The design criteria are used to design trellis codes for high data rate wireless communication. The encoding/decoding complexity of these codes is comparable to trellis codes employed in practice over Gaussian channels. The codes constructed here provide the best tradeoff between data rate, diversity advantage, and trellis complexity. Simulation results are provided for 4 and 8 PSK signal sets with data rates of 2 and 3 bits/symbol, demonstrating excellent performance that is within 2-3 dB of the outage capacity for these channels using only 64 state encoders. ¬© 1998 IEEE.</t>
  </si>
  <si>
    <t>744-765</t>
  </si>
  <si>
    <t>60000251-60008383;60000251-60008383;60008383</t>
  </si>
  <si>
    <t>7005206764;7006766990;35586083000</t>
  </si>
  <si>
    <t>Tarokh, Vahid;Seshadri, Nambi;Calderbank, A. R.</t>
  </si>
  <si>
    <t>Space-time codes for high data rate wireless communication: Performance criterion and code construction</t>
  </si>
  <si>
    <t>S001894489800933X</t>
  </si>
  <si>
    <t>10.1109/18.661517</t>
  </si>
  <si>
    <t>2-s2.0-0032023863</t>
  </si>
  <si>
    <t>['techniques employed', 'significant percentage', 'signal processing', 'processing efficiency', 'overall throughput', 'intel paragon', 'including space', 'implemented using', 'efficiently implement', '15 gflops']</t>
  </si>
  <si>
    <t>Real-time signal processing for a 16-channel phased array radar, including space-time adaptive processing (STAP) algorithms, has been implemented using a 29-node ruggedized version of an Intel Paragon, Techniques employed to efficiently implement each step of the signal processing are discussed. An overall throughput of 3.15 GFLOPS and processing efficiency of 48% has been achieved, indicating that embedded high performance computers can deliver a significant percentage of their advertised peak throughput under real system constraints.</t>
  </si>
  <si>
    <t>60076904;60076904</t>
  </si>
  <si>
    <t>6701518353;7006141783</t>
  </si>
  <si>
    <t>Linderman, Mark H.;Linderman, Richard W.</t>
  </si>
  <si>
    <t>Wright-Patterson AFB</t>
  </si>
  <si>
    <t>Air Force Materiel Command</t>
  </si>
  <si>
    <t>Linderman M.</t>
  </si>
  <si>
    <t>Real-time STAP demonstration on an embedded high performance computer</t>
  </si>
  <si>
    <t>10.1109/62.659859</t>
  </si>
  <si>
    <t>2-s2.0-0032024791</t>
  </si>
  <si>
    <t>['waves propagating', 'small number', 'resulting number', 'mutual coupling', 'much smaller', 'microstrip arrays', 'linear eight', 'larger distances', 'calculated data', 'antenna structure', 'allows one']</t>
  </si>
  <si>
    <t>Green's functions | Inhomogeneous media | Microstrip arrays</t>
  </si>
  <si>
    <t>A new expansion scheme is introduced to solve the integral equations describing the mutual coupling in microstrip arrays. The scheme is based on the fact that at larger distances the Green's functions in the stratified dielectric medium of the antenna structure can be approximated using analytical expressions. This allows one to describe the waves propagating between the elements thus causing the mutual coupling with a small number of parameters. Since only these parameters have to be determined, the resulting number of unknowns is much smaller than with conventional rigorous techniques. The accuracy of the scheme is illustrated by a comparison of measured and calculated data for both a two-element and a linear eight-element microstrip array antenna. ¬© 1998 IEEE.</t>
  </si>
  <si>
    <t>407-413</t>
  </si>
  <si>
    <t>60025063;60025063</t>
  </si>
  <si>
    <t>7005545716;6602576643</t>
  </si>
  <si>
    <t>Vandenbosch, Guy A.E.;Demuynck, Filip J.</t>
  </si>
  <si>
    <t>3000 Leuven</t>
  </si>
  <si>
    <t>KU Leuven</t>
  </si>
  <si>
    <t>Vandenbosch G.</t>
  </si>
  <si>
    <t>The expansion wave concept-Part II: A new way to model mutual coupling in microstrip arrays</t>
  </si>
  <si>
    <t>S0018926X98022625</t>
  </si>
  <si>
    <t>10.1109/8.662660</t>
  </si>
  <si>
    <t>2-s2.0-0032025038</t>
  </si>
  <si>
    <t>['respective dipole', 'radiated field', 'purely real', 'phase quadrature', 'electric lines', 'electric contours', 'dipole sizes', 'determined analytically', 'dependent upon', 'coupling parameter']</t>
  </si>
  <si>
    <t>Antenna arrays</t>
  </si>
  <si>
    <t>The electric lines of force of an electrically small dipole-loop antenna array have been determined analytically for both the near- and far-fields of the array. It has been found that the behavior of the families of electric contours are dependent upon a coupling parameter, which is the ratio of the loop and dipole sizes and currents. This parameter also controls the appearance (or not) and position of the points of equilibrium for the radiated field when analyzed in a real phase plane. The electric lines of force of the dipole-loop array exhibit increased directivity in the plane of the array when the coupling parameter is purely real, indicating that the respective dipole and loop currents must be in phase quadrature for this effect to occur. ¬© 1998 IEEE.</t>
  </si>
  <si>
    <t>451-456</t>
  </si>
  <si>
    <t>Overfelt, P. L.</t>
  </si>
  <si>
    <t>China Lake</t>
  </si>
  <si>
    <t>Naval Air Warfare Center Weapons Division</t>
  </si>
  <si>
    <t>Overfelt P.</t>
  </si>
  <si>
    <t>Electric lines of force of an electrically small dipole-loop antenna array</t>
  </si>
  <si>
    <t>S0018926X98014987</t>
  </si>
  <si>
    <t>10.1109/8.662665</t>
  </si>
  <si>
    <t>2-s2.0-0032025204</t>
  </si>
  <si>
    <t>['kb rom', 'integrated monolithically', 'inherent advantages', 'digital functions', 'chip set', 'characterized based', '40 gb']</t>
  </si>
  <si>
    <t>Analog and digital IC | Gallium arsenide circuits | Microwave circuit | Phase array antenna | Phased-locked loop</t>
  </si>
  <si>
    <t>During the past five years numerous mixed signal integrated circuits (IC's) have been designed, processed, and characterized based on our 0.2 Œºm gate length AlGaAs/GaAs quantum well HEMT technology. Utilizing the inherent advantages of the AlGaAs/GaAs material system, optical, analog, microwave, and digital functions have been integrated monolithically. Examples are a chip set for 40 Gb/s optoelectronic data transmission systems, 15 and 34 GHz PLL's, a 35 GHz phase shifter for phased array antenna applications, a 2-kb ROM with subnanosecond access time for direct digital signal synthesis, and a 6-k gate array. ¬© 1998 IEEE.</t>
  </si>
  <si>
    <t>IEEE Transactions on Very Large Scale Integration (VLSI) Systems</t>
  </si>
  <si>
    <t>60000251-60030586;60000251-60030586;60000251-60030586;60030586;60077068;60000251-60030586;60030586;60030586;60030586;60030586;60030586;60030586;60030586;60030586;60030586;60030586;60030586;60030586;60000251-60030586;60000251-60002286;60000251-60015815</t>
  </si>
  <si>
    <t>7101837624;57225088566;7005937320;7202006326;7003552433;7004969832;6701309214;7003496453;6602728520;7202717957;6603905237;7202888632;56248438900;7004389558;7003403077;7004104203;7006780062;55465929400;6701561188;6603933431;56186377100</t>
  </si>
  <si>
    <t>Thiede, Andreas;Wang, Zhi Gong;Schlechtweg, Michael;Lang, Manfred;Leber, Petra;Lao, Zhihao;Nowotny, Ulrich;Hurm, Volker;Rieger-Motzer, Michaela;Ludwig, Manfred;Sedler, Martin;K√∂hler, Klaus;Bronner, Wolfgang;Hornung, Jochen;H√ºlsmann, Axel;Kaufel, Gudrun;Raynor, Bryan;Schneider, Joachim;Jakobus, Theo;Schroth, J√ºrgen;Berroth, Manfred</t>
  </si>
  <si>
    <t>Germany;Germany;Germany;Netherlands;United States</t>
  </si>
  <si>
    <t>Ehningen;Freiburg im Breisgau;Stuttgart;Leiden;New York</t>
  </si>
  <si>
    <t>IBM Deutschland GmbH;Fraunhofer Institute for Applied Solid State Physics IAF;Universit√§t Stuttgart;Airbus Group SE;IEEE</t>
  </si>
  <si>
    <t>60077068;60030586;60015815;60002286;60000251</t>
  </si>
  <si>
    <t>Thiede A.</t>
  </si>
  <si>
    <t>Mixed signal integrated circuits based on GaAs HEMT's</t>
  </si>
  <si>
    <t>S1063821098013225</t>
  </si>
  <si>
    <t>10.1109/92.661240</t>
  </si>
  <si>
    <t>2-s2.0-0032025750</t>
  </si>
  <si>
    <t>ACTS AC090</t>
  </si>
  <si>
    <t>['simultaneous estimation', 'resolution method', 'multiple estimates', 'like algorithm', 'fading parameter', 'delay parameters', 'arrival angle']</t>
  </si>
  <si>
    <t>Delay estimation | Direction-of-arrival estimation | Multipath channels</t>
  </si>
  <si>
    <t>In a parametric multipath propagation model, a source is received by an antenna array via a number of rays, each described by an arrival angle, a delay, and a fading parameter. Unlike the fading, the angles and delays are stationary over long time intervals. This fact is exploited in a new subspacebased high-resolution method for simultaneous estimation of the angle/delay parameters from multiple estimates of the channel impulse response. A computationally expensive optimization search can be avoided by using an ESPRIT-like algorithm. Finally, we investigate certain resolution issues that take the fact that the source is bandlimited into account. ¬© 1998 IEEE.</t>
  </si>
  <si>
    <t>682-690</t>
  </si>
  <si>
    <t>6603136961;7005779209;7004920065</t>
  </si>
  <si>
    <t>Vanderveen, Michaela C.;Van Veen, Alle Jan Der;Paulraj, Arogyaswami</t>
  </si>
  <si>
    <t>Vanderveen M.</t>
  </si>
  <si>
    <t>Estimation of multipath parameters in wireless communications</t>
  </si>
  <si>
    <t>S1053587X98020029</t>
  </si>
  <si>
    <t>10.1109/78.661335</t>
  </si>
  <si>
    <t>2-s2.0-0032025753</t>
  </si>
  <si>
    <t>['virtual array', 'synthesized using', 'matrix operations', 'large arrays', 'excitation values', 'easily synthesized']</t>
  </si>
  <si>
    <t>A new array antenna synthesis method, which we call the virtual array synthesis method, is presented. In this method, the excitation values of a virtual array are synthesized using some known synthesis method. The geometry of the virtual array can be chosen so that there will be a suitable synthesis method for that geometry and the synthesis of the virtual array can be done accurately enough. In the synthesis method presented, the excitation values of the virtual array are transformed into the excitation values of the actual array geometry. Matrix operations are simple and large arrays can be easily synthesized. ¬© 1998 IEEE.</t>
  </si>
  <si>
    <t>Vaskelainen, Leo I.</t>
  </si>
  <si>
    <t>Vaskelainen L.</t>
  </si>
  <si>
    <t>Virtual array synthesis method for planar array antennas</t>
  </si>
  <si>
    <t>S0018926X98022601</t>
  </si>
  <si>
    <t>10.1109/8.662658</t>
  </si>
  <si>
    <t>2-s2.0-0032025897</t>
  </si>
  <si>
    <t>University Grants Committee</t>
  </si>
  <si>
    <t>UGC</t>
  </si>
  <si>
    <t>['solved using', 'slot associated', 'efficient calculations', 'design engineer', 'admittance matrix']</t>
  </si>
  <si>
    <t>Electromagnetic uriels | Moment methods | Numerical analysis</t>
  </si>
  <si>
    <t>The problem of a slot associated with a metallic or dielectric hemispherical cavity is solved using the method of moments. A computationally efficient formula is presented for efficient calculations of the admittance matrix. The theory is very helpful to the design engineer as it involves substantially simpler mathematical calculations. ¬© 1998 IEEE.</t>
  </si>
  <si>
    <t>457-458</t>
  </si>
  <si>
    <t>56415172000;37062722600</t>
  </si>
  <si>
    <t>Leung, K. W.;Ng, K. W.</t>
  </si>
  <si>
    <t>Efficient computation for structures consisting of a slot and a metallic/dielectric hemispherical cavity</t>
  </si>
  <si>
    <t>S0018926X9802273X</t>
  </si>
  <si>
    <t>10.1109/8.662666</t>
  </si>
  <si>
    <t>2-s2.0-0032026766</t>
  </si>
  <si>
    <t>ECS-9 015 328</t>
  </si>
  <si>
    <t>['radiation characteristics', 'nonbor geometry', 'ground plane', 'efficient procedure', 'dielectric resonator', 'dielectric body', 'coaxial probes', 'array environment', 'antennas operating']</t>
  </si>
  <si>
    <t>Dielectric antennas</t>
  </si>
  <si>
    <t>An efficient procedure is presented to investigate the mutual coupling effects and radiation Characteristics of dielectric resonator (DR) antennas operating in an array environment. The procedure is based on the method of moments (MoM) as applied to a system of surface integral equations (SIE's) for the coupling of a dielectric body of revolution (BOR) to a nonBOR geometry. The antenna array elements are situated on a ground plane and fed by coaxial probes. Multiport network impedance parameters computed by this method show good agreement with those obtained by measurement. Computed driving point impedances are given for arrays exhibiting optimum pattern performance in terms of low cross polarization and good pattern symmetry. ¬© 1998 IEEE.</t>
  </si>
  <si>
    <t>425-433</t>
  </si>
  <si>
    <t>60010491;60010491;60010491</t>
  </si>
  <si>
    <t>7006498545;7004922524;7006839683</t>
  </si>
  <si>
    <t>Junker, Gregory P.;Kishk, Ahmed A.;Glisson, Allen W.</t>
  </si>
  <si>
    <t>University</t>
  </si>
  <si>
    <t>University of Mississippi</t>
  </si>
  <si>
    <t>Junker G.</t>
  </si>
  <si>
    <t>Multiport network description and radiation characteristics of coupled dielectric resonator antennas</t>
  </si>
  <si>
    <t>S0018926X98022716</t>
  </si>
  <si>
    <t>10.1109/8.662662</t>
  </si>
  <si>
    <t>2-s2.0-0032027460</t>
  </si>
  <si>
    <t>['ntsc service', 'factors together', 'elevation patterns', 'desired ntsc', 'azimuth patterns']</t>
  </si>
  <si>
    <t>The FCC DTV Spectral Emission mask is analyzed with an NTSC subjective noise weighting function to determine the desired NTSC to undesired adjacent channel DTV signal ratio at the threshold of visibility of interference. Factors which alter the NTSC/DTV adjacent channel signal ratio at various receiving locations within the NTSC service are examined: (1) The azimuth patterns of the NTSC and DTV broadcast antennas (2) The elevation patterns of the NTSC and DTV broadcast antennas (3) The centers of radiation of the NTSC and DTV broadcast antennas. These factors together with the NTSC/DTV authorized power ratio may make DTV spillover spectrum exceed acceptable picture (and sound) interference levels even though compliance with the FCC DTV Spectral Emission Mask is met. Spectral shaping solutions are examined by use of the NTSC Subjective Noise Weighting Function. ¬© 1998 IEEE.</t>
  </si>
  <si>
    <t>28-39</t>
  </si>
  <si>
    <t>60074719;60074719</t>
  </si>
  <si>
    <t>6603861481;6603450855</t>
  </si>
  <si>
    <t>Eilers, Carl;Sgrignoli, Gary</t>
  </si>
  <si>
    <t>Lincolnshire</t>
  </si>
  <si>
    <t>Zenith Electronics Corporation</t>
  </si>
  <si>
    <t>Eilers C.</t>
  </si>
  <si>
    <t>Analyzing the FCC's DTV Spectral Emission Mask and Potential Degradation to Adjacent Channels due to Antenna Pattern Differences</t>
  </si>
  <si>
    <t>S0018931698036415</t>
  </si>
  <si>
    <t>10.1109/11.713054</t>
  </si>
  <si>
    <t>2-s2.0-0032027474</t>
  </si>
  <si>
    <t>DAAH04-95-1-0246</t>
  </si>
  <si>
    <t>['weighted proportions', 'suppressing multiple', 'suitable choice', 'spectrum multiple', 'sequence spread', 'receiver reduces', 'receiver consists', 'rake receiver', 'optimal weights', 'notch filter', 'narrowband interference', 'mai suppressor', 'made possible', 'linear receiver', 'computational complexity', 'channel conditions', 'antenna arrays', 'also developed', 'access interference']</t>
  </si>
  <si>
    <t>Adaptive signal detection | Antenna arrays | Code-division multiaccess | Interference suppression | Pseudonoise-coded communication</t>
  </si>
  <si>
    <t>A linear receiver for direct-sequence spread-spectrum multiple-access communication systems under the aperiodic random sequence model is considered. The receiver consists of the conventional matched filter followed by a tapped delay line with the provision of incorporating the use of antenna arrays. It has the ability of suppressing multiple-access interference (MAI) and narrowband interference in some weighted proportions, as well as combining multipath components without explicit estimation of any channel conditions. Under some specific simplified channel models, the receiver reduces to the minimum variance distortionless response beamformer, the RAKE receiver, a notch filter, or an MAI suppressor. The interference rejection capability is made possible through a suitable choice of weights in the tapped delay line. The optimal weights can be obtained by straightforward but computationally complex eigenanalysis. In order to reduce the computational complexity, a simple blind adaptive algorithm is also developed. ¬© 1998 IEEE.</t>
  </si>
  <si>
    <t>659-676</t>
  </si>
  <si>
    <t>60009254;60000251-60009254;60000251-60009254;60000251-60009254</t>
  </si>
  <si>
    <t>7403531382;7005766732;7006074700;55664103800</t>
  </si>
  <si>
    <t>Wong, Tan F.;Lok, Tat M.;Lehnert, James S.;Zoltowski, Michael D.</t>
  </si>
  <si>
    <t>West Lafayette;New York</t>
  </si>
  <si>
    <t>Purdue University;IEEE</t>
  </si>
  <si>
    <t>60009254;60000251</t>
  </si>
  <si>
    <t>Wong T.</t>
  </si>
  <si>
    <t>A linear receiver for direct-sequence spread-spectrum multiple-access systems with antenna arrays and blind adaptation</t>
  </si>
  <si>
    <t>S0018944898006579</t>
  </si>
  <si>
    <t>10.1109/18.661511</t>
  </si>
  <si>
    <t>2-s2.0-0032027765</t>
  </si>
  <si>
    <t>Comisi√≥n Interministerial de Ciencia y Tecnolog√≠a</t>
  </si>
  <si>
    <t>TIC95-0783-C03-01</t>
  </si>
  <si>
    <t>CICYT</t>
  </si>
  <si>
    <t>['transient responses', 'resonant antenna', 'numerical results', 'experimental measurements', 'efie ).', 'domain electric', 'conducting surfaces']</t>
  </si>
  <si>
    <t>Antennas | Transient analysis</t>
  </si>
  <si>
    <t>The transient responses of a resonant antenna and a fractal multiband antenna, both formed by conducting surfaces, are calculated. The surfaces are modeled by planar triangular patches and the study is carried out by solving the time-domain electric-field integral equation (TD-EFIE). Linear parametric modeling techniques are applied to considerably reduce computation time. Numerical results are compared with experimental measurements. ¬© 1998 IEEE.</t>
  </si>
  <si>
    <t>312-317</t>
  </si>
  <si>
    <t>60014655;60014655;60014655</t>
  </si>
  <si>
    <t>6506144482;6701414738;7003589064</t>
  </si>
  <si>
    <t>Callej√∂n, Jesus Fornieles;Bretones, Amelia Rubio;Martin, Rafa√´l G√∂mez</t>
  </si>
  <si>
    <t>Granada</t>
  </si>
  <si>
    <t>Universidad de Granada, Facultad de Ciencias</t>
  </si>
  <si>
    <t>Callej√∂n J.F.</t>
  </si>
  <si>
    <t>On the application of parametric models to the transient analysis of resonant and multiband antennas</t>
  </si>
  <si>
    <t>S0018926X9802256X</t>
  </si>
  <si>
    <t>10.1109/8.662649</t>
  </si>
  <si>
    <t>2-s2.0-0032027821</t>
  </si>
  <si>
    <t>['various parameters', 'radiation patterns', 'polarization characteristics', 'numerical results', 'input impedance', 'hemug mode', 'first time', 'dr antenna', 'difference time', 'dielectric resonator', 'compare favorably', 'antenna operating', 'also investigated']</t>
  </si>
  <si>
    <t>Dielectric antennas | Fdtd methods</t>
  </si>
  <si>
    <t>In this paper, the finite-difference time-domain (FDTD) method is employed to analyze a probe-fed cylindrical dielectric resonator antenna. Numerical results for the input impedance and radiation patterns of the dielectric resonator (DR) antenna operating in HEMug mode are presented and compare favorably with measurements. The effects of various parameters on the characteristics of the DR antenna are studied. Fabrication imperfection effects and the cross-polarization characteristics of this type of DR antenna are also investigated for the first time. ¬© 1998 IEEE.</t>
  </si>
  <si>
    <t>325-333</t>
  </si>
  <si>
    <t>100690101;60013983</t>
  </si>
  <si>
    <t>7004820882;55510527400</t>
  </si>
  <si>
    <t>Shum, Shiu Ming;Luk, Kwai Man</t>
  </si>
  <si>
    <t>Hong Kong;Hong Kong</t>
  </si>
  <si>
    <t>Kowloon;Hong Kong</t>
  </si>
  <si>
    <t>City University of Hong Kong;Nirvana Technology Ltd.</t>
  </si>
  <si>
    <t>60013983;100690101</t>
  </si>
  <si>
    <t>Shum S.</t>
  </si>
  <si>
    <t>FDTD analysis of probe-fed cylindrical dielectric resonator antenna</t>
  </si>
  <si>
    <t>S0018926X98022662</t>
  </si>
  <si>
    <t>10.1109/8.662651</t>
  </si>
  <si>
    <t>2-s2.0-0032027822</t>
  </si>
  <si>
    <t>['thicker wires', 'thereby making', 'significant reduction', 'segment length', 'past formulations', 'paper introduces', 'new moment', 'new algorithms', 'momentmethod technique', 'method formulation', 'longer restricted', 'efficient computation']</t>
  </si>
  <si>
    <t>Cylindrical antennas | Moment methods</t>
  </si>
  <si>
    <t>This paper introduces a moment-method formulation, which is capable of accurately modeling moderately thick cylindrical wire antennas. New algorithms are presented for the efficient computation of the cylindrical wire kernel and related impedance matrix integrals. These algorithms make use of exact series representations as well as efficient numerical procedures and lead to a significant reduction in overall computation time for thicker wires. Another major advantage of this momentmethod technique is that it is no longer restricted by the segment length-to-radius ratio limitations inherent in past formulations, thereby making it possible to achieve solution convergence for a much wider class of wire antenna structures. Several examples illustrating the superior convergence properties of this new moment-method formulation are presented and discussed. ¬© 1998 IEEE.</t>
  </si>
  <si>
    <t>373-382</t>
  </si>
  <si>
    <t>Werner, Douglas H.</t>
  </si>
  <si>
    <t>Werner D.</t>
  </si>
  <si>
    <t>A method of moments approach for the efficient and accurate modeling of moderately thick cylindrical wire antennas</t>
  </si>
  <si>
    <t>S0018926X98022595</t>
  </si>
  <si>
    <t>10.1109/8.662656</t>
  </si>
  <si>
    <t>2-s2.0-0032028043</t>
  </si>
  <si>
    <t>['significant decreasing', 'lowering pressure', 'induced charging', 'antennae structure']</t>
  </si>
  <si>
    <t>Etching | Process monitoring | Surface charging</t>
  </si>
  <si>
    <t>Plasma-induced charging has been characterized using unpatterned oxide wafer charging technique. Charging distributions correlate to gate oxide charging damage with antennae structure. Modification of process by lowering pressure and increasing gas flow led to a significant decreasing of the plasma-induced charging and the gate oxide damage. ¬© 1998 IEEE.</t>
  </si>
  <si>
    <t>753-755</t>
  </si>
  <si>
    <t>100413453-60075349;100413453;60005145;100413453</t>
  </si>
  <si>
    <t>6602302071;6701480335;57198678661;6602235611</t>
  </si>
  <si>
    <t>Karzhavin, Yuri;Lao, Keith Q.;Wu, Wei;Gelatos, Carol</t>
  </si>
  <si>
    <t>San Jose;Austin;Richmond</t>
  </si>
  <si>
    <t>Ultratech Stepper Inc.;Motorola Austin;White Oak Semiconductor</t>
  </si>
  <si>
    <t>60075349;60005145;100413453</t>
  </si>
  <si>
    <t>Karzhavin Y.</t>
  </si>
  <si>
    <t>Plasma-induced charging evaluation using SCA and PDM tools</t>
  </si>
  <si>
    <t>S0018938398016761</t>
  </si>
  <si>
    <t>10.1109/16.661238</t>
  </si>
  <si>
    <t>2-s2.0-0032028282</t>
  </si>
  <si>
    <t>['transmitting antenna', 'procedure presented', 'personal computer', 'necessary expressions', 'mathematics software', 'manufactured loop', 'magnetic field', 'impedances cannot', 'geometrical dimensions', 'found either', 'accurately determined', 'accurately calculated', 'accurate relation', 'accurate measurement']</t>
  </si>
  <si>
    <t>Antenna factor | Calculation of near-zone magnetic fields | Calibration of circular loop antennas | Current distribution on a circular loop | Impedance of a circular loop | Loop antennas | Magnetic field measurement | Mutual impedance between two loops</t>
  </si>
  <si>
    <t>The calibration of a measuring loop antenna means assigning an antenna factor K for each frequency in the entire measurement band. Such a loop antenna factor can be found either by calculating the impedances of the loop, or by using a well-defined standard magnetic field of a transmitting antenna. For both methods, it is necessary to obtain an accurate relation between the magnetic field and the geometrical dimensions of the loops. Generally, a manufactured loop has a complex geometric shape with complex electrical behavior so that its impedances cannot be accurately determined. The standard magnetic field method must then be used for traceability of the calibration. The necessary expressions, taking into account the dimensions of the loops with finite conductor radii including the current distribution along the loop, are given. Greene's equations are accurately calculated with mathematics software on a personal computer for the near-zone as standard average magnetic field. With the procedure presented here, the calibration is reduced to an accurate measurement of attenuation. ¬© 1998 IEEE.</t>
  </si>
  <si>
    <t>446-452</t>
  </si>
  <si>
    <t>Aykan, Aydin</t>
  </si>
  <si>
    <t>Rohde &amp; Schwarz</t>
  </si>
  <si>
    <t>Aykan A.</t>
  </si>
  <si>
    <t>Calibration of circular loop antennas</t>
  </si>
  <si>
    <t>S0018945698097691</t>
  </si>
  <si>
    <t>10.1109/19.744189</t>
  </si>
  <si>
    <t>2-s2.0-0032035572</t>
  </si>
  <si>
    <t>['wave sensor', 'mmw sensors', 'focal point', 'flat sides', 'cylindrical lens', 'beam width', 'artificial low', 'antenna mounted', 'also investigated', 'also given', '6 db', '16 ¬∞']</t>
  </si>
  <si>
    <t>The cylindrical lens with flat sides, which has the focal point just on the surface of the lens, is developed by using an artificial low-loss dielectric material, and the design of the lens is also given. The characteristics of the cylindrical lens fabricated in Teflon, and a millimeter-wave sensor, consisting of a millimeter-wave (MMW) antenna mounted at the focus, are also investigated at 40 GHz band. MMW sensors with the beam width of 16¬∞ and gain of 15.6 dB were obtained. ¬© 1998 IEEE.</t>
  </si>
  <si>
    <t>423-425</t>
  </si>
  <si>
    <t>60000251-60004176;60004176;60004176</t>
  </si>
  <si>
    <t>7404088345;35862083400;36730558200</t>
  </si>
  <si>
    <t>Kikuchi, Kazuo;Kido, Yasuo;Ogawa, Takashi</t>
  </si>
  <si>
    <t>Yokosuka;New York</t>
  </si>
  <si>
    <t>National Defense Academy of Japan;IEEE</t>
  </si>
  <si>
    <t>60004176;60000251</t>
  </si>
  <si>
    <t>Kikuchi K.</t>
  </si>
  <si>
    <t>Millimeter wave sensor using cylindrical luneberg lens with flat sides</t>
  </si>
  <si>
    <t>S0018945698095990</t>
  </si>
  <si>
    <t>10.1109/19.744185</t>
  </si>
  <si>
    <t>2-s2.0-0032035612</t>
  </si>
  <si>
    <t>['time resolution', 'sampling system', 'picosecond pump', 'microdevices separated', 'free space', 'detailed description', '80 v', '500 fs', '5 cm', '40 db']</t>
  </si>
  <si>
    <t>Antenna | Broad-band microwave | Cross correlation | Femtosecond laser | Optoelectronics | Photoconductivity | Spectroscopy | Transient electromagnetics</t>
  </si>
  <si>
    <t>A detailed description of a picosecond pump-probe optoelectronic pulsing (generating electromagnetic transients in free space) and sampling system is presented. This system will be used for spectroscopy in a [10-100]-GHz range of materials such as semiconductors. The signal-to-noise ratio obtained in this system is greater than 40 dB and the time resolution can be less than 500 fs, thereby permitting studies of very fast, low-amplitude transient phenomena. For microdevices separated by 5 cm an E peak field amplitude of 80 V/m is detected. ¬© 1998 IEEE.</t>
  </si>
  <si>
    <t>453-458</t>
  </si>
  <si>
    <t>60028634;60028634;60028634;60028634</t>
  </si>
  <si>
    <t>57082396800;6506344782;6505986464;6603916146</t>
  </si>
  <si>
    <t>Eloy, Jean Fran√ßois;Gerbe, Vincent;Trombert, Jean Hugues;Wilhelmsson, Hans</t>
  </si>
  <si>
    <t>Le Barp</t>
  </si>
  <si>
    <t>CEA Cesta</t>
  </si>
  <si>
    <t>Eloy J.</t>
  </si>
  <si>
    <t>Pump and probe experimental setup with optoelectronically pulsed antenna for giga/terahertz spectroscopy</t>
  </si>
  <si>
    <t>S0018945698098180</t>
  </si>
  <si>
    <t>10.1109/19.744190</t>
  </si>
  <si>
    <t>2-s2.0-0032035623</t>
  </si>
  <si>
    <t>['targets using', 'switching circuitry', 'signal processing', 'radar polarimetry', 'radar control', 'polarimetric system', 'pin diode', 'personal computer', 'hardware implementations', 'hardware design', 'fundamental application', 'decisive role', 'cw radar']</t>
  </si>
  <si>
    <t>FM-CW radar | Radar polarimetry | Sinclair scattering matrix | Target decomposition</t>
  </si>
  <si>
    <t>The Sinclair scattering matrix plays a decisive role in radar polarimetry. For realization of a real-time and full polarimetric radar, there are some technical problems associated with hardware implementations. Since the FM-CW radar system is suitable for short-range sensing applications, we modified an FM-CW radar to a real-time and polarimetric system by adding a PIN diode-switching circuitry for antenna polarization changes. A parallel operation scheme in the signal processing and the radar control is employed in a personal computer, which enables 44 snapshots for acquiring scattering matrices and displays the polarimetric target classification results along 44 radar ranges per second. In this paper, we present the hardware design of the system and its fundamental application to the classification of targets using the three-component decomposition theorem. ¬© 1998 IEEE.</t>
  </si>
  <si>
    <t>572-577</t>
  </si>
  <si>
    <t>60022313;60000251-60022313;60000251-60022313</t>
  </si>
  <si>
    <t>37070436100;7404476613;57203100681</t>
  </si>
  <si>
    <t>Nakamura, Masafumi;Yamaguchi, Yoshio;Yamada, Hiroyoshi</t>
  </si>
  <si>
    <t>Niigata;New York</t>
  </si>
  <si>
    <t>Niigata University;IEEE</t>
  </si>
  <si>
    <t>60022313;60000251</t>
  </si>
  <si>
    <t>Nakamura M.</t>
  </si>
  <si>
    <t>Real-time and full polarimetric FM-CW radar and its application to the classification of targets</t>
  </si>
  <si>
    <t>S001894569809915X</t>
  </si>
  <si>
    <t>10.1109/19.744207</t>
  </si>
  <si>
    <t>2-s2.0-0032035675</t>
  </si>
  <si>
    <t>['wide areas', 'useful insights', 'sar applications', 'rapid search', 'high resolution', 'electronically steered', 'common misconceptions', 'beam antennas', 'analysis provides']</t>
  </si>
  <si>
    <t>The application of agile-beam (electronically steered) antennas to synthetic aperture radars (SARs) is examined. Agile-beam antennas are shown to provide significant advantages for SAR applications in which rapid search of wide areas is desired at high resolution. The analysis provides some useful insights into the operation of SARs and dispels a number of common misconceptions about the limitations of SARs. ¬© 1998 IEEE.</t>
  </si>
  <si>
    <t>500-507</t>
  </si>
  <si>
    <t>Mrstik, V.</t>
  </si>
  <si>
    <t>Goleta</t>
  </si>
  <si>
    <t>Toyon Research Corporation</t>
  </si>
  <si>
    <t>Mrstik V.</t>
  </si>
  <si>
    <t>Agile-beam synthetic aperture radar opportunities</t>
  </si>
  <si>
    <t>10.1109/7.670331</t>
  </si>
  <si>
    <t>2-s2.0-0032045386</t>
  </si>
  <si>
    <t>['theoretical analysis', 'specular multipath', 'reflectivity function', 'reflections produced', 'received signal', 'impulse response']</t>
  </si>
  <si>
    <t>The effects of specular multipath on the reconstruction of high resolution target image provided by an inverse synthetic aperture radar (ISAR) are investigated. First, a model of the received signal that takes into account the reflections produced by the surface of the Earth is defined. Then, the impulse response of the imaging system used to reconstruct the reflectivity function of the target is evaluated. Finally, the theoretical analysis is validated by some simulation results relative to different motion conditions. ¬© 1998 IEEE.</t>
  </si>
  <si>
    <t>645-653</t>
  </si>
  <si>
    <t>60028868;60028868</t>
  </si>
  <si>
    <t>57226219749;7003735775</t>
  </si>
  <si>
    <t>Berizzi, F.;Diani, M.</t>
  </si>
  <si>
    <t>Pisa</t>
  </si>
  <si>
    <t>Universit√† di Pisa</t>
  </si>
  <si>
    <t>Berizzi F.</t>
  </si>
  <si>
    <t>Multipath effects on ISAR image reconstruction</t>
  </si>
  <si>
    <t>10.1109/7.670346</t>
  </si>
  <si>
    <t>2-s2.0-0032045388</t>
  </si>
  <si>
    <t>['widest bandwidth', 'typical single', 'typical bandwidth', 'transition connecting', 'substrate cannot', 'perpendicular connector', 'patch element', 'parasitic elements', 'nonconductive pin', 'new type', 'mainly due', 'limitations imposed', 'known fact', 'ground plane', 'fed stacked', 'different configurations', 'dielectric substrate', 'cost considerations', 'band element', 'back ratio', 'additional resonators', '90 %.', '50 %.']</t>
  </si>
  <si>
    <t>The typical single-layer patch printed on a dielectric substrate is a narrow-band element. This well-known fact is mainly due to the limitations imposed by the dielectric substrate. From efficiency and cost considerations, in most of the cases, the substrate cannot be too thick. In order to increase the microstrip element bandwidth, additional resonators in different configurations and combinations can be used: parasitic elements, slots, etc. However, the microstrip antenna element with the widest bandwidth (a variation of the aperture-fed stacked-patch element) is about 40-50%. This antenna, an aperture-fed stacked patch, has a relatively poor front-to-back ratio, due to the fact that it has a slot in the ground plane. In this paper, a new type of patch element is presented. The patch is suspended over the ground plane and supported by a nonconductive pin. It is fed by a three-dimensional (3-D) transition connecting the patch to a perpendicular connector. The typical bandwidth of this element (in terms of VSWR) is 90%. When built on a large ground plane, the front-to-back of this element is better than 25 dB across the band. ¬©1998 IEEE.</t>
  </si>
  <si>
    <t>Herscovici, Naftali</t>
  </si>
  <si>
    <t>Cushcraft Corporation</t>
  </si>
  <si>
    <t>Herscovici N.</t>
  </si>
  <si>
    <t>A wide-band single-layer patch antenna</t>
  </si>
  <si>
    <t>S0018926X9802674X</t>
  </si>
  <si>
    <t>10.1109/8.664109</t>
  </si>
  <si>
    <t>2-s2.0-0032045937</t>
  </si>
  <si>
    <t>['time domains', 'targets interfere', 'target echoes', 'simulation results', 'quadrature portions', 'priori knowledge', 'noise ratio', 'monopulse ratio', 'measured amplitude', 'line signal', 'given along', 'estimate indicated', 'either target', 'e .,', 'angular separation']</t>
  </si>
  <si>
    <t>When the returns from two or more targets interfere (i.e., the signals are not resolved in the frequency or time domains) in a monopulse radar system, the direction-of-arrival (DOA) estimate indicated by the monopulse ratio can wander far beyond the angular separation of the targets. Generalized maximum likelihood (GML) detection of the presence of unresolved Rayleigh targets is developed with probability density functions (pdfs) conditioned on the measured amplitude of the target echoes. The Neyman-Pearson detection algorithm uses both the in-phase and quadrature portions of the monopulse ratio and requires no a priori knowledge of line signal-to-noise ratio (SNR) or DOA of either target. Receiver operating characteristic (ROC) curves are given along with simulation results that illustrate the performance and application of the algorithm. ¬© 1998 IEEE.</t>
  </si>
  <si>
    <t>543-552</t>
  </si>
  <si>
    <t>60015099;60015099</t>
  </si>
  <si>
    <t>55666423800;35567245800</t>
  </si>
  <si>
    <t>Blair, W. D.;Brandt-Pearce, M.</t>
  </si>
  <si>
    <t>Georgia Tech Research Institute</t>
  </si>
  <si>
    <t>Blair W.</t>
  </si>
  <si>
    <t>Unresolved rayleigh target detection using monopulse measurements</t>
  </si>
  <si>
    <t>10.1109/7.670335</t>
  </si>
  <si>
    <t>2-s2.0-0032046086</t>
  </si>
  <si>
    <t>CS85-0210-D002-012</t>
  </si>
  <si>
    <t>['transmitting antenna', 'target surface', 'target size', 'spherical wave', 'small piece', 'simple concepts', 'receiving antenna', 'received signals', 'physical theory', 'paper applies', 'induced currents', 'field rcs', 'farfield zone', 'equivalent image', 'doppler spectrum', 'bouncing rays']</t>
  </si>
  <si>
    <t>Electromagnetic scattering | Geometrical theory of diffraction | Physical theory of diffraction</t>
  </si>
  <si>
    <t>This paper will propose a method to compute the near-field RCS and Doppler spectrum of a target when the distances to antennas are comparable to the target size. By dealing with a small piece of the target surface at a time, the transmitting antenna, and the receiving antenna are in the farfield zone of the small piece of the induced currents. And the electromagnetic field produced by this small piece of induced currents can be written as a spherical wave. Sum up all spherical waves produced by every small piece of induced currents and we can obtain the total scattered field at the receiving antenna. The physical theory of diffraction (PTD) and the method of shooting and bouncing rays (SBR) are modified to evaluate the received signals. Numerical results based on these techniques are obtained and discussed. The formulation in this paper applies the simple concepts of equivalent image and vector effective height, which are believed to be novel. ¬© 1998 IEEE.</t>
  </si>
  <si>
    <t>551-558</t>
  </si>
  <si>
    <t>Jeng, Shyh Kang</t>
  </si>
  <si>
    <t>National Taiwan University</t>
  </si>
  <si>
    <t>Near-field scattering by physical theory of diffraction and shooting and bouncing rays</t>
  </si>
  <si>
    <t>S0018926X98026830</t>
  </si>
  <si>
    <t>10.1109/8.664120</t>
  </si>
  <si>
    <t>2-s2.0-0032046222</t>
  </si>
  <si>
    <t>['shaped cylinder', 'scattering characteristics', 'scattered field', 'results obtained', 'receiving antennas', 'paper describes', 'ifr ).', 'gaussian beams', 'forward scattering', 'elements method']</t>
  </si>
  <si>
    <t>Electromagnetic scattering | Focused beams | Gaussian beams | Radomes</t>
  </si>
  <si>
    <t>The forward scattering from an arbitrarily shaped cylinder is characterized by its induced field ratio (IFR). This paper describes how a focused beam system is used to determine the scattering characteristics of an arbitrary-shaped cylinder. The fields of the transmitting and receiving antennas, as well as the scattered field from the cylinder, are described by equivalent fundamental Gaussian beams. An analytical procedure based on the computation of the coupling between the Gaussian beams in the focused beam system is used to determine the IFR of the cylinder. The results obtained by this method verify well with the scattering characteristics computed analytically or numerically by the method of moments or finite-elements method. ¬© 1998 IEEE.</t>
  </si>
  <si>
    <t>563-569</t>
  </si>
  <si>
    <t>60027161;60027161;100343059</t>
  </si>
  <si>
    <t>7004045654;57197310582;55712841400</t>
  </si>
  <si>
    <t>Shavit, Reuven;Wells, Tom;Cohen, Albert</t>
  </si>
  <si>
    <t>Forward-scattering analysis in a focused-beam system</t>
  </si>
  <si>
    <t>S0018926X98026842</t>
  </si>
  <si>
    <t>10.1109/8.664122</t>
  </si>
  <si>
    <t>2-s2.0-0032046223</t>
  </si>
  <si>
    <t>['without vias', 'vias around', 'stripline feed', 'resonant characteristics', 'radiation efficiency', 'proper location', 'power launched', 'plate mode', 'plane slot', 'patch antennas', 'patch antenna', 'paper presents', 'invoking reciprocity', 'impedance characteristics', 'coupled stripline']</t>
  </si>
  <si>
    <t>Microstrip antennas | Stripline-fed | Vias</t>
  </si>
  <si>
    <t>The paper presents an analysis of slot-coupled stripline-fed patch antennas with vias around the slot to minimize the power launched into the parallel-plate mode. A moment-method scattering formulation is invoked to include the effect of vias on the impedance characteristics of the antenna. Coupling between the stripline feed and the ground-plane slot is obtained by invoking reciprocity. Two design examples were fabricated and the measured input impedances verify the accuracy of the analysis. Vias considerably modify the impedance and resonant characteristics of a patch antenna. Radiation efficiency of patch antennas with and without vias is studied and proper location of the vias is shown to drastically reduce power in the parallel-plate mode. ¬© 1998 IEEE.</t>
  </si>
  <si>
    <t>538-545</t>
  </si>
  <si>
    <t>60030821;60030821;60030821</t>
  </si>
  <si>
    <t>7402673635;57217922015;7410221239</t>
  </si>
  <si>
    <t>Bhattacharyya, Arun;Fordham, Owen;Liu, Yaozhong</t>
  </si>
  <si>
    <t>Chicago</t>
  </si>
  <si>
    <t>Boeing Corporation</t>
  </si>
  <si>
    <t>Bhattacharyya A.</t>
  </si>
  <si>
    <t>Analysis of stripline-fed slot-coupled patch antennas with vias for parallel-plate mode suppression</t>
  </si>
  <si>
    <t>S0018926X98026817</t>
  </si>
  <si>
    <t>10.1109/8.664118</t>
  </si>
  <si>
    <t>2-s2.0-0032046323</t>
  </si>
  <si>
    <t>['theoretical results', 'shift keying', 'rayleigh fading', 'power interferers', 'outage probability', 'optimum combining', 'optimum combiner', 'n ).', 'multivariate framework', 'maximum signal', 'main contribution', 'interferences l', 'interference ratio', 'flat rayleigh', 'fading environment', 'bit error', 'average probability']</t>
  </si>
  <si>
    <t>Cochannel interference | Fading channels | Optimum combining | Space diversity</t>
  </si>
  <si>
    <t>-Optimum combining for space diversity reception is studied in digital cellular mobile radio communication systems with Rayleigh fading and multiple cochannel interferers. This paper considers binary phase-shift keying (BPSK) modulation in a flat Rayleigh-fading environment when the number of interferences L is no less than the number of antenna elements N(L &gt; N). The approach of this paper and its main contribution is to carry out the analysis in a multivariate framework. Using this approach and with the assumption of equal-power interferers, it is shown that the probability density function of the maximum signal-to-interference ratio (SIR) at the output of the optimum combiner has a Hotelling T2 distribution. Closed form expressions using hypergeometric functions are derived for the outage probability and the average probability of bit error. Theoretical results are demonstrated by Monte Carlo simulations. ¬© 1998 IEEE.</t>
  </si>
  <si>
    <t>473-479</t>
  </si>
  <si>
    <t>60022904;60022904</t>
  </si>
  <si>
    <t>Shah, Amit;Haimovich, Alexander M.</t>
  </si>
  <si>
    <t>New Jersey Institute of Technology</t>
  </si>
  <si>
    <t>Performance analysis of optimum combining in wireless communications with rayleigh fading and cochannel interference</t>
  </si>
  <si>
    <t>10.1109/26.664303</t>
  </si>
  <si>
    <t>2-s2.0-0032046593</t>
  </si>
  <si>
    <t>['true orientation', 'tracking controller', 'spiral search', 'sensor imprecision', 'noisy ship', 'indeed robust', 'fuzzy logic', 'desired orientation', 'controller imprecision', 'controller design', 'computer simulations']</t>
  </si>
  <si>
    <t>A robust satellite tracking antenna is designed to cope with the sensor imprecision and the highly noisy sea environment. Fuzzy logic is utilized for the controller imprecision and the highly noisy sea environment. Fuzzy logic is utilized for the controller design as well as inaccurate data interpretation. The fuzzy-rule based controller eliminates the need to model the nonlinear and noisy ship-mounted antenna system. With Global Positioning System and the tracking controller the antenna can be brought to a neighborhood of the desired orientation. Spiral search with signal power feedback can then servo the antenna to the true orientation. Computer simulations and antenna experiments verify our design is indeed robust and effective. ¬© 1998 IEEE.</t>
  </si>
  <si>
    <t>639-645</t>
  </si>
  <si>
    <t>60020351;60020351</t>
  </si>
  <si>
    <t>6507913157;6601976296</t>
  </si>
  <si>
    <t>Chris Tseng, H.;Teo, Dennis W.</t>
  </si>
  <si>
    <t>Chang Gung University</t>
  </si>
  <si>
    <t>Chris Tseng H.</t>
  </si>
  <si>
    <t>Ship-mounted satellite tracking antenna with fuzzy logic control</t>
  </si>
  <si>
    <t>10.1109/7.670345</t>
  </si>
  <si>
    <t>2-s2.0-0032047429</t>
  </si>
  <si>
    <t>['tm coupling', 'printed antennas', 'presenting criteria', 'particularly convenient', 'often employed', 'necessary number', 'especially relevant', 'basis functions', 'annular patches']</t>
  </si>
  <si>
    <t>Cavity modes | Full-wave analysis | Printed antennas</t>
  </si>
  <si>
    <t>Magnetic wall cavity (MWC) modes are often employed as basis functions in the method of moments (MoM) full wave analysis of printed antennas, especially in its spectral domain version, where the use of entire domain basis functions is particularly convenient, but in some cases the TE (solenoidal) modes are not included. Here we investigate on the effect of this exclusion, explaining the nature of the TE-TM coupling, presenting criteria to determine the necessary number of modes, and giving numerical results for annular patches, especially relevant in this context. ¬© 1998 IEEE.</t>
  </si>
  <si>
    <t>589-594</t>
  </si>
  <si>
    <t>60012162;60012162;60012162</t>
  </si>
  <si>
    <t>24766561500;7004544655;7003419808</t>
  </si>
  <si>
    <t>Vecchi, Giuseppe;Pirinoli, Paola;Orefice, Mario</t>
  </si>
  <si>
    <t>Politecnico di Torino</t>
  </si>
  <si>
    <t>Vecchi G.</t>
  </si>
  <si>
    <t>On the use of cavity modes as basis functions in the full wave analysis of printed antennas</t>
  </si>
  <si>
    <t>S0018926X98026878</t>
  </si>
  <si>
    <t>10.1109/8.664125</t>
  </si>
  <si>
    <t>2-s2.0-0032047435</t>
  </si>
  <si>
    <t>Chalmers Tekniska H√∂gskola</t>
  </si>
  <si>
    <t>['triangular lattices', 'scan arrays', 'results show', 'rectangular lattice', 'plane walls', 'matching method', 'h planes', 'h plane', 'floquet modes', 'exterior region', 'element patterns', 'dielectric slabs', 'considerably decreases', 'array gain', 'array characteristics', '9 db', '11 db']</t>
  </si>
  <si>
    <t>We analyze an infinite planar array of open-ended rectangular waveguides in which the E-plane walls are loaded with dielectric slabs in order to create a hard boundary condition. The analysis is done by using the mode-matching method with Floquet modes in the exterior region. The results show that the hard walls remove the blind spots otherwise present in the element patterns of wide-angle scanning arrays. This occurs both for rectangular and for triangular lattices. In addition, the array becomes better matched to free-space in a rectangular lattice. In limited-scan arrays of large square waveguides, the use of the hard walls increases the array gain by 0.9 dB, it reduces the grating lobe level in the H plane by 11 dB and considerably decreases the difference between the array characteristics in the E and H planes. ¬© 1998 IEEE.</t>
  </si>
  <si>
    <t>546-550</t>
  </si>
  <si>
    <t>60096210;60000990</t>
  </si>
  <si>
    <t>7004164152;7101988263</t>
  </si>
  <si>
    <t>Skobelev, Sergei P.;Kildal, Per Simon</t>
  </si>
  <si>
    <t>Russian Federation;Sweden</t>
  </si>
  <si>
    <t>Moscow;Gothenburg</t>
  </si>
  <si>
    <t>Joint-Stock Company Radiophyzika;Chalmers University of Technology</t>
  </si>
  <si>
    <t>Skobelev S.</t>
  </si>
  <si>
    <t>Blindness removal in arrays of rectangular waveguides using dielectrically loaded hard walls</t>
  </si>
  <si>
    <t>S0018926X98026829</t>
  </si>
  <si>
    <t>10.1109/8.664119</t>
  </si>
  <si>
    <t>2-s2.0-0032047499</t>
  </si>
  <si>
    <t>['simply composed', 'sensing accuracy', 'rotational compliance', 'rotational center', 'rotational angle', 'pushing direction', 'practical utilization', 'position sensors', 'paper proposes', 'moment sensor', 'lateral slip', 'flexible beam', 'first show', 'contact location', 'contact distance', 'also discussed', 'active antenna']</t>
  </si>
  <si>
    <t>Active antenna | Contact point sensing | Tactile sensing</t>
  </si>
  <si>
    <t>This paper proposes a new active sensor system (active antenna) that can detect not only the contact location between an insensitive flexible beam and an environment but also the information of the environment's surface where the beam makes contact. The active antenna is simply composed of a flexible beam, actuators to move the beam, position sensors to measure the rotational angle of the beam, and a moment sensor. We first show that the contact distance under no lateral slip is proportional to the rotational compliance that the beam can sense at the rotational center. The lateral slip, which possibly occurs according to the pushing direction and the environment's geometry, over estimates the rotational compliance, and as a result, brings a large sensing error for the localizing contact point. The goal of this paper is to find the contact location under such conditions. We explore how to detect a lateral slip and how to determine the new pushing direction to avoid it. We show an algorithm that can search for the pushing direction which can avoid any lateral slip. The convergence of this algorithm is shown and a practical utilization of this algorithm is also discussed with a trade-off between the number of trials and the sensing accuracy.</t>
  </si>
  <si>
    <t>278-291</t>
  </si>
  <si>
    <t>1042296X</t>
  </si>
  <si>
    <t>IEEE Transactions on Robotics and Automation</t>
  </si>
  <si>
    <t>60000251-60030788;60030788;60000251-60030788</t>
  </si>
  <si>
    <t>7403595190;36840039400;7403008366</t>
  </si>
  <si>
    <t>Kaneko, Makoto;Kanayama, Naoki;Tsuji, Toshio</t>
  </si>
  <si>
    <t>Higashihiroshima;New York</t>
  </si>
  <si>
    <t>Hiroshima University;IEEE</t>
  </si>
  <si>
    <t>60030788;60000251</t>
  </si>
  <si>
    <t>Kaneko M.</t>
  </si>
  <si>
    <t>Active antenna for contact sensing</t>
  </si>
  <si>
    <t>S1042296X9801427X</t>
  </si>
  <si>
    <t>10.1109/70.681246</t>
  </si>
  <si>
    <t>2-s2.0-0032047562</t>
  </si>
  <si>
    <t>['without resorting', 'resolution time', 'radar imaging', 'multiple targets', 'joint time', 'frequency transforms', 'frequency transform', 'fourier transform', 'complex motion', 'actually time']</t>
  </si>
  <si>
    <t>Conventional radar imaging uses the Fourier transform to retrieve Doppler information. However, due to the complex motion of a target, the Doppler frequency shifts are actually time-varying. By using the Fourier transform, the Doppler spectrum becomes smeared and the image is blurred. Without resorting to sophisticated motion compensation algorithms, the image blurring problem can be resolved with the joint time-frequency transform. High-resolution time-frequency transforms are investigated, and examples of applications to radar imaging of single and multiple targets with complex motion are given. ¬© 1998 IEEE.</t>
  </si>
  <si>
    <t>486-499</t>
  </si>
  <si>
    <t>36641873000;7202425681</t>
  </si>
  <si>
    <t>Chen, Victor C.;Qian, Shie</t>
  </si>
  <si>
    <t>Chen V.</t>
  </si>
  <si>
    <t>Joint time-frequency transform for radar range-doppler imaging</t>
  </si>
  <si>
    <t>10.1109/7.670330</t>
  </si>
  <si>
    <t>2-s2.0-0032047679</t>
  </si>
  <si>
    <t>Bangladesh Council of Scientific and Industrial Research</t>
  </si>
  <si>
    <t>BCSIR</t>
  </si>
  <si>
    <t>['triangular ring', 'staircase approximation', 'special technique', 'radiation patterns', 'proposed structure', 'periodic principle', 'obtained experimentally', 'method improves', 'impedance bandwidth', 'different frequencies', 'difference time', 'band width']</t>
  </si>
  <si>
    <t>FDTD methods | Microstrip antennas</t>
  </si>
  <si>
    <t>A concentric microstrip triangular-ring antenna structure using the log-periodic principle for increasing the impedance bandwidth of the microstrip patch antenna is described. The finite-difference time-domain (FDTD) method is applied to analyze the proposed structure. A special technique to model the slanted metallic boundaries of the triangular ring has been used in the general FDTD algorithm to avoid the staircase approximation. The method improves the accuracy of the original FDTD algorithm without increasing the complexity. The radiation patterns at different frequencies over wide-band width are obtained experimentally. ¬©1998 IEEE.</t>
  </si>
  <si>
    <t>531-537</t>
  </si>
  <si>
    <t>60020825;60020825</t>
  </si>
  <si>
    <t>6603790615;7201666265</t>
  </si>
  <si>
    <t>Misra, Iti Saha;Chowdhury, S. K.</t>
  </si>
  <si>
    <t>Kolkata</t>
  </si>
  <si>
    <t>Jadavpur University</t>
  </si>
  <si>
    <t>Misra I.</t>
  </si>
  <si>
    <t>Study of impedance and radiation properties of a concentric microstrip triangular-ring antenna and its modeling techniques using FDTD method</t>
  </si>
  <si>
    <t>S0018926X98026805</t>
  </si>
  <si>
    <t>10.1109/8.664117</t>
  </si>
  <si>
    <t>2-s2.0-0032047686</t>
  </si>
  <si>
    <t>['uniform high', 'transition conditions', 'relevant singly', 'frequency solution', 'found numerically', 'finite distance', 'field radiated', 'fast convergence']</t>
  </si>
  <si>
    <t>Antenna arrays | Electromagnetic radiation | Geometrical theory of diffraction</t>
  </si>
  <si>
    <t>A uniform high-frequency solution is presented for the field radiated at finite distance by a semi-infinite beamscanning array of magnetic line sources located on a perfectly conducting half-plane. The field is represented in terms of Floquet waves plus their relevant singly and doubly diffracted rays, which arise from both the end of the array and the edge of the half-plane. This representation is uniformly valid also when transition conditions from propagating to evanescent Floquet waves occur. Furthermore, it provides a simple and attractive physical interpretation and is found numerically very effective, due to the fast convergence of the Floquet wave expansion for the field. ¬© 1998 IEEE.</t>
  </si>
  <si>
    <t>570-578</t>
  </si>
  <si>
    <t>60002838;60002838;60021859;60021859</t>
  </si>
  <si>
    <t>7003509990;7006294849;7005998607;57202007643</t>
  </si>
  <si>
    <t>Capolino, Filippo;Albani, Matteo;Maci, Stefano;Tiberio, Roberto</t>
  </si>
  <si>
    <t>Florence;Siena</t>
  </si>
  <si>
    <t>Universit√† degli Studi di Firenze;Universit√† degli Studi di Siena</t>
  </si>
  <si>
    <t>60021859;60002838</t>
  </si>
  <si>
    <t>Capolino F.</t>
  </si>
  <si>
    <t>High-frequency analysis of an array of line sources on a truncated ground plane</t>
  </si>
  <si>
    <t>S0018926X98026854</t>
  </si>
  <si>
    <t>10.1109/8.664123</t>
  </si>
  <si>
    <t>2-s2.0-0032048036</t>
  </si>
  <si>
    <t>['wide range', 'radio frequency', 'power efficiency', 'phase shifts', 'much higher', 'magnetic fields', 'low mode', 'internal parameters', 'helicon mode', 'external parameters', 'electron density', 'electric field', 'efficiently accelerated', 'antenna voltage']</t>
  </si>
  <si>
    <t>Electrical | Helicon wave | Plasma</t>
  </si>
  <si>
    <t>The external electrical characteristics of helicon wave plasmas have been studied over a wide range of magnetic fields, radio frequency (RF) power, frequencies, and Ar gas pressures. External parameters, such as antenna voltage, current, and phase shifts, and internal parameters, such as electron density, are measured. The equivalent discharge resistance, reactance, and power transfer efficiency are calculated through these measurements. The characteristics of helicon mode is compared with inductively coupled plasma (ICP) and low mode. The power efficiency of the helicon mode is better than that of other modes. Consequently, electron density of helicon mode is much higher than that of other modes. This means the existence of a mechanism where electrons are very efficiently accelerated by the electric field of the antenna in the helicon mode. The power efficiency of helicon mode is higher at lower RF frequency and at optimum gas pressure than that of other modes. ¬© 1998 IEEE.</t>
  </si>
  <si>
    <t>159-166</t>
  </si>
  <si>
    <t>7202777419;35446545700;7407522064</t>
  </si>
  <si>
    <t>Yun, Seok Min;Kim, Jung Hyung;Chang, Hong Young</t>
  </si>
  <si>
    <t>Yun S.</t>
  </si>
  <si>
    <t>Electrical characteristics of helicon wave plasmas</t>
  </si>
  <si>
    <t>S0093381398027179</t>
  </si>
  <si>
    <t>10.1109/27.669619</t>
  </si>
  <si>
    <t>2-s2.0-0032048435</t>
  </si>
  <si>
    <t>['united states', 'target integration', 'sea targets', 'recent years', 'numerous studies', 'moving platform', 'effects caused', 'computational requirements', 'challenging due', 'candidate rsp', 'based radar', 'area coverage', 'also presented', 'also discussed', 'algorithmic definitions']</t>
  </si>
  <si>
    <t>Space-based radar (SBR) is capable of providing flexible wide-area coverage of air, land, and sea targets. Numerous studies have been carried out in the United States and Canada in recent years to investigate different concepts for SBR. The design of a suitable radar signal processor (RSP) is challenging due to the effects caused by the moving platform on target integration and clutter spectral spread. A candidate RSP is described that uses a corporate fed array (CFA) antenna as its primary radar sensor. The algorithmic definitions of the signal processing functions are provided; the relationships between these functions and the reasons for their location in the signal processing chain are also discussed. In addition, techniques for reducing the computational requirements are also presented. ¬© 1998 IEEE.</t>
  </si>
  <si>
    <t>366-377</t>
  </si>
  <si>
    <t>Nohara, Tim J.</t>
  </si>
  <si>
    <t>Fonthill</t>
  </si>
  <si>
    <t>Sicom Systems Ltd.</t>
  </si>
  <si>
    <t>Nohara T.</t>
  </si>
  <si>
    <t>Design of a space-based radar signal processor</t>
  </si>
  <si>
    <t>10.1109/7.670320</t>
  </si>
  <si>
    <t>2-s2.0-0032048709</t>
  </si>
  <si>
    <t>['upper substrate', 'radiation pattern', 'radiating structure', 'radiating patch', 'network problem', 'mnm model', 'lower substrate', 'input impedance', 'fields associated', 'experimental results', 'electromagnetically coupled', 'computed using', 'antenna configurations', 'antenna characteristics']</t>
  </si>
  <si>
    <t>Microstrip antennas | Networks</t>
  </si>
  <si>
    <t>In this paper, electromagnetically coupled (EMC) patch-antenna configurations on two-layered dielectric substrates are investigated. The radiating patch is located on the top of the upper substrate and is excited by feed circuitry underneath it on the lower substrate. The electromagnetic field problem is transformed into a network problem and a multiport network model (MNM) is developed to characterize the three-dimensional (3-D) fields associated with the radiating structure. Antenna characteristics such as input impedance and radiation pattern are computed using the MNM model and the approach is validated by comparison with experimental results. ¬© 1998 IEEE.</t>
  </si>
  <si>
    <t>475-483</t>
  </si>
  <si>
    <t>60011688;60000221</t>
  </si>
  <si>
    <t>6505862836;7402592343</t>
  </si>
  <si>
    <t>Parrikar, Rajan P.;Gupta, Kuldip C.</t>
  </si>
  <si>
    <t>Palo Alto;Boulder</t>
  </si>
  <si>
    <t>Space Systems Loral;University of Colorado Boulder</t>
  </si>
  <si>
    <t>Parrikar R.</t>
  </si>
  <si>
    <t>Multiport network model for CAD of electromagnetically coupled microstrip patch antennas</t>
  </si>
  <si>
    <t>S0018926X98026751</t>
  </si>
  <si>
    <t>10.1109/8.664110</t>
  </si>
  <si>
    <t>2-s2.0-0032048712</t>
  </si>
  <si>
    <t>Translational Science Center, Wake Forest University</t>
  </si>
  <si>
    <t>TSC</t>
  </si>
  <si>
    <t>['tie antenna', 'similarity properties', 'multiband behavior', 'known single', 'fractal shape', 'electromagnetic behavior', 'band bow', 'antenna surface', 'also display']</t>
  </si>
  <si>
    <t>Antennas | Fractals | Multifrequency antennas</t>
  </si>
  <si>
    <t>The multiband behavior of the fractal Sierpinski antenna is described in this paper. Due to its mainly triangular shape, the antenna is compared to the well-known single-band bow-tie antenna. Both experimental and numerical results show that the self-similarity properties of the fractal shape are translated into its electromagnetic behavior. A deeper physical insight on such a behavior is achieved by means of the computed current densities over the antenna surface, which also display some similarity properties through the bands. ¬© 1998 IEEE.</t>
  </si>
  <si>
    <t>517-524</t>
  </si>
  <si>
    <t>7006058796;56883021900;6701438680;6701335577</t>
  </si>
  <si>
    <t>Puente-Baliarda, Carles;Romeu, Jordi;Pous, Rafa√´;Cardama, Angel</t>
  </si>
  <si>
    <t>Puente-Baliarda C.</t>
  </si>
  <si>
    <t>On the behavior of the sierpinski multiband fractal antenna</t>
  </si>
  <si>
    <t>S0018926X98026787</t>
  </si>
  <si>
    <t>10.1109/8.664115</t>
  </si>
  <si>
    <t>2-s2.0-0032048777</t>
  </si>
  <si>
    <t>['traditional fdma', 'power level', 'orthogonal frequency', 'ofdma carriers', 'ofdm system', 'jitter spectrum', 'division multiple', 'degradation caused']</t>
  </si>
  <si>
    <t>Carrier phase jitter | Multiple-access systems | Orthogonal frequency-division multiplexing</t>
  </si>
  <si>
    <t>-We investigate the sensitivity to carrier phase jitter of an orthogonal frequency-division multiple-access (OFDMA) system. When all OFDMA carriers have the same power level and jitter spectrum, the degradation caused by the jitter is shown to be equal to the degradation of an OFDM system. Also, traditional FDMA is found to be slightly more robust than OFDMA. ¬© 1998 IEEE.</t>
  </si>
  <si>
    <t>456-459</t>
  </si>
  <si>
    <t>60033316;60033316;60033316</t>
  </si>
  <si>
    <t>6701397705;7006024992;7006591743</t>
  </si>
  <si>
    <t>Steendam, Heidi;Moeneclaey, Marc;Sari, Hikmet</t>
  </si>
  <si>
    <t>Steendam H.</t>
  </si>
  <si>
    <t>The effect of carrier phase jitter on the performance of orthogonal frequency-division multiple-access systems</t>
  </si>
  <si>
    <t>10.1109/26.664300</t>
  </si>
  <si>
    <t>2-s2.0-0032049283</t>
  </si>
  <si>
    <t>['surveillance radar', 'slb device', 'sidelobe blanking', 'random phase', 'random amplitude', 'radar system', 'pulsed interference', 'performance curves', 'known amplitude', 'form expressions', 'form expression', 'false alarms']</t>
  </si>
  <si>
    <t>Radar detection | Sidelobe blanking</t>
  </si>
  <si>
    <t>Impulsive interference might increase the number of false alarms in a surveillance radar. The sidelobe blanking (SLB) device, used in connection with the radar system, reduces the number of false alarms. This letter presents closed-form expressions of the probability (PB) of blanking an impulsive interference via an SLB device for two statistical models of pulsed interference, namely: i) known amplitude and random phase and ii) random amplitude and random phase. A closed-form expression of PB is found for the interference model ii. Performance curves are presented and compared for the two interference models.</t>
  </si>
  <si>
    <t>98-100</t>
  </si>
  <si>
    <t>IEEE Signal Processing Letters</t>
  </si>
  <si>
    <t>60073283;60028868</t>
  </si>
  <si>
    <t>57202472103;55257576900</t>
  </si>
  <si>
    <t>Farina, Alfonso;Gini, Fulvio</t>
  </si>
  <si>
    <t>Rome;Pisa</t>
  </si>
  <si>
    <t>Alenia Aeronautica;Universit√† di Pisa</t>
  </si>
  <si>
    <t>Calculation of blanking probability for the sidelobe blanking for two interference statistical models</t>
  </si>
  <si>
    <t>10.1109/97.664178</t>
  </si>
  <si>
    <t>2-s2.0-0032049367</t>
  </si>
  <si>
    <t>['provide modifications', 'possible candidates', 'frequency bands', 'experimental results', 'difference time', '900 mhz', '1800 mhz']</t>
  </si>
  <si>
    <t>Antennas | Mobile communication</t>
  </si>
  <si>
    <t>Planar inverted F antennas (PIFA) have been proposed as possible candidates for mobile telephone handsets. In this letter, we describe the design of a compact PIFA suitable for operation at 900 MHz. In addition, we provide modifications to this design that allow it to operate in dual-frequency bands at 900 and 1800 MHz. Finite-difference time-domain (FDTD) and experimental results are provided. ¬© 1998 IEEE.</t>
  </si>
  <si>
    <t>596-598</t>
  </si>
  <si>
    <t>60008592;100464541</t>
  </si>
  <si>
    <t>7006596703;7006019510</t>
  </si>
  <si>
    <t>Rowell, Corbett R.;Murch, R. D.</t>
  </si>
  <si>
    <t>Hong Kong;Sweden</t>
  </si>
  <si>
    <t>Hong Kong;Akersberga</t>
  </si>
  <si>
    <t>Hong Kong University of Science and Technology;Allgon Mobile Communications AB</t>
  </si>
  <si>
    <t>Rowell C.</t>
  </si>
  <si>
    <t>A compact PIFA suitable for dual-frequency 900/1800-MHz operation</t>
  </si>
  <si>
    <t>S0018926X98026891</t>
  </si>
  <si>
    <t>10.1109/8.664127</t>
  </si>
  <si>
    <t>2-s2.0-0032050269</t>
  </si>
  <si>
    <t>['square value', 'paper presents', 'multiple wide', 'minimum eigenvalue', 'linear arrays', 'edge elements']</t>
  </si>
  <si>
    <t>Antenna arrays | Interference suppression | Partial control</t>
  </si>
  <si>
    <t>This paper presents a simple and efficient array pattern synthesis technique for multiple wide-band interference suppression using only the edge elements of linear arrays. By minimizing the mean-square value of the pattern in the directions of interference, the eigenvector that corresponds to the minimum eigenvalue is computed to obtain the required current excitation of the edge elements. The number of computations is greatly reduced since partial amplitude control of the edge elements is used. ¬© 1998 IEEE.</t>
  </si>
  <si>
    <t>600-602</t>
  </si>
  <si>
    <t>60064180;60058937</t>
  </si>
  <si>
    <t>6603354173;7005550811</t>
  </si>
  <si>
    <t>Mismar, M. J.;Ismail, T. H.</t>
  </si>
  <si>
    <t>Jordan;Jordan</t>
  </si>
  <si>
    <t>Amman;Amman</t>
  </si>
  <si>
    <t>The University of Jordan;Al-Ahliyya Amman University</t>
  </si>
  <si>
    <t>Mismar M.</t>
  </si>
  <si>
    <t>Partial control for wide-band interference suppression using eigen approach</t>
  </si>
  <si>
    <t>S0018926X9802691X</t>
  </si>
  <si>
    <t>10.1109/8.664129</t>
  </si>
  <si>
    <t>2-s2.0-0032050270</t>
  </si>
  <si>
    <t>['particularly useful', 'novel method', 'normal mode', 'near field', 'mri scans', 'monopole antennas', 'metal wires', 'male volunteer', 'magnetic sources', 'induced sar', 'helix working', 'helical antennas', 'far field', 'experimental measurements', 'dosimetry associated', 'difference time', 'computed results', 'appropriate description', 'analytical expressions']</t>
  </si>
  <si>
    <t>FDTD methods | Land mobile radio cellular systems | Radiation effects</t>
  </si>
  <si>
    <t>In this paper, a novel method to model helical antennas working in the normal mode, as well as helix-monopole antennas with finite-difference time-domain (FDTD) code is presented. This method is particularly useful to model antennas used for personal wireless communication handsets, where the fairly small dimensions of the helical antennas with respect to wavelength and the grid cell size do not allow an appropriate description of the antennas by the use of metal wires. By observing that a helix working in the normal mode is equivalent to a sequence of loops and dipoles, it is possible to model the helix as a stack of electric and magnetic sources with relative weights calculated using information obtained from analytical expressions for the far-fields. Dosimetry associated with wireless telephones using helical antennas is then considered by calculating the specific absorption rates (SAR's) induced by two actual devices in a 1.974 x 1.974 x 3.0-mm resolution model of the human head based on MRI scans of a male volunteer. Comparison of the computed results with experimental measurements in the near field, the far field, and the induced SAR's shows good agreement. ¬©1998 IEEE.</t>
  </si>
  <si>
    <t>525-530</t>
  </si>
  <si>
    <t>60025488;60025488</t>
  </si>
  <si>
    <t>7003666534;7103082601</t>
  </si>
  <si>
    <t>Lazzi, Gianluca;Gandhi, Om P.</t>
  </si>
  <si>
    <t>Lazzi G.</t>
  </si>
  <si>
    <t>On modeling and personal dosimetry of cellular telephone helical antennas with the FDTD code</t>
  </si>
  <si>
    <t>S0018926X98026799</t>
  </si>
  <si>
    <t>10.1109/8.664116</t>
  </si>
  <si>
    <t>2-s2.0-0032051090</t>
  </si>
  <si>
    <t>['two improvement', 'requires knowledge', 'parameter configurations', 'paper describes', 'noise ratio', 'mode time', 'mode systems', 'main advantage', 'loop manner', 'likelihood techniques', 'diversity receiver', 'digital space', 'band frequency', 'antenna diversity', 'access system', '23 symbols', '10 db', '0015 across']</t>
  </si>
  <si>
    <t>-This paper describes a carrier-frequency offset estimator derived using maximum-likelihood techniques. The estimator is designed for a digital space-diversity receiver, operating in a wide-band frequency-selective multipath fading channel. The estimator is suited to a burst-mode time-division-multiple-access system, because the estimate is formed in an open-loop manner, and relies on a training sequence normally used in burst-mode systems. The main advantage is that it does not require channel state information; rather, it only requires knowledge of the autocorrelation of the channel. Simulation results show the estimator to be unbiased over a wide frequency range. The normalized error standard deviation is shown to be 0.0015 across the frequency offset range for a receiver with four diversity branches, when the normalized channel delay spread is 0.1, the signal-to-noise ratio (SNR) is 10 dB, and the training sequence length is 23 symbols. It is found that, for most parameter configurations, there is approximately a factor of two improvement in the estimate error standard deviation when the antenna diversity is doubled. ¬© 1998 IEEE.</t>
  </si>
  <si>
    <t>553-560</t>
  </si>
  <si>
    <t>60020585;60020585</t>
  </si>
  <si>
    <t>7801541184;7406865387</t>
  </si>
  <si>
    <t>Hebley, Matthew G.;Taylor, Desmond P.</t>
  </si>
  <si>
    <t>Christchurch</t>
  </si>
  <si>
    <t>University of Canterbury</t>
  </si>
  <si>
    <t>Hebley M.</t>
  </si>
  <si>
    <t>The effect of diversity on a burst-mode carrier-frequency estimator in the frequency-selective multipath channel</t>
  </si>
  <si>
    <t>10.1109/26.664311</t>
  </si>
  <si>
    <t>2-s2.0-0032051190</t>
  </si>
  <si>
    <t>['viscum album', 'terminal position', 'stimulated neutrophils', 'specific mistletoe', 'significant effect', 'sialic acid', 'reactive protein', 'oxidase system', 'ml produced', 'low concentrations', 'lectin activity', 'inhibitory effect', 'induced generation', 'h2o2 generation', 'functional activity', 'fmlp induced', 'fmlp ),', 'feedback regulation', 'different nature', 'different affinity', 'dependent inhibition', 'data suggest', 'consistent response', 'concentration range', 'chemotactic peptide', 'cells stimulated', 'cell response', 'carbohydrate antennae', '500 œºg', '50 œºg', '250 œºg', '100 œºg']</t>
  </si>
  <si>
    <t>Œ± -acidic glycoprotein 1 | Hydrogen peroxide | Lectins | Neutrophils</t>
  </si>
  <si>
    <t>The effects of Œ±1,-acidic glycoprotein (AGP) and its subfractions (glycoforms) with different affinity for concanavalin A on generation of H2O2 by human neutrophils exposed to stimulators of different nature, namely, galactose-specific mistletoe (Viscum album) lectin (VAA), digitonin, and N-formyl-Met-Leu-Phe, a chemotactic peptide (FMLP), were studied. Within the concentration range of 13-500 Œºg/ml, AGP and its glycoforms produced dose-dependent inhibition of digitonin-induced cell responses. AGP also inhibited the VAA-induced generation of H2O; however, this cell response was potentiated by low concentrations (50 Œºg/ml) of AGP and AGP-A. FMLP induced the most consistent response of neutrophils, which changed only slightly in the presence of AGP and AGP-B; however, low concentrations of AGP-A inhibited this response. The presence of sialic acid in the terminal position of carbohydrate antennae of AGP is not necessary for its inhibitory effect on human neutrophil respiratory burst because asialo-AGP (250 Œºg/ml) inhibited H2O2 generation by cells stimulated with agonists of the NADPH-oxidase system of phagocytes. In contrast to AGP, two other acute phase response proteins displaying a lectin activity (C-reactive protein and serum amyloid P component) within the concentration range of 10-100 Œºg/ml produced no significant effect on H2O2 generation by stimulated neutrophils. These data suggest that AGP is an effector molecule responsible for feedback regulation of the functional activity of neutrophils.</t>
  </si>
  <si>
    <t>Biochemistry (Moscow)</t>
  </si>
  <si>
    <t>60046660;60085212;60085212;60046660;60028717;60028717</t>
  </si>
  <si>
    <t>7004485727;7103341757;6602562389;57220337679;7005094994;36045658200</t>
  </si>
  <si>
    <t>Timoshenko, A. V.;Bovin, N. V.;Shiyan, S. D.;Vakhrushev, S. Yu;Andr√©, S.;Gabius, H. J.</t>
  </si>
  <si>
    <t>Russian Federation;Belarus;Germany</t>
  </si>
  <si>
    <t>Moscow;Minsk;Munich</t>
  </si>
  <si>
    <t>Shemyakin-Ovchinnikov Institute of Bioorganic Chemistry of the Russian Academy of Sciences;Belarusian State University;Ludwig-Maximilians-Universit√§t M√ºnchen</t>
  </si>
  <si>
    <t>60085212;60046660;60028717</t>
  </si>
  <si>
    <t>Timoshenko A.V.</t>
  </si>
  <si>
    <t>Modification of the functional activity of neutrophils treated with acute phase response proteins</t>
  </si>
  <si>
    <t>2-s2.0-0032061990</t>
  </si>
  <si>
    <t>['wave front', 'wave communications', 'wave circuits', 'technological background', 'paper reviews', 'nonlinear devices', 'millimeterwave sensorics', 'integrated circuits', 'complete millimeter', 'chip realizations', 'attractive option', 'art silicon', 'also presented', 'allows single', 'active devices']</t>
  </si>
  <si>
    <t>Millimeter-wave 1c | Silicon-based rf circuits</t>
  </si>
  <si>
    <t>Monolithic integrated millimeter-wave circuits based on silicon and SiGe are emerging as an attractive option in the field of millimeter-wave communications and millimeterwave sensorics. The combination of active devices with passive planar structures, including also antenna elements, allows single-chip realizations of complete millimeter-wave front-ends. This paper reviews the state-of-the-art silicon- and SiGe-based monolithic integrated millimeter-wave circuits. The technological background as well as active and nonlinear devices and passive circuit structures suitable for silicon- and SiGe-based monolithic integrated millimeter-wave circuits are discussed. Examples of such integrated circuits and first systems applications are also presented. ¬©1998 IEEE.</t>
  </si>
  <si>
    <t>590-603</t>
  </si>
  <si>
    <t>5 PART 2</t>
  </si>
  <si>
    <t>Russer, Peter</t>
  </si>
  <si>
    <t>Technical University of Munich</t>
  </si>
  <si>
    <t>Russer P.</t>
  </si>
  <si>
    <t>Si and sige millimeter-wave integrated circuits</t>
  </si>
  <si>
    <t>S0018948098033924</t>
  </si>
  <si>
    <t>10.1109/22.668668</t>
  </si>
  <si>
    <t>2-s2.0-0032069709</t>
  </si>
  <si>
    <t>NSC 85-2215-E-009-045</t>
  </si>
  <si>
    <t>['stub lengths', 'resonant frequency', 'present structure', 'port aperture', 'polarized fields', 'mpie ).', 'moments together', 'measured cross', 'line ports', 'ground plane', 'field coming', 'feeding port', 'feedback resonator', 'e .,', 'designed using', 'design one', 'coupling power', 'coupled back', 'copolarized ones', 'clean spectrum', 'circuit layer', 'antenna served', 'another aperture', 'analyzed using', '79 ghz', '39 mw']</t>
  </si>
  <si>
    <t>Feedback antenna oscillator | Method of moments | Tow-port microstrip antenna</t>
  </si>
  <si>
    <t>A two-port aperture-coupled microstrip antenna was analyzed using the method of moments together with a mixed potential integral equation (MPIE). The antenna contains two microstrip-line ports (i.e., a feeding port and a coupling port). The field coming from one microstrip line on the circuit layer is fed into the patch through an aperture on the ground plane. Part of the field is then coupled back to a second microstrip line through another aperture on the same ground. The influences of the stub lengths, along with the positions and sizes of the apertures, on the coupling power and the resonant frequency were investigated. As an application, a feedback antenna oscillator was designed using the present structure where the antenna served not only as a radiator, but also as a feedback resonator. The oscillation was stable and with a clean spectrum at the frequency of 9.79 GHz, which was only 0.2% different from the design one. An effective isotropic radiated power (EIRP) of 39 mW was achieved. The measured cross-polarized fields were at least 15 dB lower than the copolarized ones. ¬© 1998 IEEE.</t>
  </si>
  <si>
    <t>530-535</t>
  </si>
  <si>
    <t>Analysis and application of a two-port aperture-coupled microstrip antenna</t>
  </si>
  <si>
    <t>S0018948098031664</t>
  </si>
  <si>
    <t>10.1109/22.668652</t>
  </si>
  <si>
    <t>2-s2.0-0032070277</t>
  </si>
  <si>
    <t>16 SV 417/0</t>
  </si>
  <si>
    <t>['wave circuits', 'wave antenna', 'vehicles consisting', 'two modules', 'tilt angle', 'second step', 'road condition', 'receiving circuit', 'polarimetric information', 'monostatic arrangement', 'flat arrangement', 'first approach', 'distance measurement', 'combined bistatic']</t>
  </si>
  <si>
    <t>Active antennas | Leaky-wave antennas | Radar polarimetry | Radar position measurement | Road vehicle radar | SIMMWIC</t>
  </si>
  <si>
    <t>A multifunctional radar system for vehicles consisting of two modules with a combined bistatic/monostatic arrangement is presented. One module acts as a transceiver, whereas the other is a receiving circuit. The transmitting part radiates a frequency-modulated signal alternately in two orthogonal polarizations. The receiving parts work with different local oscillator (LO) frequencies and detect both polarizations of the scattered signal simultaneously. From the resulting Doppler spectra and a distance measurement, the velocity, tilt angle, height with respect to ground, and the direction of the movement of a vehicle can be derived. From the polarimetric information, a classification of the road condition is possible. In a first approach, the sensor was built in a conventional waveguide technique. The second step was to realize the millimeter-wave circuits of both modules with monolithic silicon millimeter-wave integrated circuit (SIMMWIC) technology. To achieve a flat arrangement, a leaky-wave antenna is developed and coupled to the SIMMWIC's. ¬© 1998 IEEE.</t>
  </si>
  <si>
    <t>701-708</t>
  </si>
  <si>
    <t>60085149;60085149;60085149;60085149;120296612;60010586;60010586</t>
  </si>
  <si>
    <t>6603018207;7003971679;7004589090;6508364964;6508110503;7003783890;55381793300</t>
  </si>
  <si>
    <t>Wollitzer, Michael;Buechler, J.;Luy, J. F.;Siart, Uwe;Schmidhammer, E.;Detlefsen, J.;Esslinger, M.</t>
  </si>
  <si>
    <t>Stuttgart;Ulm;Pirna</t>
  </si>
  <si>
    <t>Daimler AG;Universit√§t Ulm;Technische Universit√§t</t>
  </si>
  <si>
    <t>60085149;60010586;120296612</t>
  </si>
  <si>
    <t>Wollitzer M.</t>
  </si>
  <si>
    <t>Multifunctional radar sensor for automotive application</t>
  </si>
  <si>
    <t>S0018948098033882</t>
  </si>
  <si>
    <t>10.1109/22.668685</t>
  </si>
  <si>
    <t>2-s2.0-0032070308</t>
  </si>
  <si>
    <t>['uniform division', 'procedure results', 'plate waveguide', 'parallel plate', 'low cost', 'feed waveguide', 'easily fabricated', 'authors propose']</t>
  </si>
  <si>
    <t>Parallel-plate waveguides</t>
  </si>
  <si>
    <t>The authors propose a novel feed structure to excite a plane TEM wave in a parallel-plate waveguide. The feed waveguide is composed of densely arrayed posts on the same layer as the parallel plate. The posts can be easily fabricated at low cost by making metalized via holes in a grounded dielectric substrate. Such a procedure results in a quite simple fabrication of the antenna. The feed waveguide is designed to obtain a uniform division, which is confirmed by measurements on a 40-GHz band model. ¬© 1998 IEEE.</t>
  </si>
  <si>
    <t>625-630</t>
  </si>
  <si>
    <t>60031126;60031126</t>
  </si>
  <si>
    <t>7006899159;35495699200</t>
  </si>
  <si>
    <t>Hirokawa, Jiro;Ando, Makoto</t>
  </si>
  <si>
    <t>Hirokawa J.</t>
  </si>
  <si>
    <t>Single-layer feed waveguide consisting of posts for plane tem wave excitation in parallel plates</t>
  </si>
  <si>
    <t>S0018926X98033687</t>
  </si>
  <si>
    <t>10.1109/8.668903</t>
  </si>
  <si>
    <t>2-s2.0-0032070812</t>
  </si>
  <si>
    <t>['using miniature', 'two ka', 'rotational element', 'rf beamformer', 'paper demonstrates', 'novel means', 'micromachined motors', 'main beam', 'field radiation', 'delay lines', 'conventional design', 'band half', 'aperture efficiencies']</t>
  </si>
  <si>
    <t>Circular polarization | Microstrip element | Reflectarray antenna | Variable rotation angle</t>
  </si>
  <si>
    <t>This paper demonstrates a novel means of achieving cophasal far-field radiation for a circularly polarized microstrip reflectarray with elements having variable rotation angles. Two Ka-band half-meter microstrip reflectarrays have been fabricated and tested. Both are believed to be the electrically largest reflectarrays ever developed using microstrip patches. One-a conventional design-has identical square patches with variable-length microstrip phase-delay lines attached. The other has identical square patches with identical microstrip phase-delay lines but different element rotation angles. Both antennas demonstrated excellent performance with more than 55% aperture efficiencies, but the one with variable rotation angles resulted in better overall performance. A brief mathematical analysis is presented to validate this "rotational element" approach. With this approach, a means of scanning the main beam of the reflectarray over a wide angular region without any RF beamformer by using miniature or micromachined motors is viable. ¬© 1998 IEEE.</t>
  </si>
  <si>
    <t>650-656</t>
  </si>
  <si>
    <t>7408102852;7004263090</t>
  </si>
  <si>
    <t>Huang, John;Pogorzelski, Ronald J.</t>
  </si>
  <si>
    <t>A ka-band microstrip reflectarray with elements having variable rotation angles</t>
  </si>
  <si>
    <t>S0018926X98033729</t>
  </si>
  <si>
    <t>10.1109/8.668907</t>
  </si>
  <si>
    <t>2-s2.0-0032071040</t>
  </si>
  <si>
    <t>['surface waves', 'surface wave', 'stored energy', 'presented method', 'power carried', 'planar antennas', 'numerical results', 'numerical integration', 'multilayered structure', 'energy stored', 'computation time', 'analytically calculate', 'analytical method', 'aided design']</t>
  </si>
  <si>
    <t>Nonhomogeneous media | Surface waves</t>
  </si>
  <si>
    <t>A novel rigorous analysis of the surface waves excited by a Hertzian dipole embedded in a multilayered structure is presented. A transmission-line resonator equivalent circuit is used to calculate the surface wave's electromagnetic field components. It is shown that the power carried by the surface waves is related to the energy stored in the resonator. An analytical method for the calculation of the stored energy is given. A simple algorithm iterating over the layers of the structure is derived to analytically calculate the surface wave's electromagnetic field components and the power carried by surface waves. The need of numerical integration or calculation of residues is omitted. This benefits a reduction in computation time and an improvement in accuracy and versatility of computer-aided design (CAD) programs. The presented method has been implemented in a microwave CAD program. Numerical results for planar antennas are presented. ¬© 1998 IEEE.</t>
  </si>
  <si>
    <t>686-693</t>
  </si>
  <si>
    <t>60019722;60019722</t>
  </si>
  <si>
    <t>7003533185;7004736208</t>
  </si>
  <si>
    <t>Thieme, Markus O.;Biebl, Erwin M.</t>
  </si>
  <si>
    <t>Thieme M.</t>
  </si>
  <si>
    <t>Calculation of the surface-wave excitation in multilayered structures</t>
  </si>
  <si>
    <t>S0018926X98034024</t>
  </si>
  <si>
    <t>10.1109/8.668912</t>
  </si>
  <si>
    <t>2-s2.0-0032071134</t>
  </si>
  <si>
    <t>['usual restriction', 'nonrectangular grid', 'measurement approaches', 'field data', 'data points', 'computational complexity', 'collected intentionally']</t>
  </si>
  <si>
    <t>Antenna measurements</t>
  </si>
  <si>
    <t>We introduce a near-field to far-field transformation algorithm that relaxes the usual restriction that data points be located on a plane rectangular grid. Computational complexity is O(N\ogN) where N is the number of data points. This algorithm allows efficient processing of near-field data with known probe position errors. Also, the algorithm is applicable to other measurement approaches such as plane-polar scanning,: where data are collected intentionally on a nonrectangular grid.</t>
  </si>
  <si>
    <t>716-722</t>
  </si>
  <si>
    <t>60023053;60023053;60023053</t>
  </si>
  <si>
    <t>7005497310;7103372645;7201841610</t>
  </si>
  <si>
    <t>Wittmann, Ronald C.;Alpert, Bradley K.;Francis, Michael H.</t>
  </si>
  <si>
    <t>Wittmann R.C.</t>
  </si>
  <si>
    <t>Near-field antenna measurements using nonideal measurement locations</t>
  </si>
  <si>
    <t>S0018926X98034188</t>
  </si>
  <si>
    <t>10.1109/8.668916</t>
  </si>
  <si>
    <t>2-s2.0-0032071135</t>
  </si>
  <si>
    <t>['value increasing', 'temperature dependence', 'spectrum shifts', 'room temperature', 'output power', 'lower frequencies', 'low biases', 'high biases', 'applied biases', 'abrupt decrease', '90 k', '150 k', '100 k']</t>
  </si>
  <si>
    <t>The temperature dependence of the terahertz (THz) output power and spectra from biased photoconductive switches was measured for several antenna gap widths and applied biases. The spectrally integrated THz output had a nonmonotonic temperature dependence in all cases with the value increasing by a factor of 3 from room temperature to 150 K for low biases and 100 K at high biases. An abrupt decrease in output power occurs below 90 K, and the spectrum shifts to lower frequencies as the temperature is lowered. ¬© 1998 American Institute of Physics.</t>
  </si>
  <si>
    <t>2229-2231</t>
  </si>
  <si>
    <t>6603673375;6701523804</t>
  </si>
  <si>
    <t>Markelz, A. G.;Heilweil, E. J.</t>
  </si>
  <si>
    <t>Markelz A.</t>
  </si>
  <si>
    <t>Temperature-dependent terahertz output from semi-insulating GaAs photoconductive switches</t>
  </si>
  <si>
    <t>S0003695198043186</t>
  </si>
  <si>
    <t>10.1063/1.121329</t>
  </si>
  <si>
    <t>2-s2.0-0032071530</t>
  </si>
  <si>
    <t>['various applications', 'tuning bandwidth', 'rce detectors', 'rce detector', 'network analyzer', 'microwave detector', 'localized modes', 'increased sensitivity', 'defect structures', 'conventional detectors', '8 ghz']</t>
  </si>
  <si>
    <t>We report a resonant cavity enhanced (RCE) detector built around a three-dimensional photonic band gap crystal. The RCE detector was built by placing a monopole antenna within the localized modes of planar and boxlike defect structures. The enhanced electric field around these defect structures were then measured by a microwave detector and a network analyzer. We measured a power enhancement factor of 3450 for planar cavity structures. A Fabry-Perot cavity model was used to understand and predict resonant cavity enhancement in this structure. The tuning bandwidth of the RCE detector extends from 10.5 to 12.8 GHz, which corresponds to the full photonic band gap by the crystal. These RCE detectors have increased sensitivity and efficiency when compared to conventional detectors, and can be used for various applications. ¬© 1998 American Institute of Physics.</t>
  </si>
  <si>
    <t>2376-2378</t>
  </si>
  <si>
    <t>60014808;60014808;60008023;60008023;60008023</t>
  </si>
  <si>
    <t>6603954305;7005956635;7004925462;7003341982;7403581673</t>
  </si>
  <si>
    <t>Temelkuran, B.;Ozbay, E.;Kavanaugh, J. P.;Tuttle, G.;Ho, K. M.</t>
  </si>
  <si>
    <t>Ankara;Ames</t>
  </si>
  <si>
    <t>Bilkent √úniversitesi;Ames Laboratory</t>
  </si>
  <si>
    <t>60014808;60008023</t>
  </si>
  <si>
    <t>Temelkuran B.</t>
  </si>
  <si>
    <t>Resonant cavity enhanced detectors embedded in photonic crystals</t>
  </si>
  <si>
    <t>S0003695198022190</t>
  </si>
  <si>
    <t>10.1063/1.121361</t>
  </si>
  <si>
    <t>2-s2.0-0032071531</t>
  </si>
  <si>
    <t>['traditional least', 'timedivision multiple', 'squares solution', 'squares methods', 'reverse channel', 'niultipath mitigation', 'based solution']</t>
  </si>
  <si>
    <t>Array signal processing | Higher order statistics | Interference suppression | Land mobile radio cellular systems | Time-division multiaccess</t>
  </si>
  <si>
    <t>A new adaptive algorithm for blind interference rejection and niultipath mitigation is studied and applied to antenna array processing in the reverse channel of a timedivision multiple-access (TDMA) cellular communication system. The method is based on higher order statistics (HOS) processing of the baseband vector samples at the antenna array output. The similarity between the cumulant-based solution and the standard multivariable least-squares solution is exploited to derive an efficient adaptive algorithm based on a low-rank processing architecture. The algorithm exhibits good tracking and enhanced identification capability with respect to traditional least-squares methods. ¬©1998 IEEE.</t>
  </si>
  <si>
    <t>627-643</t>
  </si>
  <si>
    <t>An adaptive algorithm for antenna array lowrank processing in cellular TDMA base stations</t>
  </si>
  <si>
    <t>S0090677898038689</t>
  </si>
  <si>
    <t>10.1109/26.668734</t>
  </si>
  <si>
    <t>2-s2.0-0032071750</t>
  </si>
  <si>
    <t>['wide bandwidth', 'submillimeter wavelengths', 'optical devices', 'new dual', 'method calculation', 'low impedance', 'impedance characteristics']</t>
  </si>
  <si>
    <t>Slot antennas</t>
  </si>
  <si>
    <t>We describe a new dual-polarized slot antenna to be used with quasi-optical devices such as superconductor-insulatorsuperconductor (SIS) mixers at millimeter and submillimeter wavelengths. The radiation and impedance characteristics of the antenna were obtained from a moment-method calculation. The antenna has an excellent radiation pattern, a low impedance, wide bandwidth, and low cross polarization. ¬© 1998 IEEE.</t>
  </si>
  <si>
    <t>736-737</t>
  </si>
  <si>
    <t>60031581;60031581</t>
  </si>
  <si>
    <t>7006729055;7004482405</t>
  </si>
  <si>
    <t>Chattopadhyay, Goutam;Zmuidzinas, Jonas</t>
  </si>
  <si>
    <t>Chattopadhyay G.</t>
  </si>
  <si>
    <t>A dual-polarized slot antenna for millimeter waves</t>
  </si>
  <si>
    <t>S0018926X98034176</t>
  </si>
  <si>
    <t>10.1109/8.668920</t>
  </si>
  <si>
    <t>2-s2.0-0032072219</t>
  </si>
  <si>
    <t>01 M 2938 A 8</t>
  </si>
  <si>
    <t>['resistivity silicon', 'rectifying antennas', 'processing electronics', 'multichip module', 'monolithic integration', 'maximum sensitivity', 'frequency control', 'frequency circuits', 'cutoff frequencies', 'cmos circuitry', '6 ghz', '32 db', '1600 mv', '1 thz']</t>
  </si>
  <si>
    <t>CMOS | Detector circuits | Millimeter-wave circuits | Rectenna | Schottky diode | SIMMWIC</t>
  </si>
  <si>
    <t>Rectifying antennas (rectennas) are realized on highresistivity silicon substrates using silicon monolithic millimeterwave integrated circuit (SIMMWIC) technology. Monolithically integrated coplanar Schottky barrier diodes are used as rectifying elements embedded in different antenna structures. Both p- and n-type Schottky barrier diodes are realized with cutoff frequencies up to 1 THz. The rectennas are combined with a CMOS preamplifier mounted as a multichip module (MCM) next to the rectenna on a high-resistivity silicon substrate. An amplification of 32 dB is measured. Maximum sensitivity of the detector circuit including preamplification is 1600 mV/mW ¬∑ cm 2 at 94.6 GHz. For a monolithic integration of high-frequency circuits with low-frequency control and signal-processing electronics, the monolithic integration of CMOS circuitry on high-resistivity silicon is discussed. ¬© 1998 IEEE.</t>
  </si>
  <si>
    <t>669-676</t>
  </si>
  <si>
    <t>60085149-60015815;60085149-60015815;60085149-60015815</t>
  </si>
  <si>
    <t>7003507147;7003971679;24802091400</t>
  </si>
  <si>
    <t>Strohm, Karl M.;Buechler, Josef;Kasper, Erich</t>
  </si>
  <si>
    <t>Stuttgart;Stuttgart</t>
  </si>
  <si>
    <t>Daimler AG;Universit√§t Stuttgart</t>
  </si>
  <si>
    <t>60085149;60015815</t>
  </si>
  <si>
    <t>Strohm K.</t>
  </si>
  <si>
    <t>SIMMWIC rectennas on high-resistivity silicon and cmos compatibility</t>
  </si>
  <si>
    <t>S0018948098034395</t>
  </si>
  <si>
    <t>10.1109/22.668681</t>
  </si>
  <si>
    <t>2-s2.0-0032072534</t>
  </si>
  <si>
    <t>['spaced antennas', 'second set', 'gps carrier', 'first set', 'experiments compared']</t>
  </si>
  <si>
    <t>Ve report on tests of time transfer using the phase of the GPS carrier. The first set of experiments used two clocks connected to independent GPS receivers with closely-spaced antennas. The second set of experiments compared a clock at NIST in Boulder with one at the US Naval Observatory in Washington, DC. ¬© 1998 IEEE.</t>
  </si>
  <si>
    <t>539-540</t>
  </si>
  <si>
    <t>IEEE Transactions on Ultrasonics, Ferroelectrics, and Frequency Control</t>
  </si>
  <si>
    <t>60000221;60023053</t>
  </si>
  <si>
    <t>26643033600;7403580023</t>
  </si>
  <si>
    <t>Larson, Kristine;Levine, Judah</t>
  </si>
  <si>
    <t>Gaithersburg;Boulder</t>
  </si>
  <si>
    <t>National Institute of Standards and Technology;University of Colorado Boulder</t>
  </si>
  <si>
    <t>60023053;60000221</t>
  </si>
  <si>
    <t>Larson K.</t>
  </si>
  <si>
    <t>Time transfer using the phase of the GPS carrier</t>
  </si>
  <si>
    <t>10.1109/58.677598</t>
  </si>
  <si>
    <t>2-s2.0-0032072621</t>
  </si>
  <si>
    <t>NSC 85-2213-E-009-016</t>
  </si>
  <si>
    <t>['source directions', 'sinr ).', 'paper proposes', 'optimum beamforming', 'noise ratio', 'desired signal', 'coherent interference', 'beamforming scheme', 'arbitrary geometry']</t>
  </si>
  <si>
    <t>Adaptive arrays</t>
  </si>
  <si>
    <t>This paper proposes a beamforming scheme for suppressing coherent interference with an array of arbitrary geometry. The scheme first uses estimates of the source directions to construct a transformation, which removes the desired signal while retaining the coherent interference. Optimum beamforming is then performed on the transformed data containing only interference and noise to produce the maximum output signalto-interference-plus-noise ratio (SINR). Analysis and numerical results demonstrate that the proposed complementally transformed beamformer significantly outperforms the conventional multiply constrained minimum variance (MCMV) beamformers. ¬© 1998 IEEE.</t>
  </si>
  <si>
    <t>609-617</t>
  </si>
  <si>
    <t>7501435107;7404861571</t>
  </si>
  <si>
    <t>Lee, Ta Sung;Lin, Tsui Tsai</t>
  </si>
  <si>
    <t>Lee T.</t>
  </si>
  <si>
    <t>Coherent interference suppression with complementally transformed adaptive beamformer</t>
  </si>
  <si>
    <t>S0018926X98033651</t>
  </si>
  <si>
    <t>10.1109/8.668901</t>
  </si>
  <si>
    <t>2-s2.0-0032072679</t>
  </si>
  <si>
    <t>['weighting functions', 'standard least', 'squares method', 'simulation examples', 'robust modeling', 'new method', 'computational complexity', 'arrival estimation']</t>
  </si>
  <si>
    <t>Antenna arrays | Direction-of-arrival estimation | Impulsive noise | Maximum likelihood estimation</t>
  </si>
  <si>
    <t>In this correspondence, a nonlinearly weighted least-squares method is developed for robust modeling of sensor array data. Weighting functions for various observation noise scenarios are determined using maximum likelihood estimation theory. Computational complexity of the new method is comparable with the standard least-squares estimation procedures. Simulation examples of direction-of-arrival estimation are presented. ¬© 1998 IEEE.</t>
  </si>
  <si>
    <t>1443-1451</t>
  </si>
  <si>
    <t>60014808;60014808;60014808</t>
  </si>
  <si>
    <t>6701494038;6506823588;56782301600</t>
  </si>
  <si>
    <t>Yardimci, Yasemin;Enis √áetin, A.;Cadzow, James A.</t>
  </si>
  <si>
    <t>Ankara</t>
  </si>
  <si>
    <t>Bilkent √úniversitesi</t>
  </si>
  <si>
    <t>Yardimci Y.</t>
  </si>
  <si>
    <t>Robust direction-of-arrival estimation in non-Gaussian noise</t>
  </si>
  <si>
    <t>S1053587X98032772</t>
  </si>
  <si>
    <t>10.1109/78.668808</t>
  </si>
  <si>
    <t>2-s2.0-0032072929</t>
  </si>
  <si>
    <t>['wide range', 'supergrid method', 'sgm ).', 'scan angle', 'rectifying antenna', 'rectenna applies', 'receiver demonstrate', 'polarization discrimination', 'patch antenna', 'numerically optimized', 'novel low', 'measurement results', 'integrated w', 'excellent cross', 'circularly polarized', 'band rectenna', '76 ghz', '14 db', '12 db']</t>
  </si>
  <si>
    <t>Active antenna | Automotive radar | Circular polarization | Circularly polarized antenna</t>
  </si>
  <si>
    <t>A circularly polarized (CP) silicon-integrated W-band rectenna (rectifying antenna) for use in six-port polarimetric radar systems was designed, numerically optimized, and fabricated. A rigorous numerical optimization was performed by using the supergrid method (SGM). The rectenna applies a novel low-loss purely planar dual-patch antenna (DPA) layout, which allows the receiver to be manufactured using monolithic integration. The measurement results for the receiver demonstrate an excellent cross-polarization discrimination (XPD) &gt;14 dB @ 76 GHz over a wide range of the scan angle (12 dB @ ¬±20¬∞). ¬© 1998 IEEE.</t>
  </si>
  <si>
    <t>715-718</t>
  </si>
  <si>
    <t>60019722;60019722;60019722</t>
  </si>
  <si>
    <t>6603672824;7003533185;7004736208</t>
  </si>
  <si>
    <t>Rasshofer, Ralph H.;Thieme, Markus O.;Biebl, Erwin M.</t>
  </si>
  <si>
    <t>Rasshofer R.</t>
  </si>
  <si>
    <t>Circularly polarized millimeter-wave rectenna on silicon substrate</t>
  </si>
  <si>
    <t>S001894809803381X</t>
  </si>
  <si>
    <t>10.1109/22.668688</t>
  </si>
  <si>
    <t>2-s2.0-0032073389</t>
  </si>
  <si>
    <t>13/96</t>
  </si>
  <si>
    <t>['wave analysis', 'sidelobe levels', 'radiation characteristics', 'paper presents', 'obtained using', 'layered geometry', 'image theory', 'ground plane', 'fraunhofer zones', 'far zone', 'equivalence principle', 'dominant tei', 'db beamwidths', 'chiral radome', 'approximate expressions', 'aperture antenna', 'antenna parameters']</t>
  </si>
  <si>
    <t>Aperture antennas | Chiral media | Dielectric radome | Dyadic green's function | Electromagnetic wave theory</t>
  </si>
  <si>
    <t>This paper presents a full-wave analysis of the radiation characteristics of an aperture antenna that is flush-mounted on a ground plane and fed by a circular waveguide supporting the dominant TEi i mode. The antenna is covered by a dielectric hemispherical chiral radome. Huygen's equivalence principle and the image theory are utilized to simplify the problem. The magnetic dyadic Green's function for the three-layered geometry is formulated and applied to analyze the radiated electromagnetic fields outside the chiral radome. Both the exact and approximate expressions of electric fields valid for the Fresnel and Fraunhofer zones are obtained using the spherical vector wave functions and their approximations in the far zone. Various chiral materials are assumed and computations of antenna parameters are carried out. The effects of the dielectric chiral radome on the radiation power patterns, sidelobe levels, and 3-dB beamwidths are also discussed numerically. ¬© 1998 IEEE.</t>
  </si>
  <si>
    <t>664-671</t>
  </si>
  <si>
    <t>7501449136;7102006113;35581072400;7102523120;7403279345</t>
  </si>
  <si>
    <t>Li, Le Wei;Leong, Mook Seng;Kooi, Pang Shyan;Yeo, Tat Soon;Qiu, You Lin</t>
  </si>
  <si>
    <t>Radiation of an aperture antenna covered by a spherical-shell chiral radome and fed by a circular waveguide</t>
  </si>
  <si>
    <t>S0018926X9803405X</t>
  </si>
  <si>
    <t>10.1109/8.668909</t>
  </si>
  <si>
    <t>2-s2.0-0032073453</t>
  </si>
  <si>
    <t>['video synchronization', 'service information', 'processing algorithm', 'paper introduces', 'koreasat dbs', 'dbs encoder', 'data stream', 'conditional access', 'channel information', '5 ].']</t>
  </si>
  <si>
    <t>Koreasat DBS(Digital Broadcasting Satellite) receiver[1] consists of 45 cm antenna, LNB(Low Noise Block), STB(Set-Top-Box), smart card and remote-controller. In order to work with DBS encoder, the STB should be designed and implemented to process a SI/PSI(Service Information/Program Specific Information) and RSMS(Resource and Subscriber Management System)[2] data stream. A SI/PSI and RSMS data stream comes from transport stream packet via a RSMS. The SI/PSI and RSMS data stream is very important because it relates with channel information and conditional access. The definition of SI/PSI and RSMS data stream for Koreasat DBS System was based on the DVB(Digital Video Broadcasting) standard and MPEG(Moving Picture Experts Group) standard[3-5]. This paper introduces an algorithm on SI/PSI and RSMS data stream processing as well as PCR/PTS(Program Clock Reference / Presentation Time Stamp) processing algorithm which is related with audio and video synchronization. ¬© 1998 IEEE.</t>
  </si>
  <si>
    <t>IEEE Transactions on Consumer Electronics</t>
  </si>
  <si>
    <t>60001558;60001558;60001558</t>
  </si>
  <si>
    <t>54679472600;57198557006;55720152400</t>
  </si>
  <si>
    <t>Han, Dong Hee;Yang, Kyu Tae;Kim, Jin Ho</t>
  </si>
  <si>
    <t>Han D.H.</t>
  </si>
  <si>
    <t>A SI/PSI, RSMS data stream and PCR/PTS processing algorithm for Koreasat digital DBS system</t>
  </si>
  <si>
    <t>10.1109/30.681956</t>
  </si>
  <si>
    <t>2-s2.0-0032074122</t>
  </si>
  <si>
    <t>NSC-86-2209</t>
  </si>
  <si>
    <t>['two types', 'station antenna', 'slot voltages', 'serial admittance', 'segment number', 'radiation pattern', 'radiation effect', 'line analysis', 'input impedance', 'current distribution', 'colinear antennas', 'coaxial cable']</t>
  </si>
  <si>
    <t>Coaxial-colinear antenna | Field pattern | Gain | Input impedance | Slotted coaxial antenna | Transmission line analysis</t>
  </si>
  <si>
    <t>Two types of linear coaxial antennas, coaxial-colinear antennas, and slotted coaxial antennas are studied to check the possibility of using them as the base-station antenna in personal communication systems. The slot voltages and input impedance of linear coaxial antennas are obtained by using a transmission-line analysis where the radiation effect is accounted by a shunt and a serial admittance, respectively. The current distribution is obtained by solving an integral equation using the method of moments. The radiation pattern and directivity are then obtained from the current distribution and the reflection coefficient inside the coaxial cable. Factors analyzed include frequency, coaxial filling permittivity, and segment number. ¬© 1998 IEEE.</t>
  </si>
  <si>
    <t>636-642</t>
  </si>
  <si>
    <t>Kiang, Jean Fu</t>
  </si>
  <si>
    <t>Taichung</t>
  </si>
  <si>
    <t>National Chung Hsing University</t>
  </si>
  <si>
    <t>Kiang J.</t>
  </si>
  <si>
    <t>Analysis of linear coaxial antennas</t>
  </si>
  <si>
    <t>S0018926X98033705</t>
  </si>
  <si>
    <t>10.1109/8.668905</t>
  </si>
  <si>
    <t>2-s2.0-0032074258</t>
  </si>
  <si>
    <t>Griffith University</t>
  </si>
  <si>
    <t>['peak gain', 'paper describes', 'mobile communications', 'main lobe', 'located radially', 'fourelement yagi', 'four elements', 'elevation angles', 'electronically switching', 'array covers', '70 ¬∞', '7 dbi', '62 ghz', '54 ghz', '4 dbi']</t>
  </si>
  <si>
    <t>Antenna arrays | Microstrip antennas | Yagi-uda arrays</t>
  </si>
  <si>
    <t>This paper describes a dual-frequency circularly polarized electronically steerable microstrip patch antenna array suitable for land-mobile communications. Based on a fourelement Yagi-Uda patch antenna, the four antennas forming the array are located radially from a single square reflector patch on a double-sided printed circuit board. The main lobe of the array covers the elevation angles from 20 to 70¬∞ with a peak gain of 8.4 dBi at 1.54 GHz and 11.7 dBi at 1.62 GHz. Full azimuthal coverage is possible by electronically switching between the four elements. ¬© 1998 IEEE.</t>
  </si>
  <si>
    <t>605-608</t>
  </si>
  <si>
    <t>60032987;60032987;60032987</t>
  </si>
  <si>
    <t>7403494038;55806552500;36893654800</t>
  </si>
  <si>
    <t>Gray, Derek;Lu, Jun Wei;Thiel, David V.</t>
  </si>
  <si>
    <t>Gray D.</t>
  </si>
  <si>
    <t>Electronically steerable yagi-uda microstrip patch antenna array</t>
  </si>
  <si>
    <t>S0018926X9803364X</t>
  </si>
  <si>
    <t>10.1109/8.668900</t>
  </si>
  <si>
    <t>2-s2.0-0032074889</t>
  </si>
  <si>
    <t>['wall cells', 'surrounding environment', 'several examples', 'radiation patterns', 'planar geometries', 'measured results', 'material parameters', 'ground plane', 'good agreement', 'extent substrate', 'completely avoiding', 'calculated patterns', 'based method']</t>
  </si>
  <si>
    <t>Method of moments | Microstrip antennas</t>
  </si>
  <si>
    <t>A cellular-space-division-based method of moments (MoM) algorithm for the analysis of geometries involving imperfectly conducting planar radiators as well as lossy and finiteextent dielectric substrates is presented. Since the technique-via the volume equivalence theorem-replaces the structure under analysis with an equivalent structure composed of thin-wall cells, modeling of the surrounding environment is not required, hence, completely avoiding the need for absorbing boundary conditions. Real (as opposed to perfect) material parameters are incorporated via properly defined surface impedances. Several examples of radiation patterns (including radiation underneath the ground plane of a finite-extent substrate) of planar geometries are presented. The calculated patterns are compared with measured results and are found to be in good agreement. ¬© 1998 IEEE.</t>
  </si>
  <si>
    <t>723-729</t>
  </si>
  <si>
    <t>6602632189;7006128443</t>
  </si>
  <si>
    <t>Gimersky, Martin;Bornemann, Jens</t>
  </si>
  <si>
    <t>Gimersky M.</t>
  </si>
  <si>
    <t>A cellular-space-division-based method of moments algorithm for the pattern analysis of printed-circuit radiators</t>
  </si>
  <si>
    <t>S0018926X98034218</t>
  </si>
  <si>
    <t>10.1109/8.668917</t>
  </si>
  <si>
    <t>2-s2.0-0032075189</t>
  </si>
  <si>
    <t>['various spacings', 'uniform heating', 'square apertures', 'smaller 2', 'results demonstrate', 'radiating aperture', 'previous investigations', 'outer perimeter', 'microwave antennas', 'element arrays', 'effort extends', '5 mm']</t>
  </si>
  <si>
    <t>Array applicator | Fdtd modeling | Flexible antennas | Hyperthermia | Microwave antennas | Power deposition | Tissue heating</t>
  </si>
  <si>
    <t>The finite difference time domain (FDTD) method has been used to calculate electromagnetic radiation patterns from 915-MHz dual concentric conductor (DCC) microwave antennas that are constructed from thin and flexible printed circuit board (PCB) materials. Radiated field distributions are calculated in homogeneous lossy muscle tissue loads located under variable thickness coupling bolus layers. This effort extends the results of previous investigations to consider more realistic applicator configurations with smaller 2-cm-square apertures and different coupling bolus materials and thicknesses, as well as various spacings of multiple-element arrays. Results are given for practical applicator designs with microstrip feedlines etched on the backside of the PCB antenna array instead of previously tested bulky coaxial-cable feedline connections to each radiating aperture. The results demonstrate that for an optimum coupling bolus thickness of 2.5-5 mm, the thin, flexible, and lightweight DCC antennas produce effective heating to the periphery of each aperture to a depth of approximately 1 cm, and may be combined into arrays for uniform heating of large area superficial tissue regions with the 50 % power deposition contour conforming closely to the outer perimeter of the array. ¬© 1998 IEEE.</t>
  </si>
  <si>
    <t>596-604</t>
  </si>
  <si>
    <t>60023691-60021859;60023691;60023691;60023691</t>
  </si>
  <si>
    <t>7005772755;35610445900;56235319700;57200572298</t>
  </si>
  <si>
    <t>Stauffer, Paul R.;Rossetto, Francesca;Leoncini, Marco;Gentilli, Guido Biffi</t>
  </si>
  <si>
    <t>San Francisco;Florence</t>
  </si>
  <si>
    <t>University of California, San Francisco;Universit√† degli Studi di Firenze</t>
  </si>
  <si>
    <t>60023691;60021859</t>
  </si>
  <si>
    <t>Stauffer P.</t>
  </si>
  <si>
    <t>Radiation patterns of dual concentric conductor microstrip antennas for superficial hyperthermia</t>
  </si>
  <si>
    <t>10.1109/10.668750</t>
  </si>
  <si>
    <t>2-s2.0-0032079321</t>
  </si>
  <si>
    <t>['simulation results', 'sensitivity improvement', 'proposed methods', 'paper addresses', 'numerical issues', 'measurement requirements', 'measured data', 'make noteworthy', 'intended application', 'fitted data', 'error bounds', 'checks proposed']</t>
  </si>
  <si>
    <t>Antenna pattern measurement | Circle fit | Compact range | Error minimization | Microwave measurement | Numerical analysis | Numerical techniques</t>
  </si>
  <si>
    <t>This paper addresses the numerical issues of implementing K√¢sa's circle fit procedure. We consider three main problems: 1) appropriateness of circle-fitting algorithm results to the measured data; 2) ambiguous circles due to the crowding of data; 3) data distribution along fitted circle for sensitivity improvement or measurement requirements. We seek to make noteworthy those elements of the circle fitting technique which contribute most to the accuracy (or inaccurary) of the intended application. To that end, error bounds are derived and checks proposed to assess the applicability of the technique to the fitted data. Simulation results are submitted in support of the proposed methods. ¬© 1998 IEEE.</t>
  </si>
  <si>
    <t>789-795</t>
  </si>
  <si>
    <t>60000251-60029251;60024590</t>
  </si>
  <si>
    <t>7006895868;7102727425</t>
  </si>
  <si>
    <t>Corral, Celestino A.;Lindquist, Claude S.</t>
  </si>
  <si>
    <t>Coral Gables;Schaumburg;New York</t>
  </si>
  <si>
    <t>University of Miami;Motorola;IEEE</t>
  </si>
  <si>
    <t>60029251;60024590;60000251</t>
  </si>
  <si>
    <t>Corral C.</t>
  </si>
  <si>
    <t>On implementing k√¢sa's circle fit procedure</t>
  </si>
  <si>
    <t>S0018945698098660</t>
  </si>
  <si>
    <t>10.1109/19.744352</t>
  </si>
  <si>
    <t>2-s2.0-0032083521</t>
  </si>
  <si>
    <t>['tore supra', 'thermal electrons', 'radiating waveguides', 'model results', 'magnetically connected', 'low density', 'launched spectrum', 'landau damping', 'heat flux', 'grill aperture', 'good coupling', 'field lines', 'fairly consistent', 'experimental observations', 'components connected', '5 mw', '3 kev', '25 mw']</t>
  </si>
  <si>
    <t>As a result of experimental observations of localized heat flux on components magnetically connected to radiating waveguides in Tore Supra and in TdeV, the acceleration of electrons near lower hybrid (LH) antennas has been investigated. A simple analytical model has been developed to compute the dynamics of the particles in the near field approximation. Landau damping of the very high N‚à• (20 &lt; N‚à• &lt; 100) component of the launched spectrum on the thermal electrons of the scrape-off layer (SOL) is found to occur. Simulation of a typical LH pulse in Tore Supra indicates that the electrons can be accelerated up to 2-3 keV. Modelling of the interaction of this fast electron population with the edge plasma allows a calculation of the heat flux on plasma facing components that are magnetically connected to the antenna. Model results and the results of experiments in Tore Supra and TdeV are compared. The calculated heat fluxes are found to be fairly consistent when the variation of convective heat flux at the grill aperture is taken into account. From this analysis, it is concluded that, for an LH power density of 25 MW/m2, the resulting heat flux along the field lines (3.5 MW/m2) is manageable for the components connected to the antenna, provided that good coupling can be maintained at a low density in front of the grill.</t>
  </si>
  <si>
    <t>919-937</t>
  </si>
  <si>
    <t>60003729;60003729;60003729;60003729;60003729;60003729;60032151;60032151;60032151;60032151;60024266;60024266</t>
  </si>
  <si>
    <t>8306830000;7004464530;6701629156;6602502708;7003729827;7005451656;7004062100;6603773968;7101932270;35271976500;7407315969;7202270515</t>
  </si>
  <si>
    <t>Goniche, M.;Guilhem, D.;Bibet, P.;Froissard, P.;Litaudon, X.;Rey, G.;Mailloux, J.;Demers, Y.;Fuchs, V.;Jacquet, P.;Harris, J. H.;Hogan, J. T.</t>
  </si>
  <si>
    <t>Canada;United States;France</t>
  </si>
  <si>
    <t>Varennes;Oak Ridge;Saint Paul lez Durance</t>
  </si>
  <si>
    <t>Cent Canadien de Fusion Magnetique;Oak Ridge National Laboratory;CEA Cadarache</t>
  </si>
  <si>
    <t>60032151;60024266;60003729</t>
  </si>
  <si>
    <t>Goniche M.</t>
  </si>
  <si>
    <t>Enhanced heat flux in the scrape-off layer due to electrons accelerated in the near field of lower hybrid grills</t>
  </si>
  <si>
    <t>10.1088/0029-5515/38/6/309</t>
  </si>
  <si>
    <t>2-s2.0-0032083533</t>
  </si>
  <si>
    <t>['signal quality', 'power control', 'held radios', 'globalstar cellular', 'band communication', 'band 5']</t>
  </si>
  <si>
    <t>Satellite mobile communication</t>
  </si>
  <si>
    <t>In this paper, the Globalstar cellular-telephone satellite system is described, including its use of code-division multiple access (CDMA) as the basic modulation scheme. Use of diversity for signal quality as well as power control is described. Development of the complex array antennas for L-band 5-band communication with the hand-held radios is described in detail. ¬© 1998 IEEE.</t>
  </si>
  <si>
    <t>935-942</t>
  </si>
  <si>
    <t>100335825;100335825;100335825</t>
  </si>
  <si>
    <t>57196684642;57213707810;6505812624</t>
  </si>
  <si>
    <t>Dietrich, Fred J.;Metzen, Paul;Monte, Phil</t>
  </si>
  <si>
    <t>San Jose</t>
  </si>
  <si>
    <t>Globalstar</t>
  </si>
  <si>
    <t>Dietrich F.</t>
  </si>
  <si>
    <t>The Globalstar cellular satellite system</t>
  </si>
  <si>
    <t>S0018926X98046183</t>
  </si>
  <si>
    <t>10.1109/8.686783</t>
  </si>
  <si>
    <t>2-s2.0-0032094691</t>
  </si>
  <si>
    <t>['thin film', 'superstrata geometry', 'successfully designed', 'strategic points', 'printed circuit', 'new concept', 'microstrip elements', 'microstrip antennas', 'main motivation', 'higher efficiency', 'fabrication cost', 'dielectric substrate', 'conventional ones', 'c bands', 'arrays based', 'also used']</t>
  </si>
  <si>
    <t>Printed microstrip antennas and arrays are known to have limitations in terms of bandwidth and efficiency, all imposed by the very presence of the dielectric substrate. Microstrip arrays printed on a very thin film and separated from the ground-plane by foam were successfully designed; however, the fabrication difficulties associated with the use of foam considerably increases the fabrication cost. In this paper, a new concept is presented. Rather than using a superstrata geometry, the "printed circuit" is etched out of metal and supported in "strategic points" by (metallic or nonmetallic) posts. The main motivation for this work was to obtain large microstrip arrays, which exhibit a higher efficiency than conventional ones, and can be fabricated using inexpensive large quantity production techniques. However, this technology was also used to develop many new types of microstrip antennas. Microstrip elements and arrays based on this technology were designed and fabricated at L, S, and C bands. ¬© 1998 IEEE.</t>
  </si>
  <si>
    <t>807-812</t>
  </si>
  <si>
    <t>New considerations in the design of micro strip antennas</t>
  </si>
  <si>
    <t>S0018926X9804993X</t>
  </si>
  <si>
    <t>10.1109/8.686766</t>
  </si>
  <si>
    <t>2-s2.0-0032094793</t>
  </si>
  <si>
    <t>['wireless communication', 'two compact', 'ring resonator', 'rf identification', 'notch antennas', 'many applications', 'letter discusses', 'frequency tuning', 'frequency stabilization', 'frequency range', 'diode active', 'cost gunn', 'antennas feature', 'active antennas', 'active antenna', '400 mhz', '2 %.']</t>
  </si>
  <si>
    <t>Active antennas | Antennas | Gunn oscillators | Slotlines</t>
  </si>
  <si>
    <t>This letter discusses the design and measurements of two compact and low-cost Gunn-diode active-notch antennas and compares the results with a similarly configured passive antenna. The antennas feature a slotline-ring resonator for frequency stabilization and external Q improvement. The active antennas' radiation patterns compare well with those measured for a similar passive antenna. The active antenna can incorporate a varactor for frequency tuning with a frequency range of about 400 MHz or 4.2%. This circuit should have many applications in wireless communication, sensor, RF identification, or Doppler radar applications. ¬© 1998 IEEE.</t>
  </si>
  <si>
    <t>945-946</t>
  </si>
  <si>
    <t>Montiel, Claudio M.;Fan, Lu;Chang, Kai</t>
  </si>
  <si>
    <t>Active-notch antennas stabilized with a slotline-ring resonator for wireless applications</t>
  </si>
  <si>
    <t>S0018926X98048650</t>
  </si>
  <si>
    <t>10.1109/8.686785</t>
  </si>
  <si>
    <t>2-s2.0-0032095138</t>
  </si>
  <si>
    <t>84-2221-E-011-001</t>
  </si>
  <si>
    <t>['waves penetrating', 'wave propagation', 'wave propagating', 'tworoom structure', 'tracing technique', 'tracing solutions', 'tracing program', 'tracing method', 'spreading factors', 'space method', 'significantly reflected', 'shaped wall', 'receiving antenna', 'raytracing simulations', 'ray tubes', 'ray tracing', 'moment method', 'measured results', 'lossy ground', 'good agreements', 'geometrical optics', 'framed windows', 'field points', 'field measurements', 'exterior wall', 'different floors', 'developed according', 'cross sections', 'channel characteristics', '1290 mhz']</t>
  </si>
  <si>
    <t>Geometrical optics | Indoor radio communication | Ray-tracing method</t>
  </si>
  <si>
    <t>In this paper, a ray-tracing method for waves propagating inside building structures is presented. Ray tubes are used to model the wave propagation and penetration and all the significantly reflected and transmitted ray tubes from interfaces are included. Also, the cross sections of the ray tubes at the field points are evaluated to find the spreading factors of the waves and then the geometrical optics (GO) contributions at the locations of the receiving antenna. A program has been developed according to this ray-tracing technique that can be applied to simulate waves transmitted through and reflected from electrically large complex two-dimensional (2-D) and threedimensional (3-D) bodies. To verify this ray-tracing program, 2-D moment method (MM) solutions for wave propagating in a tworoom structure and also through a stair-shaped wall above a lossy ground are used to compare with those obtained from the ray tracing. Besides, comparisons of field measurements and raytracing simulations at 900 and 1800 MHz performed in a corridor on different floors and inside a staircase are shown. The effective complex dielectric constants of the building structures determined from a free-space method are employed in the simulations and a vector network analyzer is used for the field measurements. Good agreements are obtained. In addition, measured results for waves penetrating an exterior wall with metal-framed windows at 1290 MHz are employed to test the ray-tracing solutions, which indicate that scattering from the metal frames may be significant for field points near the windows. This ray-tracing program can be applied to evaluate the channel characteristics for the indoor wireless communications. ¬© 1998 IEEE.</t>
  </si>
  <si>
    <t>907-919</t>
  </si>
  <si>
    <t>60027709;60027709;60027709</t>
  </si>
  <si>
    <t>56119434400;7403591183;7202596770</t>
  </si>
  <si>
    <t>Yang, Chang Fa;Wu, Boau Cheng;Ko, Chuen Jyi</t>
  </si>
  <si>
    <t>National Taiwan University of Science and Technology</t>
  </si>
  <si>
    <t>Yang C.</t>
  </si>
  <si>
    <t>A ray-tracing method for modeling indoor wave propagation and penetration</t>
  </si>
  <si>
    <t>S0018926X98046201</t>
  </si>
  <si>
    <t>10.1109/8.686780</t>
  </si>
  <si>
    <t>2-s2.0-0032095301</t>
  </si>
  <si>
    <t>['wireless terrestrial', 'thin layers', 'thin layer', 'skin region', 'significantly reduce', 'significantly high', 'power absorption', 'may occur', 'l w', 'kg ),', 'human head', 'high frequencies', 'frequency band', 'fire antenna', 'element end', 'efficient hybridization', 'directional two', 'delivered power', 'band operations', 'antenna interactions', '2 cm', '10 w', '1 w']</t>
  </si>
  <si>
    <t>Antennas | Human factors | Mobile communication</t>
  </si>
  <si>
    <t>To accommodate multimedia wide-band operations at Kaband (e.g., 30 GHz) are attracting much attention in both wireless terrestrial and satellite communication systems. With handset antennas operating at these frequencies, significantly high-peak specific absorption rate (SAR) may occur in the skin region of the human head. It has been found that the popular numerical techniques have severe computational limitations in dealing with thin layers and high frequencies. In order to critically assess human-antenna interactions at A"a-band, an efficient hybridization of the eigenfunction expansion method (EEM) and the method of moments (MoM) has been utilized. At this frequency band, most power absorption of the antenna-radiated power occurs within the thin layer of skin. With a half-wave dipole antenna separated at 2 cm from the head, it is found that the unaveraged peak SAR can become extremely high in the skin tissue (~450 W/kg) with l W of the delivered power, while the 1-g averaged peak SAR is ~10 W/kg. However, the use of a directional two-element end-fire antenna can significantly reduce the unaveraged peak SAR (~3 W/kg), 1-g averaged peak SAR (~0.1 W/kg), and power absorption in the head. ¬© 1998 IEEE.</t>
  </si>
  <si>
    <t>949-950</t>
  </si>
  <si>
    <t>57203624205;7102110120</t>
  </si>
  <si>
    <t>Kim, Kang W.;Rahmat-Samii, Yahya</t>
  </si>
  <si>
    <t>Kim K.</t>
  </si>
  <si>
    <t>Handset antennas and humans at Ka-band: The importance of directional antennas</t>
  </si>
  <si>
    <t>S0018926X98050340</t>
  </si>
  <si>
    <t>10.1109/8.686787</t>
  </si>
  <si>
    <t>2-s2.0-0032095304</t>
  </si>
  <si>
    <t>['urban environment', 'power window', 'model elucidates', 'model allows', 'mobile channel', 'incident power', 'diffuse scattering', 'delay spread', 'base station', 'array antennas', 'angular spread', '1800 mhz']</t>
  </si>
  <si>
    <t>Antenna arrays | Mobile communication</t>
  </si>
  <si>
    <t>A wide-band spatial model of the mobile channel has been developed. The model allows the inclusion of array antennas at the base station. The diffuse scattering is modeled using dense discrete scatterers. An algebraic power decay is used for the pathloss to the scatterers of the environment and to the mobile. Results from the model are compared with experimental results obtained at 1800 MHz. The parameters that are used are delay spread, power window, and angular spread of incident power. The model elucidates the general diffuse background scattering in a rural and an urban environment. It can be extended with inclusion of spatial specular scatterers where appropriate. ¬© 1998 IEEE.</t>
  </si>
  <si>
    <t>834-840</t>
  </si>
  <si>
    <t>60015901;60015901</t>
  </si>
  <si>
    <t>6603140970;7403571081</t>
  </si>
  <si>
    <t>Norklit, Ole;Andersen, Jorgen Bach</t>
  </si>
  <si>
    <t>Industrial Research Limited of New Zealand</t>
  </si>
  <si>
    <t>Norklit O.</t>
  </si>
  <si>
    <t>Diffuse channel model and experimental results for array antennas in mobile environments</t>
  </si>
  <si>
    <t>S0018926X98043117</t>
  </si>
  <si>
    <t>10.1109/8.686770</t>
  </si>
  <si>
    <t>2-s2.0-0032095345</t>
  </si>
  <si>
    <t>['proposed together', 'passive states', 'paper distinguishes', 'models defined', 'model parameters', 'model architecture', 'measured data', 'base reactances', 'array element', 'analytical expressions', 'active state']</t>
  </si>
  <si>
    <t>This paper distinguishes between the active and passive states of an array element and advances the thesis that models defined in the passive state maintain their validity in the active state. The influence of reactance at the base of an array element is demonstrated and analytical expressions are suggested to aid in quantifying these base reactances. A model architecture is proposed together with methods for determining the model parameters. Examples of both analysis and design are included and the results are compared to measured data. ¬© 1998 IEEE.</t>
  </si>
  <si>
    <t>186-193</t>
  </si>
  <si>
    <t>Smith J.</t>
  </si>
  <si>
    <t>A method for modeling array elements when using NEC and MININEC</t>
  </si>
  <si>
    <t>S0018931698055917</t>
  </si>
  <si>
    <t>10.1109/11.713071</t>
  </si>
  <si>
    <t>2-s2.0-0032096650</t>
  </si>
  <si>
    <t>PPG Industries</t>
  </si>
  <si>
    <t>['utd ).', 'paper presents', 'frequency applications', 'fm ),', 'computer models', 'calculation results', 'analyze antennas', '), antennas']</t>
  </si>
  <si>
    <t>Antenna | Automobile | Conformai | Geometrical theory of diffraction | Modeling | Moment methods | On-glass</t>
  </si>
  <si>
    <t>This paper presents the development of computer models for the analysis of on-glass conformai automobile antennas. The numerical models used are the method of moments (MoM) and the uniform geometric theory of diffraction (UTD). Models were developed to analyze antennas for low-frequency applications (AM), antennas on a resonant vehicle structure (FM), and high-frequency applications (cellular, global positioning system (GPS), radar). Calculation results were verified using measurements. ¬© 1998 IEEE.</t>
  </si>
  <si>
    <t>845-852</t>
  </si>
  <si>
    <t>6602901698;24541951100</t>
  </si>
  <si>
    <t>Abou-Jaoude, Ramzi;Walton, Eric K.</t>
  </si>
  <si>
    <t>Abou-Jaoude R.</t>
  </si>
  <si>
    <t>Numerical modeling of on-glass conformai automobile antennas</t>
  </si>
  <si>
    <t>S0018926X98050339</t>
  </si>
  <si>
    <t>10.1109/8.686772</t>
  </si>
  <si>
    <t>2-s2.0-0032096927</t>
  </si>
  <si>
    <t>UCLA</t>
  </si>
  <si>
    <t>['two techniques', 'significant increase', 'several low', 'results computed', 'radiated field', 'profound effects', 'paper presents', 'numerical techniques', 'next step', 'mobile terminals', 'mobile communications', 'link budgets', 'linear polarization', 'human head', 'finitedifference time', 'element could', 'computed performance', 'close proximity', 'based systems', 'axial ratio', 'antenna affects', '1 db']</t>
  </si>
  <si>
    <t>Circular polarization | FDTD | Helical antennas | Human interactions | Mom | Satellite communication</t>
  </si>
  <si>
    <t>Satellite-based systems are the next step in mobile communications. Recently, several low and medium earth orbit mobile communication satellite systems have been proposed and are currently being deployed. For all these systems, high-performance circularly polarized antennas for the mobile terminals are of importance. Although considerable material is available on circularly polarized antennas, there is an absence of information on how the human's close proximity to the antenna affects the circular polarization purity of the radiated field. This paper presents an analysis of representative circularly polarized helical handset antennas. Although other physically less obtrusive circular polarized antennas are available for the handset, the helix is used because of its wide bandwidth properties and capability to provide both circular and linear polarization. Thus, this element could be used for handsets that are planned to work with both the terrestrial-based communications systems of today and the satellite-based communication systems of tomorrow. The intent is to characterize the effects the close proximity of a human head model has on the computed performance of the circular polarized antenna. The method of moments (MoM) and finitedifference time-domain (FDTD) numerical techniques are used to study various helix structures on top of a small box representing a handset. In order to be able to effectively apply FDTD, a novel square helix structure is introduced. Results computed with these two techniques are compared to illustrate the accuracy of each implementation. The results indicate significant polarization purity degradation caused by the presence of a human head. For the particular geometry simulated, the presence of a head model degraded the average axial ratio within a verticle 50¬∞ cone from 2.9 to 9.1 dB. This significant increase in axial ratio can have profound effects on link budgets. ¬© 1998 IEEE.</t>
  </si>
  <si>
    <t>813-820</t>
  </si>
  <si>
    <t>Colburn, Joseph S.;Rahmat-Samii, Yahya</t>
  </si>
  <si>
    <t>Colburn J.</t>
  </si>
  <si>
    <t>Human proximity effects on circular polarized handset antennas in personal satellite communications</t>
  </si>
  <si>
    <t>S0018926X98048716</t>
  </si>
  <si>
    <t>10.1109/8.686767</t>
  </si>
  <si>
    <t>2-s2.0-0032097037</t>
  </si>
  <si>
    <t>['vertical displacement', 'street level', 'standard shoot', 'rooftop antennas', 'horizontal plane', 'ghz band', 'deterministic approach', 'bounce method']</t>
  </si>
  <si>
    <t>Geometrical optics | Propagation | Urban areas</t>
  </si>
  <si>
    <t>A vertical-plane-launch (VPL) technique for approximating a full three dimensional (3-D) site-specific ray trace to predict propagation effects in cities for frequencies in the 300MHz-3-GHz band is described and its predictions are compared with measurements for Rosslyn, VA. The VPL technique employs the standard shoot and bounce method in the horizontal plane while using a deterministic approach to find the vertical displacement of the unfolded ray paths. This approximation is valid since buildings walls are almost always vertical. The VPL method shows significant improvement compared with the slantplane/vertical-plane (SP/VP) method for rooftop antennas. For a base station located at street level, the VPL method gives better predictions than the two-dimensional (2-D) method in locations where propagation over buildings is significant. ¬© 1998 IEEE.</t>
  </si>
  <si>
    <t>853-863</t>
  </si>
  <si>
    <t>60108318;60108318</t>
  </si>
  <si>
    <t>7202631178;7005129354</t>
  </si>
  <si>
    <t>Liang, George;Bertoni, Henry L.</t>
  </si>
  <si>
    <t>NYU Tandon School of Engineering</t>
  </si>
  <si>
    <t>Liang G.</t>
  </si>
  <si>
    <t>A new approach to 3-D ray tracing for propagation prediction in cities</t>
  </si>
  <si>
    <t>S0018926X98048741</t>
  </si>
  <si>
    <t>10.1109/8.686774</t>
  </si>
  <si>
    <t>2-s2.0-0032097039</t>
  </si>
  <si>
    <t>['wireless communications', 'performed using', 'interference ratio', 'interference cancellation', 'experimental results', 'diversity gain', 'channel users', 'antenna diversity', 'antenna arrays', 'also given']</t>
  </si>
  <si>
    <t>Antenna arrays | Mobile antennas | Multipath channels</t>
  </si>
  <si>
    <t>In wireless communications, smart antenna systems (or antenna arrays) can be used to suppress multipath fading with antenna diversity and to increase system capacity by supporting multiple co-channel users in reception and transmission. This paper presents experimental results of diversity gain, interference cancellation, and mitigation of multipath fading obtained by using a smart antenna system in typical wireless scenarios. Also given are experimental results for the signal-to-interference ratio (SIR) of two moving users, comparing different beamforming algorithms in typical wireless scenarios. All of the experiments were performed using the 900-MHz smart antenna testbed at The University of Texas at Austin. ¬© 1998 IEEE.</t>
  </si>
  <si>
    <t>749-757</t>
  </si>
  <si>
    <t>60029740;60013372;60012392;60013372;60013372</t>
  </si>
  <si>
    <t>7201941053;7005500084;7404265004;7405570951;35613152700</t>
  </si>
  <si>
    <t>Jeng, Shiann Shiun;Okamoto, Garret Toshio;Xu, Guanghan;Lin, Hsin Piao;Vogel, Wolfhard J.</t>
  </si>
  <si>
    <t>Taiwan;United States;Taiwan</t>
  </si>
  <si>
    <t>Chung-Li;Austin;Taipei</t>
  </si>
  <si>
    <t>Chung Yuan Christian University;The University of Texas at Austin;National Taipei University of Technology</t>
  </si>
  <si>
    <t>60029740;60013372;60012392</t>
  </si>
  <si>
    <t>Exp√©rimental evaluation of smart antenna system performance for wireless communications</t>
  </si>
  <si>
    <t>S0018926X98046225</t>
  </si>
  <si>
    <t>10.1109/8.686758</t>
  </si>
  <si>
    <t>2-s2.0-0032097077</t>
  </si>
  <si>
    <t>['video signals', 'single gcr', 'simplified version', 'remove interference', 'picture quality', 'mobile reception', 'mainly caused', 'however ghosts', 'computational load', 'combat fading', 'affect still']</t>
  </si>
  <si>
    <t>By using multiantenna diversity system to combat fading for mobile reception of video signals a nearly omnidirectional antenna pattern diagram can be achieved. However ghosts, especially fluttering ghosts, mainly caused by the fast rotating echo phases and RF signal level fluctuation, affect still the picture quality. It is shown that a single GCR-signal is not sufficient for the fluttering ghost suppression. A blind TV signal equalisation algorithm, which is based on image processing techniques, is developed to remove interference of echoes with rapidly changing phases. A simplified version of this algorithm is included to reduce the computational load and allow suitable IC integration. ¬© 1998 IEEE.</t>
  </si>
  <si>
    <t>172-181</t>
  </si>
  <si>
    <t>60032991;60032991</t>
  </si>
  <si>
    <t>7202931697;7401842016</t>
  </si>
  <si>
    <t>Lei, Zhichun;Schr√∂der, Hartmut</t>
  </si>
  <si>
    <t>Dortmund</t>
  </si>
  <si>
    <t>Technische Universit√§t Dortmund</t>
  </si>
  <si>
    <t>Lei Z.</t>
  </si>
  <si>
    <t>Adaptive equalisation of multipath interference for mobile video signal reception</t>
  </si>
  <si>
    <t>S0018931698055899</t>
  </si>
  <si>
    <t>10.1109/11.713069</t>
  </si>
  <si>
    <t>2-s2.0-0032097704</t>
  </si>
  <si>
    <t>['wire antenna', 'vertical polarization', 'terminal isolation', 'station system', 'paper presents', 'notched disk', 'monopole pattern', 'maximum isolation', 'indoor base', 'current path', 'current exciting', 'composite form', 'component arrangement', 'component antennas', 'calculated using', 'antenna characteristics', 'also confirmed']</t>
  </si>
  <si>
    <t>Antennas</t>
  </si>
  <si>
    <t>This paper presents a notch-wire composite antenna for polarization diversity reception in an indoor base-station system. A three-notched disk antenna and a wire antenna are proposed as component antennas for the horizontal and the vertical polarization, respectively. These component antennas are unified as a single composite diversity antenna by mounting the wire antenna on the notched disk. Antenna characteristics are calculated using the method of moments (MoM) with wire grid models and examined in terms of component arrangement and terminal isolation. It is found that maximum isolation is obtained when the current path of the wire antenna is where the current exciting the H-po\ element is cancelled. Consequently, both component antennas may work independently even in the composite form. The quasi-monopole pattern is also confirmed for each polarization. ¬© 1998 IEEE.</t>
  </si>
  <si>
    <t>902-906</t>
  </si>
  <si>
    <t>60103444;60103444;60103444</t>
  </si>
  <si>
    <t>7004503266;7402657600;7201747933</t>
  </si>
  <si>
    <t>Kuga, Nobuhiro;Aral, Hiroyuki;Goto, Naohisa</t>
  </si>
  <si>
    <t>Hitachi Metals, Ltd</t>
  </si>
  <si>
    <t>A notch-wire composite antenna for polarization diversity reception</t>
  </si>
  <si>
    <t>S0018926X98043129</t>
  </si>
  <si>
    <t>10.1109/8.686779</t>
  </si>
  <si>
    <t>2-s2.0-0032097743</t>
  </si>
  <si>
    <t>['valid alternative', 'radiation patterns', 'one helix', 'numerical techniques', 'mobile telephones', 'human head', 'fdtd method', 'fdtd computed', 'difference time', 'correctly predict', 'carefully compared']</t>
  </si>
  <si>
    <t>Cellular telephones | Dosimetry | FDTD | Mobile antennas | Radiation patterns</t>
  </si>
  <si>
    <t>In this letter, finite-difference time-domain (FDTD) computed radiation patterns of mobile telephones are carefully compared with those measured in our laboratory. The question on the capability of the FDTD method to correctly predict the radiated electromagnetic fields of today's structurally complex mobile telephones is addressed. Two commercially available cellular telephones equipped with two different antennas (one helix and one helix monopole) have been considered and the radiation patterns have been measured and FDTD computed with and without the human head. The FDTD computed and measured radiation patterns show good agreement. This verifies that numerical techniques are suitable for accurately modeling radiation patterns of realistic cellular telephones and, more importantly, that the FDTD method is a valid alternative to measurements in the design of new cellular telephones. ¬© 1998 IEEE.</t>
  </si>
  <si>
    <t>943-944</t>
  </si>
  <si>
    <t>60025488;60025488;60025488;60025488</t>
  </si>
  <si>
    <t>7003666534;7006422314;7003923643;7103082601</t>
  </si>
  <si>
    <t>Lazzi, Gianluca;Pattnaik, Shyam S.;Furse, Cynthia M.;Gandhi, Om P.</t>
  </si>
  <si>
    <t>Comparison of FDTD computed and measured radiation patterns of commercial mobile telephones in presence of the human head</t>
  </si>
  <si>
    <t>S0018926X98048790</t>
  </si>
  <si>
    <t>10.1109/8.686784</t>
  </si>
  <si>
    <t>2-s2.0-0032097744</t>
  </si>
  <si>
    <t>['work near', 'work done', 'wave within', 'typical low', 'time interaction', 'thermal speed', 'significantly exceed', 'significantly enhanced', 'radiofrequency waves', 'phase velocity', 'new kind', 'neutral gas', 'near fields', 'maxwellian rate', 'magnetic field', 'localized transition', 'landau damping', 'ionization rate', 'high rate', 'helicon wave', 'helicon sources', 'half wavelength', 'gain energy', 'enhanced rate', 'energy electrons', 'electrons ).', 'antennas used', 'antenna results']</t>
  </si>
  <si>
    <t>We propose a new kind of transit-time interaction in which the reversal (or any localized transition) in the phase velocity of a wave within a wavelength of an antenna results in a high rate of work done by the wave (1/2 Re(j¬∑E*)) near the antenna for conditions where the wave phase velocity is greater than a few times the thermal speed. This enhanced rate of work near the antenna can significantly exceed the far-field value due to Landau damping. For the conditions of typical low-field (&lt;0.01 T) and low-density (&lt;1018 m-3) helicon wave-driven plasma sources, where the phase velocity parallel to the magnetic field can be a few times the thermal speed of electrons, it has been demonstrated that this spatial transient overshoot in the rate of work done by the wave is the dominant kinetic energy coupling process to electrons). In this paper it is demonstrated that, within a half wavelength of the antenna, it is the high-energy electrons that gain energy from both the wave and low velocity electrons as a result of this process. An important practical consequence is that the ionization rate of neutral gas can be significantly enhanced above the Maxwellian rate. The phenomenon is not restricted to helicon sources. This process may also explain the production of high-energy electrons in the near fields of antennas used in fusion plasma heating by radiofrequency waves. ¬© 1998 IOP Publishing Ltd.</t>
  </si>
  <si>
    <t>987-1000</t>
  </si>
  <si>
    <t>60008950;60008950;60008950</t>
  </si>
  <si>
    <t>22991143800;7101698639;6507617828</t>
  </si>
  <si>
    <t>Borg, G. G.;Bright, J.;Kamenski, I. V.</t>
  </si>
  <si>
    <t>Collisionless energy coupling to high-velocity electrons in the near field of an antenna: Neutral gas ionization by helicon waves</t>
  </si>
  <si>
    <t>S0741333598852755</t>
  </si>
  <si>
    <t>10.1088/0741-3335/40/6/007</t>
  </si>
  <si>
    <t>2-s2.0-0032097985</t>
  </si>
  <si>
    <t>['well known', 'several features', 'selective radiation', 'sdma communication', 'sdma ).', 'omnidirectional radiation', 'multimode excitation', 'low cost', 'independently operated', 'field pattern', 'coaxial feed', 'build broad', 'biconical antenna', 'band antenna', 'azimuth direction', 'appropriate amplitude', 'antenna beam', 'antenna allows', 'also allowed']</t>
  </si>
  <si>
    <t>Biconical antennas | Multibeam antennas</t>
  </si>
  <si>
    <t>The biconical antenna is well known as an easy to build broad-band antenna with omnidirectional radiation. In this paper, the biconical antenna is modified for selective radiation in azimuth direction. By enlarging the diameter of the coaxial feed to the biconical antenna, a set of higher order modes can be excited. In addition to the angular independent TEM mode, higher order TE-modes are also allowed for propagation, which result in an angular dependent far-field pattern. Several features of this multimode excitation are of interest. Applying multiple input feed connectors allows simple rotation of the antenna beam by switching or, when independently operated, transmission and reception for communication in different angular directions for real-time space division multiple access (SDMA). As with conventional antenna arrays, adaptive pattern synthesis can also be realized by using multiple input feed connectors in combination with an appropriate amplitude and phase shifting network. The antenna allows an extremely flexible design of its characteristics at low cost, both requisites for SDMA communication. ¬© 1998 IEEE.</t>
  </si>
  <si>
    <t>782-787</t>
  </si>
  <si>
    <t>6508180419;7006593766</t>
  </si>
  <si>
    <t>Demmerle, Frank;Wiesbeck, Werner</t>
  </si>
  <si>
    <t>Demmerle F.</t>
  </si>
  <si>
    <t>A biconical multibeam antenna for space-division multiple access</t>
  </si>
  <si>
    <t>S0018926X98048698</t>
  </si>
  <si>
    <t>10.1109/8.686762</t>
  </si>
  <si>
    <t>2-s2.0-0032098649</t>
  </si>
  <si>
    <t>['sar ),', 'reflective element', 'radiation efficiency', 'performed using', 'optimization criteria', 'measurement methods', 'input resistance', 'directive structures', 'design criteria', 'close vicinity', 'biological scatterer', 'antenna structures', '2 dipole']</t>
  </si>
  <si>
    <t>Design criteria | Directional antennas | Mobile phones | Radiation efficiency | SAR</t>
  </si>
  <si>
    <t>In this paper the design criteria for antenna structures with improved radiation efficiency while operating in close vicinity to a biological scatterer were investigated. The study was performed using a simple A/2 dipole combined with a directive or reflective element. The optimization criteria were the effective radiation efficiency, the spatial peak specific absorption rate (SAR), and the sensitivity of the input resistance to the distance from the scatterer. It could be demonstrated that the primary design criterion to improve the radiation efficiency is not directivity but the reduction of the maximum incident magnetic field strength in the exposed skin area of the user's head. For the reflectively coupled dipole, all performance parameters could be improved by several decibels compared to a standard A/2 dipole, whereas for some other directive structures, the performance was impaired. The study was conducted with the generalized multipole technique (GMT) numerical simulation method, the results of which were validated by measurement methods. ¬© 1998 IEEE.</t>
  </si>
  <si>
    <t>798-806</t>
  </si>
  <si>
    <t>60024590;60024590;60024590</t>
  </si>
  <si>
    <t>7004482590;7004723242;7003283774</t>
  </si>
  <si>
    <t>Tay, Roger Yew Siow;Balzano, Quirino;K√ºster, Niels</t>
  </si>
  <si>
    <t>Tay R.</t>
  </si>
  <si>
    <t>Dipole configurations with strongly improved radiation efficiency for hand-held transceivers</t>
  </si>
  <si>
    <t>S0018926X98050327</t>
  </si>
  <si>
    <t>10.1109/8.686765</t>
  </si>
  <si>
    <t>2-s2.0-0032098650</t>
  </si>
  <si>
    <t>['terminal inclination', 'polarization diversity', 'paper proposes', 'measurement results', 'branch height', 'also presented']</t>
  </si>
  <si>
    <t>Mobile antennas | Mobile communication | Urban areas</t>
  </si>
  <si>
    <t>This paper proposes a four-branch height and polarization diversity configuration that achieves almost constant received signal power over any terminal inclination in a street microcell communication environment. An example of the fourbranch diversity antenna is also presented. Our measurement results in cell-size comparison among height diversity, polarization diversity, and height and polarization diversity configurations confirm the effectiveness of the proposed diversity configuration. ¬© 1998 IEEE.</t>
  </si>
  <si>
    <t>776-781</t>
  </si>
  <si>
    <t>7403954564;7402411659;35564404500</t>
  </si>
  <si>
    <t>Cho, Keizo;Hori, Toshikazu;Kagoshima, Kenichi</t>
  </si>
  <si>
    <t>Effectiveness of four-branch height and polarization diversity configuration for street microcell</t>
  </si>
  <si>
    <t>S0018926X98048686</t>
  </si>
  <si>
    <t>10.1109/8.686761</t>
  </si>
  <si>
    <t>2-s2.0-0032099026</t>
  </si>
  <si>
    <t>['system working', 'results show', 'radiation patterns', 'quite acceptable', 'novel dual', 'mutual coupling', 'mhz band', 'esprit ).', 'element patterns', 'doa estimates', 'array using']</t>
  </si>
  <si>
    <t>Antenna arrays | Signal processing antennas</t>
  </si>
  <si>
    <t>A novel dual-polarized antenna array designed for a spatial division multiple access (SDMA) system working in the 1850-1990-MHz band is designed and built. The antenna is designed to have similar element patterns, and measurements of S-parameters and radiation patterns are presented. The array signal processing performance of the array using all elements and with no compensation for mutual coupling or differences in element patterns is studied through direction-of-arrival (DOA) estimation using total least squares estimation of signal parameters via rotational invariance techniques (TLS-ESPRIT). The results show that the accuracy of the DOA estimates is quite acceptable for wireless communication applications. l ¬©1998 IEEE.</t>
  </si>
  <si>
    <t>758-763</t>
  </si>
  <si>
    <t>60000990;60000990;60000990;60000990</t>
  </si>
  <si>
    <t>7006689192;57220468976;7102402536;7007050464</t>
  </si>
  <si>
    <t>Lindmark, Bj√∂rn;Lundgren, Staffan;Sanford, John R.;Beckman, Claes</t>
  </si>
  <si>
    <t>Gothenburg</t>
  </si>
  <si>
    <t>Chalmers University of Technology</t>
  </si>
  <si>
    <t>Lindmark B.</t>
  </si>
  <si>
    <t>Dual-polarized array for signal-processing applications in wireless communications</t>
  </si>
  <si>
    <t>S0018926X98048662</t>
  </si>
  <si>
    <t>10.1109/8.686759</t>
  </si>
  <si>
    <t>2-s2.0-0032099142</t>
  </si>
  <si>
    <t>NCHC-86-03-011</t>
  </si>
  <si>
    <t>['x -,', 'widely used', 'superquadric curve', 'scale human', 'rounded corners', 'rf design', 'rectangular loop', 'real part', 'radio pagers', 'radiation resistance', 'radiation efficiencies', 'paging communications', 'oriented loops', 'numerically study', 'numerical solution', 'numerical results', 'loop antennas', 'loop antenna', 'input impedance', 'human interaction', 'human body', 'horizontal plane', 'highest value', 'five times', 'directive gain', 'coupling problem', 'chest pocket', 'bodyabsorption efficiencies', 'body model', 'belt levels', 'antenna patterns', 'antenna ohmic', 'antenna located']</t>
  </si>
  <si>
    <t>Human factors | Loop antennas | Mobile communication</t>
  </si>
  <si>
    <t>Loop antennas are widely used in many personal communication systems such as radio pagers. This paper presents results from an extensive numerical simulation of the human interaction with loop antennas. The loop antenna with a superquadric curve, which is able to model the circular, ellipse, square, and rectangular loop is used to model the rectangular loop antenna with rounded corners. The magnetic frill source is used to model the antenna feeding structure. A realistically shaped full-scale human-body model (1.7 m) is constructed. The coupled integral equations (CIE) approach, which consists a Pocklingtontype integral equation (PIE) for the loop antenna and a volume electric field integral equation (VEFIE) for the body with mutual coupling terms, are developed to numerically study this electromagnetic (EM) coupling problem. The method of moments (MoM) is employed for numerical solution. Numerical results for the antenna located at the chest pocket and waist-belt levels of the human body with arbitrary loop orientations are presented at 280-MHz VHP paging band. The pager's internal rectangular loop antenna with rounded corners is modeled by a superquadric loop antenna. It is found that the real part of the impedance (radiation resistance) increases about five times and, hence, the antenna ohmic-loss radiation efficiency increases from 4% (in free-space) to 33, 17, and 26% for the x-, y-, and z-oriented loops when proximate to the body. The radiation efficiencies, reduced by the body absorption effect, are 13, 40, and 27% for the x-, y-, and z -oriented loops, respectively. For the j/-oriented loop, which is found to be the most suitable for radio-paging communications, it has the highest value of Eg average power gain (product of the directive gain and the ohmic-loss and bodyabsorption efficiencies) in the horizontal plane. The computed antenna characteristics influenced by the human body, including the input impedance, antenna patterns, cross-polarization field level, radiation efficiencies, and maximum/minimum and average power gains, are very useful for the antenna/RF design and the link budget consideration of the personal communication systems. ¬© 1998 IEEE.</t>
  </si>
  <si>
    <t>821-828</t>
  </si>
  <si>
    <t>37162609900;7103110709</t>
  </si>
  <si>
    <t>Chen, Wen Tzu;Chuang, Huey Ru</t>
  </si>
  <si>
    <t>Chen W.T.</t>
  </si>
  <si>
    <t>Numerical computation of human interaction with arbitrarily oriented superquadric loop antennas in personal communications</t>
  </si>
  <si>
    <t>S0018926X98048728</t>
  </si>
  <si>
    <t>10.1109/8.686768</t>
  </si>
  <si>
    <t>2-s2.0-0032099421</t>
  </si>
  <si>
    <t>['sra method', 'small offices', 'several mhz', 'several algorithms', 'results show', 'resource allocation', 'per sector', 'multiple sectors', 'method uses', 'meeting signal', 'internet access', 'interference objective', 'improve performance', 'highly effective', 'frequency reuse', 'every sector', 'every cell', 'efficient strategies', 'dynamic radio', 'detailed simulation', 'critically important', 'consider use', 'bs ),', 'base station', 'bandwidth needs', 'analytic approximations', '10 mb']</t>
  </si>
  <si>
    <t>Broadband communication | Communication system performance | Communication systems | Electromagnetic radiative interference | Interference | Packet radio | Protocols | Radio communication | Radio spectrum management | Time-division multiplexing</t>
  </si>
  <si>
    <t>We consider use of fixed broadband wireless networks to provide packet services for telecommuting and Internet access. Each cell in such networks is divided into multiple sectors, each of them served by a sector antenna colocated with the base station (BS), and user terminals also use directional antennas mounted on the rooftops of homes or small offices and pointed to their respective BS antennas. To support a target data rate of 10 Mb/s, a bandwidth of several MHz is required. Since radio spectrum is expensive, the bandwidth needs to be reused very aggressively. Thus, efficient strategies for frequency reuse and managing cochannel interference are critically important. We propose here several algorithms for dynamic radio-resource allocation in the fixed wireless networks. In particular, a method to be referred to as the staggered resource allocation (SRA) method uses a distributed scheduling algorithm to avoid major sources of interference while allowing concurrent packet transmission and meeting signal-to-interference objective. The performance of the method is studied by analytic approximations and detailed simulation. Our results show that the combination of directional antennas plus the SRA method is highly effective in controlling cochannel interference. For reasonable system parameters, the SRA method delivers a throughput in excess of 30% per sector while permitting a given frequency band to be reused in every sector of every cell. It also provides satisfactory probability of successful packet transmission. In addition, a simple control mechanism can be applied in the method to improve performance for harsh radio environments. ¬© 1998 IEEE.</t>
  </si>
  <si>
    <t>806-818</t>
  </si>
  <si>
    <t>60014300;60014300;60014300;60014300;60014300</t>
  </si>
  <si>
    <t>36958693500;57210462855;7401860805;7402545535;6603793313</t>
  </si>
  <si>
    <t>Fong, Thomas K.;Henry, Paul S.;Leung, Kin K.;Qiu, Xiaoxin;Shankaranarayanan, N. K.</t>
  </si>
  <si>
    <t>Fong T.</t>
  </si>
  <si>
    <t>Radio resource allocation in fixed broadband wireless networks</t>
  </si>
  <si>
    <t>S0090677898045966</t>
  </si>
  <si>
    <t>10.1109/26.681421</t>
  </si>
  <si>
    <t>2-s2.0-0032099534</t>
  </si>
  <si>
    <t>MIP-9457388</t>
  </si>
  <si>
    <t>['signals including', 'sequence code', 'quite robust', 'parameter space', 'order polynomial', 'large number', 'interfering signals', 'far problem', 'far environment', 'efficient algorithm', 'division multiple', 'desired signal', 'data samples', 'code timing', 'channel fading', 'based estimators', 'additive noise']</t>
  </si>
  <si>
    <t>Antenna arrays | Code-division multiaccess | Delay estimation | Maximum-likelihood estimation</t>
  </si>
  <si>
    <t>We propose an efficient algorithm for estimating the code timing of direct-sequence code-division multiple-access (DSCDMA) systems that consist of an arbitrary antenna array at the receiver and work in a flat-fading and near-far environment. The algorithm is an asymptotic (for large number of data samples) maximum-likelihood (ML) estimator that is derived by modeling the known training sequence as the desired signal and all other signals including the interfering signals and the additive noise as unknown colored Gaussian noise. The algorithm does not require the search over a parameter space and the code timing is obtained by rooting a second-order polynomial, which is computationally very efficient. Simulation results show that the algorithm is quite robust against the near-far problem and channel fading. It requires a shorter training sequence than the single-antenna-based estimators. ¬© 1998 IEEE.</t>
  </si>
  <si>
    <t>826-835</t>
  </si>
  <si>
    <t>60076351;60076351;60076351</t>
  </si>
  <si>
    <t>7406673925;7410065637;7406288084</t>
  </si>
  <si>
    <t>Liu, Zheng She;Li, Jian;Miller, Scott L.</t>
  </si>
  <si>
    <t>Marlborough</t>
  </si>
  <si>
    <t>3COM Corporation</t>
  </si>
  <si>
    <t>Liu Z.</t>
  </si>
  <si>
    <t>An efficient code-timing estimator for receiver diversity DS-CDMA systems</t>
  </si>
  <si>
    <t>S009067789804598X</t>
  </si>
  <si>
    <t>10.1109/26.681424</t>
  </si>
  <si>
    <t>2-s2.0-0032099535</t>
  </si>
  <si>
    <t>Australian Telecommunications and Electronics Research Board</t>
  </si>
  <si>
    <t>ATERB</t>
  </si>
  <si>
    <t>['station tracking', 'resolve n', 'radiation pattern', 'patch antenna', 'novel technique', 'n elements', 'implemented using', 'electronically directing', 'either linear', 'directional array', 'directional antenna', 'direction finding', 'circular polarization', 'array elements', '1 signals']</t>
  </si>
  <si>
    <t>Base-station tracking in mobile communications benefits from a directional antenna and so requires direction finding technology. A novel technique for electronically directing the radiation pattern of an antenna array employs a directional array with only one active element and three parasitic elements operating near resonance. Three different methods of direction finding are assessed; a coarse angular location method, a precise angular location method assuming one incident beam, and a precise angular location method with multiple incident beams. An array with n elements, if used in conjunction with a relatively simple controller, can be used to resolve n -1 signals. This technology can be implemented using both wire and patch antenna-array elements and either linear or circular polarization can be used, lending the technology to applications in both terrestrial and satellite communications systems. ¬© 1998 IEEE.</t>
  </si>
  <si>
    <t>841-844</t>
  </si>
  <si>
    <t>60032987;60032987</t>
  </si>
  <si>
    <t>7101709544;36893654800</t>
  </si>
  <si>
    <t>Preston, Stephanie L.;Thiel, David V.</t>
  </si>
  <si>
    <t>Preston S.</t>
  </si>
  <si>
    <t>Base-station tracking in mobile communications using a switched parasitic antenna array</t>
  </si>
  <si>
    <t>S0018926X9804873X</t>
  </si>
  <si>
    <t>10.1109/8.686771</t>
  </si>
  <si>
    <t>2-s2.0-0032099603</t>
  </si>
  <si>
    <t>['vehicle equipped', 'two types', 'space diversity', 'sector antennas', 'recorded rss', 'mobile transmitter', 'mobile environments', 'fast fading', 'fading reduction', 'fading distributions', 'diversity performances', 'diversity gain', 'dense urban', 'data reduction', 'coverage area', 'cellular radio', 'base site', '850 mhz']</t>
  </si>
  <si>
    <t>Mobile communication | Niultibeani antennas</t>
  </si>
  <si>
    <t>The angle diversity performances of two types of high-gain niultibeani antennas-24 vertically polarized 15¬∞ beams and 12 vertically polarized 30¬∞ beams-were tested and compared to the space-diversity performances of traditional sector antenna configurations. The antennas were tested at 850 MHz in dense urban and rural cellular mobile radio environments. A vehicle equipped with a mobile transmitter was driven in the coverage area, while the received signal strength (RSS) was recorded on multiple receiver channels attached to niultibeani and sector antennas at the base site. The RSS data recorded included fast (Rayleigh) fading and was averaged into local means based on the mobile's position/speed. The fast fading was extracted from the recorded RSS and the fading distributions of the two niultibeani antennas tested were studied in two distinctly different mobile environments. Fading cumulative distributions for the angular diverse antennas were compared to those of spatially diverse antennas. Diversity gain was calculated and compared to traditional space diversity in these mobile environments. Results in urban environments indicated that angular diversity performance was comparable to space diversity (~-8 dB improvement). Rural tests typically suggested that both space diversity and angular diversity provided little or no (&lt;2 dB) fading reduction. A description of the experiment, data reduction and analyses, and calculation of diversity gain are presented. The motivation for this experiment is the application of fixed multiple beam antennas (FMBA) in cellular radio and digital personal communication systems. ¬© 1998 IEEE.</t>
  </si>
  <si>
    <t>764-775</t>
  </si>
  <si>
    <t>60025435;60025435</t>
  </si>
  <si>
    <t>7004087911;7101643443</t>
  </si>
  <si>
    <t>Perini, Patrick L.;Holloway, Christopher L.</t>
  </si>
  <si>
    <t>US West Advanced Technologies</t>
  </si>
  <si>
    <t>Perini P.</t>
  </si>
  <si>
    <t>Angle and space diversity comparisons in different mobile radio environments</t>
  </si>
  <si>
    <t>S0018926X98048674</t>
  </si>
  <si>
    <t>10.1109/8.686760</t>
  </si>
  <si>
    <t>2-s2.0-0032099703</t>
  </si>
  <si>
    <t>['rotatable patch', 'radiation pattern', 'problems associated', 'phs ).', 'phone system', 'personal handy', 'novel antenna', 'fundamental characteristics', 'also clarified']</t>
  </si>
  <si>
    <t>Electromagnetically coupled microstrip antenna | Rotatable patch</t>
  </si>
  <si>
    <t>In this paper, we propose a novel electromagnetically coupled microstrip antenna with a rotatable patch to overcome the problems associated with the conventional whip antenna for the personal handy-phone system (PHS). The structure of the newly developed antenna installed in actual PHS units is described. Its fundamental characteristics such as radiation pattern, bandwidth, and gain are shown. The performance of the antenna in actual propagation environments is also clarified. It is shown that this novel antenna is superior to the conventional whip antenna and achieves efficient performance in commercial PHS service. ¬© 1998 IEEE.</t>
  </si>
  <si>
    <t>794-797</t>
  </si>
  <si>
    <t>35569793200;7202022406;35564404500</t>
  </si>
  <si>
    <t>Ando, Atsuya;Honma, Yasunobu;Kagoshima, Kenichi</t>
  </si>
  <si>
    <t>Ando A.</t>
  </si>
  <si>
    <t>A novel electromagnetically coupled microstrip antenna with a rotatable patch for personal handy-phone system units</t>
  </si>
  <si>
    <t>S0018926X98048704</t>
  </si>
  <si>
    <t>10.1109/8.686764</t>
  </si>
  <si>
    <t>2-s2.0-0032099704</t>
  </si>
  <si>
    <t>['vswr performance', 'vswr bandwidth', 'two antennas', 'single ifa', 'significantly deteriorating', 'resonance wavelength', 'radiation patterns', 'parasitic monopole', 'parasitic elements', 'monopole position', 'monopole length', 'lower frequency', 'l region', 'l increases', 'ifa ).', 'horizontal sections', 'ground plane', 'frequency operation', 'frequency bandwidth', 'f antenna', 'dualfrequency operation', 'antenna size', 'also presented', 'also found', '2 criterion']</t>
  </si>
  <si>
    <t>Antennas | Multifrequency antennas</t>
  </si>
  <si>
    <t>The effects of parasitic elements on the voltage standing wave ratios (VSWR's) of two antennas are investigated. First, a parasitic monopole is used for a normal-mode helical antenna. The VSWR investigation shows that dual-frequency operation is obtained by the parasitic element effects. The dualfrequency operation is revealed as a function of monopole position above a ground plane (monopole height). As the monopole height decreases, the separation of a higher resonance frequency /// from a lower resonance frequency /L increases. For a monopole length of LMP ~ 0.4Anx, where AHX is the resonance wavelength of the helix, the frequency bandwidth for a VSWR -2 criterion is 12.5% in the lower frequency /L region and 5.2% in the higher frequency /// region, with a frequency separation ratio of /H//L -2.14. Secondly, L-figured parasitic elements are used for an inverted-F antenna (IFA). The parasitic elements improve the VSWR performance. The frequency bandwidth for a VSWR -2 criterion is approximately two times as wide as that of the single IFA. It is also found that bending the horizontal sections of the IFA and parasitic elements contributes to reducing the antenna size while not significantly deteriorating the VSWR bandwidth. The radiation patterns are also presented and discussed. ¬© 1998 IEEE.</t>
  </si>
  <si>
    <t>788-793</t>
  </si>
  <si>
    <t>60030526;60030526;60030526;60030526;60030526;60030526</t>
  </si>
  <si>
    <t>55633340100;7202414437;7406900089;7402804175;7003298527;56405174700</t>
  </si>
  <si>
    <t>Nakano, Hisamatsu;Ikeda, Noriaki;Wu, Yu Yuan;Suzuki, Ryota;Mimaki, Hiroaki;Yamauchi, Junji</t>
  </si>
  <si>
    <t>Realization of dual-frequency and wide-band VSWR performances using normal-mode helical and inverted-F antennas</t>
  </si>
  <si>
    <t>S0018926X98043099</t>
  </si>
  <si>
    <t>10.1109/8.686763</t>
  </si>
  <si>
    <t>2-s2.0-0032099804</t>
  </si>
  <si>
    <t>N00014-97-1-017</t>
  </si>
  <si>
    <t>['several schemes', 'results indicate', 'received power', 'present along', 'performs mrt', 'lrt ).', 'egc ),', 'certain assumptions', 'cdma ).']</t>
  </si>
  <si>
    <t>Antenna array | Diversity combining | DS/CDMA | Rank test</t>
  </si>
  <si>
    <t>We evaluate using simulation studies the performance of several schemes for combining base station antenna array signals in wireless direct sequence code-division multiple access (DS/CDMA). The results indicate that under certain assumptions, on multiple access interference statistics, the probability of error of modified rank test (MRT) is lower than that of equal gain combining (EGC), if a few high power interfering users are present along with a low power user of interest. If there are a moderately large number of users, and if the received power of all the users are nearly the same, then EGC out performs MRT. In fact, under this condition, the performance of EGC is close to that of the optimal likelihood ratio test (LRT).</t>
  </si>
  <si>
    <t>180-182</t>
  </si>
  <si>
    <t>60029472;60026638;60029472</t>
  </si>
  <si>
    <t>6603797853;56043540800;7202038293</t>
  </si>
  <si>
    <t>Gowda, C. H.;Annampedu, V.;Viswanathan, R.</t>
  </si>
  <si>
    <t>United States;Finland</t>
  </si>
  <si>
    <t>Carbondale;Espoo</t>
  </si>
  <si>
    <t>Southern Illinois University Carbondale;Nokia Corporation</t>
  </si>
  <si>
    <t>60029472;60026638</t>
  </si>
  <si>
    <t>Gowda C.</t>
  </si>
  <si>
    <t>Diversity combining in antenna array base station receiver for DS/CDMA system</t>
  </si>
  <si>
    <t>10.1109/4234.703903</t>
  </si>
  <si>
    <t>2-s2.0-0032117482</t>
  </si>
  <si>
    <t>['theoretical model', 'static measurements', 'splm ).', 'sife non', 'rolling direction', 'results obtained', 'rd ).', 'polarization dependence', 'microstructural effects', 'loss separation', 'grain size', 'fitting process', 'exponential law', 'dynamic properties', 'different angles', 'determining v0', 'crystallographic texture', 'clearly identified', 'average value']</t>
  </si>
  <si>
    <t>In this work systematic experiments were carried out to attempt the identification of microstructural effects (texture, grain size) on the polarization dependence of internal coercive field V0 and hysteresis loss Phys, determined by statistical power loss model (SPLM). Experiments were performed on 0.35mm thick 3.2wt% SiFe non-oriented electrical steel, with different grain size and almost the same crystallographic texture. From each material Epstein samples were cut at different angles to the rolling direction (RD). Loss separation and fitting process was carried out, according to the SPLM, for determining V0 and Phys as a function of the polarization. Three synthetic parameters were proposed in the 0.3T-1.2T polarization range, where the model was found to be valid: two coefficients P0(hys) and n(l) to represent the hysteresis loss according to an exponential law and an average value of the internal coercive field V0(avg) over the investigated polarization range. The dependence of V0(avg) P0(hyS) and n(l) on the grain size and texture has been clearly identified, resulting in a single texture dependent behavior for both quasistatic and dynamic properties. All the results obtained from fitted Phys values were confirmed by quasi-static measurements. A theoretical model, based on the measured Orientation Distribution Function (ODF) has been proposed to reproduce the obtained texture dependence. ¬©1998 IEEE.</t>
  </si>
  <si>
    <t>1174-1176</t>
  </si>
  <si>
    <t>4 PART 1</t>
  </si>
  <si>
    <t>60073805-100920456;60073805-100920456;60073805-100920456;60073805-100920456</t>
  </si>
  <si>
    <t>7004234729;6603593076;6507857496;6507086549</t>
  </si>
  <si>
    <t>B√°n, G.;Di Nunzio, P. E.;Cical√®, S.;Beigrand, T.</t>
  </si>
  <si>
    <t>Italy;France</t>
  </si>
  <si>
    <t>Rome;Isbergues</t>
  </si>
  <si>
    <t>Centro Sviluppo Materiali S.p.A.;Centre de Recherches d'Isbergues</t>
  </si>
  <si>
    <t>60073805;100920456</t>
  </si>
  <si>
    <t>B√°n G.</t>
  </si>
  <si>
    <t>Identification of microstructure effects in magnetic loss behaviour of 3.2% SiFe n.o. electrical steels by means of statistical power loss model</t>
  </si>
  <si>
    <t>10.1109/20.706438</t>
  </si>
  <si>
    <t>2-s2.0-0032117972</t>
  </si>
  <si>
    <t>['way similar', 'transmit pulses', 'transmit pulse', 'transmit element', 'time three', 'single image', 'power delivered', 'mechanically rocking', 'grating lobes', 'annular array', 'achieved using']</t>
  </si>
  <si>
    <t>A method for real-time three-dimensional (3D) ultrasound imaging using a mechanically scanned linear phased array is proposed. The high frame rate necessary for real-time volumetric imaging is achieved using a sparse synthetic aperture beamforming technique utilizing only a few transmit pulses for each image. Grating lobes in the twoway radiation pattern are avoided by adjusting the transmit element spacing and the receive aperture functions to account for the missing transmit elements. The signal loss associated with fewer transmit pulses is minimized by increasing the power delivered to each transmit element and by using multiple transmit elements for each transmit pulse. By mechanically rocking the array, in a way similar to what is done with an annular array, a 3-D set of images can be collected in the time normally required for a single image. ¬© 1998 IEEE.</t>
  </si>
  <si>
    <t>980-988</t>
  </si>
  <si>
    <t>60021160;60021160;60015481</t>
  </si>
  <si>
    <t>7102722812;57197466243;6603280928</t>
  </si>
  <si>
    <t>Lockwood, Geoffrey R.;Talman, James R.;Brunke, Shelby S.</t>
  </si>
  <si>
    <t>Cleveland;Seattle</t>
  </si>
  <si>
    <t>Cleveland Clinic Foundation;University of Washington</t>
  </si>
  <si>
    <t>60021160;60015481</t>
  </si>
  <si>
    <t>Lockwood G.R.</t>
  </si>
  <si>
    <t>Real-time 3-D ultrasound imaging using sparse synthetic aperture beamforming</t>
  </si>
  <si>
    <t>10.1109/58.710573</t>
  </si>
  <si>
    <t>2-s2.0-0032118627</t>
  </si>
  <si>
    <t>['underlying assumptions', 'orbital geometry']</t>
  </si>
  <si>
    <t>A study of the distribution of gain-to-noise-temperature (G/T) values for the Tracking and Data Relay Satellite (TDRS) satellite is described. The statistics of the G/T values are determined by a Monte Carlo simulation of the orbital geometry of the sun and moon, and the gain and noise temperature calculations is included. The results and their underlying assumptions are described. ¬© 1998 IEEE.</t>
  </si>
  <si>
    <t>60000251-60030821;60030821;60030821;60000251-60006337</t>
  </si>
  <si>
    <t>7003900610;55491723600;7006588240;36954314700</t>
  </si>
  <si>
    <t>Sorace, Ron;Lee, Eric;Baldauf, John;Heffernan, Paul</t>
  </si>
  <si>
    <t>Chicago;Greenbelt;New York</t>
  </si>
  <si>
    <t>Boeing Corporation;NASA Goddard Space Flight Center;IEEE</t>
  </si>
  <si>
    <t>60030821;60006337;60000251</t>
  </si>
  <si>
    <t>Sorace R.</t>
  </si>
  <si>
    <t>Analysis of solar degradation to TORS S-band phased array antenna</t>
  </si>
  <si>
    <t>10.1109/7.705900</t>
  </si>
  <si>
    <t>2-s2.0-0032120079</t>
  </si>
  <si>
    <t>['work deals', 'well established', 'usually demonstrated', 'two families', 'two entities', 'strict rules', 'space research', 'similarity existing', 'similar way', 'radiation resistances', 'possible antennas', 'new approach', 'measured signals', 'magnetic sensors', 'magnetic dual', 'latter means', 'immediate vicinity', 'families process', 'even extended', 'even considered', 'elf communications', 'electromagnetic interference', 'electromagnetic duality', 'discussion emphasizes', 'correctly related', 'circuit theory', 'circuit models', 'based merely', 'antenna theory', 'also shown', 'ac sensors']</t>
  </si>
  <si>
    <t>Duality | Electric field sensors | ELF | Magnetic field sensors</t>
  </si>
  <si>
    <t>This work deals with extremely low frequency (ELF) electric and magnetic sensors. The discussion emphasizes the similarity existing between the two families and attempts to exploit this similarity in studying the performance of such devices. The new approach is not based merely on similarity. We show that the two families of devices are in fact mutually related by the strict rules of electromagnetic duality. It is known that a small loop antenna serves as a magnetic dual for the short electric dipole. This duality is usually demonstrated by the far fields behaviors and the radiation resistances. By introducing an appropriate ferromagnetic core into the loop, the detailed duality relationship can be extended to the immediate vicinity of the sensors as well. The latter means that sensors of both families process the near vicinity fields in a similar way in converting them to the measured signals. The existence of duality is assessed by showing that for geometrically similar structures, the reactances of the two entities are correctly related. It is also shown that the electromagnetic duality manifested by the fields conforms also with the rules of duality in circuit theory. The latter is demonstrated by dealing in both cases with circuit models of the sensors, which are derived by considering similar circuit models that are common in antenna theory. The presently investigated sensors possess practical implications. It is well established that short electric dipoles are employed as sensors in the field of electromagnetic interference (EMI) and also as ELF electric field sensors aboard spacecrafts. Cored search coils are employed as ELF and even as ultra low frequency (ULF) magnetometers in geophysical and space research. They were even considered as possible antennas for ELF communications. The paper is concluded by showing that the present duality considerations of ac sensors can be even extended to deal with dc field sensors magnetic and electric. ¬© 1998 IEEE.</t>
  </si>
  <si>
    <t>2298-2305</t>
  </si>
  <si>
    <t>4 PART 2</t>
  </si>
  <si>
    <t>60000251-60027161;60027161</t>
  </si>
  <si>
    <t>Kaplan, Ben Zion;Suissa, Uri</t>
  </si>
  <si>
    <t>Beer Sheba;New York</t>
  </si>
  <si>
    <t>Ben-Gurion University of the Negev;IEEE</t>
  </si>
  <si>
    <t>60027161;60000251</t>
  </si>
  <si>
    <t>Treatment of extremely low frequency magnetic and electric field sensors via the rules of electromagnetic duality</t>
  </si>
  <si>
    <t>S0018946498046123</t>
  </si>
  <si>
    <t>10.1109/20.703869</t>
  </si>
  <si>
    <t>2-s2.0-0032120264</t>
  </si>
  <si>
    <t>['well known', 'varied reactances', 'unusual way', 'unusual approach', 'treated toward', 'series time', 'second sensor', 'output signal', 'measured field', 'large family', 'fluxgate magnetometer', 'first sensor', 'electric antennas', 'dc sensors', 'covering fieldmill', 'association leads', 'also suggested', 'also holds']</t>
  </si>
  <si>
    <t>Duality | Electric field sensor | Fieldmill | Fluxgate | Magnetic field sensor</t>
  </si>
  <si>
    <t>This work treats two dc field sensors. The first sensor is the "covering fieldmill" that is employed to measure dc electric fields. The second sensor is the "fluxgate magnetometer" that is utilized to measure dc magnetic fields. An unusual approach is suggested to deal with the devices' evaluation. It is shown that both devices can be associated with related ac field sensors - electric and magnetic. This association leads to modeling the dc sensors by Thevenin circuit models. It is then shown that in both cases the coupling between the sensors output circuitry and the measured field sources is due to series time-varied reactances. This enables a similar analytical treatment to both devices. Furthermore, it is also suggested that both sensors are related to the large family of antennas. As a result, an unusual way is found to relate the sensors' output signal to the measured field. It is well known that the signal in electric antennas is related to the measured field times the effective antenna length. It is therefore relatively easily acceptable that also in the dc electric sensor case a similar relationship holds. The work, however, suggests that this relationship (that now relates the output signal to the measured dc magnetic field times the effective magnetic structure length) also holds in the fluxgate magnetometer case. An extension of this result is useful when attempting to measure nonuniform de magnetic fields and is treated toward the end of the paper. ¬© 1998 IEEE.</t>
  </si>
  <si>
    <t>2306-2315</t>
  </si>
  <si>
    <t>Duality of the electric covering fieldmill and the fluxgate magnetometer</t>
  </si>
  <si>
    <t>S0018946498034463</t>
  </si>
  <si>
    <t>10.1109/20.703870</t>
  </si>
  <si>
    <t>2-s2.0-0032121109</t>
  </si>
  <si>
    <t>['used sensors', 'site testing', 'signals inside', 'second part', 'relevant part', 'practical conclusions', 'partial discharges', 'paper deals', 'new results', 'new description', 'insulated substations', 'gis ).', 'frequency method', 'conventional p', 'attenuation due', 'antenna valid', '300 mhz', '3 ghz']</t>
  </si>
  <si>
    <t>Gas-insulated substation | Monitoring | Partial discharges | SF6 | UHF-method | Ultra high frequency</t>
  </si>
  <si>
    <t>This paper deals with the application of the Ultra-High-Frequency method (UHF-method) for the detection of partial discharges (p.d.) in gas-insulated substations (GIS). First a review of the GIS-relevant part of the theory of electromagnetic wave propagation in the UHF-range (300 MHz - 3 GHz) is given. New information considering the attenuation due to reflections of UHF-signals at spacers is presented. For the used sensors to pick up the UHF-signals inside the GIS a new description as antenna valid in the UHF-range is introduced. The second part of this paper presents measurements with the UHF-method to compare the sensitivity to the conventional p.d. detection method according to IEC-270. Practical conclusions are drawn from these new results for the application of the UHF-method for on-site testing and on-line-p.d. monitoring of GIS. ¬© 1997 IEEE.</t>
  </si>
  <si>
    <t>777-782</t>
  </si>
  <si>
    <t>IEEE Transactions on Power Delivery</t>
  </si>
  <si>
    <t>6508188916;7005373374</t>
  </si>
  <si>
    <t>Kurrer, R.;Feser, K.</t>
  </si>
  <si>
    <t>Kurrer R.</t>
  </si>
  <si>
    <t>The application of ultra-high-frequency partial discharge measurements to gas-insulated substations</t>
  </si>
  <si>
    <t>10.1109/61.686974</t>
  </si>
  <si>
    <t>2-s2.0-0032121519</t>
  </si>
  <si>
    <t>['wireless communications', 'thus bringing', 'terminal positions', 'spatial diversity', 'signal bandwidth', 'receiver numbers', 'practical issues', 'power control', 'physical explanations', 'optimum projection', 'noise ratio', 'multiple antennas', 'joint decoding', 'independent decoding', 'given snr', 'channel capacity', 'called space', 'base station', 'also closes']</t>
  </si>
  <si>
    <t>Antenna array | Channel capacity | Multipleaccess channel | Power control | Spatial diversity multiple access | Wireless communications</t>
  </si>
  <si>
    <t>Signal-to-noise ratio (SNR) and signal bandwidth have been viewed as the dominant factors determining channel capacity. In wireless communications, the channel capacity can be increased for a given SNR and a given spectral region, by exploiting the spatial diversity provided by the use of multiple antennas and transceivers at a base station. In this paper, we calculate the channel capacity enhancement of a so-called Space-DivisionMultiple-Access (SDMA) system and investigate its dependence with respect to different decoding schemes, terminal positions, and receiver numbers. Inner and outer capacity boundaries for joint decoding and independent decoding are presented, along with physical explanations as to how these boundaries can be achieved. We show that exploitation of the spatial diversity not only increases the overall achievable rates of both joint and independent decoding, but also closes the gap between their corresponding capacity regions, thus bringing the performance of the low-cost independent decoding scheme close to that of the optimal joint decoding. Practical issues of optimum projection and power control are also briefly addressed. ¬© 1998 IEEE.</t>
  </si>
  <si>
    <t>1468-1476</t>
  </si>
  <si>
    <t>60022195;60013372;60021918;60012708</t>
  </si>
  <si>
    <t>6507806501;7404265004;36100496000;7102843718</t>
  </si>
  <si>
    <t>Suard, Bruno;Xu, Guanghan;Liu, Hui;Kailath, Thomas</t>
  </si>
  <si>
    <t>Cambridge;Charlottesville;Austin;Palo Alto</t>
  </si>
  <si>
    <t>Massachusetts Institute of Technology;University of Virginia;The University of Texas at Austin;Stanford University</t>
  </si>
  <si>
    <t>60022195;60021918;60013372;60012708</t>
  </si>
  <si>
    <t>Suard B.</t>
  </si>
  <si>
    <t>Uplink channel capacity of space-division-multiple-access schemes</t>
  </si>
  <si>
    <t>S0018944898037535</t>
  </si>
  <si>
    <t>10.1109/18.681322</t>
  </si>
  <si>
    <t>2-s2.0-0032121806</t>
  </si>
  <si>
    <t>['requisite electrical', 'reduce coupling', 'presented herein', 'potential use', 'parasitic radiation', 'packaged configurations', 'microstrip lines', 'microstrip geometries', 'micromachined packaging', 'micromachined package', 'meandering paths', 'individual elements', 'environmental protection', 'e .,', 'crosstalk effects', 'bending geometries', 'array applications', 'also included', '30 db', '20 db']</t>
  </si>
  <si>
    <t>Antenna array feeds | Crosstalk | Micromachining | Mmic's | Packaging</t>
  </si>
  <si>
    <t>High-frequency planar circuits experience large electromagnetic (EM) coupling in dense circuit environments. As a result, individual components exhibit performance degradation that ultimately limits overall circuit response. This paper addresses crosstalk in planar microstrip lines by evaluating micromachined packages as a means to reduce coupling. Microstrip lines with straight and meandering paths can exhibit crosstalk coupling as high as -20 dB (i.e., when placed in a side-by-side arrangement). From our study, inclusion of a monolithic package reduces this effect by as much as -30 dB and, consequently, offers the requisite electrical and environmental protection in addition to shielding of individual elements from parasitic radiation. Presented herein is the development of the micromachined package for microstrip geometries. Included in the discussion are crosstalk effects between straight and bending geometries in open and packaged configurations and an evaluation of package noise characteristics. A packaged antenna element is also included as a demonstration of the potential use of micromachined packaging in array applications. ¬© 1998 IEEE.</t>
  </si>
  <si>
    <t>900-906</t>
  </si>
  <si>
    <t>60027561-60025778;60027561;60027561</t>
  </si>
  <si>
    <t>7004553347;7402183916;56246062600</t>
  </si>
  <si>
    <t>Drayton, Rhonda F.;Henderson, Rashaunda M.;Katehi, Linda P.B.</t>
  </si>
  <si>
    <t>Drayton R.F.</t>
  </si>
  <si>
    <t>Monolithic packaging concepts for high isolation in circuits and antennas</t>
  </si>
  <si>
    <t>S0018948098049631</t>
  </si>
  <si>
    <t>10.1109/22.701441</t>
  </si>
  <si>
    <t>2-s2.0-0032122009</t>
  </si>
  <si>
    <t>['radar systems', 'power doppler', 'lower noise', 'integrated x', 'high sensitivity', 'etc .,', 'band doppler', 'active antennas']</t>
  </si>
  <si>
    <t>Active antennas | Doppler radar | Integrated antennas | Transceivers</t>
  </si>
  <si>
    <t>An integrated X-band Doppler-radar transceiver front end has been developed. This front end consists of two adjacently spaced fieldeffect transistor (FET) active antennas, with one of them being biased to oscillate as its transmitter and the other being biased not to oscillate, but to act as its mixer. This design has the advantage of lower noise at low Doppler frequencies as compared to a self-oscillating mixer scheme. The circuit can be used in low-power Doppler-radar systems to detect slowmoving objects such as pedestrians, intruders, automobiles, etc., with high sensitivity. ¬© 1998 IEEE.</t>
  </si>
  <si>
    <t>1001-1003</t>
  </si>
  <si>
    <t>60020547;60020547</t>
  </si>
  <si>
    <t>7401550595;7404879378</t>
  </si>
  <si>
    <t>Ding, Zhengping;Chang, Kai</t>
  </si>
  <si>
    <t>An integrated doppler-radar transceiver front end using two FET active antennas</t>
  </si>
  <si>
    <t>S0018948098049485</t>
  </si>
  <si>
    <t>10.1109/22.701456</t>
  </si>
  <si>
    <t>2-s2.0-0032122810</t>
  </si>
  <si>
    <t>['testing functions', 'simply related', 'previously published', 'piecewise sinusoids', 'method matrix', 'existing competitors', 'dissipative medium', 'dielectric coating', 'computationally efficient', 'bare antennas', 'approximate formulas', 'additional unknowns']</t>
  </si>
  <si>
    <t>Antennas in matter | Galerkin technique | Insulated antennas | Moment method</t>
  </si>
  <si>
    <t>A Galerkin moment method is employed to solve the problem of a dielectric-coated dipole antenna in a dissipative medium. Piecewise sinusoids are used as basis and testing functions. The dielectric coating is modeled by equivalent-volume polarization currents, which are simply related to the conduction current distribution. No additional unknowns are introduced, and the size of the moment-method matrix is the same as that for bare antennas. Exact and approximate formulas for the near electric field are derived. The computed results exhibit excellent agreement with those previously published for a symmetric, as well as an asymmetric insulated dipole. Compared to its existing competitors, the new method appears to be more general and computationally efficient. ¬© 1998 IEEE.</t>
  </si>
  <si>
    <t>988-996</t>
  </si>
  <si>
    <t>60002947;60002947</t>
  </si>
  <si>
    <t>6603316828;7102355233</t>
  </si>
  <si>
    <t>Atlamazoglou, Prodromos E.;Uzunoglu, Nikolaos K.</t>
  </si>
  <si>
    <t>Atlamazoglou P.</t>
  </si>
  <si>
    <t>A galerkin moment method for the analysis of an insulated antenna in a dissipative dielectric medium</t>
  </si>
  <si>
    <t>S0018948098049503</t>
  </si>
  <si>
    <t>10.1109/22.701454</t>
  </si>
  <si>
    <t>2-s2.0-0032123091</t>
  </si>
  <si>
    <t>['test line', 'spatial sensitivity', 'propagation characteristics', 'pd signals', 'pd sensors', 'partial discharge', 'n characteristics', 'laying test', 'deep tunnel', 'contact defects', 'constructed long', 'also proposed']</t>
  </si>
  <si>
    <t>After-laying test | Contact defects | External antenna | Fiber-optic temperature distribution sensor | Gas insulated transmission line | GIL | In-tunnel | Metallic foil electrode | Metallic particle | Partial discharge</t>
  </si>
  <si>
    <t>Technologies for the after-laying test of a long-distance gas insulated transmission line (GIL) have been developed for the detection of partial discharge (PD) and contact defects. We constructed long (168 m) test line in a deep tunnel and clarified the propagation characteristics of PD signals through the GIL as well as the spatial sensitivity and S/N characteristics of PD sensors for locating metallic particles. We have also proposed the application of a fiber-optic temperature distribution sensor for locating contact defects and confirmed the validity of this sensor for the GIL test line. ¬© 1997 IEEE.</t>
  </si>
  <si>
    <t>718-727</t>
  </si>
  <si>
    <t>60011262;60011262;60011262;60003765;60003765;60027869;60027869;60101699;60101699</t>
  </si>
  <si>
    <t>7102428728;21934733600;7201588382;14071403900;7801450188;36850088300;36752560400;7401705050;36788622500</t>
  </si>
  <si>
    <t>Nojima, Takashi;Shimizu, Masao;Miyazaki, Akinobu;Araki, Tomoo;Nishima, Hideaki;Hata, Hiroyuki;Yamaguchi, Hiroaki;Yamauchi, Takao;Miyashita, Makoto</t>
  </si>
  <si>
    <t>Tokyo;Tokyo;Nagoya;Osaka</t>
  </si>
  <si>
    <t>Mitsubishi Electric Corporation;Furukawa Electric Co., Ltd.;Chubu Electric Power;Sumitomo Electric Industries, Ltd.</t>
  </si>
  <si>
    <t>60101699;60027869;60011262;60003765</t>
  </si>
  <si>
    <t>Nojima T.</t>
  </si>
  <si>
    <t>Study on an after-laying test for a long-distance GIL</t>
  </si>
  <si>
    <t>10.1109/61.686965</t>
  </si>
  <si>
    <t>2-s2.0-0032123903</t>
  </si>
  <si>
    <t>['testing products', 'small dimensions', 'power amplifiers', 'operating device', 'microwave circuits', 'meander lines', 'ghz band', 'field probes', 'electric near', 'different circuits', 'circuit properties', 'antenna diagnostics']</t>
  </si>
  <si>
    <t>Field probes | Microwave measurements</t>
  </si>
  <si>
    <t>Three-dimensional (3-D) electric near-field probes applicable to the 0.05-20-GHz band have been developed, which can measure both the magnitude and the phase of the microwave field inside of radio-frequency (RF) and microwave circuits. The field probes have very small dimensions and do not need to be connected to the operating device-under-test (DUT), therefore, the circuit properties are nearly not disturbed by the probe. Investigations on different circuits (e.g., antenna, meander lines, filters, and power amplifiers) show that such near-field probes can be applied not only to simple passive circuits, but also to measure the fields inside complex active circuits. These simple, stable, and cheap field probes are very useful for assisting the design of microwave circuits, antenna diagnostics, and testing products in industry. ¬© 1998 IEEE.</t>
  </si>
  <si>
    <t>907-913</t>
  </si>
  <si>
    <t>60014264;60014264</t>
  </si>
  <si>
    <t>7404706433;35589308200</t>
  </si>
  <si>
    <t>Gao, Yingjie;Wolff, Ingo</t>
  </si>
  <si>
    <t>Gao Y.</t>
  </si>
  <si>
    <t>Miniature electric near-field probes for measuring 3-d fields in planar microwave circuits</t>
  </si>
  <si>
    <t>S001894809804962X</t>
  </si>
  <si>
    <t>10.1109/22.701442</t>
  </si>
  <si>
    <t>2-s2.0-0032123935</t>
  </si>
  <si>
    <t>GR/L34785</t>
  </si>
  <si>
    <t>['uhf using', 'uhf couplers', 'typical results', 'step response', 'signal source', 'rise time', 'relatively short', 'reflected energy', 'output voltage', 'measurement system', 'impedance matching', 'gtem cell', 'frequency response', 'enable calibration', 'cell input', 'absorbing termination', '300 ps']</t>
  </si>
  <si>
    <t>Antenna measurements | Calibration | Probe antennas | Transient response | Uhf couplers | Uhf measurements</t>
  </si>
  <si>
    <t>A system for measuring the sensitivity of electric field sensors at UHF using a novel gigahertz transverse electromagnetic (GTEM) cell is described. The system was developed to enable calibration of UHF couplers that are used to detect insulation defects in gas insulated substations. The frequency response of a sensor is determined using fast Fourier transform (FFT) processing of its output voltage when it is subjected to a step electric field with a rise time of less than 300 ps. Provided the step response of the sensor is relatively short, the absorbing termination of the GTEM cell can be dispensed with, simplifying its construction. The need for impedance matching at the cell input can be eliminated by using a signal source that absorbs the reflected energy. In addition, the use of a wire septum offers the potential for improving field uniformity. A description of the measurement system is given, and some typical results are presented. ¬© 1998 IEEE.</t>
  </si>
  <si>
    <t>875-880</t>
  </si>
  <si>
    <t>60024724;60000251-60024724</t>
  </si>
  <si>
    <t>7006144624;7007172859</t>
  </si>
  <si>
    <t>Judd, Martin D.;Farish, Owen</t>
  </si>
  <si>
    <t>Glasgow;New York</t>
  </si>
  <si>
    <t>University of Strathclyde;IEEE</t>
  </si>
  <si>
    <t>60024724;60000251</t>
  </si>
  <si>
    <t>Judd M.</t>
  </si>
  <si>
    <t>A pulsed GTEM system for UHF sensor calibration</t>
  </si>
  <si>
    <t>S0018945698099082</t>
  </si>
  <si>
    <t>10.1109/19.744636</t>
  </si>
  <si>
    <t>2-s2.0-0032131431</t>
  </si>
  <si>
    <t>Advanced Research Projects Agency</t>
  </si>
  <si>
    <t>DAAB07-93-C-C501</t>
  </si>
  <si>
    <t>ARPA</t>
  </si>
  <si>
    <t>['warrant consideration', 'two side', 'system range', 'system design', 'significant effect', 'results used', 'results showing', 'propagation channel', 'paper presents', 'one technique', 'multiple replicas', 'multipath propagation', 'mounted pifa', 'mounted helix', 'measured data', 'limiting factor', 'interest arriving', 'indoor industrial', 'diversity systems', 'diversity performance', 'destructive interference', 'data processing', 'data normalization', 'antenna diversity', '928 mhz']</t>
  </si>
  <si>
    <t>In personal wireless communications systems, multipath propagation has a significant effect on system design and performance. Signal strength fading caused by destructive interference between multiple replicas of the signal of interest arriving at the receiver over different paths often is the limiting factor in system range/fidelity. Antenna diversity is one technique that can be used to help overcome multipath fading. This paper presents a description of experiments, data processing, and results used to evaluate the diversity performance of three candidate dual-antenna handset configurations: two side-mounted planarinverted F antennas (PIFA's), a back-mounted PIFA with a top-mounted helix, a top-mounted PIFA, and a "flip" monopole. In particular, the indoor industrial, scientific, and medical (ISM) band (902-928 MHz) propagation channel was of interest. These experiments did not include operator proximity effects, and in these tests, the dual-antenna handset remained stationary while the transmitter was moved along predetermined indoor paths. The issue of data normalization for extraction of fast fading behavior from measured data will be addressed, with results showing its effect on observed correlation presented. Also, measured indoor fading distributions are presented and seen to fit the Rician and Rayleigh models well. From the diversity results presented, it is seen that the three proposed dual-antenna handsets yield sufficient decorrelation to warrant consideration for use in diversity systems.</t>
  </si>
  <si>
    <t>737-746</t>
  </si>
  <si>
    <t>Colburn, Joseph S.</t>
  </si>
  <si>
    <t>Evaluation of personal communications dual-antenna handset diversity performance</t>
  </si>
  <si>
    <t>10.1109/25.704829</t>
  </si>
  <si>
    <t>2-s2.0-0032136031</t>
  </si>
  <si>
    <t>['studied theoretically', 'slot offset', 'slot length', 'rigorous solution', 'numerical computation', 'moment method', 'mode theory', 'input impedance', 'hemispherical cavity', 'good agreement', 'form convenient', 'derived rigorously', 'cavity size', 'cavity resonances', 'antenna configuration']</t>
  </si>
  <si>
    <t>The hemispherical cavity-backed slot antenna is studied theoretically and experimentally. The exact magnetic field Green's function of the cavity is derived rigorously and expressed in a form convenient for numerical computation. The moment method is used to find the equivalent magnetic current in the slot and, hence, the input impedance of the antenna configuration. The effects of the cavity size, of the slot length, and of the slot offset on the input impedance are studied and very good agreement between theory and experiment is obtained. The variation of the magnetic current around the slot and cavity resonances are discussed. Comparisons between the rigorous solution and the single-mode theory are given and the limitation of the single-mode theory is discussed. ¬© 1998 IEEE.</t>
  </si>
  <si>
    <t>1234-1241</t>
  </si>
  <si>
    <t>56415172000;7202180867</t>
  </si>
  <si>
    <t>Leung, K. W.;Chow, K. Y.</t>
  </si>
  <si>
    <t>Theory and experiment of the hemispherical cavity-backed slot antenna</t>
  </si>
  <si>
    <t>S0018926X98061080</t>
  </si>
  <si>
    <t>10.1109/8.718580</t>
  </si>
  <si>
    <t>2-s2.0-0032136256</t>
  </si>
  <si>
    <t>['union bound', 'spectrum spreading', 'slow degradation', 'single antenna', 'several users', 'several antennas', 'perfect csi', 'paper makes', 'new contributions', 'mmse combining', 'joint detection', 'high accuracy', 'fading environment', 'error rate', 'diversity antennas', 'db penalty', 'csi ),', 'classical minimum', 'channels employed', 'average symbol', 'arbitrary number', 'antennas may', 'analytical expression', 'additional user', 'accurate csi']</t>
  </si>
  <si>
    <t>Antenna arrays | Cochannel interference | Fading channels | Multidimensional signal detection | Multiuser channels</t>
  </si>
  <si>
    <t>Joint detection based on exploiting differences among the channels employed by several users allows a receiver to distinguish cochannel signals without reliance on spectrum spreading. This paper makes a number of new contributions to the topic: it provides an analytical expression for the union bound on average symbol-error rate for an arbitrary number of users and diversity antennas in a fading environment, for both perfect and imperfect channel state information (CSI), and it compares the performance of joint detection with diversity antennas against classical minimum-mean-square-error (MMSE) combining. The performance is remarkable. With accurate CSI, several users can experience good performance with only a single antenna; moreover, for perfect CSI, only a 2-dB penalty is incurred for each additional user. With several antennas, many more users than the number of antennas may be supported with a slow degradation in performance for each additional user. Furthermore, high accuracy is not required from the channel estimation process. In all cases, the performance of joint detection exceeds that of MMSE combining by orders of magnitude. ¬©1998 IEEE.</t>
  </si>
  <si>
    <t>1038-1049</t>
  </si>
  <si>
    <t>Grant, Stephen J.</t>
  </si>
  <si>
    <t>Burnaby</t>
  </si>
  <si>
    <t>Simon Fraser University</t>
  </si>
  <si>
    <t>Grant S.</t>
  </si>
  <si>
    <t>Performance enhancement through joint detection of cochannel signals using diversity arrays</t>
  </si>
  <si>
    <t>S0090677898055676</t>
  </si>
  <si>
    <t>10.1109/26.705404</t>
  </si>
  <si>
    <t>2-s2.0-0032136349</t>
  </si>
  <si>
    <t>['x band', 'structure provides', 'smaller side', 'significant attenuation', 'shielding properties', 'shielding effectiveness', 'shadow region', 'screen consists', 'radiating interference', 'protecting apparatuses', 'involves dosed', 'incident field', 'frequency formulation', 'frequency expressions', 'form expressions', 'finite thickness', 'experimentally investigated', 'experimental setup', 'effectively used', 'corrugated screen']</t>
  </si>
  <si>
    <t>Diffraction | High-frequency | Shielding</t>
  </si>
  <si>
    <t>The shielding effectiveness of a corrugated thick screen is theoretically and experimentally investigated. This screen consists of a half-plane of finite thickness in which corrugations are etched on the smaller side. This structure provides a significant attenuation in the shadow region for both polarizations of the incident field; thus, it can be effectively used for protecting apparatuses from radiating interference as well as for decoupling nearby operating antennas. The shielding properties of the screen are described by a high-frequency formulation that involves dosed-form expressions. An experimental setup at X band has been arranged to test the effectiveness of a corrugated screen; the field in the shadow region is compared with that of a screen without corrugations. The experimental results compare very well with those obtained by the high-frequency expressions.</t>
  </si>
  <si>
    <t>235-239</t>
  </si>
  <si>
    <t>60000251-60002838;60002838;60000251-60002838;60000251-60002838;60000251-60002838</t>
  </si>
  <si>
    <t>7006294849;6506427071;7003509990;7005998607;57202007643</t>
  </si>
  <si>
    <t>Albani, Matteo;Piazzesi, Peter;Capolino, Filippo;Maci, Stefano;Tiberio, Roberto</t>
  </si>
  <si>
    <t>Siena;New York</t>
  </si>
  <si>
    <t>Universit√† degli Studi di Siena;IEEE</t>
  </si>
  <si>
    <t>60002838;60000251</t>
  </si>
  <si>
    <t>Albani M.</t>
  </si>
  <si>
    <t>Shielding effect of a thick screen with corrugations</t>
  </si>
  <si>
    <t>S0018937598061936</t>
  </si>
  <si>
    <t>10.1109/15.709421</t>
  </si>
  <si>
    <t>2-s2.0-0032136501</t>
  </si>
  <si>
    <t>['xpd values', 'vertical polarizations', 'system performance', 'results showed', 'receiving end', 'reasonable improvement', 'polarized reception', 'polarization discrimination', 'pcs network', 'nlos situations', 'mobile station', 'mobile network', 'micro cells', 'measurement campaign', 'evaluate experimentally', 'diversity scheme', 'different types', 'different environments', 'comparing results', 'bs end', 'also compared', '1800 mhz', '15 db']</t>
  </si>
  <si>
    <t>Cross-polarization discrimination | Polarization diversity | Signal correlation</t>
  </si>
  <si>
    <t>The aim of this paper is to evaluate experimentally the relationships between cross-polarization discrimination (XPD), signal cross correlation, and polarization diversity gain with horizontally/vertically (HV) polarized reception at the base-station (BS) end at 1800 MHz. The performance of the horizontal/vertical polarization diversity scheme was also compared with a diversity scheme with ¬±45¬∞ slanted polarizations and horizontal space diversity at 1800 MHz in a personal communication system (PCS) mobile network. A measurement campaign was conducted in small/micro cells in different types of areas, taking into account the influence of mobile antenna inclination. According to the measurements, XPD values for horizontal/vertical polarizations vary between 5-15 dB, depending on the environment. Furthermore, XPD values depend highly on the radio propagation path between the BS and mobile station (MS) due to line-of-sight (LOS) and nonline-of-sight (NLOS) situations. Signal cross correlations of horizontal and vertical polarizations in both LOS and NLOS situations were clearly below 0.7, which is the generally accepted value to have a reasonable improvement at the receiving end with diversity. Finally, the results showed that almost equal diversity gain and system performance in a PCS network at 1800 MHz can be achieved in small/micro cells in different environments with ¬±45¬∞ slanted polarizations at the BS end when comparing results with horizontal space diversity. The performance of horizontal/vertical polarization diversity scheme was approximately l dB worse than horizontal space diversity. ¬© 1998 IEEE.</t>
  </si>
  <si>
    <t>1087-1092</t>
  </si>
  <si>
    <t>6603445665;6602748643</t>
  </si>
  <si>
    <t>Lempi√§inen, Jukka J.A.;Laiho-Steffens, Jaana K.</t>
  </si>
  <si>
    <t>Lempi√§inen J.</t>
  </si>
  <si>
    <t>The performance of polarization diversity schemes at a base station in small/micro cells at 1800 MHz</t>
  </si>
  <si>
    <t>S0018954598056692</t>
  </si>
  <si>
    <t>10.1109/25.704863</t>
  </si>
  <si>
    <t>2-s2.0-0032136908</t>
  </si>
  <si>
    <t>OSC</t>
  </si>
  <si>
    <t>['thus represent', 'suburban environments', 'solar heat', 'road system', 'reduction film', 'radio frequency', 'mobile system', 'marginal cost', 'input impedance', 'impedance matching', 'gain patterns', 'front windshield', 'experimental results', 'becoming common']</t>
  </si>
  <si>
    <t>An automotive AM/FM hidden antenna using the slot between the body of the automobile and a metal solar heat-reduction film in the front windshield is described. Such solar heat-reduction metal films are becoming common and thus represent an opportunity to incorporate an antenna at only marginal cost. The radio frequency (RF) input impedance and gain patterns will be described, and techniques for impedance matching will be shown. Theoretical and experimental antenna patterns will be compared. A test range measurement system and experimental results will be described. A mobile on-road system to characterize the antenna in urban and suburban environments will be shown. The application of this mobile system to the measurement of calibrated gain patterns will be demonstrated.</t>
  </si>
  <si>
    <t>766-773</t>
  </si>
  <si>
    <t>Wallon, Eric K.</t>
  </si>
  <si>
    <t>Wallon E.</t>
  </si>
  <si>
    <t>Annular slot windshield antenna</t>
  </si>
  <si>
    <t>10.1109/25.704832</t>
  </si>
  <si>
    <t>2-s2.0-0032137059</t>
  </si>
  <si>
    <t>['time burst', 'stdd provides', 'statistical multiplexing', 'shared time', 'sad ).', 'quality low', 'numerical results', 'moderate number', 'microcellular systems', 'introduced concepts', 'furthermore demonstrate', 'frame length', 'division systems', 'division duplexing', 'directional antennas', 'conventional time', 'considerable increase', 'capacity gains', 'base stations', 'attractive candidate', 'appropriate organization', 'also introduced', 'almost eliminated', '2 ms', '1 %.']</t>
  </si>
  <si>
    <t>Shared time-division duplexing (STDD) is an attractive candidate for high-quality low-delay multiple access in microcellular systems. STDD provides a considerable increase in capacity over conventional time-division systems with conventional speech activity detection (SAD). By sharing time slots in both directions of transmission, large statistical multiplexing gains are obtained, even with a moderate number of users per carrier. In this paper, we show by means of theory that STDD is superior to conventional time-division multiple access (TDMA) as well as TDMA/TDD/SAD in terms of capacity. We furthermore demonstrate how a type of mixed cochannel interference particular to STDD can be reduced or almost eliminated by means of directional antennas at the base stations for both reception and transmission, combined with appropriate organization of the time burst. The concept of partially shared TDD (PSTDD) is also introduced, and the tradeoff between capacity gains by means of statistical multiplexing and packets dropped due to interference is studied by means of analysis. To illustrate the introduced concepts and methodology of evaluation, a number of numerical results are given for a frame length of 2 ms. Statistical multiplexing gains of the order of 100% over TDMA are obtained with 40 speech slots per frame and a packet dropping rate of 0.1%.</t>
  </si>
  <si>
    <t>842-855</t>
  </si>
  <si>
    <t>Papadopoulos, Haralabos C.</t>
  </si>
  <si>
    <t>Papadopoulos H.C.</t>
  </si>
  <si>
    <t>Reduction of mixed cochannel interference in microcellular shared time-division duplexing (STDD) systems</t>
  </si>
  <si>
    <t>10.1109/25.704839</t>
  </si>
  <si>
    <t>2-s2.0-0032137337</t>
  </si>
  <si>
    <t>['simulations showed', 'mutual coupling', 'multipath scenarios', 'moment method', 'initial conditions', 'ideal case', 'hybrid method', 'gtd ).', 'geometrical theory', 'effect among', 'directional due', 'direct ray', 'diffraction effects', 'conducting plate', 'cma algorithm', 'capture property', 'array elements', 'adaptive array']</t>
  </si>
  <si>
    <t>The performance of the constant modulus algorithm (CMA) with the steepest descent method used in an adaptive array of monopole antennas mounted on a rectangular conducting plate was investigated. The mutual coupling (MC) effect among the array elements and the diffraction effect caused by the conducting plate were taken into account in the calculation by a hybrid method of moment method (MM) and geometrical theory of diffraction (GTD). Simulations showed that the CMA adaptive array performs differently when the MC and the diffraction effects are taken into account. In some cases, the speed of convergence is slower with MC, and in other cases it is faster. Also, in multipath scenarios the array sometimes converges on a weaker delayed ray rather than the direct ray when MC is included. The capture property is explained by the fact that the CMA algorithm is sensitive to initial conditions and the initial array pattern is directional due to MC-not omnidirectional as in the ideal case. The performance of the array on a finite ground plane is different from that on an infinite ground plane due to diffraction effects.</t>
  </si>
  <si>
    <t>728-736</t>
  </si>
  <si>
    <t>Yuan, Hao</t>
  </si>
  <si>
    <t>Kyocera DDI Institute of Future Telecommunications, Inc.</t>
  </si>
  <si>
    <t>Yuan H.</t>
  </si>
  <si>
    <t>The mutual coupling and diffraction effects on the performance of a CMA adaptive array</t>
  </si>
  <si>
    <t>10.1109/25.704828</t>
  </si>
  <si>
    <t>2-s2.0-0032137338</t>
  </si>
  <si>
    <t>['wave number', 'space wavelength', 'single mode', 'one free', 'narrow beamwidth', 'measurements presented', 'individual radiators', 'grating lobes', 'element array', 'effectively suppressed', 'design method']</t>
  </si>
  <si>
    <t>A novel antenna array that radiates a single mode of multiple coupled nonradiative dielectric (NRD) waveguides, is described. The array is fed by a single NRD waveguide, which is designed to propagate a wave with the same wave number as that of free-space. The individual radiators of the array are spaced at one free-space wavelength, but due to the narrow beamwidth of the individual radiators, grating lobes are effectively suppressed. An eight-element array is described and measurements presented, but the design method can be extended to any number of elements. ¬© 1998 IEEE.</t>
  </si>
  <si>
    <t>1121-1125</t>
  </si>
  <si>
    <t>Malherbe, Johannes A.G.</t>
  </si>
  <si>
    <t>Pretoria</t>
  </si>
  <si>
    <t>University of Pretoria</t>
  </si>
  <si>
    <t>Malherbe J.</t>
  </si>
  <si>
    <t>An array of coupled nonradiative dielectric waveguide radiators</t>
  </si>
  <si>
    <t>S0018926X98060955</t>
  </si>
  <si>
    <t>10.1109/8.718566</t>
  </si>
  <si>
    <t>2-s2.0-0032137863</t>
  </si>
  <si>
    <t>['surface waves', 'spectral domain', 'short circuit', 'several variations', 'series impedances', 'rigorous solution', 'reciprocity theorem', 'radiation conductance', 'radiated power', 'paper describes', 'network model', 'ideal transformer', 'good agreements', 'general method', 'center slot']</t>
  </si>
  <si>
    <t>Circuit modeling, microstrip antennas, reciprocity theorem, slot antennas, spectral domain analysis</t>
  </si>
  <si>
    <t>This paper describes a general method for analyzing a microstrip-fed slot antenna with a view to developing an improved network model featuring an inclined and off-center slot. The network model consists of an ideal transformer, a radiation conductance, and extended slot lines terminated by short circuit. The transformer turn ratio can be calculated by combining the reciprocity theorem with the spectral-domain immittance approach. The radiation conductance is determined by the radiated power from the slot in the forms of space and surface waves in the spectral domain. Then network models corresponding to several variations of the antenna are described and the series impedances are computed. The computed results using the network model are compared with the rigorous solution and measurements and good agreements are obtained. ¬© 1998 IEEE.</t>
  </si>
  <si>
    <t>1182-1188</t>
  </si>
  <si>
    <t>100475008-60032330;100475008-60032330</t>
  </si>
  <si>
    <t>7601373545;36024195200</t>
  </si>
  <si>
    <t>Kim, Jeong Phill;Park, Wee Sang</t>
  </si>
  <si>
    <t>Pohang;Yongin</t>
  </si>
  <si>
    <t>Pohang University of Science and Technology;Hyundai Precision and Ind. Co. Ltd</t>
  </si>
  <si>
    <t>60032330;100475008</t>
  </si>
  <si>
    <t>Kim J.</t>
  </si>
  <si>
    <t>Network modeling of an inclined and off-center microstrip-fed slot antenna</t>
  </si>
  <si>
    <t>S0018926X98061006</t>
  </si>
  <si>
    <t>10.1109/8.718573</t>
  </si>
  <si>
    <t>2-s2.0-0032138581</t>
  </si>
  <si>
    <t>22-36</t>
  </si>
  <si>
    <t>60009469;60009469</t>
  </si>
  <si>
    <t>7003790137;7005671862</t>
  </si>
  <si>
    <t>Bardi, Istvan;Cendes, Zoltan</t>
  </si>
  <si>
    <t>Ansoft Corporation</t>
  </si>
  <si>
    <t>New directions in HFSS for designing microwave devices</t>
  </si>
  <si>
    <t>2-s2.0-0032138921</t>
  </si>
  <si>
    <t>['test object', 'stirred fields', 'statistical properties', 'reverberation chamber', 'received power', 'random variable', 'power received', 'measured results', 'magnetic fields', 'important result', 'free region', 'fairly simple', 'angular spectrum']</t>
  </si>
  <si>
    <t>Dipole antenna | Electric field | Loop antenna | Magnetic field | Mode-stirred chamber | Radiated immunity | Reverberation chamber | Statistical electromagnetics</t>
  </si>
  <si>
    <t>A plane wave integral representation is presented for well-stirred fields in a reverberation chamber. The representation automatically satisfies Maxwell's equations in a source-free region and the statistical properties of the fields are introduced through the angular spectrum, which is taken to be a random variable. Starting with fairly simple and physically appropriate assumptions for the angular spectrum, a number of properties of the electric and magnetic fields and the power received by an antenna or a test object are derived. Many of these properties and test object responses are in agreement with other theories or with measured results. An important result for radiated immunity testing is that the ensemble (stirring) average of received power is equal to the average over plane wave incidence and polarization.</t>
  </si>
  <si>
    <t>209-217</t>
  </si>
  <si>
    <t>60000251-60023053</t>
  </si>
  <si>
    <t>Hill, David A.</t>
  </si>
  <si>
    <t>Gaithersburg;New York</t>
  </si>
  <si>
    <t>National Institute of Standards and Technology;IEEE</t>
  </si>
  <si>
    <t>60023053;60000251</t>
  </si>
  <si>
    <t>Hill D.A.</t>
  </si>
  <si>
    <t>Plane wave integral representation for fields in reverberation chambers</t>
  </si>
  <si>
    <t>S0018937598061985</t>
  </si>
  <si>
    <t>10.1109/15.709418</t>
  </si>
  <si>
    <t>2-s2.0-0032139316</t>
  </si>
  <si>
    <t>['wave analysis', 'two types', 'surface wave', 'strip width', 'slot width', 'second one', 'rigorous full', 'radiation pattern', 'radiating device', 'nonleakage condition', 'leaky circuits', 'leakage phenomenon', 'leakage effect', 'first structure', 'endfire direction', 'dielectric constant', 'circuit board', 'characteristic impedance', 'better served']</t>
  </si>
  <si>
    <t>Conductor-backed coplanar waveguide | Interference | Leaky and nonleaky effect</t>
  </si>
  <si>
    <t>Through rigorous full-wave analysis, the effective dielectric constant, normalized attenuation constant, characteristic impedance, and radiation pattern of two types of conductor-backed coplanar waveguides are obtained. The analytic results show that the leakage effect is not only controlled by the thickness and dielectric constant of the substrate but also by the slot width. The leakage power transforms to radiation space wave and surface wave, the transverse electric field diagrams in the substrate and the far-zone radiation pattern verify the leakage phenomenon. The first structure has the maximum radiation intensity in the endfire direction, while the second one has more leaky wave radiates into the air, which is better served as a radiating device. For both structures under the nonleakage condition, the characteristic impedance is sensitive to the change of the strip width but not the slot width. Using these properties, the nonleaky and leaky circuits can exist on the same circuit board by choosing appropriate circuit dimensions.</t>
  </si>
  <si>
    <t>Huang, Jen Feng;Kuo, Chih Wen</t>
  </si>
  <si>
    <t>More investigations of leakage and nonleakage conductor-backed coplanar waveguide</t>
  </si>
  <si>
    <t>S0018937598061948</t>
  </si>
  <si>
    <t>10.1109/15.709424</t>
  </si>
  <si>
    <t>2-s2.0-0032139584</t>
  </si>
  <si>
    <t>Nokia Foundation</t>
  </si>
  <si>
    <t>['results demonstrate', 'radiating elements', 'radiating element', 'planar antenna', 'one wavelength', 'millimeter wavelengths', 'matching pins', 'main beam', 'highest sidelobes', 'grating lobe', 'feed network', 'box horns', '37 dbi', '2 ghz', '16 db']</t>
  </si>
  <si>
    <t>Antenna arrays, horn antennas, millimeter wave, planar antenna</t>
  </si>
  <si>
    <t>A planar antenna in which box horns are used as radiating elements is described. The feed network is built by connecting rectangular waveguides with T-junctions. The matching of the T-junctions is improved by using rounded splitters and matching pins in the junctions. The radiating element has been designed to cancel out the grating lobe. The grating lobe is due to an element spacing larger than one wavelength. The highest sidelobes are at least 31 dB below the main beam in the .ff-plane and 16 dB in the B-plane. A gain of 37 dBi has been achieved at 39.2 GHz. These results demonstrate the feasibility of this antenna for applications requiring high gain at millimeter wavelengths. ¬© 1998 IEEE.</t>
  </si>
  <si>
    <t>1189-1193</t>
  </si>
  <si>
    <t>60103653;60103653;60103653</t>
  </si>
  <si>
    <t>6603070082;7003817193;35809669200</t>
  </si>
  <si>
    <t>Sehm, Tomas;Lehto, Arto;R√§is√§nen, Antti V.</t>
  </si>
  <si>
    <t>Aalto University</t>
  </si>
  <si>
    <t>Sehm T.</t>
  </si>
  <si>
    <t>A large planar 39-GHz antenna array of waveguide-fed horns</t>
  </si>
  <si>
    <t>S0018926X98061018</t>
  </si>
  <si>
    <t>10.1109/8.718574</t>
  </si>
  <si>
    <t>2-s2.0-0032140354</t>
  </si>
  <si>
    <t>['top beamformer', 'spatial filters', 'side lobes', 'sdma ),', 'reuse factor', 'outage probability', 'ideal beamformer', 'flat main', 'eight elements', 'easily achieved', 'e .,', 'cell occupying', 'capacity increase', 'capacity improvement', 'base station', 'amps system', 'adaptive arrays', '2 spacings']</t>
  </si>
  <si>
    <t>Adaptive arrays for an advanced mobile phone service (AMPS) system can significantly increase cell capacity, improve signal quality, and reduce transmitter power requirements. In this paper, we investigate the capacity improvement that can potentially be achieved using adaptive arrays at the base station of an AMPS system. For the analysis, we use two types of spatial filters at the base station: an ideal and flat-top beamformer. An ideal beamformer has a flat main lobe and no side lobes, while a flat-top beamformer has flat main and side lobes. Analysis includes calculation of outage probability when a beamformer is used at the base station, and then we calculate the capacity increase that can be offered by practical antenna arrays. In this paper, we show that spatial-division multiple access (SDMA), i.e., all the users in a cell occupying the same frequency, is impossible to achieve in an AMPS system. A cell-reuse factor of four can be easily achieved with a five-element uniform linear array (ULA) with A/2 spacings, but to achieve a reuse factor of three, a ULA with eight elements is required.</t>
  </si>
  <si>
    <t>717-727</t>
  </si>
  <si>
    <t>60027090;60027090;60027090</t>
  </si>
  <si>
    <t>6603681283;7004173440;7403641959</t>
  </si>
  <si>
    <t>Petrus, Paul;Ertel, Richard B.;Reed, Jeffrey H.</t>
  </si>
  <si>
    <t>Petrus P.</t>
  </si>
  <si>
    <t>Capacity enhancement using adaptive arrays in an AMPS system</t>
  </si>
  <si>
    <t>10.1109/25.704827</t>
  </si>
  <si>
    <t>2-s2.0-0032140943</t>
  </si>
  <si>
    <t>['resonant frequency', 'investigated theoretically', 'input impedance']</t>
  </si>
  <si>
    <t>The aperture-coupled hemispherical dielectric resonator antenna with a thick ground plane is investigated theoretically and experimentally. The effects of the ground plane thickness on the input impedance, resonant frequency, and front-to-back radiation ratio are studied. ¬© 1998 IEEE.</t>
  </si>
  <si>
    <t>1242-1243</t>
  </si>
  <si>
    <t>56415172000;7409485017;55510527400;7101878862</t>
  </si>
  <si>
    <t>Leung, K. W.;Chen, Z. N.;Luk, K. M.;Yung, Edward K.N.</t>
  </si>
  <si>
    <t>Aperture-coupled dielectric resonator antenna with a thick ground plane</t>
  </si>
  <si>
    <t>S0018926X98061092</t>
  </si>
  <si>
    <t>10.1109/8.718581</t>
  </si>
  <si>
    <t>2-s2.0-0032141236</t>
  </si>
  <si>
    <t>['wire configuration', 'rhombic antenna', 'recently designed', 'phillips laboratory', 'opposite voltages', 'nonuniform two', 'illumination field']</t>
  </si>
  <si>
    <t>Continuous wave | Fiber optics</t>
  </si>
  <si>
    <t>The Phillips Laboratory has recently designed and constructed a continuous wave illuminator for studying the responses of large-scale systems subject to vertically or horizontally polarized electromagnetic stresses incident from the horizontal. The illuminator is developed by a nonuniform two-wire transmission line oriented over the system under test. When the wires are driven from a common mode voltage with respect to the ground a vertically polarized electric field is generated and when the wires are driven from equal but opposite voltages a horizontally polarized electric field is developed. The structure is called the rhombic illuminator since the wire configuration is very similar to the rhombic antenna. In order to illustrate the use of the illuminator, data are presented for the illumination field and for the response of an illuminated aircraft recorded at the Phillips Laboratory.</t>
  </si>
  <si>
    <t>201-208</t>
  </si>
  <si>
    <t>60015710;60015710;60015710;60015710</t>
  </si>
  <si>
    <t>35606833400;57198200754;7006419750;7004983286</t>
  </si>
  <si>
    <t>Taylor, Clayborne D.;Langdon, Stephen L.;Gutierrez, Samuel J.;Walton, William A.</t>
  </si>
  <si>
    <t>Kirtland</t>
  </si>
  <si>
    <t>Kirtland Air Force Base</t>
  </si>
  <si>
    <t>Taylor C.</t>
  </si>
  <si>
    <t>On the wide-band CW illumination of large-scale systems - Part II: The rhombic illuminator</t>
  </si>
  <si>
    <t>S0018937598063376</t>
  </si>
  <si>
    <t>10.1109/15.709417</t>
  </si>
  <si>
    <t>2-s2.0-0032141371</t>
  </si>
  <si>
    <t>['signal correlations', 'signal correlation', 'separation angle', 'present study', 'obtained using', 'microcellular environment', 'diversity gains', 'correlation depends', 'beam orientations', 'beam antennas', 'antenna types', 'antenna beams']</t>
  </si>
  <si>
    <t>The motivation of the present study is to investigate the possibility of using two independently directed antenna beams in a mobile base station to provide diversity gain and reduce fading problems in a microcellular environment. In this paper, the signal correlation of the individual antenna beams is studied, and it is shown that correlation depends on beamwidth, separation angle of the antenna beams, and the location of the base-station antenna array. Signal correlations have been computed using narrow- and wide-beam antennas in two separate base-station antenna locations. Diversity gains of both antenna types have been optimized by selecting the beam orientations which minimize the signal correlation. The numerical simulations show that a considerable diversity gain can be obtained using this approach.</t>
  </si>
  <si>
    <t>755-765</t>
  </si>
  <si>
    <t>Lempi√§inen, Jukka J.A.</t>
  </si>
  <si>
    <t>Signal correlations and diversity gain of two-beam microcell antenna</t>
  </si>
  <si>
    <t>10.1109/25.704831</t>
  </si>
  <si>
    <t>2-s2.0-0032141431</t>
  </si>
  <si>
    <t>['vertical orientation', 'two modes', 'sufficiently uncorrelated', 'suburban ).', 'results indicate', 'power absorbed', 'numerical modeling', 'monopole antenna', 'meg depends', 'diversity operation', 'difference time', 'absorbed power']</t>
  </si>
  <si>
    <t>A polarization diversity antenna (PDA) is described, and its performance is compared to that of a monopole antenna at frequencies near 900 MHz. Numerical modeling of each antenna, using the finite-difference time-domain (FDTD) technique, incorporates a cellular telephone handset in the vertical orientation, the user's head and hand, and the mobile communications environment. Results indicate that the two modes of the PDA are sufficiently uncorrelated for diversity operation and that, overall, the values of the mean effective gain (MEG), efficiency, and averaged specific absorption rate (SAR) in the head are better for the PDA than for the monopole antenna. However, in terms of the MEG, the PDA is more sensitive than the monopole antenna to the presence of the user's body. For the PDA, most of the power absorbed in the user's body is deposited in the hand, whereas for the monopole antenna, most of the absorbed power is deposited in the head. For both antennas, the MEG depends on the environment (urban or suburban).</t>
  </si>
  <si>
    <t>747-754</t>
  </si>
  <si>
    <t>Douglas, Mark G.</t>
  </si>
  <si>
    <t>Ericcson, Inc.</t>
  </si>
  <si>
    <t>Douglas M.</t>
  </si>
  <si>
    <t>A planar diversity antenna for handheld PCS devices</t>
  </si>
  <si>
    <t>10.1109/25.704830</t>
  </si>
  <si>
    <t>2-s2.0-0032141432</t>
  </si>
  <si>
    <t>['wire dimensions', 'wave representation', 'wave excitation', 'voltage excitation', 'travel along', 'single integral', 'representative choice', 'pulsed waves', 'pulse lengths', 'partially reflected', 'initial pulse', 'form contributions', 'field approximation', 'exterior medium', 'expression obtained', 'expression contains', 'delay time', 'current along', 'computed numerically', 'approximate representation', 'approximate expression']</t>
  </si>
  <si>
    <t>Electromagnetic radiation, electromagnetic scattering, linear antennas</t>
  </si>
  <si>
    <t>An approximate representation for the current along a perfectly conducting straight thin wire is presented. The current is approximated in terms of pulsed waves that travel along the wire with the velocity of the exterior medium. At the ends of the wire, these pulses are partially reflected, with a constant reflection coefficient and delay time. Subsequently, the traveling-wave representation for the current is used to derive an approximate expression for the electric field outside the wire that is caused by this current. For voltage excitation, this expression contains only closed-form contributions. For plane-wave excitation, the expression contains a single integral over the initial pulse that must be computed numerically. Although the expression obtained is essentially a far-field approximation, it turns out to be valid from distances of the order of a single wire length. Results for a representative choice of wire dimensions and pulse lengths are presented and discussed. ¬© 1998 IEEE.</t>
  </si>
  <si>
    <t>1202-1211</t>
  </si>
  <si>
    <t>60019984;60019984;60019984</t>
  </si>
  <si>
    <t>7004224843;7003525820;6602466560</t>
  </si>
  <si>
    <t>Bogerd, Johan C.;Tijhuis, Anton G.;Klaasen, J. J.A.</t>
  </si>
  <si>
    <t>The Hague</t>
  </si>
  <si>
    <t>Nederlandse Organisatie voor toegepast natuurwetenschappelijk onderzoek- TNO</t>
  </si>
  <si>
    <t>Bogerd J.</t>
  </si>
  <si>
    <t>Electromagnetic excitation of a thin wire: A traveling-wave approach</t>
  </si>
  <si>
    <t>S0018926X98061031</t>
  </si>
  <si>
    <t>10.1109/8.718576</t>
  </si>
  <si>
    <t>2-s2.0-0032142078</t>
  </si>
  <si>
    <t>N00014-98-1-0279</t>
  </si>
  <si>
    <t>['power patterns', 'nonniininiuni phase', 'nonminimum phase', 'microwave filters', 'hubert transform', 'generated utilizing', 'antenna radiation']</t>
  </si>
  <si>
    <t>Amplitude-only | Hubert transform | Nonminimum phase</t>
  </si>
  <si>
    <t>A method is presented for the generation of nonniininiuni phase from amplitude-only data. The nonminimum phase is generated utilizing the principles of causality and the Hubert transform. The application of the theory has been applied to some antenna radiation-power patterns and to measured transfer functions of microwave filters to illustrate the applicability of this approach. ¬© 1998 IEEE.</t>
  </si>
  <si>
    <t>1079-1084</t>
  </si>
  <si>
    <t>60030551;60030551</t>
  </si>
  <si>
    <t>55650323300;54680883500</t>
  </si>
  <si>
    <t>Sarkar, Tapan K.;Hu, Bin</t>
  </si>
  <si>
    <t>Syracuse</t>
  </si>
  <si>
    <t>Syracuse University</t>
  </si>
  <si>
    <t>Sarkar T.</t>
  </si>
  <si>
    <t>Generation of nonminimum phase from amplitude-only data</t>
  </si>
  <si>
    <t>S0018948098055136</t>
  </si>
  <si>
    <t>10.1109/22.704949</t>
  </si>
  <si>
    <t>2-s2.0-0032142482</t>
  </si>
  <si>
    <t>1355-1362</t>
  </si>
  <si>
    <t>Polil, Alfred</t>
  </si>
  <si>
    <t>Polil A.</t>
  </si>
  <si>
    <t>A low-cost high-definition wireless sensor system utilizing intersymbol interference</t>
  </si>
  <si>
    <t>10.1109/58.726462</t>
  </si>
  <si>
    <t>2-s2.0-0032155194</t>
  </si>
  <si>
    <t>['vswr less', 'partly interdigitation', 'maximum gain', 'easy matching', 'developed structure', 'classical patch', '50 ii', '5 db']</t>
  </si>
  <si>
    <t>A quarter-wavelength diversity patch configuration for the 2.4-GHz ISM band PC card application is reported. The structure is based on partly interdigitation of two quarter wavelength separated patches through a set of fingers for achieving the required space diversity on single side printed substrate with an easy matching on 50 II, high cross polarization and within a given maximum space of 30 mm x 50 mm. Measured antenna patterns for a developed structure are the same as for a classical patch and the bandwidth for a VSWR less than two is 2% with a maximum gain of 1.5 dB. This antenna has been incorporated in a high-speed wireless LAN PC card system. ¬© 1998 IEEE.</t>
  </si>
  <si>
    <t>1388-1389</t>
  </si>
  <si>
    <t>An interdigitated printed antenna for PC card applications</t>
  </si>
  <si>
    <t>S0018926X9806880X</t>
  </si>
  <si>
    <t>10.1109/8.719985</t>
  </si>
  <si>
    <t>2-s2.0-0032162436</t>
  </si>
  <si>
    <t>['strategically arrayed', 'rotational aspect', 'penetrating radar', 'made targets', 'harmonic generation', 'domain ct', 'cooperative target', 'clutter ratio', 'buried man']</t>
  </si>
  <si>
    <t>Buried object detection | Ground-penetrating radar (GPR) | Radar distance measurement | Radar theory</t>
  </si>
  <si>
    <t>A cooperative target (CT) is proposed to enhance the ground-penetrating radar (GPR) signal-to-clutter ratio (SCR) for buried man-made targets. Applications include tagging highvalue buried structures and monitoring microtunneling equipment. Results are presented for a time-domain CT, a dipole antenna connected to an unterminated delay line. By using several independent time-domain CT's, strategically arrayed about a target, the rotational aspect of the target can also be obtained. Finally, harmonic generation is demonstrated as a technique for a frequency-domain CT. ¬© 1998 IEEE.</t>
  </si>
  <si>
    <t>1821-1825</t>
  </si>
  <si>
    <t>60015457;60015457;60015457</t>
  </si>
  <si>
    <t>54680585800;54681401200;7102157694</t>
  </si>
  <si>
    <t>Alien, Christopher T.;Shi, ;Plumb, Richard G.</t>
  </si>
  <si>
    <t>Lawrence</t>
  </si>
  <si>
    <t>University of Kansas</t>
  </si>
  <si>
    <t>Alien C.</t>
  </si>
  <si>
    <t>The use of ground-penetrating radar with a cooperative target</t>
  </si>
  <si>
    <t>S0196289298049675</t>
  </si>
  <si>
    <t>10.1109/36.718649</t>
  </si>
  <si>
    <t>2-s2.0-0032162786</t>
  </si>
  <si>
    <t>['recent studies', 'pml )-', 'dispersive media', 'dispersionless media', 'coordinate space', 'conceptual distinction', 'complex media', 'analytical continuation', 'abc )-']</t>
  </si>
  <si>
    <t>Absorbing media | Anisotropic media | Dispersive media</t>
  </si>
  <si>
    <t>Recent studies have focused on the extension of the Berenger's absorbing boundary condition (ABC)-the perfectly matched layer (PML)-to anisotropic and dispersive media. In this letter, we describe how the PML can be extended for anisotropic and/or dispersive media (or even bianisotropic media) with little analytical effort, in a simple and general conceptual setting, by using an analytical continuation of the coordinate space of the Maxwell's equations to a complex variables domain. Using this approach, there is no conceptual distinction between the derivation of PML for more complex media and the derivation for isotropic, dispersionless media. ¬© 1998 IEEE.</t>
  </si>
  <si>
    <t>1386-1387</t>
  </si>
  <si>
    <t>7102746700;26643168800</t>
  </si>
  <si>
    <t>Teixeira, F. L.;Chew, W. C.</t>
  </si>
  <si>
    <t>Teixeira F.</t>
  </si>
  <si>
    <t>A general approach to extend berenger's absorbing boundary condition to anisotropie and dispersive media</t>
  </si>
  <si>
    <t>S0018926X98068793</t>
  </si>
  <si>
    <t>10.1109/8.719984</t>
  </si>
  <si>
    <t>2-s2.0-0032162915</t>
  </si>
  <si>
    <t>NAG-1-1082</t>
  </si>
  <si>
    <t>['tuned cavity', 'spatial evaluation', 'return loss', 'resulting integral', 'possible dielectric', 'partially filled', 'numerical results', 'magnetic overlay', 'input impedance', 'function followed', 'frequency band', 'flush mounted', 'exterior region', 'exponential behavior', 'experimental data', 'element method', 'domain approach', 'dimensional finite', 'backed slots', 'asymptotic extraction']</t>
  </si>
  <si>
    <t>Ferrites | Hybrid methods | Slot antennas</t>
  </si>
  <si>
    <t>A three-dimensional finite-element method hybridized with the spectral/spatial domain method of moments is presented for the analysis of ferrite-tuned cavity-backed slot antennas. The cavity, which is partially filled with magnetized ferrite layers, is flush mounted on an infinite ground plane with possible dielectric or magnetic overlay. The antenna operates primarily in the ultrahigh-frequency band. The finite-element method is used to solve for the electric-field distribution inside the cavity, whereas the spectral-domain approach is used to solve for the exterior region. An asymptotic extraction of the exponential behavior of the Green's function followed by a spatial evaluation of the resulting integral is used to improve computational speed. Radar cross section, input impedance, return loss, gain, and efficiency of ferrite-tuned cavity-backed slots (CBS) are calculated for various biasing conditions. Numerical results are compared with experimental data. ¬© 1998 IEEE.</t>
  </si>
  <si>
    <t>1297-1306</t>
  </si>
  <si>
    <t>7005461077;35583458100;7005725769;57208464375</t>
  </si>
  <si>
    <t>Polycarpou, Anastasis C.;Balanis, Constantine A.;Aberle, Janmes T.;Birtcher, Craig</t>
  </si>
  <si>
    <t>Polycarpou A.C.</t>
  </si>
  <si>
    <t>Radiation and scattering from ferrite-tuned cavitybacked slot antennas: Theory and experiment</t>
  </si>
  <si>
    <t>S0018926X98070537</t>
  </si>
  <si>
    <t>10.1109/8.719973</t>
  </si>
  <si>
    <t>2-s2.0-0032163071</t>
  </si>
  <si>
    <t>['total density', 'proper design', 'lefthand helices', 'cross polarization', 'constant inside']</t>
  </si>
  <si>
    <t>Aperture antennas | Inhomogeneous chiral medium | Polarization correction</t>
  </si>
  <si>
    <t>The cross polarization of large aperture antennas can be eliminated by a chiral slab transformer in front of the aperture to obtain a more efficient fleld pattern. The inhomogeneous chirality distribution required can easily be achieved by using a mixture of right- and lefthand helices so that the total density of helices is constant inside the slab. Reflection from the slab can be eliminated by a proper design. ¬© 1998 IEEE.</t>
  </si>
  <si>
    <t>1395-1397</t>
  </si>
  <si>
    <t>60103653;60103653</t>
  </si>
  <si>
    <t>7004903706;7102492958</t>
  </si>
  <si>
    <t>Viitanen, Ari J.;Lindell, Ismo V.</t>
  </si>
  <si>
    <t>Viitanen A.</t>
  </si>
  <si>
    <t>Chiral slab polarization transformer for aperture antennas</t>
  </si>
  <si>
    <t>S0018926X98066848</t>
  </si>
  <si>
    <t>10.1109/8.719989</t>
  </si>
  <si>
    <t>2-s2.0-0032163072</t>
  </si>
  <si>
    <t>['window glass', 'two antennas', 'transmittance curves', 'receive p', 'presented using', 'polarized waves', 'optical spectrometer', 'measuring pseudo', 'measured values', 'measure er', 'iilin accuracy', 'error calculation', 'dielectric sheet', 'dielectric constant', 'centimeter wavelengths', 'also used', 'accurate method', 'accurate measurement']</t>
  </si>
  <si>
    <t>Dielectric sheet | E  measurement r | Error calculations | Pseudo-brewster's angle</t>
  </si>
  <si>
    <t>Dielectric constant (er ) measurements for finite-size dielectric sheets (OS's) at centimeter wavelengths are presented using the methodof-measuring pseudo-Brewster's angle. This method is applied to measure er of sheets of Plexiglas and window glass. In the experimentation, two horn antennas are used to transmit and receive p-polarized waves. A dielectric sheet is located between the two antennas and rotated 180¬∞, which produces two peaks in the transmittance curves. For a more accurate measurement of Brewster's angle, an optical spectrometer with l-iilin accuracy is also used. By this method, er of Plexiglas and window glass are obtained to be 2.55¬±0.13 and 5.35¬±0.1, respectively. This method measures er |, but the measurement is easy and nondestructive for OS's. Finally, an accurate method of error calculation is used to calculate the error in the measured values of er. ¬©1998 IEEE.</t>
  </si>
  <si>
    <t>1307-1309</t>
  </si>
  <si>
    <t>Afzalzadeh, Reza</t>
  </si>
  <si>
    <t>Iran</t>
  </si>
  <si>
    <t>Tehran</t>
  </si>
  <si>
    <t>K. N. Toosi¬†University¬†of Technology</t>
  </si>
  <si>
    <t>Afzalzadeh R.</t>
  </si>
  <si>
    <t>Dielectric constant measurements of finite-size sheet at microwave frequencies by pseudo-brewster's angle method</t>
  </si>
  <si>
    <t>S0018948098061638</t>
  </si>
  <si>
    <t>10.1109/22.709475</t>
  </si>
  <si>
    <t>2-s2.0-0032163485</t>
  </si>
  <si>
    <t>261-273</t>
  </si>
  <si>
    <t>;;60074719</t>
  </si>
  <si>
    <t>14066601800;6506249896;6603450855</t>
  </si>
  <si>
    <t>McKinnon, Mike;Drazin, Marc;Sgrignoli, Gary</t>
  </si>
  <si>
    <t>McKinnon M.</t>
  </si>
  <si>
    <t>Tribune/WGN DTV field test</t>
  </si>
  <si>
    <t>S0018931698081967</t>
  </si>
  <si>
    <t>10.1109/11.715311</t>
  </si>
  <si>
    <t>2-s2.0-0032163601</t>
  </si>
  <si>
    <t>N00014-78-C-0049</t>
  </si>
  <si>
    <t>['strip dipole', 'solution involves', 'paper presents', 'domain method', 'dielectric slab', 'dielectric junction']</t>
  </si>
  <si>
    <t>Moment methods | Printed circuit antennas</t>
  </si>
  <si>
    <t>This paper presents a space-domain method of moments (MoM) solution to the problem of a strip dipole on a dielectric slab. The solution involves the use of a special junction basis function which models the nearly singular polarization currents in the vicinity of the strip/dielectric junction. ¬© 1998 IEEE.</t>
  </si>
  <si>
    <t>1346-1348</t>
  </si>
  <si>
    <t>8583220000;7203066664</t>
  </si>
  <si>
    <t>Tekin, I.;Newman, E. H.</t>
  </si>
  <si>
    <t>Tekin I.</t>
  </si>
  <si>
    <t>Space-domain method of moments solution for a strip on a dielectric slab</t>
  </si>
  <si>
    <t>S0018926X98070550</t>
  </si>
  <si>
    <t>10.1109/8.719978</t>
  </si>
  <si>
    <t>2-s2.0-0032164462</t>
  </si>
  <si>
    <t>['one octave', 'matching techniques', 'impedance behavior', 'greatly enhances', 'band operation', 'also discussed', 'additional patches']</t>
  </si>
  <si>
    <t>A variation of the aperture-coupled stacked patch microstrip antenna is presented, which greatly enhances its bandwidth. Bandwidths of up to one octave have been achieved. The impedance behavior of this antenna is compared with that of other wide-band microstrip radiators. Matching techniques for the antenna are presented and their relative merits discussed. The effects of varying several key physical parameters of the antenna are investigated, lending some insight into its wide-band operation. Variations on the design such as incorporation of additional patches are also discussed. ¬© 1998 IEEE.</t>
  </si>
  <si>
    <t>1245-1251</t>
  </si>
  <si>
    <t>60011362;60011362;60014313</t>
  </si>
  <si>
    <t>6603820268;35478779700;7006061921</t>
  </si>
  <si>
    <t>Targonski, S. D.;Waterhouse, R. B.;Pozar, D. M.</t>
  </si>
  <si>
    <t>Amherst MA;Melbourne</t>
  </si>
  <si>
    <t>University of Massachusetts Amherst;RMIT University</t>
  </si>
  <si>
    <t>60014313;60011362</t>
  </si>
  <si>
    <t>Targonski S.D.</t>
  </si>
  <si>
    <t>Design of wide-band aperture-stacked patch microstrip antennas</t>
  </si>
  <si>
    <t>S0018926X98068677</t>
  </si>
  <si>
    <t>10.1109/8.719966</t>
  </si>
  <si>
    <t>2-s2.0-0032164714</t>
  </si>
  <si>
    <t>['work demonstrates', 'two arrays', 'test results', 'single aperture', 'radiating elements', 'principal goal', 'predicted results', 'practical design', 'layout considerations', 'good correlation', 'frequency dual', 'feasible approach', 'best choice', 'band dual', 'aperture dual']</t>
  </si>
  <si>
    <t>Microstrip antennas | Synthetic aperture radar</t>
  </si>
  <si>
    <t>This paper discusses various methods of implementing a shared-aperture dual-frequency dual-polarized array antenna for spaced-based synthetic aperture radar (SAR) applications. After evaluating the use of several potential array architecture concepts and radiating elements, a design using interlaced C-band microstrip patches and X-band printed slot elements was chosen as the best choice for the present system requirements. Layout considerations for the two arrays and their associated feed networks are addressed in terms of a practical design. A dual-frequency (C- and X-band), duallinear polarized SAR array antenna prototype was designed, fabricated, and tested. The principal goal of this effort was to demonstrate the viability of the dual-band dual-polarized array concept, and this has been accomplished. Test results are shown with good correlation between measured and predicted results, validating the design approach used. This work demonstrates that a dual-frequency dual-polarization SAR antenna within a single aperture is a feasible approach to meeting user requirements in future SAR spacecraft. ¬© 1998 IEEE.</t>
  </si>
  <si>
    <t>1289-1296</t>
  </si>
  <si>
    <t>60013506;60013506;60014313</t>
  </si>
  <si>
    <t>6506261522;7005654826;7006061921</t>
  </si>
  <si>
    <t>Pokuls, Ralph;Uher, Jaroslaw;Pozar, D. M.</t>
  </si>
  <si>
    <t>Amherst MA;Edmonton</t>
  </si>
  <si>
    <t>University of Massachusetts Amherst;L-3 Communications SPAR Aerospace Limited</t>
  </si>
  <si>
    <t>60014313;60013506</t>
  </si>
  <si>
    <t>Pokuls R.</t>
  </si>
  <si>
    <t>Dual-frequency and dual-polarization microstrip antennas for SAR applications</t>
  </si>
  <si>
    <t>S0018926X98068720</t>
  </si>
  <si>
    <t>10.1109/8.719972</t>
  </si>
  <si>
    <t>2-s2.0-0032164766</t>
  </si>
  <si>
    <t>['walking behavior', 'syntactic constraints', 'six legs', 'simulated insects', 'sgoce paradigm', 'paper describes', 'incremental strategy', 'future work', 'evolutionary approach', 'evolutionary algorithm', 'encoding scheme', 'avoidance capacities', 'additional use']</t>
  </si>
  <si>
    <t>Animals | Genetic programming | Leaky integrators | Recurrent neural networks | SGOCE paradigm</t>
  </si>
  <si>
    <t>This paper describes how the SGOCE paradigm has been used to evolve developmental programs capable of generating recurrent neural networks that control the behavior of simulated insects. This paradigm is characterized by an encoding scheme, by an evolutionary algorithm, by syntactic constraints, and by an incremental strategy that are described in turn. The additional use of an insect model equipped with six legs and two antennae made it possible to generate control modules that allowed it to successively add gradient-following and obstacle-avoidance capacities to walking behavior. The advantages of this evolutionary approach, together with directions for future work, are discussed. ¬© 1998 IEEE.</t>
  </si>
  <si>
    <t>796-812</t>
  </si>
  <si>
    <t>IEEE Transactions on Neural Networks</t>
  </si>
  <si>
    <t>60000179;60000179</t>
  </si>
  <si>
    <t>6602800440;7406100201</t>
  </si>
  <si>
    <t>Kodjabachian, J√©r√¥me;Meyer, Jean Arcady</t>
  </si>
  <si>
    <t>√âcole Normale Sup√©rieure</t>
  </si>
  <si>
    <t>Kodjabachian J.</t>
  </si>
  <si>
    <t>Evolution and development of neural controllers for locomotion, gradient-following, and obstacle-avoidance in artificial insects</t>
  </si>
  <si>
    <t>S1045922798061815</t>
  </si>
  <si>
    <t>10.1109/72.712153</t>
  </si>
  <si>
    <t>2-s2.0-0032165064</t>
  </si>
  <si>
    <t>['vertical probe', 'reciprocity theorem', 'radiation patterns', 'printed antenna', 'present technique', 'parameter segments', 'measured data', 'meander antenna', 'linear antenna', 'dyadic green', 'current distribution', 'archimedian spiral', 'also presented']</t>
  </si>
  <si>
    <t>Integral equation | Microstrip antennas | Moment method | Printed antennas | Probe feed</t>
  </si>
  <si>
    <t>A general integral equation technique is described for analysis of an arbitrarily shaped single-arm printed wire antenna excited through a vertical probe. A unified current integral equation is formulated on the basis of dyadic Green's functions and the reciprocity theorem. The current distribution is obtained by using a parametric moment method in which parameter segments are adopted for the printed wire instead of the commonly employed wire length segments. The radiation field solution involving both the printed antenna and vertical probe is also presented. The validity of the formulation is verified by comparing the numerically obtained input impedance and radiation patterns for a linear antenna and a meander antenna with measured data. A circular open loop and an Archimedian spiral are investigated to illustrate the applicability of the present technique. ¬© 1998 IEEE.</t>
  </si>
  <si>
    <t>1307-1317</t>
  </si>
  <si>
    <t>60003970;60030526</t>
  </si>
  <si>
    <t>7404724322;55633340100</t>
  </si>
  <si>
    <t>Li, Rong Lin;Nakano, Hisamatsu</t>
  </si>
  <si>
    <t>Li R.L.</t>
  </si>
  <si>
    <t>Numerical analysis of arbitrarily shaped probe-excited single-arm printed wire antennas</t>
  </si>
  <si>
    <t>S0018926X98068732</t>
  </si>
  <si>
    <t>10.1109/8.719974</t>
  </si>
  <si>
    <t>2-s2.0-0032165067</t>
  </si>
  <si>
    <t>['starting point', 'short dipole', 'scattering applications', 'probe position', 'passive antennas', 'measured voltage', 'fleld measurements', 'assumed probe']</t>
  </si>
  <si>
    <t>Electromagnetic measurements | Electromagnetic scattering</t>
  </si>
  <si>
    <t>The relation between the measured voltage and the unperturbed electric fleld at the probe position, which is the starting point for the development of measurement systems based on the modulated scattering technique, is considered in this letter. In particular, this relation is derived for the bistatic setup used for fleld measurements in scattering applications. The assumed probe is a short dipole and the analysis is performed by using scattering properties of passive antennas. ¬© 1998 IEEE.</t>
  </si>
  <si>
    <t>1399-1400</t>
  </si>
  <si>
    <t>60025153;60025153;60015197</t>
  </si>
  <si>
    <t>8662846400;7102084534;7004880389</t>
  </si>
  <si>
    <t>Azaro, Renzo;Caorsi, Salvatore;Pastorino, Matteo</t>
  </si>
  <si>
    <t>Genoa;Pavia</t>
  </si>
  <si>
    <t>Universit√† degli Studi di Genova;Universit√† degli Studi di Pavia</t>
  </si>
  <si>
    <t>60025153;60015197</t>
  </si>
  <si>
    <t>Azaro R.</t>
  </si>
  <si>
    <t>On the relationship for the bistatic modulated scattering technique in scattering applications using scattering properties of antennas</t>
  </si>
  <si>
    <t>S0018926X98061122</t>
  </si>
  <si>
    <t>10.1109/8.719991</t>
  </si>
  <si>
    <t>2-s2.0-0032165069</t>
  </si>
  <si>
    <t>['wave modes', 'uriels across', 'metallic waveguide', 'fleld method', 'dielectric loading', 'dielectric boundary', 'cutoff characteristics', 'corresponding guided', 'bessel function', 'analyzed using', 'addition theorem']</t>
  </si>
  <si>
    <t>Asymmetric loading | Cylindrical waveguide</t>
  </si>
  <si>
    <t>The cutoff characteristics of an asymmetrically loaded cylindrical waveguide are analyzed using the null-fleld method. The Uriels in the metallic waveguide and dielectric loading are expressed in their corresponding guided-wave modes. The addition theorem of the Bessel function is used to relate the Uriels across the air-dielectric boundary. ¬©1998 IEEE.</t>
  </si>
  <si>
    <t>1331-1334</t>
  </si>
  <si>
    <t>Yeo, Tat Soon</t>
  </si>
  <si>
    <t>Yeo T.</t>
  </si>
  <si>
    <t>Cutoff frequencies of an asymmetrically loaded cylindrical waveguide</t>
  </si>
  <si>
    <t>S0018948098061547</t>
  </si>
  <si>
    <t>10.1109/22.709484</t>
  </si>
  <si>
    <t>2-s2.0-0032165706</t>
  </si>
  <si>
    <t>['useful tool', 'thus making', 'recursive method', 'reactive load', 'paper presents', 'main point', 'domain solution', 'domain interpretation', 'current reflections', 'band antennas']</t>
  </si>
  <si>
    <t>This paper presents the use of the multiple sweep method of moments (MSMM) in the design of electrically large wide-band antennas. The MSMM is an O(N2) recursive method for solving the large matrix equations which arise in the method of moments (MM) analysis of electrically large bodies. Although the MSMM is a frequency-domain solution, it has a time-domain interpretation. The main point of this paper is to show that this time-domain interpretation can be used to identify the location and magnitude of points of current reflections, thus making the MSMM a useful tool for analysis and design of wide-band antennas. The method is applied to the three-dimensional (3-D) problems of a long dipole antenna with a reactive load in the center of each arm and a TEM horn antenna with a bend. ¬© 1998 IEEE.</t>
  </si>
  <si>
    <t>1365-1371</t>
  </si>
  <si>
    <t>36131018100;7203066664</t>
  </si>
  <si>
    <t>√áolak, D.;Newman, E. H.</t>
  </si>
  <si>
    <t>√áolak D.</t>
  </si>
  <si>
    <t>The multiple sweep method of moments (MSMM) design of wide-band antennas</t>
  </si>
  <si>
    <t>S0018926X98070562</t>
  </si>
  <si>
    <t>10.1109/8.719981</t>
  </si>
  <si>
    <t>2-s2.0-0032165974</t>
  </si>
  <si>
    <t>['time delays', 'step procedure', 'simulation examples', 'required search', 'rao bound', 'performance relative', 'paper considers', 'initial conditions', 'esprit algorithms', 'dopplers solved', 'doppler shifts', 'dimensional minimization', 'applying generalizations', 'also outlined']</t>
  </si>
  <si>
    <t>Array signal processing | Delay estimation | Mobile communications | Multipath channels | Radar signal processing | Subspace fitting</t>
  </si>
  <si>
    <t>This paper considers the problem of estimating the time delays and Doppler shifts of a known waveform received via several distinct paths by an array of antennas. The general maximum likelihood estimator is presented, and is shown to require a Id-dimensional nonlinear minimization, where d is the number of received signal reflections. Two alternative solutions based on signal and noise subspace fitting are proposed, requiring only a d-dimensional minimization. In particular, we show how to decouple the required search into a two-step procedure, where the delays are estimated and the Dopplers solved for explicitly. Initial conditions for the time delay search can be obtained by applying generalizations of the MUSIC and ESPRIT algorithms, which are also outlined in the paper. Simulation examples are included to illustrate the algorithms' performance relative to the Cramer-Rao bound. ¬© 1993 IEEE.</t>
  </si>
  <si>
    <t>2472-2483</t>
  </si>
  <si>
    <t>60003858;60006832</t>
  </si>
  <si>
    <t>7007184651;55665154800</t>
  </si>
  <si>
    <t>Jakobsson, Andreas;Swindlehurst, A. Lee</t>
  </si>
  <si>
    <t>Provo;Uppsala</t>
  </si>
  <si>
    <t>Brigham Young University;Uppsala Universitet</t>
  </si>
  <si>
    <t>60006832;60003858</t>
  </si>
  <si>
    <t>Jakobsson A.</t>
  </si>
  <si>
    <t>Subspace-based estimation of time delays and doppler shifts</t>
  </si>
  <si>
    <t>S1053587X98059595</t>
  </si>
  <si>
    <t>10.1109/78.709535</t>
  </si>
  <si>
    <t>2-s2.0-0032166169</t>
  </si>
  <si>
    <t>['wave frequencies', 'theoretical predictions', 'radiative coupling', 'placed across', 'oscillator loads', 'larger power', 'experimental results', 'employed concurrently', 'domain analysis', 'coupling oscillators', 'combining arrays', 'array behavior', 'arrangement takes']</t>
  </si>
  <si>
    <t>Coupled active antenna oscillator arrays are used for power-combining at microwave and millimeter-wave frequencies. It is known that relative phase determined by element separation distance ultimately determines the array operational mode and, hence, far-field radiation characteristics. Separately, it is known that coupled oscillator modal stability is achieved by coupling oscillators through lumped capacitive elements. In this paper, an arrangement whereby lumped capacitive elements (placed across the oscillator loads) and radiative coupling are employed concurrently is investigated. The arrangement takes the form of a ring of coupled oscillators used to excite a 2 x 2 antenna array. The effect that these couplings have on array behavior are evaluated using time-domain analysis and analytically derived equations. Experimental results for far-field radiation patterns are discussed in relation to coupled oscillator dynamical behavior. These suggest that the theoretical predictions are valid, offering a robust design tool for studies of larger power-combining arrays. ¬© 1998 IEEE.</t>
  </si>
  <si>
    <t>1279-1284</t>
  </si>
  <si>
    <t>Humphrey, Denver E.J.;Fusco, Vincent F.</t>
  </si>
  <si>
    <t>Active antenna array lumped ring configuration</t>
  </si>
  <si>
    <t>S0018926X98068719</t>
  </si>
  <si>
    <t>10.1109/8.719970</t>
  </si>
  <si>
    <t>2-s2.0-0032166177</t>
  </si>
  <si>
    <t>['waveguide pwa', 'wave amplifier', 'unit cell', 'stage direct', 'stability requirements', 'signal gain', 'satisfies size', 'rf efficiency', 'output power', 'coupled design', 'corresponding dc', 'cell size', '8 mm2', '8 db', '5 db', '44 ghz', '3 w', '15 dbm', '10 %.']</t>
  </si>
  <si>
    <t>High electron-mobility transistors | Power amplifiers | Power combining | Quasi-optic techniques</t>
  </si>
  <si>
    <t>A 44-GHz monolithic waveguide plane-wave amplifier (PWA) with improved unit cell design is presented in this paper. The unit cell is a two-stage direct-coupled design and satisfies size, biasability, and stability requirements of the waveguide PWA. The ultra-compact unit cell had a cell size of 0.8 mm2, and showed a small-signal gain of 8 dB and an output power of 15 dBm at 44 GHz with a corresponding dc-to-RF efficiency of 10%. A monolithic waveguide PWA using these unit cells showed a "flange-to-flange" gain of 5 dB, an output power of 0.3 W, and an efficiency of 2% at 44 GHz. ¬© 1998 IEEE.</t>
  </si>
  <si>
    <t>1237-1241</t>
  </si>
  <si>
    <t>60013682;60013682;60027960;60027960</t>
  </si>
  <si>
    <t>7403459557;7003559200;7004836254;6504036068</t>
  </si>
  <si>
    <t>Kwon, Youngwoo;Sovero, Emilio A.;Deakin, Don S.;Aiden Higgins, J.</t>
  </si>
  <si>
    <t>Thousand Oaks;Seoul</t>
  </si>
  <si>
    <t>Rockwell International Science Center;Seoul National University</t>
  </si>
  <si>
    <t>60027960;60013682</t>
  </si>
  <si>
    <t>A 44-GHz monolithic waveguide plane-wave amplifier with improved unit cell design</t>
  </si>
  <si>
    <t>S0018948098061663</t>
  </si>
  <si>
    <t>10.1109/22.709463</t>
  </si>
  <si>
    <t>2-s2.0-0032166259</t>
  </si>
  <si>
    <t>['tonoise ratio', 'toeplitz matrix', 'rather large', 'rao bound', 'preasymptotic region', 'paper considers', 'local maximum', 'fully augmentable', 'even asymptotically', 'estimation stage', 'entropy equalization', 'cannot approach', 'asymptotically optimal', 'antenna sensors', 'alternating projections']</t>
  </si>
  <si>
    <t>Direction of arrival estimation | Linear arrays | Nonuniformly spaced arrays | Toeplitz matrices</t>
  </si>
  <si>
    <t>This paper considers the problem of direction-ofarrival (DOA) estimation for multiple uncorrelated plane waves incident on so-called "fully augmentable" sparse linear arrays. In situations where a decision is made on the number of existing signal sources (m) prior to the estimation stage, we investigate the conditions under which DOA estimation accuracy is effective (in the maximum-likelihood sense). In the case where m is less than the number of antenna sensors (M), a new approach called "MUSIC-maximum-entropy equalization" is proposed to improve DOA estimation performance in the "preasymptotic region" of finite sample size (N) and signal-tonoise ratio. A full-sized positive definite (p.d.) Toeplitz matrix is constructed from the M x M direct data covariance matrix, and then, alternating projections are applied to find a p.d. Toeplitz matrix with m-variate signal eigensubspace ("signal subspace truncation"). When m &gt; M, Cram√©r-Rao bound analysis suggests that the minimal useful sample size N is rather large, even for arbitrarily strong signals. It is demonstrated that the well-known direct augmentation approach (DAA) cannot approach the accuracy of the corresponding Cram√©r-Rao bound, even asymptotically (as N-&gt;oo) and, therefore, needs to be improved. We present a new estimation method whereby signal subspace truncation of the DAA augmented matrix is used for initialization and is followed by a local maximum-likelihood optimization routine. The accuracy of this method is demonstrated to be asymptotically optimal for the various superior scenarios (m &gt; M) presented. ¬© 1998 IEEE.</t>
  </si>
  <si>
    <t>2458-2471</t>
  </si>
  <si>
    <t>Abramovich, Yuri I.</t>
  </si>
  <si>
    <t>Cooperative Research Centre for Sensor Signal and Information Processing</t>
  </si>
  <si>
    <t>Abramovich Y.I.</t>
  </si>
  <si>
    <t>Positive-definite toeplitz completion in doa estimation for nonuniform linear antenna arrays-part i: fully augmentable arrays</t>
  </si>
  <si>
    <t>S1053587X98059583</t>
  </si>
  <si>
    <t>10.1109/78.709534</t>
  </si>
  <si>
    <t>2-s2.0-0032166461</t>
  </si>
  <si>
    <t>['statistical results', 'shadowing effects', 'shadowed environments', 'link margins', 'letter describes', 'different tree']</t>
  </si>
  <si>
    <t>A'a-band | LMS | Shadowing | Tree-shadowed areas</t>
  </si>
  <si>
    <t>This letter describes the results of a mobile A'a-band experimental campaign carried out in different tree-shadowed environments. Given the narrow antenna beamwidth used only shadowing effects were measured. Statistical results are presented in the form of cumulative distribution flnctions (CDF's) and link margins. ¬© 1998 IEEE.</t>
  </si>
  <si>
    <t>1397-1399</t>
  </si>
  <si>
    <t>60027742;60027742;60027742;60026134;100605550;100605550</t>
  </si>
  <si>
    <t>7102273394;7003497674;14833633400;6701317517;6701899411;8693261000</t>
  </si>
  <si>
    <t>Kubista, E.;Perez-Fontan, F.;Castro, M. A.V.;Buonomo, S.;Arbesser-Rastburg, B.;Baptista, J. P.V.</t>
  </si>
  <si>
    <t>Graz;Vigo;</t>
  </si>
  <si>
    <t>Joanneum Research Forschungsgesellschaft mbH;Universidade de Vigo;NL-2200-AG Noordwijk</t>
  </si>
  <si>
    <t>60027742;60026134;100605550</t>
  </si>
  <si>
    <t>LMS ka-band blockage margins in tree-shadowed areas</t>
  </si>
  <si>
    <t>S0018926X98070574</t>
  </si>
  <si>
    <t>10.1109/8.719990</t>
  </si>
  <si>
    <t>2-s2.0-0032166470</t>
  </si>
  <si>
    <t>['perfect earth', 'binary excitations']</t>
  </si>
  <si>
    <t>Features of horizontally polarized curtain arrays over perfect earth are explicated through consideration of a vertical linear aperture, and a vertical linear array of isotropes. The ideal sinusoidal distribution, and sampled and binary excitations are discussed and used. ¬© 1998 IEEE.</t>
  </si>
  <si>
    <t>309-315</t>
  </si>
  <si>
    <t>Intrinsic features of HF curtain arrays</t>
  </si>
  <si>
    <t>S001893169808202X</t>
  </si>
  <si>
    <t>10.1109/11.715317</t>
  </si>
  <si>
    <t>2-s2.0-0032166823</t>
  </si>
  <si>
    <t>['radar system', 'phase shifter', 'microwave beams', 'innovative approaches', 'electronically controlled', 'electronic control', 'basic theory', 'antenna gain', 'also developed']</t>
  </si>
  <si>
    <t>Beam produced plasma | Hollow cathode | Increasing phased array angular coverage | Microwave switch | Plasma microwave component</t>
  </si>
  <si>
    <t>It is shown that the agile mirror plasma, under development as a device to simply and cheaply give electronic steering to microwave beams, also has application as a fast, electronically controlled, high power reflector, or phase shifter. In a radar system, this can lead to such applications as pulse to pulse polarization agility and electronic control of antenna gain, as well as to innovative approaches to high power millimeter wave circulators. The basic theory of the enhanced glow plasma is also developed. ¬© 1998 IEEE.</t>
  </si>
  <si>
    <t>1543-1555</t>
  </si>
  <si>
    <t>60027271;60027271;60027271</t>
  </si>
  <si>
    <t>7005742679;7003385427;8332023200</t>
  </si>
  <si>
    <t>Manheimer, Wallace M.;Fernsler, Richard F.;Gitlin, Mikhail S.</t>
  </si>
  <si>
    <t>Manheimer W.</t>
  </si>
  <si>
    <t>High power, fast, microwave components based on beam generated plasmas</t>
  </si>
  <si>
    <t>S0093381398079648</t>
  </si>
  <si>
    <t>10.1109/27.736059</t>
  </si>
  <si>
    <t>2-s2.0-0032179209</t>
  </si>
  <si>
    <t>['test data', 'targets approaching', 'separated transmit', 'receive antennas', 'multipath signals', 'mathematically simulated', 'data reveal', 'anomalous frequency']</t>
  </si>
  <si>
    <t>In this paper, we present the principle of operation, design, and testing of a pulse echo radar unit that utilizes the properties of short helical antennas. Data was captured for targets approaching the radar at three different controlled velocities, three different target sizes, and three radar range gate settings. These data reveal the expected Doppler frequency as well as a second anomalous frequency. The effects of multipath signals, separated transmit and receive antennas, and direct antenna coupling are used to explain this anomalous frequency. These effects are mathematically simulated, and the results compare favorably with the test data. ¬© 1998 IEEE.</t>
  </si>
  <si>
    <t>1078-1084</t>
  </si>
  <si>
    <t>60022402;60000251-60022402;60000251-60019909</t>
  </si>
  <si>
    <t>6507752366;6701648975;7101629831</t>
  </si>
  <si>
    <t>McClanahan, David L.;Zuercher, Joseph C.;Misra, Devendra</t>
  </si>
  <si>
    <t>Cleveland;Milwaukee;New York</t>
  </si>
  <si>
    <t>Eaton Corporation;University of Wisconsin-Milwaukee;IEEE</t>
  </si>
  <si>
    <t>60022402;60019909;60000251</t>
  </si>
  <si>
    <t>McClanahan D.</t>
  </si>
  <si>
    <t>Practical considerations in pulse-echo radar for short range sensing</t>
  </si>
  <si>
    <t>S0018945698098830</t>
  </si>
  <si>
    <t>10.1109/19.746560</t>
  </si>
  <si>
    <t>2-s2.0-0032179927</t>
  </si>
  <si>
    <t>['œä phasing', 'three dimensional', 'tftr tokamak', 'strongly dependent', 'secondary source', 'rf power', 'quantitative predictions', 'possible explanations', 'phasing dependence', 'new theoretical', 'microwave reflectometry', 'measured concentration', 'many shots', 'large effect', 'impurity neutrals', 'icrf antenna', 'high power', 'fs ).', 'faraday screen', 'experimental tools', 'density pump', 'data show', 'antenna phasing', 'also shown']</t>
  </si>
  <si>
    <t>New theoretical and experimental tools are applied to the analysis of ICRF antenna-edge plasma interactions in the TFTR tokamak. A new numerical method for computing the three dimensional (3-D) rf sheath voltage distribution is used, and the quantitative predictions of rf sheath theory are compared with measurements of the edge density profile obtained by microwave reflectometry and with titanium impurity concentration data. It is shown that the local density depletion at the antenna is consistent with density pump-out by strong E x B convection into the Faraday screen (FS). Modelling of the FS impurity influx shows that the calculated titanium impurity concentration based on this direct influx agrees with the measured concentration for œÄ phasing. It is also shown that screening of impurity neutrals by ionization in the SOL is a large effect and increases with rf power. At high power over many shots, a fraction of the metal impurities migrates around the machine and is deposited on the limiters, providing a secondary source of titanium. The data show that the central titanium concentration is strongly dependent on antenna phasing. Possible explanations for this phasing dependence are discussed.</t>
  </si>
  <si>
    <t>1543-1563</t>
  </si>
  <si>
    <t>60026358;60026358;60018020;60018020;60018020;60018020;60018020;60018020;60024266;60024266;60024266</t>
  </si>
  <si>
    <t>7004011751;7004139188;7404268854;7402618098;22967475100;35356029400;12754942600;57202528890;7201565452;35371212800;7004674569</t>
  </si>
  <si>
    <t>D'Ippolito, D. A.;Myra, J. R.;Rogers, J. H.;Hill, K. W.;Hosea, J. C.;Majeski, R.;Schilling, G.;Wilson, J. R.;Hanson, G. R.;England, A. C.;Wilgen, J. B.</t>
  </si>
  <si>
    <t>Boulder;Oak Ridge;Princeton</t>
  </si>
  <si>
    <t>Lodestar Research Corporation;Oak Ridge National Laboratory;Princeton Plasma Physics Laboratory</t>
  </si>
  <si>
    <t>60026358;60024266;60018020</t>
  </si>
  <si>
    <t>D'Ippolito D.A.</t>
  </si>
  <si>
    <t>Analysis of RF sheath interactions in TFTR</t>
  </si>
  <si>
    <t>10.1088/0029-5515/38/10/311</t>
  </si>
  <si>
    <t>2-s2.0-0032180533</t>
  </si>
  <si>
    <t>['wireless link', 'transmission powers', 'power control', 'omnidirectional antennas', 'numerical study', 'noise ratio', 'network capacity', 'mobile power', 'maximize sinr', 'jointly update', 'iterative algorithm', 'considered separately', 'beamforming capabilities', 'beamformer weights', 'base assignment', 'antenna arrays']</t>
  </si>
  <si>
    <t>Adaptive beamforming | Power control | Spacedivision multiple access</t>
  </si>
  <si>
    <t>The interference reduction capability of antenna arrays and the power control algorithms have been considered separately as means to increase the capacity in wireless communication networks. The minimum variance distortionless response beamformer maximizes the signal-to-interference-and-noise ratio (SINR) when it is employed in the receiver of a wireless link. In a system with omnidirectional antennas, power control algorithms are used to maximize SINR as well. In this paper, we consider a system with beamforming capabilities in the receiver, and power control. An iterative algorithm is proposed to jointly update the transmission powers and the beamformer weights so that it converges to the jointly optimal beamforming and transmission power vector. The algorithm is distributed and uses only local interference measurements. In an uplink transmission scenario, it is shown how base assignment can be incorporated in addition to beamforming and power control, such that a globally optimum solution is obtained. The network capacity and the saving in mobile power are evaluated through numerical study. ¬© 1998 IEEE.</t>
  </si>
  <si>
    <t>1313-1324</t>
  </si>
  <si>
    <t>Rashid-Farrokhi, Farrokh</t>
  </si>
  <si>
    <t>Joint optimal power control and beamforming in wireless networks using antenna arrays</t>
  </si>
  <si>
    <t>S0090677898077666</t>
  </si>
  <si>
    <t>10.1109/26.725309</t>
  </si>
  <si>
    <t>2-s2.0-0032180780</t>
  </si>
  <si>
    <t>['without requiring', 'target range', 'target echo', 'sophisticated wide', 'shown possible', 'proposed system', 'possible application', 'paper proposes', 'frequency domains', 'collision system', 'band amplifiers', 'angular position']</t>
  </si>
  <si>
    <t>Angular position measurement | FMCW radar | Radar range | Scanning antenna</t>
  </si>
  <si>
    <t>This paper proposes the addition of a frequency scanning antenna to a conventional frequency modulated continuous wave radar with possible application to an anti-collision system in a vehicle. It is shown possible to extract the target range and angular position by analyzing the target echo in both time and frequency domains. The proposed system is simple to implement, without requiring the sophisticated wide-band amplifiers and timing circuitry required in a conventional pulse radar. Initial measurements show the feasibility of the proposed system. ¬© 1998 IEEE.</t>
  </si>
  <si>
    <t>1223-1227</t>
  </si>
  <si>
    <t>60030469;60000251-60030469</t>
  </si>
  <si>
    <t>7406033630;6604014057</t>
  </si>
  <si>
    <t>Chan, Kin Lung;Judah, Sunil R.</t>
  </si>
  <si>
    <t>Hull;New York</t>
  </si>
  <si>
    <t>University of Hull;IEEE</t>
  </si>
  <si>
    <t>60030469;60000251</t>
  </si>
  <si>
    <t>Chan K.</t>
  </si>
  <si>
    <t>A beam scanning frequency modulated continuous wave radar</t>
  </si>
  <si>
    <t>S0018945698097721</t>
  </si>
  <si>
    <t>10.1109/19.746587</t>
  </si>
  <si>
    <t>2-s2.0-0032181448</t>
  </si>
  <si>
    <t>N00014-91-J-1950</t>
  </si>
  <si>
    <t>['weighted average', 'tracking algorithm', 'track loss', 'target scenarios', 'target maneuvers', 'standoff jammer', 'rgpo ).', 'radar time', 'radar model', 'radar energy', 'phased array', 'performance criteria', 'multiple waveforms', 'missed detections', 'maximum number', 'lost tracks', 'given along', 'finite resolution', 'false alarms', 'ecm techniques', 'ecm includes', 'ecm ).', 'benchmark problem']</t>
  </si>
  <si>
    <t>A benchmark problem for tracking maneuvering targets is presented. The benchmark problem involves beam pointing control of a phased array (i.e., agile beam) radar against highly maneuvering targets in the presence of false alarms (FAs) and electronic counter measurements (ECM). The testbed simulation described includes the effects of target amplitude fluctuations, beamshape, missed detections, FAs, finite resolution, target maneuvers, and track loss. Multiple waveforms are included in the benchmark so that the radar energy can be coordinated with the tracking algorithm. The ECM includes a standoff jammer (SOJ) broadcasting wideband noise and targets attempting range gate pull off (RGPO). The limits on the position and maneuverability of the targets are given along with descriptions of six target trajectories. The "best" tracking algorithm is the one that minimizes a weighted average of the radar energy and radar time, while satisfying a constraint of 4% on the maximum number of lost tracks. The radar model, the ECM techniques, the target scenarios, and performance criteria for the benchmark are presented. ¬© 1998 IEEE.</t>
  </si>
  <si>
    <t>1097-1114</t>
  </si>
  <si>
    <t>60020822-60015099;60020822-60008676;60022659;60000251-60022659</t>
  </si>
  <si>
    <t>55666423800;7401433875;7004675366;7102451866</t>
  </si>
  <si>
    <t>Blair, W. D.;Watson, G. A.;Kirubarajan, T.;Bar-Shalom, Y.</t>
  </si>
  <si>
    <t>Storrs;Washington, D.C.;Atlanta;Dahlgren;New York</t>
  </si>
  <si>
    <t>University of Connecticut;Naval Surface Warfare Center;Georgia Tech Research Institute;Naval Surface Warfare Center Dahlgren Division;IEEE</t>
  </si>
  <si>
    <t>60022659;60020822;60015099;60008676;60000251</t>
  </si>
  <si>
    <t>Blair W.D.</t>
  </si>
  <si>
    <t>Benchmark for radar allocation and tracking in ECM</t>
  </si>
  <si>
    <t>10.1109/7.722694</t>
  </si>
  <si>
    <t>2-s2.0-0032182523</t>
  </si>
  <si>
    <t>['wireless lan', 'rectangular patch', 'radiation patterns', 'proposed back', 'input impedances', 'experimental results', 'coplanar waveguide', 'back rectangular']</t>
  </si>
  <si>
    <t>The configuration of a back-to-back rectangularpatch antenna fed by a coplanar waveguide (CPW) is proposed. The characteristics of the proposed antenna element were clarified by experiments. The radiation patterns and input impedances were measured as parameters of the widths of the rectangular patch and the substrate. The experimental results for an array antenna using the proposed back-to-back rectangular-patch antenna element are described. Good omnidirectional radiation patterns and input impedance characteristics were obtained. The proposed array antenna is suitable for microcellular, wireless LAN, and indoor radio systems. ¬© 1998 IEEE.</t>
  </si>
  <si>
    <t>1527-1530</t>
  </si>
  <si>
    <t>60000251-60018735</t>
  </si>
  <si>
    <t>Iwasaki, Hisao</t>
  </si>
  <si>
    <t>Toshiba Corporation;IEEE</t>
  </si>
  <si>
    <t>60018735;60000251</t>
  </si>
  <si>
    <t>A Back-to-Back Rectangular-Patch Antenna Fed by a CPW</t>
  </si>
  <si>
    <t>S0018926X98075012</t>
  </si>
  <si>
    <t>10.1109/8.725285</t>
  </si>
  <si>
    <t>2-s2.0-0032183139</t>
  </si>
  <si>
    <t>JPL</t>
  </si>
  <si>
    <t>['weight restrictions', 'vast array', 'system requirements', 'services extending', 'recent advances', 'proposed space', 'paper describes', 'operational frequencies', 'numerical tool', 'multibeam pattern', 'global connectivity', 'field patterns', 'design process', 'design effort', 'beam efficiency', 'also detailed']</t>
  </si>
  <si>
    <t>Inflatable reflector antennas | Multibeam | Parabolic torus | Physical optics | Radiometers | Satellite antennas</t>
  </si>
  <si>
    <t>Space-borne satellite applications provide a vast array of services extending from global connectivity to earth observation systems. The soil moisture radiation mission is a proposed space-borne passive microwave system complementary to the existing earth observing system operating at low microwave frequencies and requiring an antenna with multibeam, high-beam efficiency, and dual polarization capabilities. To achieve both the large reflector size and the multibeam pattern at the operational frequencies an innovative multibeam reflector antenna design was needed. Recent advances in inflatable antenna technology has been proposed to overcome the launch vehicle size and weight restrictions. This paper describes a novel offset parabolic torus reflector antenna design that produces the desired multibeam pattern and is compatible with the inflatable antenna technology. Using the system requirements of this mission as an example, the design process for an inflatable parabolic torus reflector antenna is outlined, the development of suitable distortion models is given, and representative RF characteristics are presented. These RF characteristics include far-field patterns, beam contour patterns, beam efficiency, and other key performance parameters. The development of an advanced analytical modeling/numerical tool in support of the design effort is also detailed. ¬© 1998 IEEE.</t>
  </si>
  <si>
    <t>1449-1457</t>
  </si>
  <si>
    <t>60000251-60027550;60000251-60027550</t>
  </si>
  <si>
    <t>6602388929;7102110120</t>
  </si>
  <si>
    <t>Hoferer, Robert A.;Rahmat-Samii, Yahya</t>
  </si>
  <si>
    <t>Hoferer R.</t>
  </si>
  <si>
    <t>RF Characterization of an Inflatable Parabolic Torus Reflector Antenna for Space-Borne Applications</t>
  </si>
  <si>
    <t>S0018926X98074924</t>
  </si>
  <si>
    <t>10.1109/8.725276</t>
  </si>
  <si>
    <t>2-s2.0-0032183140</t>
  </si>
  <si>
    <t>N00014-97-1-0502</t>
  </si>
  <si>
    <t>['track formation', 'target tracking', 'standoff jammer', 'selected adaptively', 'rgpo ).', 'revisit interval', 'radar waveform', 'radar control', 'neutralizing techniques', 'false alarms', 'electronic countermeasures', 'ecms ).', 'detection threshold', 'complete solution', 'benchmark problem', 'allocator provides', 'adaptively select', 'adaptive selection']</t>
  </si>
  <si>
    <t>A framework is presented for controlling a phased array radar for tracking highly maneuvering targets in the presence of false alarms (FAs) and electronic countermeasures (ECMs). Algorithms are presented for track formation and maintenance; adaptive selection of target revisit interval, waveform and detection threshold; and neutralizing techniques for ECM, namely, against a standoff jammer (SOJ) and range gate pull off (RGPO). The interacting multiple model (IMM) estimator in combination with the probabilistic data association (PDA) technique is used for tracking. A constant false alarm rate (CFAR) approach is used to adaptively select the detection threshold and radar waveform, countering the effect of jammer-induced false measurements. The revisit interval is selected adaptively, based on the predicted angular innovation standard deviations. This tracker/radar-resource-allocator provides a complete solution to the benchmark problem for target tracking and radar control (presented in the companion paper). Simulation results show an average sampling interval of about 2.5 s while maintaining a track loss less than the maximum allowed 4%. ¬© 1998 IEEE.</t>
  </si>
  <si>
    <t>1115-1134</t>
  </si>
  <si>
    <t>60022659;60000251-60022659;60000251-60015099-112506731;60020822-60008676</t>
  </si>
  <si>
    <t>7004675366;7102451866;55666423800;7401433875</t>
  </si>
  <si>
    <t>Kirubarajan, T.;Bar-Shalom, Y.;Blair, W. D.;Watson, G. A.</t>
  </si>
  <si>
    <t>Storrs;Washington, D.C.;Atlanta;Dahlgren;New York;</t>
  </si>
  <si>
    <t>University of Connecticut;Naval Surface Warfare Center;Georgia Tech Research Institute;Naval Surface Warfare Center Dahlgren Division;IEEE;SEAL</t>
  </si>
  <si>
    <t>60022659;60020822;60015099;60008676;60000251;112506731</t>
  </si>
  <si>
    <t>Kirubarajan T.</t>
  </si>
  <si>
    <t>IMMPDAF for radar management and tracking benchmark with ECM</t>
  </si>
  <si>
    <t>10.1109/7.722696</t>
  </si>
  <si>
    <t>2-s2.0-0032183622</t>
  </si>
  <si>
    <t>MIPS-9320890</t>
  </si>
  <si>
    <t>['spatial invariances', 'resolution threshold', 'new esprit', 'larger invariance', 'estimation error', 'disambiguate low', 'aperture extension', 'also presented', '60 half', '50 db']</t>
  </si>
  <si>
    <t>A novel sparse array geometry embedding two sizes of spatial invariances is presented for use with a new ESPRIT-based (estimation of signal parameters via rotational invariance techniques) algorithm for aperture extension. The half-wavelength invariance yields unambiguous but high-variance direction cosine estimates to disambiguate low-variance but cyclically ambiguous estimates from the larger invariance. With larger invariance at 60 half-wavelengths, resolution threshold for two closely spaced emitters is reduced by 50 dB and estimation error by 100-fold. Array design formulas are also presented. ¬© 1998 IEEE.</t>
  </si>
  <si>
    <t>1320-1335</t>
  </si>
  <si>
    <t>60000251-60005510-60002798;60000251-60009254</t>
  </si>
  <si>
    <t>7404759216;55664103800</t>
  </si>
  <si>
    <t>Wong, Kainam Thomas;Zoltowski, Michael D.</t>
  </si>
  <si>
    <t>United States;Singapore;Hong Kong;United States</t>
  </si>
  <si>
    <t>West Lafayette;Singapore City;Hong Kong;New York</t>
  </si>
  <si>
    <t>Purdue University;Nanyang Technological University;Chinese University of Hong Kong;IEEE</t>
  </si>
  <si>
    <t>60009254;60005510;60002798;60000251</t>
  </si>
  <si>
    <t>Direction-finding with sparse rectangular dual-size spatial invariance array</t>
  </si>
  <si>
    <t>10.1109/7.722717</t>
  </si>
  <si>
    <t>2-s2.0-0032183625</t>
  </si>
  <si>
    <t>['value method', 'trigonometric functions', 'slotted dielectric', 'radiation characteristics', 'partial orthogonality', 'new parameter', 'gp adds', 'geometry considered', 'beam shaping', 'axial slot', 'antenna performance']</t>
  </si>
  <si>
    <t>Electromagnetic radiation | Slot antennas</t>
  </si>
  <si>
    <t>The radiation characteristics of an axial slot on a dielectric-coated conducting circular cylinder embedded in a semi-circle in an infinite ground plane (GP) are examined. The boundary-value method is employed to obtain the solution with the aid of the partial orthogonality of the trigonometric functions. The resulting dual infinite series involved in the solution is then truncated to generate numerical results. The geometry considered here is important because it can be implemented on the body of any mobile communication system. Moreover the GP adds a new parameter to the slotted dielectric-coated conducting circular cylindrical antenna and can be used in beam shaping and to enhance the antenna performance. ¬© 1998 IEEE.</t>
  </si>
  <si>
    <t>60000251-60009506;60000251-60009506</t>
  </si>
  <si>
    <t>7006917371;6507822516</t>
  </si>
  <si>
    <t>Ragheb, Hassan A.;Johar, Umar M.</t>
  </si>
  <si>
    <t>Saudi Arabia;United States</t>
  </si>
  <si>
    <t>Dhahran;New York</t>
  </si>
  <si>
    <t>King Fahd University of Petroleum and Minerals;IEEE</t>
  </si>
  <si>
    <t>60009506;60000251</t>
  </si>
  <si>
    <t>Ragheb H.</t>
  </si>
  <si>
    <t>Radiation Characteristics of an Infinite Dielectric-Coated Axially Slotted Cylindrical Antenna Partly Embedded in a Ground Plane</t>
  </si>
  <si>
    <t>S0018926X98075036</t>
  </si>
  <si>
    <t>10.1109/8.725287</t>
  </si>
  <si>
    <t>2-s2.0-0032183709</t>
  </si>
  <si>
    <t>['various forms', 'successive transfer', 'different sections', 'described relations', 'coaxial lines', 'antennas considered', 'also useful']</t>
  </si>
  <si>
    <t>Antennas | Crossed discretization lines | Dipoles, impedance/admittance transfer concept | Method of lines | Microstrip antennas | Planar antennas</t>
  </si>
  <si>
    <t>The use of the method of lines in the analysis of various circular antennas-circular patch antennas and various forms of monopoles is proposed and substantiated. The antennas considered are fed by coaxial lines. Impedance/admittance transfer procedures are developed, which allow to calculate the antenna input impedance by a successive transfer from the aperture through the different sections. The described relations are also useful for other applications. ¬© 1998 IEEE.</t>
  </si>
  <si>
    <t>60000251-60020621</t>
  </si>
  <si>
    <t>Pregla, Reinhold</t>
  </si>
  <si>
    <t>Hagen;New York</t>
  </si>
  <si>
    <t>FernUniversit√§t in Hagen;IEEE</t>
  </si>
  <si>
    <t>60020621;60000251</t>
  </si>
  <si>
    <t>Pregla R.</t>
  </si>
  <si>
    <t>The analysis of general axially symmetric antennas with a coaxial feed line by the method of lines</t>
  </si>
  <si>
    <t>S0018926X98074900</t>
  </si>
  <si>
    <t>10.1109/8.725274</t>
  </si>
  <si>
    <t>2-s2.0-0032183710</t>
  </si>
  <si>
    <t>W-7405-ENGR-48</t>
  </si>
  <si>
    <t>['well behaved', 'type integrals', 'strongly affected', 'sommerfeld integrals', 'sommerfeld integral', 'scatterers embedded', 'remainder ),', 'partial sums', 'partial integrals', 'integration path', 'horizontal displacement', 'finite subintervals', 'extrapolation procedures', 'extrapolation methods', 'convergence properties', 'analytical form']</t>
  </si>
  <si>
    <t>Electromagnetic radiation | Electromagnetic scattering | Nonhomogeneous media | Numerical analysis</t>
  </si>
  <si>
    <t>A review is presented of the extrapolation methods for accelerating the convergence of Sonirnerfeld-type integrals (i.e., semi-infinite range integrals with Bessel function kernels), which arise in problems involving antennas or scatterers embedded in planar multilayered media. Attention is limited to partition-extrapolation procedures in which the Sommerfeld integral is evaluated as a sum of a series of partial integrals over finite subintervals and is accelerated by an extrapolation method applied over the real-axis tail segment (a, oo) of the integration path, where a &gt; 0 is selected to ensure that the integrand is well behaved. An analytical form of the asymptotic truncation error (or the remainder), which characterizes the convergence properties of the sequence of partial sums and serves as a basis for some of the most efficient extrapolation methods, is derived. Several extrapolation algorithms deemed to be the most suitable for the Sommerfeld integrals are described and their performance is compared. It is demonstrated that the performance of these methods is strongly affected by the horizontal displacement of the source and field points p and by the choice of the subinterval break points. Furthermore, it is found that some well-known extrapolation techniques may fail for a number of values of p and ways to remedy this are suggested. Finally, the most effective extrapolation methods for accelerating Sommerfeld integral tails are recommended. ¬© 1998 IEEE.</t>
  </si>
  <si>
    <t>1405-1418</t>
  </si>
  <si>
    <t>60000251-60020547</t>
  </si>
  <si>
    <t>Michalski, Krzysztof A.</t>
  </si>
  <si>
    <t>College Station;New York</t>
  </si>
  <si>
    <t>Texas A&amp;M University;IEEE</t>
  </si>
  <si>
    <t>60020547;60000251</t>
  </si>
  <si>
    <t>Michalski K.</t>
  </si>
  <si>
    <t>Extrapolation methods for sommerfeld integral tails</t>
  </si>
  <si>
    <t>S0018926X98074870</t>
  </si>
  <si>
    <t>10.1109/8.725271</t>
  </si>
  <si>
    <t>2-s2.0-0032183986</t>
  </si>
  <si>
    <t>96147-RT-12</t>
  </si>
  <si>
    <t>['zone radiation', 'wave scattering', 'transmission coefficients', 'slitted parallelplate', 'slitted parallel', 'slit size', 'simultaneous equations', 'scattered field', 'rectangular grooves', 'plate waveguide', 'operating frequency', 'mode matching', 'groove size', 'fourier transform', 'farzone radiation', 'discrete modes', 'boundary conditions', 'angular behaviors']</t>
  </si>
  <si>
    <t>Electromagnetic radiation | Electromagnetic scattering</t>
  </si>
  <si>
    <t>TE-wave scattering and radiation from a slitted parallel-plate waveguide with rectangular grooves is considered. The Fourier transform and the mode matching are used to represent the scattered field in terms of the continuous and discrete modes. The simultaneous equations for the discrete modal coefficients are obtained by matching the boundary conditions. The fast-converging series solutions are presented to evaluate the far-zone radiation, reflection, and transmission coefficients. The numerical computations illustrate the angular behaviors of farzone radiation in terms of the slit size, groove size, and operating frequency. The antenna radiation pattern of the slitted parallelplate is measured and compared with the theory. ¬© 1998 IEEE.</t>
  </si>
  <si>
    <t>1444-1448</t>
  </si>
  <si>
    <t>60000251-60032144;60000251-60032144</t>
  </si>
  <si>
    <t>36068119900;55112893800</t>
  </si>
  <si>
    <t>Lee, Jung Hyeong;Eom, Hyo Joon</t>
  </si>
  <si>
    <t>South Korea;United States</t>
  </si>
  <si>
    <t>Daejeon;New York</t>
  </si>
  <si>
    <t>Korea Advanced Institute of Science and Technology;IEEE</t>
  </si>
  <si>
    <t>60032144;60000251</t>
  </si>
  <si>
    <t>Scattering and Radiation from a Slitted Parallel-Plate with Rectangular Grooves: TE-Wave</t>
  </si>
  <si>
    <t>S0018926X98074912</t>
  </si>
  <si>
    <t>10.1109/8.725275</t>
  </si>
  <si>
    <t>2-s2.0-0032184317</t>
  </si>
  <si>
    <t>ESA/ESTEC-160224</t>
  </si>
  <si>
    <t>['wave frequencies', 'three models', 'return capabilities', 'reasonable bandwidth', 'proposed configuration', 'proposed antenna', 'pattern behavior', 'multilayer method', 'input impedance', 'impedance characteristics', 'high directivity', 'developed based', 'corresponding patterns', 'coplanar waveguide', '65 ghz']</t>
  </si>
  <si>
    <t>In this work, a coplanar waveguide (CPW)-fed rectangular-loop slot antenna with built-in tuning and de-return capabilities on extended hemispherical lenses is examined. The proposed configuration is scalable up to the submillimeter-wave frequencies. For designing and analyzing the impedance characteristics of the proposed antenna, a multilayer method of moments (MoM) solver has been developed based on the mixed potential integral equation (MPIE) formulation. The corresponding patterns through the lens are obtained using geometrical optics and the surface equivalence principle. Three models have been simulated and one of them has been built and tested at 65 GHz. The integrated antenna exhibits tuning capability, rotationally symmetric patterns, high directivity, good Gaussian coupling efficiency, and a reasonable bandwidth. In addition, computed results agree well with measurements and are used to characterize the input impedance and pattern behavior of the antenna. ¬© 1998 IEEE.</t>
  </si>
  <si>
    <t>1489-1497</t>
  </si>
  <si>
    <t>60000251-60028186-60016849;60000251-60028186-60016849;60000251-60028186-60016849</t>
  </si>
  <si>
    <t>6601947277;7004469751;7006665188</t>
  </si>
  <si>
    <t>Otero, Pablo;Eleftheriades, George V.;Mosig, Juan R.</t>
  </si>
  <si>
    <t>Switzerland;Canada;United States</t>
  </si>
  <si>
    <t>Lausanne;Toronto;New York</t>
  </si>
  <si>
    <t>Swiss Federal Institute of Technology Lausanne;University of Toronto;IEEE</t>
  </si>
  <si>
    <t>60028186;60016849;60000251</t>
  </si>
  <si>
    <t>Integrated Modified Rectangular Loop Slot Antenna on Substrate Lenses for Millimeter- And Submillimeter-Wave Frequencies Mixer Applications</t>
  </si>
  <si>
    <t>S0018926X98074973</t>
  </si>
  <si>
    <t>10.1109/8.725281</t>
  </si>
  <si>
    <t>2-s2.0-0032184394</t>
  </si>
  <si>
    <t>University of Queensland</t>
  </si>
  <si>
    <t>UQ</t>
  </si>
  <si>
    <t>['work station', 'wire dipole', 'using pulse', 'two types', 'time required', 'time domain', 'space case', 'result agrees', 'published measurements', 'point matching', 'lossy half', 'general half', 'current distribution', 'conductive half', 'basis functions', 'also calculated', '512 mhz']</t>
  </si>
  <si>
    <t>Moment methods | Radar antennas</t>
  </si>
  <si>
    <t>A method of combining the complex image method with the constant Q assumption is derived, which enables the calculation of complex image parameters once for the whole frequency range in the general half-space case. The mixed potential method of moments is then used to model horizontal wire dipoles near a lossy half-space, using pulse-basis functions and point matching. The method is demonstrated by the modeling of two types of wire dipole. A conductive half-wave dipole shows excellent agreement with NEC-3. The current distribution of a 3.4 m resistively loaded dipole across the frequency range 0-512 MHz is also calculated and transformed to the time domain. The result agrees with published measurements. The time required on a work station was reduced to 4/ s per frequency point. ¬© 1998 IEEE.</t>
  </si>
  <si>
    <t>1483-1488</t>
  </si>
  <si>
    <t>60031004-112507540;60031004-112507540;60031004-112507540</t>
  </si>
  <si>
    <t>6603112569;6603921864;6602163040</t>
  </si>
  <si>
    <t>Leat, Christopher J.;Shuley, Nicholas V.;Stickley, Glen F.</t>
  </si>
  <si>
    <t>Australia;</t>
  </si>
  <si>
    <t>Brisbane;</t>
  </si>
  <si>
    <t>The University of Queensland;Cooperative Research Center for Sensor Signal and Information Processing</t>
  </si>
  <si>
    <t>60031004;112507540</t>
  </si>
  <si>
    <t>Leat C.</t>
  </si>
  <si>
    <t>Complex Image Model for Ground-Penetrating Radar Antennas</t>
  </si>
  <si>
    <t>S0018926X98074961</t>
  </si>
  <si>
    <t>10.1109/8.725280</t>
  </si>
  <si>
    <t>2-s2.0-0032184551</t>
  </si>
  <si>
    <t>['uniform theory', 'shaped subreflector', 'shaped reflector', 'reflector antenna', 'radiation patterns', 'including hyperboloidal', 'geometrical theory', 'geometrical parameters', 'frequency method', 'efficient high', 'differential geometry', 'derived based', 'dat ).', 'computed result', 'apply gtd']</t>
  </si>
  <si>
    <t>Geometrical theory of diffraction | Reflector antennas</t>
  </si>
  <si>
    <t>The geometrical theory of diffraction (GTD) is known as an efficient high-frequency method for the analysis of electrically large objects such as a reflector antenna. However, it is difficult to obtain geometrical parameters in order to apply GTD to an arbitrary-shaped reflector, especially a subreflector. In this paper, the geometrical parameters of an arbitrary shaped subreflector for the uniform theory of diffraction (UTD) analysis are derived based on differential geometry. The radiation patterns of various subreflector types, including hyperboloidal and a shaped subreflector, are evaluated by UTD. The computed result for the hyperboloidal reflector agrees well with that obtained by uniform asymptotic theory (DAT). ¬© 1998 IEEE.</t>
  </si>
  <si>
    <t>1555-1559</t>
  </si>
  <si>
    <t>60010484-60026109-60024872;60010484-60026109-60024872;60010484-60026109-60024872;60010484-60026109-60024872</t>
  </si>
  <si>
    <t>7403175717;7202276468;6504601722;56535582400</t>
  </si>
  <si>
    <t>Lim, Kyutae;Ryu, Hwang;Lee Sangseol, ;Choi, Jaehoon</t>
  </si>
  <si>
    <t>Daejeon;Seoul;Suwon</t>
  </si>
  <si>
    <t>Paichai University;Hanyang University;Samsung Group</t>
  </si>
  <si>
    <t>60026109;60024872;60010484</t>
  </si>
  <si>
    <t>Lim K.</t>
  </si>
  <si>
    <t>UTD Analysis of a Shaped Subreflector in a Dual Offset-Reflector Antenna System</t>
  </si>
  <si>
    <t>S0018926X98033675</t>
  </si>
  <si>
    <t>10.1109/8.725289</t>
  </si>
  <si>
    <t>2-s2.0-0032184567</t>
  </si>
  <si>
    <t>NSF ECE 94-57735</t>
  </si>
  <si>
    <t>['vector product', 'testing functions', 'technique discretizes', 'spatial domain', 'solved using', 'singular kernel', 'resultant system', 'microstrip antennas', 'finite arrays', 'fft ).', 'fast full', 'del operators', 'biconjugate gradient', 'accurate computation']</t>
  </si>
  <si>
    <t>Microstrip arrays | Numerical method</t>
  </si>
  <si>
    <t>A fast full-wave analysis technique that can be used to analyze the scattering and radiation from large linitc arrays of microstrip antennas is presented. The technique discretizes the mixed potential integral equation (MPIE) in the spatial domain by means of a full-wave discrete complex image method. The del operators on the Green's functions are transferred from the singular kernel to the expansion and testing functions. The resultant system of equations is solved using the biconjugate gradient (BCG) method in which the matrix-vector product is evaluated efficiently using fast Fourier transform (FFT). This results in an efficient and accurate computation of the scattering and radiation from finite arrays of microstrip antennas. Several numerical results are presented, demonstrating the accuracy, efficiency, and capability of this technique. ¬© 1998 IEEE.</t>
  </si>
  <si>
    <t>1467-1474</t>
  </si>
  <si>
    <t>60000251-60000745;60000251-60000745;60000251-60000745</t>
  </si>
  <si>
    <t>56119416800;56296682900;7403588231</t>
  </si>
  <si>
    <t>Wang, Chao Fu;Ling, Feng;Jin, Jian Ming</t>
  </si>
  <si>
    <t>A Fast Full-Wave Analysis of Scattering and Radiation from Large Finite Arrays of Microstrip Antennas</t>
  </si>
  <si>
    <t>S0018926X98075310</t>
  </si>
  <si>
    <t>10.1109/8.725278</t>
  </si>
  <si>
    <t>2-s2.0-0032184568</t>
  </si>
  <si>
    <t>DAAL03-89-C-0038</t>
  </si>
  <si>
    <t>['use signals', 'time consuming', 'simulation increase', 'results computed', 'penetrating radars', 'particular frequency', 'one objective', 'modeled using', 'mine detection', 'microwave frequencies', 'metallic septum', 'measurements made', 'many years', 'initial development', 'humanitarian importance', 'good agreement', 'georgia tech', 'first time', 'fdtd method', 'empty ground', 'empirically developed', 'electromagnetic sensors', 'done using', 'difference time', 'corner reflectors', 'buried mine', 'aperture sensor']</t>
  </si>
  <si>
    <t>Buried object detection | Fdtd methods | Groundpenetrating radar | Land mine terms</t>
  </si>
  <si>
    <t>The detection of buried land mines is a problem of military and humanitarian importance. Electromagnetic sensors (ground-penetrating radars) use signals at radio and microwave frequencies for this purpose. In the past, electromagnetic sensors for land-mine detection have been empirically developed and optimized. This has involved experimental tests that are complicated, time consuming, and expensive. An alternative, which has only recently become available, is to carry out initial development and optimization using accurate numerical simulations. One objective of this paper is to show, for the first time, that such simulations can be done using the finite-difference time-domain (FDTD) method. The separated-aperture sensor has been under investigation by the United States Army for land-mine detection for many years. It consists of two parallel dipole antennas housed in corner reflectors that are separated by a metallic septum. It is a continuous-wave sensor tuned to a particular frequency (typically 790 MHz). When the sensor is over empty ground, the coupling between the antennas is very small. As the sensor is moved over a buried mine, the coupling between the antennas increases indicating the presence of the mine. In this paper, the complete electromagnetic system composed of the separated-aperture sensor, air and soil, and buried land mine is modeled using the FDTD method. The finite computational volume is truncated with an absorbing boundary condition: the generalized perfectly matched layer. Detailed studies made with the simulation increase the understanding of this sensor. Results computed from the simulation are in good agreement with experimental measurements made at Georgia Tech and with measurements made by the United States Army. ¬© 1998 IEEE.</t>
  </si>
  <si>
    <t>60000251-60021032;60000251-60021032-60005304</t>
  </si>
  <si>
    <t>7102362258;7406739047</t>
  </si>
  <si>
    <t>Bourgeois, Jacqueline M.;Smith, Glenn S.</t>
  </si>
  <si>
    <t>Atlanta;Waltham;New York</t>
  </si>
  <si>
    <t>Georgia Institute of Technology;Raytheon;IEEE</t>
  </si>
  <si>
    <t>60021032;60005304;60000251</t>
  </si>
  <si>
    <t>Bourgeois J.</t>
  </si>
  <si>
    <t>A complete electromagnetic simulation of the separated-aperture sensor for detecting buried land mines</t>
  </si>
  <si>
    <t>S0018926X98074882</t>
  </si>
  <si>
    <t>10.1109/8.725272</t>
  </si>
  <si>
    <t>2-s2.0-0032184569</t>
  </si>
  <si>
    <t>['thus allowing', 'proposed analysis', 'nonideal interleaving', 'fading channels', 'evaluate analytically', 'error probability', 'cochannel interference', 'block codes', 'antenna diversity']</t>
  </si>
  <si>
    <t>Block codes | Block interference channels | Fading channels | Frequency hopping | Interleaving</t>
  </si>
  <si>
    <t>A methodology is presented to evaluate analytically the error probability for block codes over block interference channels. The proposed analysis is based on the knowledge of the moments of the bit-error probability over the interference, thus allowing, for instance, fast performance evaluation of block-coded Slow Frequency Hopping (SFH) systems with antenna diversity over fading channels. As an example of application, Slow Frequency Hopping Multiple Access (SFHMA) systems with nonideal interleaving are analyzed in the presence of fading, cochannel interference, and additive Gaussian noise. ¬© 1998 IEEE.</t>
  </si>
  <si>
    <t>2998-3008</t>
  </si>
  <si>
    <t>60028218-60000251</t>
  </si>
  <si>
    <t>Chiani, Marco</t>
  </si>
  <si>
    <t>Bologna;New York</t>
  </si>
  <si>
    <t>Alma Mater Studiorum Universit√† di Bologna;IEEE</t>
  </si>
  <si>
    <t>60028218;60000251</t>
  </si>
  <si>
    <t>Chiani M.</t>
  </si>
  <si>
    <t>Error probability for block codes over channels with block interference</t>
  </si>
  <si>
    <t>S0018944898068965</t>
  </si>
  <si>
    <t>10.1109/18.737528</t>
  </si>
  <si>
    <t>2-s2.0-0032201967</t>
  </si>
  <si>
    <t>['waveguide walls', 'using yaghjian', 'subsequently presented', 'standard open', 'significant application', 'shorter edges', 'radiated power', 'oeg ).', 'fringe currents', 'expressions would', 'current representation', 'classical approximations', 'axis gain', 'alternative fringe']</t>
  </si>
  <si>
    <t>Far field | Fringe current | Gain | Rectangular waveguide | Reflection coefficient</t>
  </si>
  <si>
    <t>The classical approximations for the gain of rectangular waveguide antennas are examined in the light of a recently proposed approximation for the fringe currents at the shorter edges of the waveguide. By using the alternative fringe-current representation, expressions are subsequently presented for estimating the magnitude of the TE10 mode reflection coefficient at the aperture of standard open-ended rectangular waveguides (OEG). The derivation, accomplished by equating total input power to radiated power, assumes negligible resistive loss in the waveguide walls. The reflection coefficient values predicted by the expressions compare favorably with available measured data and with a different analytical technique. A significant application of these expressions would be in predicting the on-axis gain and far-field of OEG's by using Yaghjian's formulas.</t>
  </si>
  <si>
    <t>Selvan, Krishnasamy T.</t>
  </si>
  <si>
    <t>Studies on the classical gain approximations and the aperture-reflection coefficient of rectangular waveguide antennas</t>
  </si>
  <si>
    <t>S0018937598083215</t>
  </si>
  <si>
    <t>10.1109/15.736220</t>
  </si>
  <si>
    <t>2-s2.0-0032202480</t>
  </si>
  <si>
    <t>['separate points', 'lightning strike', 'expected improvement', 'discuss equipotentialization', 'current flows', 'cable routing', 'antenna mast']</t>
  </si>
  <si>
    <t>Lightning | Overvoltage protection | Power system lightning effects | Surge protection</t>
  </si>
  <si>
    <t>We discuss equipotentialization, an overvoltage protection technique that seeks to minimize potential differences between separate points in a building by interconnecting them through cables or grids. Current flows through these cables or grids and the new resulting current distribution throughout the structure may adversely affect the expected improvement. We present the results of a measurement experiment performed in Leissigen, Switzerland, where a lightning strike to an antenna mast in the vicinity of a small telecommunications building was simulated. We use the results of the experiment to discuss the advantages and disadvantages of equipotentialization and the importance of having a single cable entry point into a building and cable routing.</t>
  </si>
  <si>
    <t>505-512</t>
  </si>
  <si>
    <t>60069912;60069912</t>
  </si>
  <si>
    <t>6603426471;7201682529</t>
  </si>
  <si>
    <t>Montandon, Eric;Rubinstein, Marcos</t>
  </si>
  <si>
    <t>Swisscom AG</t>
  </si>
  <si>
    <t>Montandon E.</t>
  </si>
  <si>
    <t>Some observations on the protection of buildings against the induced effects of lightning</t>
  </si>
  <si>
    <t>S0018937598087456</t>
  </si>
  <si>
    <t>10.1109/15.736210</t>
  </si>
  <si>
    <t>2-s2.0-0032202551</t>
  </si>
  <si>
    <t>['transmission loss', 'trace scalar', 'strength standards', 'mean values', 'frequency range', 'experimental method', 'expanded uncertainty', 'electric field', 'dynamic range', 'confidence level', 'antenna factor', '70 db', '3 db', '25 db', '15 db', '11 db', '1000 mhz']</t>
  </si>
  <si>
    <t>Antenna calibration | Antenna factor | Dipole | Electromagnetic compatibility | Site attenuation | Traceability</t>
  </si>
  <si>
    <t>An experimental method is described to trace scalar S 21-measurements with a precision network analyzer to the basic quantities frequency and power. The achieved measurement uncertainty is 0.11 dB for two standard deviations (95.5% confidence level) at a dynamic range up to 70 dB. Precision reference dipoles have been constructed for use as electric field-strength standards in the frequency range of 30-1000 MHz. The transmission loss between such pairs was calculated by using the numerical electromagnetics code and measured both on an open-area test site and in a fully anechoic chamber. Deviations between computations and measurement of the transmission loss were less than 0.3 dB for any measurement and less than 0.25 dB for the mean values. The expanded uncertainty in the antenna factor of one precision dipole is 0.15 dB for two standard deviations.</t>
  </si>
  <si>
    <t>297-310</t>
  </si>
  <si>
    <t>60000251-60010000;60010000;60000251-60010000</t>
  </si>
  <si>
    <t>7004463404;6507670711;6603008101</t>
  </si>
  <si>
    <t>Garn, Heinrich;Buchmayr, Max;M√ºllner, Wolfgang</t>
  </si>
  <si>
    <t>Seibersdorf;New York</t>
  </si>
  <si>
    <t>ARC Seibersdorf Research GmbH;IEEE</t>
  </si>
  <si>
    <t>60010000;60000251</t>
  </si>
  <si>
    <t>Garn H.</t>
  </si>
  <si>
    <t>Tracing antenna factors of precision dipoles to basic quantities</t>
  </si>
  <si>
    <t>S001893759808315X</t>
  </si>
  <si>
    <t>10.1109/15.736215</t>
  </si>
  <si>
    <t>2-s2.0-0032202992</t>
  </si>
  <si>
    <t>N0014-95-1-0636</t>
  </si>
  <si>
    <t>['simulator demonstrate', 'signal modulation', 'several examples', 'rectified signal', 'potential applications', 'loop antennas', 'incident narrow', 'fundamental frequency', 'electromagnetic properties', 'diode bridge', 'difference time', 'clamping circuit', 'artificial material']</t>
  </si>
  <si>
    <t>FDTD | Harmonics | Nonlinear devices | Rectification | Synthetic materials</t>
  </si>
  <si>
    <t>The electromagnetic properties of composite materials composed of dipole or loop antennas (also called molecules) loaded with different linear passive electronic circuits are summarized. These molecules are extended to those molecules whose loads contain some basic nonlinear elements. Several examples are discussed. The simplest nonlinear load is the clamping circuit: a diode and a resistor are connected in series to an electrically small dipole antenna. This is generalized to a more complicated molecule based on a diode bridge. Numerical results generated with a finite-difference time-domain (FDTD) simulator demonstrate how an incident narrow-bandwith pulse interacts with these materials and can be transformed into a baseband, rectified signal, or a signal containing selected harmonics of the fundamental frequency. Potential applications of these artificial material-based signal converters include target identification and signal modulation. ¬© 1998 IEEE.</t>
  </si>
  <si>
    <t>1628-1637</t>
  </si>
  <si>
    <t>11 PART 1</t>
  </si>
  <si>
    <t>60028634;60028634</t>
  </si>
  <si>
    <t>Auzanneau, Fabrice;Ziolkowski, Richard W.</t>
  </si>
  <si>
    <t>Microwave signal rectification using artificial composite materials composed of diode-loaded electrically small dipole antennas</t>
  </si>
  <si>
    <t>S0018948098080223</t>
  </si>
  <si>
    <t>10.1109/22.734542</t>
  </si>
  <si>
    <t>2-s2.0-0032203122</t>
  </si>
  <si>
    <t>['wave frequencies', 'surface space', 'reverse side', 'radio transmission', 'probe feeds', 'paper presents', 'new type', 'new possibilities', 'monolithic circuits', 'metallization level', 'major advantage', 'large number', 'feed network', 'feed lines', 'feed components', 'experimental results', 'dielectric constant', 'coplanar waveguide', 'center frequency', 'band around', 'antenna structure', 'antenna opens', 'antenna half', 'antenna elements', 'active devices', 'active antennas', '9 ),', '37 ghz']</t>
  </si>
  <si>
    <t>Coplanar waveguides | Microstrip antennas</t>
  </si>
  <si>
    <t>This paper presents the design and experimental results of a coplanar waveguide (CPW) aperture-coupled patch antenna for the extremely high frequency (EHF) band around a center frequency of 37 GHz. The antenna is implemented on a high dielectric constant substrate (‚ààr = 9.9), which is close to the dielectric constant of GaAs and demonstrates the feasibility of integration of such an antenna structure into monolithic circuits. The major advantage of this configuration is that the reverse side of the antenna can be used for the active and feed components. The antenna structure combines the advantages of CPW with the those of the aperture-coupled microstrip antenna and simplifies the structure of the antenna by reducing the number of metallization level, from three down to two. In addition, this type of coupling is advantageous when applied to millimeter-wave monolithic phased arrays. A unique feed design eliminates the competition for surface space between the antenna elements and the feed network. In addition, the ground plane shields the antenna half-space from spurious radiation emitted by feed lines and active devices. Finally, aperture coupling avoids problems associated with probe feeds at millimeter-wave frequencies, such as complexity of construction and large probe self reactances. This new type of antenna opens the ways to a large number of a new possibilities such as active antennas for millimeter-wave personal communications using monolithic microwave integrated circuits (MMIC's) on the same substrate and a combination of optical and radio transmission. ¬© 1998 IEEE.</t>
  </si>
  <si>
    <t>1757-1758</t>
  </si>
  <si>
    <t>60005415;60005415;60005415</t>
  </si>
  <si>
    <t>7003377564;7006002142;16238181200</t>
  </si>
  <si>
    <t>Hettak, K.;Delisle, G.;Boulmalf, M.</t>
  </si>
  <si>
    <t>Hettak K.</t>
  </si>
  <si>
    <t>A novel integrated antenna for millimeter-wave personal communications systems</t>
  </si>
  <si>
    <t>S0018926X98089042</t>
  </si>
  <si>
    <t>10.1109/8.736643</t>
  </si>
  <si>
    <t>2-s2.0-0032203272</t>
  </si>
  <si>
    <t>DAAL03-92-G-0376</t>
  </si>
  <si>
    <t>['tm case', 'three methods', 'small apertures', 'scatterer method', 'relative accuracies', 'part 2', 'numerical examples', 'hybrid methods', 'given structure', 'false resonances', 'differential equation', 'data determined', 'also delineated', 'accurately determine']</t>
  </si>
  <si>
    <t>Apertures | Electromagnetic coupling | Numerical analysis</t>
  </si>
  <si>
    <t>Three methods for determining the penetration through small apertures in closed conducting surfaces are outlined and their salient features discussed. These methods are designated: 1) the scatterer method; 2) the short-circuit current method; and 3) the equivalent current method. They are implemented by integral equation techniques but are amenable to differential equation or hybrid methods. Procedures for applying each method are outlined, as are schemes for repairing singular equations rendered invalid by the presence of false resonances. Reasons for inaccuracies in the three methods are also delineated. Data determined for a given structure by all three methods are presented and numerical examples that illustrate important features of the methods and their relative accuracies are described. It is pointed out that some methods yield incorrect penetration data. In this part of the paper, is found an outline of the integral equation formulations and numerical schemes needed to accurately determine the field that penetrates through a slot in a conducting cylinder excited by an axially independent TE source. In Part 2, the TM case is presented. ¬© 1998 IEEE.</t>
  </si>
  <si>
    <t>1612-1621</t>
  </si>
  <si>
    <t>60026610-60025778;60026610</t>
  </si>
  <si>
    <t>6507719184;7201550943</t>
  </si>
  <si>
    <t>Shumpert, John D.;Butler, Chalmers M.</t>
  </si>
  <si>
    <t>Clemson;Ann Arbor</t>
  </si>
  <si>
    <t>Clemson University;University of Michigan, Ann Arbor</t>
  </si>
  <si>
    <t>60026610;60025778</t>
  </si>
  <si>
    <t>Shumpert J.</t>
  </si>
  <si>
    <t>Penetration through slots in conducting cylinders-Part 1: Te case</t>
  </si>
  <si>
    <t>S0018926X98088796</t>
  </si>
  <si>
    <t>10.1109/8.736609</t>
  </si>
  <si>
    <t>2-s2.0-0032203329</t>
  </si>
  <si>
    <t>['significantly faster', 'series coefficients', 'series approximation', 'moment method', 'dimensional 11', 'coordinate transformation', 'analyzed using']</t>
  </si>
  <si>
    <t>Wire loops printed on grounded dielectric substrates are analyzed using a moment method where the integrations for evaluating impedance matrix elements are reduced from three-dimensional (3-D) to one-dimensional 11-1)1 through the use of a series approximation to the eigenmode spectral functions and a coordinate transformation. Prony's method is used in evaluating the series coefficients of complex image terms and results are shown to be accurate and significantly faster to compute. ¬© 1998 IEEE.</t>
  </si>
  <si>
    <t>1761-1762</t>
  </si>
  <si>
    <t>60001881;60001881;60001881</t>
  </si>
  <si>
    <t>6701323282;55328764600;36940126200</t>
  </si>
  <si>
    <t>Khamas, S. K.;Cook, G. G.;Goller, C.</t>
  </si>
  <si>
    <t>Khamas S.</t>
  </si>
  <si>
    <t>Efficient analysis of printed loops using complex images and a coordinate transformation on curved segments</t>
  </si>
  <si>
    <t>S0018926X98075115</t>
  </si>
  <si>
    <t>10.1109/8.736645</t>
  </si>
  <si>
    <t>2-s2.0-0032203436</t>
  </si>
  <si>
    <t>NSC 84-NSPO-A-RDD-009-01</t>
  </si>
  <si>
    <t>['structural parameters', 'radiation band', 'propagation characteristics', 'numerical results', 'microstrip line', 'like modes', 'finiteconductor planes', 'field distributions', 'coplanar waveguide', 'attenuation constants', 'antenna applications', 'also discussed', 'also confirm']</t>
  </si>
  <si>
    <t>Higher order mode | Leaky-wave antenna | Slot-line</t>
  </si>
  <si>
    <t>The propagation characteristics of the slotline first higher order mode are presented in detail in this paper. It is found that the attenuation constants and the radiation band of this first higher order mode are larger than those of the microstripline first higher order mode. Dependence of the propagation characteristics on structural parameters and the effect of finiteconductor planes are analyzed. The propagation characteristics of the surface-wave-like modes are also discussed. In order to avoid inadvertent excitation of these surface-wave-like modes in antenna applications, the current and field distributions of the slotline first higher order mode and the surface-wave-like modes are compared and discussed. Excitation of the slotline first higher order mode was conducted by feeding the slotline with a coplanar waveguide and microstrip line. Experimental results show good agreement with our numerical results, and also confirm the existence of the slotline first higher order mode. ¬©1998 IEEE.</t>
  </si>
  <si>
    <t>1774-1781</t>
  </si>
  <si>
    <t>60022847;60022847</t>
  </si>
  <si>
    <t>7004999780;57209831312</t>
  </si>
  <si>
    <t>Sheen, Jyh Wen;Lin, Yu De</t>
  </si>
  <si>
    <t>Industrial Technology Research Institute of Taiwan</t>
  </si>
  <si>
    <t>Sheen J.W.</t>
  </si>
  <si>
    <t>Propagation characteristics of the slotline first higher order mode</t>
  </si>
  <si>
    <t>S0018948098080089</t>
  </si>
  <si>
    <t>10.1109/22.734578</t>
  </si>
  <si>
    <t>2-s2.0-0032203801</t>
  </si>
  <si>
    <t>['using green', 'time requirements', 'space surrounding', 'requires discretization', 'region problems', 'neighboring nodes', 'measured equation', 'investigated augmenting', 'finite element', 'finite difference', 'fe method']</t>
  </si>
  <si>
    <t>Electrostatic analysis | Finite-element methods</t>
  </si>
  <si>
    <t>Differential equation techniques such as finite element (FE) and finite difference (FD) have the advantage of sparse system matrices that have relatively small memory requirements for storage and relatively short central processing unit (CPU) time requirements for solving. However, these techniques do not lend themselves as readily for use in open-region problems as the method of moments (MoM) because they require the discretization of the space surrounding the object where MoM only requires discretization of the surface of the object. In this work, a relatively new mesh truncation method known as the measured equation of invariance (MEI) is investigated augmenting the FE method for the solution of electrostatic problems involving threedimensional (3-D) arbitrarily shaped conducting objects. This technique allows truncation of the mesh as close as two node layers from the object. MEI views sparse-matrix numerical techniques as methods of determining weighting coefficients between neighboring nodes and finds those weights for nodes on the boundary of the mesh by assuming viable charge distributions on the surface of the object and using Green's function to measure the potentials at the nodes. Problems in the implementation of FE/MEI are discussed and the method is compared against MoM for a cube and a sphere. ¬© 1998 IEEE.</t>
  </si>
  <si>
    <t>1660-1664</t>
  </si>
  <si>
    <t>60025522-60011754;60025522</t>
  </si>
  <si>
    <t>55817552907;7404179013</t>
  </si>
  <si>
    <t>Henderson, John H.;Rao, Sadasiva M.</t>
  </si>
  <si>
    <t>Melbourne;Auburn</t>
  </si>
  <si>
    <t>Harris Corporation;Auburn University</t>
  </si>
  <si>
    <t>60025522;60011754</t>
  </si>
  <si>
    <t>Henderson J.H.</t>
  </si>
  <si>
    <t>Electrostatic solution for three-dimensional arbitrarily shaped conducting bodies using finite element and measured equation of invariance</t>
  </si>
  <si>
    <t>S0018926X98088863</t>
  </si>
  <si>
    <t>10.1109/8.736618</t>
  </si>
  <si>
    <t>2-s2.0-0032204074</t>
  </si>
  <si>
    <t>33615-92-C-1009</t>
  </si>
  <si>
    <t>['prototype taper', 'planar array', 'minimum spacing', 'grating lobes']</t>
  </si>
  <si>
    <t>We examine element placement in a planar array when the minimum spacing is greater than a wavelength. We propose a new convenient density tapering method using a radial warping function based on the prototype taper, discuss its relation to other deterministic density tapering methods, including statistical density tapering, and demonstrate that it yields no grating lobes. ¬© 1998 IEEE.</t>
  </si>
  <si>
    <t>1763-1764</t>
  </si>
  <si>
    <t>60025522-60021032-60015099;60025522;60025522</t>
  </si>
  <si>
    <t>7404424735;7101699285;7003971864</t>
  </si>
  <si>
    <t>Anderson, Paul D.;Ingram, Mary Ann;Tripp, Victor K.</t>
  </si>
  <si>
    <t>Melbourne;Atlanta;Atlanta</t>
  </si>
  <si>
    <t>Harris Corporation;Georgia Institute of Technology;Georgia Tech Research Institute</t>
  </si>
  <si>
    <t>60025522;60021032;60015099</t>
  </si>
  <si>
    <t>Anderson P.</t>
  </si>
  <si>
    <t>A new density tapering method based on radial warping</t>
  </si>
  <si>
    <t>S0018926X98061110</t>
  </si>
  <si>
    <t>10.1109/8.736646</t>
  </si>
  <si>
    <t>2-s2.0-0032204075</t>
  </si>
  <si>
    <t>['resonant frequency', 'radiation patterns', 'predicted results', 'input impedance', 'experimental results', 'excellent agreement', 'antenna elements', 'accurately predict']</t>
  </si>
  <si>
    <t>A new compact microstrip antenna element is analyzed. The analysis can accurately predict the resonant frequency, input impedance, and radiation patterns. The predicted results are compared with experimental results and excellent agreement is observed. These antenna elements are more suitable in applications where limited antenna real estate is available. ¬© 1998 IEEE.</t>
  </si>
  <si>
    <t>1712-1717</t>
  </si>
  <si>
    <t>57206591125;7004362848;57218539158;56259735900</t>
  </si>
  <si>
    <t>George, Jacob;Aanandan, C. K.;Mohanan, P.;Nair, K. G.</t>
  </si>
  <si>
    <t>Analysis of a new compact microstrip Antenna</t>
  </si>
  <si>
    <t>S0018926X98088942</t>
  </si>
  <si>
    <t>10.1109/8.736627</t>
  </si>
  <si>
    <t>2-s2.0-0032204215</t>
  </si>
  <si>
    <t>['wave antenna', 'small beamwidth', 'overcome using', 'measured results', 'high efficiency', 'guiding structure', 'dielectric waveguide', '212 ghz']</t>
  </si>
  <si>
    <t>Leaky-wave antennas</t>
  </si>
  <si>
    <t>The design and fabrication of a leaky-wave antenna at 212 GHz with a dielectric waveguide as the guiding structure is described and some measured results are presented. At this frequency, previously reported approaches for fabricating such an antenna present certain difficulties, which have been overcome using some innovations. This antenna is expected to be useful for radiometry and, consequently should have small beamwidth, high efficiency, and large beam scanning with frequency. It is shown how these can be achieved. ¬© 1998 IEEE.</t>
  </si>
  <si>
    <t>1665-1673</t>
  </si>
  <si>
    <t>57215684859;36041035600</t>
  </si>
  <si>
    <t>Basu, Ananjan;Itoh, Tatsuo</t>
  </si>
  <si>
    <t>Basu A.</t>
  </si>
  <si>
    <t>Dielectric waveguide-based leaky-wave antenna at 212 GHz</t>
  </si>
  <si>
    <t>S0018926X98088875</t>
  </si>
  <si>
    <t>10.1109/8.736619</t>
  </si>
  <si>
    <t>2-s2.0-0032204367</t>
  </si>
  <si>
    <t>F19628-95-C-0002</t>
  </si>
  <si>
    <t>['stap cases', 'stap ).', 'mountaintop database', 'little effect', 'even quadruple', 'estimation loss', 'b averaging', 'also show', 'adaptive beamforming']</t>
  </si>
  <si>
    <t>In this paper, we investigate the use of forwardbackward (f/b) averaging for estimating the covariance matrix used for adaptive beamforming and space-time adaptive processing (STAP). We demonstrate that the estimation loss is reduced by the use of f/b averaging and, for some STAP cases, f/b averaging can even quadruple the available sample support. We also show that unknown array manifold errors have little effect on the effectiveness of f/b averaging. The gain from f/b averaging is demonstrated on data from the mountaintop database. ¬© 1998 IEEE.</t>
  </si>
  <si>
    <t>1700-1704</t>
  </si>
  <si>
    <t>60022195-60005304;60022195</t>
  </si>
  <si>
    <t>7004085526;7402186132</t>
  </si>
  <si>
    <t>Zatman, Michael;Marshall, Daniel</t>
  </si>
  <si>
    <t>Cambridge;Waltham</t>
  </si>
  <si>
    <t>Massachusetts Institute of Technology;Raytheon</t>
  </si>
  <si>
    <t>60022195;60005304</t>
  </si>
  <si>
    <t>Forward-backward averaging in the presence of array manifold errors</t>
  </si>
  <si>
    <t>S0018926X98088929</t>
  </si>
  <si>
    <t>10.1109/8.736625</t>
  </si>
  <si>
    <t>2-s2.0-0032204368</t>
  </si>
  <si>
    <t>['strip right', 'singular integral', 'side ).', 'several cases', 'radiated field', 'numerical results', 'integrodifferential equations', 'general case', 'exact analysis', 'dimensional scattering', '1 ].']</t>
  </si>
  <si>
    <t>Electromagnetic scattering | Nonhomogeneous media</t>
  </si>
  <si>
    <t>An exact analysis of three-dimensional scattering by a slot or by a strip right on an interface between two adjacent layers of a planar stratified isotropic medium is presented. The most general case of arbitrarily polarized obliquely incident plane waves is considered. The formulation is based on systems of singular integral-integrodifferential equations (SIE-SIDE). These systems are discretized with the help of two independent algorithms recently developed in [1]. Filling up the matrix elements involves rapidly convergent spectral integrals. The expression of the far-radiated field is derived and numerical results are presented for several cases. ¬© 1998 IEEE.</t>
  </si>
  <si>
    <t>1634-1640</t>
  </si>
  <si>
    <t>Tsalamengas, John L.</t>
  </si>
  <si>
    <t>Tsalamengas J.</t>
  </si>
  <si>
    <t>Scattering of arbitrarily polarized plane waves obliquely incident on infinite slots or strips in a planar-stratified medium</t>
  </si>
  <si>
    <t>S0018926X98088826</t>
  </si>
  <si>
    <t>10.1109/8.736613</t>
  </si>
  <si>
    <t>2-s2.0-0032204503</t>
  </si>
  <si>
    <t>['various rectangular', 'various parameters', 'resonant frequency', 'resonance characteristics', 'new structure', 'measured results', 'leakage loss', 'interesting features', 'good agreement', 'efficient oninidirectional', 'efficient model', 'design purposes', 'circuits using']</t>
  </si>
  <si>
    <t>Antenna feeder | Dielectric resonator | Leaky wave | Numerical modeling</t>
  </si>
  <si>
    <t>A class of new radiating cylindrical dielectric structures are proposed for use as a feeder for high-efficient oninidirectional/sectorial slotted arrays that are suitable for highfrequency wireless systems. A simple and efficient model on a scheme of the method of lines is developed and used for analysis of these composite cylindrical dielectric elements that have various rectangular and trapezoidal cross sections. Good agreement between calculated and measured results is observed, which validates the proposed modeling technique. Leakage and resonance characteristics are presented, and they reveal some interesting features for design of new beamforming networks or circuits using the new structure. Results and discussion are focused on the properties of low-order leaky resonant modes. Influences of various parameters of the structure on leakage loss and resonant frequency are shown in detail for design purposes. ¬© 1998 IEEE.</t>
  </si>
  <si>
    <t>1767-1773</t>
  </si>
  <si>
    <t>60104244;60104244</t>
  </si>
  <si>
    <t>7101707919;9042159400</t>
  </si>
  <si>
    <t>Qi, Songxin;Wu, Ke</t>
  </si>
  <si>
    <t>Centre de Recherche Poly-Grames</t>
  </si>
  <si>
    <t>Qi S.</t>
  </si>
  <si>
    <t>Leakage and resonance characteristics of radiating cylindrical dielectric structure suitable for use as a feeder for high-efficient omnidirectional/sectorial antenna</t>
  </si>
  <si>
    <t>S0018948098080077</t>
  </si>
  <si>
    <t>10.1109/22.734577</t>
  </si>
  <si>
    <t>2-s2.0-0032204541</t>
  </si>
  <si>
    <t>['phase runaway', 'perpendicular incidence', 'observed characteristics', 'numerical simulations', 'independent full', 'good agreement', 'effects resulting', 'density fluctuations', 'calculated using', 'antenna system', 'analytical model']</t>
  </si>
  <si>
    <t>Runaway of the reflectometer output phase can be produced by transversely propagating density fluctuations if the antenna system is operated in the tilt-mode, i.e. away from perpendicular incidence. The observed characteristics of the phase runaway are explained with an analytical model. The two-dimensional (2D) effects resulting from poloidally propagating density fluctuations are calculated using a time-independent full-wave 2D code. Numerical simulations for both monochromatic and turbulent density fluctuations are presented. Good agreement with the characteristics of phase runaway measured with reflectometry in the W7-AS stellarator is obtained. The potential of a reflectometer in the tilt-mode to measure the radially resolved poloidal propagation velocity of density fluctuations is analysed. ¬© 1998 IOP Publishing Ltd.</t>
  </si>
  <si>
    <t>1869-1886</t>
  </si>
  <si>
    <t>60015815;60026838;60004956;60005233;60004956</t>
  </si>
  <si>
    <t>6701390883;7201493893;7003509291;6602911547;7006750861</t>
  </si>
  <si>
    <t>Holzhauer, E.;Hirsch, M.;Grossmann, T.;Bra√±as, B.;Serra, F.</t>
  </si>
  <si>
    <t>Germany;Germany;Spain;Portugal</t>
  </si>
  <si>
    <t>Garching bei Munchen;Stuttgart;Madrid;Lisbon</t>
  </si>
  <si>
    <t>Max Planck Institute for Plasma Physics;Universit√§t Stuttgart;Centro de Investigaciones Energeticas, Medioambientales y Tecnologicas;Instituto Superior T√©cnico</t>
  </si>
  <si>
    <t>60026838;60015815;60005233;60004956</t>
  </si>
  <si>
    <t>Holzhauer E.</t>
  </si>
  <si>
    <t>Theoretical and experimental investigation of the phase-runaway in microwave reflectometry</t>
  </si>
  <si>
    <t>S074133359892142X</t>
  </si>
  <si>
    <t>10.1088/0741-3335/40/11/004</t>
  </si>
  <si>
    <t>2-s2.0-0032204620</t>
  </si>
  <si>
    <t>['tissue within', 'strong influence', 'sphere system', 'sar averaged', 'near field', 'mobile telephone', 'maximum value', 'input impedance', 'dipole excited', 'dipole antenna', 'antenna distance', '30 mm', '120 mm', '100 mm', '10 g']</t>
  </si>
  <si>
    <t>ANSI standards | Dosimetry | Electromagnetic heating | Electromagnetic propagation in absorbing media | Electromagnetic reflection | FDTD methods | Microwave radio propagation | Mobile communication</t>
  </si>
  <si>
    <t>The head of the user of a mobile telephone is modeled by a lossy dielectric sphere excited by the near field of a dipole antenna and the effects of a metallic wall placed close to this system are analyzed. Three wall orientations are used and the changes in specific absorption rate (SAR) with wall or antenna distance from the sphere are investigated. When the wall is closer than 100 mm to the dipole-sphere system, it can have a strong influence on the input impedance of the antenna and can cause significant increases in the SAR in the head. When a constant radiated power of the dipole antenna is assumed, the maximum value of SAR averaged over 10 g of tissue within the sphere is increased by 60% when the wall is as close as 30 mm from the surface of the sphere. For a dipole excited by a constant current source, the increase is less than 10% and occurs when the wall is 120 mm from the surface of the sphere. Although the distances and configurations analyzed may not represent the way the majority of people use mobile telephones, it is important to examine unusual situations to determine the extent of the SAR enhancement problem.</t>
  </si>
  <si>
    <t>377-382</t>
  </si>
  <si>
    <t>60003896;60003896</t>
  </si>
  <si>
    <t>55471758700;57196853128</t>
  </si>
  <si>
    <t>Cooper, Justin;Hombach, Volker</t>
  </si>
  <si>
    <t>Cooper J.</t>
  </si>
  <si>
    <t>The specific absorption rate in a spherical head model from a dipole with metallic walls nearby</t>
  </si>
  <si>
    <t>S0018937598083148</t>
  </si>
  <si>
    <t>10.1109/15.736225</t>
  </si>
  <si>
    <t>2-s2.0-0032204777</t>
  </si>
  <si>
    <t>['valuable insight', 'thoroughly investigated', 'small size', 'performance trends', 'optimum design']</t>
  </si>
  <si>
    <t>In this paper, electrically small microstrip patches incorporating shorting posts are thoroughly investigated. These antennas are suitable for mobile communications handsets where limited antenna size is a premium. Techniques to enhance the bandwidth of these antennas are presented and performance trends are established. From these trends, valuable insight to the optimum design, namely broad bandwidth, small size, and ease of manufacturing, is given. ¬© 1998 IEEE.</t>
  </si>
  <si>
    <t>1629-1633</t>
  </si>
  <si>
    <t>60011362;60011362;60011362</t>
  </si>
  <si>
    <t>35478779700;6603820268;6701802528</t>
  </si>
  <si>
    <t>Waterhouse, Rod B.;Targonski, S. D.;Kokotoff, D. M.</t>
  </si>
  <si>
    <t>Design and performance of small printed antennas</t>
  </si>
  <si>
    <t>S0018926X98088814</t>
  </si>
  <si>
    <t>10.1109/8.736612</t>
  </si>
  <si>
    <t>2-s2.0-0032205126</t>
  </si>
  <si>
    <t>['wave antenna', 'two beams', 'return loss', 'radiation directions', 'radiating element', 'open end', 'new two', 'integrated leaky', 'fed asymmetriclly', 'almost less', 'active high', '5 ghz', '5 dbm', '34 ¬∞', '140 ¬∞,', '10 db']</t>
  </si>
  <si>
    <t>A new two-terminal feeding active-integrated leaky-wave antenna design is demonstrated. The X-band microstrip two-terminal feeding leaky-wave antenna is integrated with an active high-electron mobility transistor (HEMT) oscillator to produce a two-beam radiation pattern. The antenna is fed asymmetriclly at both sides to excite the flrst higher order mode. This configuration, as compared to a single-terminal feeding leaky-wave antenna, has the advantage of the multidirection and the reduction of the reflected wave caused by the open end of the radiating element. Measured results show that the radiation directions of two beams are approximately at 34¬∞ and 140¬∞, the effectively isotropic radiated power (EIRP) is close to 17.5 dBm, and the return loss is almost less than -10 dB between 9 and 11.5 GHz. ¬© 1998 IEEE.</t>
  </si>
  <si>
    <t>1749-1750</t>
  </si>
  <si>
    <t>60012370-60072380;60012370;60012370</t>
  </si>
  <si>
    <t>7501637046;7005109058;56123316200</t>
  </si>
  <si>
    <t>Wang, Chien Jen;Jou, Christina F.;Wu, Jin Jei</t>
  </si>
  <si>
    <t>A new two-terminal feeding active leaky-wave Antenna</t>
  </si>
  <si>
    <t>S0018926X98089005</t>
  </si>
  <si>
    <t>10.1109/8.736635</t>
  </si>
  <si>
    <t>2-s2.0-0032205184</t>
  </si>
  <si>
    <t>['various types', 'typical handset', 'tdna systems', 'tdna ).', 'special care', 'signals sufficient', 'results presented', 'pulse modulation', 'properly represent', 'proper perception', 'plane wave', 'new generation', 'medical devices', 'may prevent', 'magnetic fields', 'human body', 'hearing aids', 'hearing aid', 'health risk', 'generally pose', 'exposure sources', 'equivalent dipole', 'electromagnetic interference', 'ear canal', 'difference time', 'devices used', 'devices affected', 'considerable annoyance', 'cellular telephones', 'aid wearers', '900 mhz']</t>
  </si>
  <si>
    <t>Cellular telephone | EMI | FDTD | Hearing aids | Wireless communication</t>
  </si>
  <si>
    <t>The new generation of cellular telephones and other personal communication services (PCS's) poses new problems and challenges in interactions with the human body. Among them is electromagnetic interference (EMI) with medical devices, particularly for systems using time-division multiple access (TDNA). Hearing aids are among the devices affected by the pulse modulation in the audio range associated with the TDNA systems. While EMI in this case does not generally pose a health risk, it constitutes a considerable annoyance, which may prevent the hearing-aid wearers from using some of the new communication devices. Also, just the proximity to the devices used by others or the base station may result in signals sufficient to interfere with proper perception of sounds. We have evaluated the electric and magnetic fields in the ear canal at 900 MHz for a typical monopole antenna on a typical handset, an equivalent dipole, and a plane wave. Special care was taken to properly represent the anatomy of the ear, including its canal. The finite-difference time-domain (FDTD) method was used to compute the electric and magnetic fields in the ear canal and around the ear. The fields from the exposure sources in various realistic placements of the hearing aid were compared. The results presented are of importance and use in developing performance standards and practical testing methods for various types of hearing aids. ¬© 1998 IEEE.</t>
  </si>
  <si>
    <t>1686-1693</t>
  </si>
  <si>
    <t>7006393752;7102344649</t>
  </si>
  <si>
    <t>Okoniewski, Michal;Stuchly, Maria A.</t>
  </si>
  <si>
    <t>Okoniewski M.</t>
  </si>
  <si>
    <t>Modeling of interaction of electromagnetic fields from a cellular telephone with hearing aids</t>
  </si>
  <si>
    <t>S0018948098080016</t>
  </si>
  <si>
    <t>10.1109/22.734560</t>
  </si>
  <si>
    <t>2-s2.0-0032205405</t>
  </si>
  <si>
    <t>N00014-89-J-1023</t>
  </si>
  <si>
    <t>['vertical dipoles', 'vertical antennas', 'use must', 'spherical surface', 'radio communication', 'radiated fields', 'planar earth', 'ground wave', 'frequency range', 'extend beyond', 'earth regions', 'antennas used', '30 mhz']</t>
  </si>
  <si>
    <t>Analytical formulas | Ground-wave field | Shipboard antennas | Spherical-earth model | Vertical electric dipole</t>
  </si>
  <si>
    <t>Radio communication over the spherical surface of the earth and sea makes use of vertical antennas in the frequency range from 1 to 30 MHz. For distances that extend beyond the approximation of a planar earth, use must be made of the ground wave. Following a description of antennas used on shipboard, their radiated fields are analyzed in the planar- and spherical-earth regions. The latter involves new formulas for the field of vertical dipoles over the spherical surface of the sea.</t>
  </si>
  <si>
    <t>337-342</t>
  </si>
  <si>
    <t>60000251-60009982;60000251</t>
  </si>
  <si>
    <t>35586046100;7201709052</t>
  </si>
  <si>
    <t>King, Ronold W.P.;Harrison, Charles W.</t>
  </si>
  <si>
    <t>Harvard University;IEEE</t>
  </si>
  <si>
    <t>60009982;60000251</t>
  </si>
  <si>
    <t>King R.</t>
  </si>
  <si>
    <t>Electromagnetic ground-wave field of vertical antennas for communication at 1 to 30 MHz</t>
  </si>
  <si>
    <t>S0018937598083185</t>
  </si>
  <si>
    <t>10.1109/15.736219</t>
  </si>
  <si>
    <t>2-s2.0-0032205685</t>
  </si>
  <si>
    <t>['two dimensions', 'transverse electromagnetic', 'three dimensions', 'tem ).', 'scalar fields', 'numerically computing', 'magnetic fields', 'identical format', 'give results', 'four cases', 'fields radiated', 'feed modes', 'discretized forms', 'cylindrical waveguides', 'arbitrarily shaped', 'also given']</t>
  </si>
  <si>
    <t>Aperture antennas | Integral equations</t>
  </si>
  <si>
    <t>We present integral equations and their discretizations for calculating the fields radiated from arbitrarily shaped antennas fed by cylindrical waveguides of arbitrary cross sections. We give results for scalar fields in two dimensions with Dirichlet and Neumann boundary conditions and for (vector) electric and magnetic fields in three dimensions. The discretized forms of the equations are cast in identical format for all four cases. Feed modes can be TM, TE, or transverse electromagnetic (TEM). A method for numerically computing the modes of an arbitrarily shaped, cylindrical waveguide aperture is also given. ¬© 1998 IEEE.</t>
  </si>
  <si>
    <t>1727-1738</t>
  </si>
  <si>
    <t>60021939-60030821;60021939;60021939</t>
  </si>
  <si>
    <t>6603576724;57208764170;6603958219</t>
  </si>
  <si>
    <t>Ottusch, John J.;Valley, George C.;Wandzura, Stephen</t>
  </si>
  <si>
    <t>Chicago;Malibu</t>
  </si>
  <si>
    <t>Boeing Corporation;HRL Laboratories</t>
  </si>
  <si>
    <t>60030821;60021939</t>
  </si>
  <si>
    <t>Ottusch J.</t>
  </si>
  <si>
    <t>Integral equations and discretizations for waveguide apertures</t>
  </si>
  <si>
    <t>S0018926X98088966</t>
  </si>
  <si>
    <t>10.1109/8.736630</t>
  </si>
  <si>
    <t>2-s2.0-0032205737</t>
  </si>
  <si>
    <t>['uniform sidelobes', 'synthesis algorithm', 'paper presents', 'chebyshev patterns', 'arbitrary arrays', 'arbitrary array']</t>
  </si>
  <si>
    <t>Arrays</t>
  </si>
  <si>
    <t>This paper presents a synthesis algorithm to minimize the maximum sidelobe level for an arbitrary array. Similar to Dolph-Chebyshev patterns, the minimax array patterns for arbitrary arrays have uniform sidelobes. ¬© 1998 IEEE.</t>
  </si>
  <si>
    <t>1759-1760</t>
  </si>
  <si>
    <t>60021032-60025522;60021032;60021032</t>
  </si>
  <si>
    <t>54681442900;7101699285;7404424735</t>
  </si>
  <si>
    <t>Zhou, P. Y.;Ingram, M. A.;Anderson, P. D.</t>
  </si>
  <si>
    <t>Melbourne;Atlanta</t>
  </si>
  <si>
    <t>Harris Corporation;Georgia Institute of Technology</t>
  </si>
  <si>
    <t>60025522;60021032</t>
  </si>
  <si>
    <t>Zhou P.</t>
  </si>
  <si>
    <t>Synthesis of minimax sidelobes for arbitrary arrays</t>
  </si>
  <si>
    <t>S0018926X98089066</t>
  </si>
  <si>
    <t>10.1109/8.736644</t>
  </si>
  <si>
    <t>2-s2.0-0032205738</t>
  </si>
  <si>
    <t>['transmission coefficients', 'simply assuming', 'reflector surface', 'popular method', 'po analysis', 'physical optics', 'outdoor reflectors', 'metal coating', 'line analogy', 'inherent simplicity', 'inflatable antenna', 'incident waves', 'finite transmissions', 'finite thickness', 'finite conductivity', 'every point', 'antenna surfaces', 'analysis remains']</t>
  </si>
  <si>
    <t>Dbs antennas | Inflatable membrane | Lossy material | Physical optics | Rain/snow | Reflector antennas</t>
  </si>
  <si>
    <t>There are important engineering issues in designing reflector antennas that cannot be addressed by simply assuming a perfect electric conductor (PEC) reflector surface. For example, coatings may exist on antenna surfaces for protection, rain or snow can accumulate on outdoor reflectors, and the d√©ployable mesh or inflatable membrane antennas usually do not have solid PEC reflector surfaces. Physical optics (PO) analysis remains the most popular method of reflector analysis owing to its inherent simplicity, accuracy, and efficiency. The conventional PO analysis is performed under the assumption of perfectly conducting reflector surface. To generalize the PO analysis to arbitrary reflector surfaces, a modified PO analysis is presented. Under the assumptions of locally planar reflector surface and locally planewave characteristic of the waves incident upon the reflector surface, the reflection and transmission coefficients at every point of the reflector surface are determined by the transmission-line analogy to the multilayered surface structure. The modified PO currents, taking into account by the finite transmissions of the incident waves, are derived from the reflection and transmission coefficients. Applications on the analyses of the rain and snow accumulation effects on the direct-broadcast TV antennas and the effects of finite thickness and finite conductivity of the metal coating on a 15-m inflatable antenna are described and results are presented. ¬© 1998 IEEE.</t>
  </si>
  <si>
    <t>1593-1605</t>
  </si>
  <si>
    <t>7005395696;7102110120</t>
  </si>
  <si>
    <t>Ip, Hung Piu;Rahmat-Samii, Yahya</t>
  </si>
  <si>
    <t>Ip H.</t>
  </si>
  <si>
    <t>Analysis and characterization of multilayered reflector antennas: rain/snow accumulation and d√©ployable membrane</t>
  </si>
  <si>
    <t>S0018926X98088760</t>
  </si>
  <si>
    <t>10.1109/8.736606</t>
  </si>
  <si>
    <t>2-s2.0-0032205762</t>
  </si>
  <si>
    <t>0GP0002176</t>
  </si>
  <si>
    <t>['various parameters', 'variable height', 'recursive algorithm', 'numerical results', 'modalexpansion method', 'insulated monopole', 'input admittance', 'ground plane', 'good agreement', 'expansion coefficients', 'expansion analysis', 'current distribution', 'calculated results']</t>
  </si>
  <si>
    <t>Monopole antennas</t>
  </si>
  <si>
    <t>An efficient numerical technique based on the modalexpansion method in conjunction with a recursive algorithm is developed for a multilayer insulated monopole antenna fed by a coaxial transmission line. The modal-expansion analysis is facilitated by introducing a perfectly matched boundary (PMB) at a variable height over the ground plane of the monopole. The current distribution and input admittance are computed by finding the expansion coefficients of the electromagnetic field expressions. Numerical results for the input admittance of a dielectric-coated monopole antenna and an air-insulated monopole are compared with experimental ones available in the literature. Good agreement is achieved. Calculated results for the effects of various parameters on the input admittance of an air-insulated monopole antenna are presented and discussed. ¬© 1998 IEEE.</t>
  </si>
  <si>
    <t>1679-1686</t>
  </si>
  <si>
    <t>60014171;60014171</t>
  </si>
  <si>
    <t>7403324500;7005164716</t>
  </si>
  <si>
    <t>Shen, Zhongxiang;MacPhie, Robert H.</t>
  </si>
  <si>
    <t>Waterloo</t>
  </si>
  <si>
    <t>University of Waterloo</t>
  </si>
  <si>
    <t>Shen Z.</t>
  </si>
  <si>
    <t>Input admittance of a multilayer insulated monopole Antenna</t>
  </si>
  <si>
    <t>S0018926X98088899</t>
  </si>
  <si>
    <t>10.1109/8.736621</t>
  </si>
  <si>
    <t>2-s2.0-0032205763</t>
  </si>
  <si>
    <t>['volume pulse', 'solution uses', 'reaction impedance', 'matrix form', 'integral equation', 'hybrid mom', 'hybrid method', 'homogeneous substrate', 'good agreement', 'function method', 'dielectric supports', 'dielectric inhomogeneity', 'dielectric inhomogeneities', 'basis functions']</t>
  </si>
  <si>
    <t>Microstrip antennas | Nonhomogeneous media</t>
  </si>
  <si>
    <t>The hybrid method of moments (MoM)/Green's function method [1] technique is applied to infinite periodic printed antenna arrays containing dielectric inhomogeneities. The solution uses an integral equation for an infinite periodic printed array on or over a homogeneous dielectric substrate [2], coupled with equivalent volume polarization currents for dielectric inhomogeneities on top of the homogeneous substrate. Volume pulse-basis functions were used to expand the volume polarization currents. A hybrid MoM/Green's function method solution was then obtained through the matrix form of the problem. The two-dimensional (2-D) solution of plane wave scattering from a grounded dielectric slab was used to validate the reaction impedance of the dielectric inhomogeneity. Several infinite periodic printed dipole arrays with dielectric supports and overlays were studied with this solution and good agreement was observed between the hybrid MoM/Green's function method and waveguide simulator experiments. ¬© 1998 IEEE.</t>
  </si>
  <si>
    <t>1641-1650</t>
  </si>
  <si>
    <t>60102370-60014313;60102370</t>
  </si>
  <si>
    <t>36897180600;7006061921</t>
  </si>
  <si>
    <t>Tsay, Wen Jiunn;Pozar, David M.</t>
  </si>
  <si>
    <t>Morgan Hill;Amherst MA</t>
  </si>
  <si>
    <t>Anritsu Company, USA;University of Massachusetts Amherst</t>
  </si>
  <si>
    <t>60102370;60014313</t>
  </si>
  <si>
    <t>Tsay W.</t>
  </si>
  <si>
    <t>Radiation and scattering from infinite periodic printed antennas with inhomogeneous media</t>
  </si>
  <si>
    <t>S0018926X98088838</t>
  </si>
  <si>
    <t>10.1109/8.736615</t>
  </si>
  <si>
    <t>2-s2.0-0032206280</t>
  </si>
  <si>
    <t>['value problem', 'three bor', 'symmetry axis', 'solved exactly', 'oblate spheroids', 'isorefractive prolate', 'isorefractive paraboloid', 'isorefractive body', 'determined exactly', 'axially oriented', 'arbitrarily located']</t>
  </si>
  <si>
    <t>The radiation from an electric or magnetic dipole located on the symmetry axis of an isorefractive body of revolution (BOR) and axially oriented is considered. The boundary-value problem is solved exactly for three BOR's: the isorefractive prolate and oblate spheroids and the isorefractive paraboloid. Furthermore, for the isorefractive circular cone, the radiation from an arbitrarily located and radially oriented dipole, and the scattering from an obliquely incident plane wave are determined exactly. ¬© 1998 IEEE.</t>
  </si>
  <si>
    <t>1606-1611</t>
  </si>
  <si>
    <t>60027561-60023256;60027561</t>
  </si>
  <si>
    <t>7004462124;7003795629</t>
  </si>
  <si>
    <t>Uslenghi, Piergiorgio L.E.;Zieh, Riccardo Enrico</t>
  </si>
  <si>
    <t>Chicago;Milan</t>
  </si>
  <si>
    <t>University of Illinois at Chicago;Politecnico di Milano</t>
  </si>
  <si>
    <t>60027561;60023256</t>
  </si>
  <si>
    <t>Uslenghi P.</t>
  </si>
  <si>
    <t>Radiation and scattering from isorefractive bodies of revolution</t>
  </si>
  <si>
    <t>S0018926X98088784</t>
  </si>
  <si>
    <t>10.1109/8.736608</t>
  </si>
  <si>
    <t>2-s2.0-0032206299</t>
  </si>
  <si>
    <t>['vector finite', 'spectral responses', 'spectral response', 'shifting reduces', 'previous moments', 'pollution due', 'paper discusses', 'paper describes', 'obstacle inside', 'modeling three', 'lower half', 'expansion frequency', 'element method', 'efficiently computing', 'efficient algorithm', 'additional components']</t>
  </si>
  <si>
    <t>AWE | Finite-element methods | Microwave passive components | Numerical methods</t>
  </si>
  <si>
    <t>This paper describes an efficient algorithm to evaluate the spectral response of passive microwave devices. The method is based on the combination of the tangential-vector finite-element method (TVFEM) for modeling three-dimensional (3-D) microwave passive components and the asymptotic waveform evaluation (AWE) technique for efficiently computing the spectral responses. Unlike previous AWE approaches, which use direct matrix factorization to solve for the moments, we employ a preconditioned conjugate gradient (PCG) method. It is observed that the iterative PCG solver converges much faster by solving only the additional components of the higher moments outside the span of previous moments. Moreover, this paper discusses the effect of shifting the expansion frequency from the real frequency axis to the lower half of the complex frequency plane. Through several numerical examples, a waveguide with an obstacle inside, mitered 90¬∞ E- and .ff-plane waveguide bend, microstrip lowpass filter, and microstrip patch antenna, we show that shifting reduces the pollution due to dominant resonant modes and, consequently, results in a much wider convergence range for the moment-matching AWE technique. ¬© 1998 IEEE.</t>
  </si>
  <si>
    <t>1735-1741</t>
  </si>
  <si>
    <t>60011410;60011410</t>
  </si>
  <si>
    <t>7410266624;7601472792</t>
  </si>
  <si>
    <t>Zhang, Xiao Ming;Lee, Jin Fa</t>
  </si>
  <si>
    <t>Worcester Polytechnic Institute</t>
  </si>
  <si>
    <t>Application of the AWE method with the 3-D TVFEM to model spectral responses of passive microwave components</t>
  </si>
  <si>
    <t>S0018948098082143</t>
  </si>
  <si>
    <t>10.1109/22.734573</t>
  </si>
  <si>
    <t>2-s2.0-0032206348</t>
  </si>
  <si>
    <t>['three methods', 'small apertures', 'scatterer method', 'relative accuracies', 'part 1', 'numerical examples', 'hybrid methods', 'given structure', 'false resonances', 'differential equation', 'data determined', 'cylinder axis', 'conducting cylinder', 'also delineated', 'accurately determine']</t>
  </si>
  <si>
    <t>Three methods for determining the penetration through small apertures in closed conducting surfaces are outlined and their salient features discussed. These methods are designated: 1) the scatterer method; 2) the short-circuit current method; and 3) the equivalent current method. They are implemented by integral equation techniques but are amenable to differential equation or hybrid methods. Procedures for applying each method are outlined as are schemes for repairing singular equations rendered invalid by the presence of false resonances. Reasons for inaccuracies in the three methods are also delineated. Data determined for a given structure by all three methods are presented and numerical examples that illustrate important features of the methods and their relative accuracies are described. In Part 1, the TE (to cylinder axis) case is presented. In this part of the paper is found an outline of the integral equation formulation and numerical scheme needed to accurately determine the field that penetrates through a slot in a conducting cylinder, excited by an axially independent TM source. ¬© 1998 IEEE.</t>
  </si>
  <si>
    <t>1622-1628</t>
  </si>
  <si>
    <t>Penetration through slots in conducting cylinders-Part 2: TM case</t>
  </si>
  <si>
    <t>S0018926X98088802</t>
  </si>
  <si>
    <t>10.1109/8.736610</t>
  </si>
  <si>
    <t>2-s2.0-0032206531</t>
  </si>
  <si>
    <t>U.S. Army</t>
  </si>
  <si>
    <t>['tuning techniques', 'periodic structures', 'new harmonic', 'difference time', 'design example', 'balance simulation', 'antenna approach', 'amplifier simulation', 'also presented', 'active integrated']</t>
  </si>
  <si>
    <t>Active integrated antenna | Cosite interference | PAE | Power amplifier</t>
  </si>
  <si>
    <t>This paper presents three novel architectures for high-efficiency amplifiers relying on new harmonic-tuning techniques. These methods yield high-efficiency power amplifiers and reduce unwanted harmonic radiation from the transmitter front end. The first method uses the active integrated-antenna approach to perform harmonic tuning. The second method uses a nontraditional periodic microstrip filter, which allows broadband harmonic tuning. Finally, the third method combines the previous two approaches. Each technique is illustrated by a design example of a power amplifier integrated with an antenna. Guidelines for choosing the appropriate antenna structure and for designing the periodic structures are also presented. Another design issue is inclusion of the antenna and/or periodic structures into the amplifier simulation. To do this, a hybrid approach combining the finite-difference time-domain (FDTD) analysis and harmonic-balance simulation is employed. ¬© 1998 IEEE.</t>
  </si>
  <si>
    <t>1901-1909</t>
  </si>
  <si>
    <t>11 PART 2</t>
  </si>
  <si>
    <t>7003812689;7402872518;36041035600</t>
  </si>
  <si>
    <t>Radisic, Vesna;Qian, Yongxi;Itoh, Tatsuo</t>
  </si>
  <si>
    <t>Radisic V.</t>
  </si>
  <si>
    <t>Novel architectures for high-efficiency amplifiers for wireless applications</t>
  </si>
  <si>
    <t>S0018948098083355</t>
  </si>
  <si>
    <t>10.1109/22.734508</t>
  </si>
  <si>
    <t>2-s2.0-0032206675</t>
  </si>
  <si>
    <t>['total signal', 'system design', 'recursive technique', 'postdetection combining', 'popular means', 'performance calculation', 'noncoherent fsk', 'noncoherent detection', 'noise ratio', 'inherent nonlinearity', 'fading channels', 'error probability', 'error performance', 'diversity reception', 'directly determine', 'difficulty arises', 'determine explicitly', 'decision variables', 'combiner output', 'characteristic function', 'base stations']</t>
  </si>
  <si>
    <t>Diversity reception | DPSK | Nakagami channels | Noncoherent FSK</t>
  </si>
  <si>
    <t>Postdetection combining is a popular means to improve the bit error performance of DPSK and noncoherent FSK (NFSK) systems over fading channels. Nevertheless, the error performance of such systems in an arbitrarily correlated Nakagami environment is not available in the literature. The difficulty arises from inherent nonlinearity in noncoherent detection and from attempts to determine explicitly the probability density function of the total signal-to-noise ratio at the combiner output. In this paper, we directly determine the error probability from the characteristic function of decision variables, resulting in closedform solutions involving matrix differentiation. The performance calculation is further simplified by developing a recursive technique. The theory is illustrated by analyzing two feasible antenna arrays used in base stations for diversity reception, ending up with some findings of interest to system design. ¬© 1998 IEEE.</t>
  </si>
  <si>
    <t>1459-1467</t>
  </si>
  <si>
    <t>Zhang, Q. T.</t>
  </si>
  <si>
    <t>Ryerson University</t>
  </si>
  <si>
    <t>Zhang Q.</t>
  </si>
  <si>
    <t>Exact analysis of postdetection combining for DPSK and NFSK systems over arbitrarily correlated nakagami channels</t>
  </si>
  <si>
    <t>S0090677898081367</t>
  </si>
  <si>
    <t>10.1109/26.729390</t>
  </si>
  <si>
    <t>2-s2.0-0032206714</t>
  </si>
  <si>
    <t>['simple relationship', 'original structure', 'one axis', 'odd mode', 'measured results', 'even mode']</t>
  </si>
  <si>
    <t>Grid amplifiers | Quasi-optics | Self-complementary</t>
  </si>
  <si>
    <t>Deschamps' theorem for ra-terminal complementary structures is reviewed. An extension to Deschamps' theorem for a class of three-terminal bounded structures with one axis of symmetry is presented. It is shown that, for these structures, a simple relationship between the impedances of the odd mode of the original structure and the admittances of the even mode of the complementary structure exists, and that these modes are orthogonal. Using this, a self-complementary grid amplifier is designed and the measured results are presented. ¬© 1998 IEEE.</t>
  </si>
  <si>
    <t>1956-1963</t>
  </si>
  <si>
    <t>60009037;60000812;60031581</t>
  </si>
  <si>
    <t>56634321000;7402322599;7102803490</t>
  </si>
  <si>
    <t>Moussessian, Alina;Rosenberg, James J.;Rutledge, David B.</t>
  </si>
  <si>
    <t>Pasadena;Pasadena;Claremont</t>
  </si>
  <si>
    <t>California Institute of Technology;Jet Propulsion Laboratory;Harvey Mudd College</t>
  </si>
  <si>
    <t>60031581;60009037;60000812</t>
  </si>
  <si>
    <t>Moussessian A.</t>
  </si>
  <si>
    <t>Properties of periodic arrays of symmetric complementary structures and their application to grid amplifiers</t>
  </si>
  <si>
    <t>S0018948098083379</t>
  </si>
  <si>
    <t>10.1109/22.734518</t>
  </si>
  <si>
    <t>2-s2.0-0032206778</t>
  </si>
  <si>
    <t>['wave power', 'various conditions', 'two types', 'ten times', 'pump signal', 'phaseconjugation process', 'phase distribution', 'phase conjugation', 'millimeterwave regime', 'incoming wave', 'field amplitude', 'directly measuring', 'dimensional free', 'demonstrated two', 'critical factor', 'correction characteristics', 'array element', '24 ghz']</t>
  </si>
  <si>
    <t>Antenna arrays | Microwave | Optical interconnection | Phase conjugation</t>
  </si>
  <si>
    <t>A technique has been developed and tested for achieving phase conjugation in the microwave and millimeterwave regime. The effective nonlinearity required for this phaseconjugation process is provided by electronic mixing elements feeding an array of antennas. Using these balanced mixing circuits in conjunction with a one-dimensional array antenna, we have demonstrated two-dimensional free-space phase conjugation at 10.24 GHz. A critical factor of this technique is the delivery of a 2u&gt; pump signal to each array element with the same phase. Two types of interconnects, electrical and a more versatile optical technique, have been implemented to distribute the pump signal in our demonstrations. In both systems, two-dimensional freespace phase conjugation was observed and verified by directly measuring the electric-field amplitude and phase distribution under various conditions. The electric-field wavefronts exhibited retro-directivity and the auto-correction characteristics of phase conjugation. Furthermore, these experiments have shown amplified conjugate-wave power up to ten times of that of the incoming wave. This amplifying ability demonstrates the potential of such arrays to be used in novel communications applications. ¬© 1998 IEEE.</t>
  </si>
  <si>
    <t>1910-1919</t>
  </si>
  <si>
    <t>60027550;60027550;60005304;60005304</t>
  </si>
  <si>
    <t>55712975800;7006388096;6701771292;6507945764</t>
  </si>
  <si>
    <t>Chang, Yian;Fetterman, Harold R.;Newberg, Irwin L.;Panaretos, Steve K.</t>
  </si>
  <si>
    <t>Los Angeles;Waltham</t>
  </si>
  <si>
    <t>University of California, Los Angeles;Raytheon</t>
  </si>
  <si>
    <t>60027550;60005304</t>
  </si>
  <si>
    <t>Chang Y.</t>
  </si>
  <si>
    <t>Microwave phase conjugation using antenna arrays</t>
  </si>
  <si>
    <t>S0018948098083331</t>
  </si>
  <si>
    <t>10.1109/22.734509</t>
  </si>
  <si>
    <t>2-s2.0-0032206920</t>
  </si>
  <si>
    <t>['wireless sensors', 'wave architecture', 'retrodirective arrays', 'new paradigm', 'multiple functionality', 'low profile', 'low cost', 'light weight', 'emerging technology', 'efficiency radio', 'development related', 'desirable features', 'beam steering', 'also described']</t>
  </si>
  <si>
    <t>Active integrated antenna | Phased array | Power amplifier | Power combining | Quasi-optics | Retrodirective array | Transponder | Wireless</t>
  </si>
  <si>
    <t>Active integrated antennas (AIA's) provide a new paradigm for designing modern microwave and millimeter-wave architecture with desirable features such as compactness, light weight, low cost, low profile, minimum power consumption, and multiple functionality. This paper reviews recent research and development related to this emerging technology with emphasis on its applications in high-efficiency radio-frequency (RF) front-end, millimeter-wave power combining, beam steering, and retrodirective arrays, as well as wireless sensors. Optical controlling techniques for AIA's are also described. ¬©1998 IEEE.</t>
  </si>
  <si>
    <t>1891-1900</t>
  </si>
  <si>
    <t>7402872518;36041035600</t>
  </si>
  <si>
    <t>Qian, Yongxi;Itoh, Tatsuo</t>
  </si>
  <si>
    <t>Progress in active integrated antennas and their applications</t>
  </si>
  <si>
    <t>S001894809808332X</t>
  </si>
  <si>
    <t>10.1109/22.734506</t>
  </si>
  <si>
    <t>2-s2.0-0032206921</t>
  </si>
  <si>
    <t>Teknologi og Produktion, Det Frie Forskningsr√•d</t>
  </si>
  <si>
    <t>FTP, DFF</t>
  </si>
  <si>
    <t>['well calibrated', 'variable resolution', 'thermal control', 'system designed', 'swath width', 'sensing applications', 'radiation patterns', 'processing system', 'polar contamination', 'low sidelobes', 'low cross', 'imaging geometry', 'high altitudes', 'gulfstream g', 'digital technology', 'current applications', 'absolute calibration']</t>
  </si>
  <si>
    <t>Absolute calibration | Mapping geometry | Polarimetry | Remote sensing | Resolution | Synthetic aperture radar (SAR) system design</t>
  </si>
  <si>
    <t>EMISAR is a high-resolution (2x2 m), fully polarimetric, dual-frequency (L- and C-band) synthetic aperture radar (SAR) system designed for remote-sensing applications. The SAR is operated at high altitudes on a Gulfstream G-3 jet aircraft. The system is very well calibrated and has low sidelobes and low cross-polar contamination. Digital technology has been utilized to realize a flexible and highly stable radar with variable resolution, swath width, and imaging geometry. Thermal control and several calibration loops have been built into the system to ensure system stability and absolute calibration. Accurately measured antenna gains and radiation patterns are included in the calibration. The processing system is developed to support data calibration, which is the key to most of the current applications. Recent interferometric enhancements are important for many scientific applications. ¬© 1998 IEEE.</t>
  </si>
  <si>
    <t>1852-1865</t>
  </si>
  <si>
    <t>7202966536;7003928581</t>
  </si>
  <si>
    <t>Christensen, Erik Lintz;Skou, Niels</t>
  </si>
  <si>
    <t>Christensen E.</t>
  </si>
  <si>
    <t>EMISAR: An absolutely calibrated polarimetric L- and C-band SAR</t>
  </si>
  <si>
    <t>S0196289298056290</t>
  </si>
  <si>
    <t>10.1109/36.729356</t>
  </si>
  <si>
    <t>2-s2.0-0032206946</t>
  </si>
  <si>
    <t>F49620-92-C-0055</t>
  </si>
  <si>
    <t>['wave radar', 'shifting circuitry', 'scanning systems', 'practical implementation', 'paper describes', 'lowcost beam', 'effective implementation']</t>
  </si>
  <si>
    <t>Beam control | Injection locking</t>
  </si>
  <si>
    <t>Applications of millimeter-wave radar, imaging, and communication technology requires cost-effective implementation of intelligent scanning antenna systems. Injection-locking and phase-locked-loop (PLL) techniques can be used to achieve synchronous operation of a number of antenna array elements, and allow for the manipulation of the phase distribution without additional phase-shifting circuitry, suggesting a potential for lowcost beam-scanning systems. This paper describes a number of techniques, with an assessment of some remaining technical challenges for practical implementation. ¬© 1998 IEEE.</t>
  </si>
  <si>
    <t>1920-1929</t>
  </si>
  <si>
    <t>60029241;60027550</t>
  </si>
  <si>
    <t>7103208478;36041035600</t>
  </si>
  <si>
    <t>York, Robert A.;Itoh, Tatsuo</t>
  </si>
  <si>
    <t>Santa Barbara;Los Angeles</t>
  </si>
  <si>
    <t>University of California, Santa Barbara;University of California, Los Angeles</t>
  </si>
  <si>
    <t>York R.</t>
  </si>
  <si>
    <t>Injection- and phase-locking techniques for beam control</t>
  </si>
  <si>
    <t>S0018948098083343</t>
  </si>
  <si>
    <t>10.1109/22.734513</t>
  </si>
  <si>
    <t>2-s2.0-0032207603</t>
  </si>
  <si>
    <t>DAAH04-96-1-0389</t>
  </si>
  <si>
    <t>['tunable designs', 'stacking geometries', 'space filters', 'resulting circuits', 'gain enhancement', 'freestanding structures', 'first examine', 'coupling tailoring', 'appropriate metalo', 'anomalous scaling', 'also presented']</t>
  </si>
  <si>
    <t>Finite-element methods | Frequency-selective surfaces | Integral equations | Microstrip antennas | Microwave integrated circuits | Photonic bandgap materials | Transfer matrix</t>
  </si>
  <si>
    <t>We analyze and optimize the design of novel composite materials for IC's and printed circuit antenna (PCA) applications. We are using a variety of linitc artificial lattices (FAL's) carrying passive metalo-dielectric unit cells. We first examine and optimize these lattices as freestanding structures, regarding them as FSS's and space filters. We obtain several designs for appropriate metalo-dielectric unit cells, as well as stacking geometries for constructing thin laterally infinite artificial lattices. Further, we examine the action of the corresponding FAL within integrated architectures, emphasizing crosstalk suppression, circuit-coupling tailoring, and gain enhancement. We find very significant directive gain enhancements for compact packaged PCA applications. Finally, anomalous scaling of the resulting circuits and tunable designs are also presented. ¬© 1998 IEEE.</t>
  </si>
  <si>
    <t>1936-1948</t>
  </si>
  <si>
    <t>60027550;60027550;60007278</t>
  </si>
  <si>
    <t>6603958665;55709164600;7004468161</t>
  </si>
  <si>
    <t>Contopanagos, Harry;Zhang, Lijun;Alexopoulos, Nicolaos G.</t>
  </si>
  <si>
    <t>Los Angeles;Irvine</t>
  </si>
  <si>
    <t>University of California, Los Angeles;University of California, Irvine</t>
  </si>
  <si>
    <t>60027550;60007278</t>
  </si>
  <si>
    <t>Contopanagos H.</t>
  </si>
  <si>
    <t>Thin frequency-selective lattices integrated in novel compact MIC, MMIC, and PCA architectures</t>
  </si>
  <si>
    <t>S0018948098083409</t>
  </si>
  <si>
    <t>10.1109/22.734516</t>
  </si>
  <si>
    <t>2-s2.0-0032207623</t>
  </si>
  <si>
    <t>['theoretical predictions', 'rigorous hybrid', 'propagation constants', 'low cost', 'experimental results', 'designing beam', 'control patch', 'control methods', 'beam direction', 'band frequencies', 'antenna arrays', 'antenna array']</t>
  </si>
  <si>
    <t>Beam steering | Dielectric image line | Millimeter wave | Patch antenna</t>
  </si>
  <si>
    <t>This paper reports novel beam-control methods which have the potential of low cost and simplicity. The beam direction of the antenna array is controlled by changing the distance between the perturbed dielectric image line (DIL) and a movable reflector plate. A rigorous hybrid-mode theoretical analysis is developed for calculating the dispersion of propagation constants in DIL's without or with the movable reflector plate and, then, for designing beam-control patch-antenna arrays. Experimental results of scanning angles agree well with theoretical predictions at Ka-band frequencies. ¬© 1998 IEEE.</t>
  </si>
  <si>
    <t>1930-1935</t>
  </si>
  <si>
    <t>36066390600;7404879378</t>
  </si>
  <si>
    <t>Li, Ming Yi;Chang, Kai</t>
  </si>
  <si>
    <t>Li M.</t>
  </si>
  <si>
    <t>Novel beam-control techniques using dielectricimage-line-fed microstrip patch-antenna arrays for millimeter-wave applications</t>
  </si>
  <si>
    <t>S0018948098083392</t>
  </si>
  <si>
    <t>10.1109/22.734515</t>
  </si>
  <si>
    <t>2-s2.0-0032207945</t>
  </si>
  <si>
    <t>['users receive', 'time slot', 'spatially separating', 'spatially separated', 'several approximations', 'interference ratio', 'given signal', 'frequency band', 'fast fading', 'different users', 'array power']</t>
  </si>
  <si>
    <t>Beamforming | Constrained optimization | SDMA | Smart antennas</t>
  </si>
  <si>
    <t>On the downlink of an SDMA mobile radio system, different users who share the same frequency band and time slot have to be spatially separated by beamforming. In this paper we analyze an approach to jointly calculate weights in such a way that all users receive their signal with a given signal-to-noiseand-interference ratio. The computations are based on spatial covariance matrices which describe the user-specific channels averaged over the fast fading. The presented algorithm succeeds in minimizing the array transmit power while spatially separating the users, no matter which rank their spatial covariance matrices have. But since it needs to solve a complex nonlinear constrained optimization problem, several approximations of this algorithm will be presented and compared to each other on the basis of array power, complexity, and convergence. ¬© 1998 IEEE.</t>
  </si>
  <si>
    <t>1497-1506</t>
  </si>
  <si>
    <t>6602453812;7006232833</t>
  </si>
  <si>
    <t>Farsakh, Christof;Nossek, Josef A.</t>
  </si>
  <si>
    <t>Farsakh C.</t>
  </si>
  <si>
    <t>Spatial covariance based downlink beamforming in an SDMA mobile radio system</t>
  </si>
  <si>
    <t>S0090677898081197</t>
  </si>
  <si>
    <t>10.1109/26.729394</t>
  </si>
  <si>
    <t>2-s2.0-0032208033</t>
  </si>
  <si>
    <t>['tilt angles', 'scan simulation', 'scan path', 'image quality', 'db beamwidths']</t>
  </si>
  <si>
    <t>Aircraft antennas | Imaging radiometer | Pointing accuracy</t>
  </si>
  <si>
    <t>Imaging radiometer platform perturbation reduces the image quality by distorting the scan path and varying the incidence and tilt angles of the antenna. This scan simulation-based study quantifies the effect of the perturbation on the image quality, indicating that the mean pointing error should be less than 0.2 X 3-dB beamwidths. ¬© 1998 IEEE.</t>
  </si>
  <si>
    <t>1991-1994</t>
  </si>
  <si>
    <t>6602813547;6507637729</t>
  </si>
  <si>
    <t>Kemppinen, Martti;Panula-Ontto, Esa</t>
  </si>
  <si>
    <t>Kemppinen M.</t>
  </si>
  <si>
    <t>Determining the critical pointing error for imaging microwave radiometers on board low altitude aircrafts</t>
  </si>
  <si>
    <t>S0196289298082795</t>
  </si>
  <si>
    <t>10.1109/36.729375</t>
  </si>
  <si>
    <t>2-s2.0-0032208048</t>
  </si>
  <si>
    <t>['waveguides structures', 'waveguide technology', 'transmission lines', 'terahertz frequencies', 'terahertz applications', 'recent progress', 'pollution monitoring', 'planar structures', 'niicrornachined antennas', 'micromachining techniques', 'micromachined waveguide', 'loss tuners', 'large number', 'industrial applications', 'fabrication procedures', 'cost receivers', 'cost alternative']</t>
  </si>
  <si>
    <t>MEMS | Micromachining | Millimeter wave | Submillimeter wave | Terahertz</t>
  </si>
  <si>
    <t>An overview of recent progress in the research and development of niicrornachined antennas, transmission lines, waveguides structures, and planar movable components for terahertz frequencies is presented. Micromachining is shown to provide a low-cost alternative to conventional (and very expensive) machined-waveguide technology, resulting in antennas with excellent radiation patterns, low-loss tuners, and threedimensional (3-D) micromachined structures suitable for terahertz applications. Fabrication procedures for a variety of micromachined waveguide and planar structures are described here, along with measured terahertz performance. Applications of micromachining techniques for terahertz systems include focalplane imaging arrays requiring a large number of elements and low-cost receivers for commercial and industrial applications such as pollution monitoring. ¬© 1998 IEEE.</t>
  </si>
  <si>
    <t>1821-1831</t>
  </si>
  <si>
    <t>60021116;60008435;60025778</t>
  </si>
  <si>
    <t>6603919322;36818671300;7006384021</t>
  </si>
  <si>
    <t>Lubecke, Victor M.;Mizuno, Koji;Rebeiz, Gabriel M.</t>
  </si>
  <si>
    <t>United States;Japan;Japan</t>
  </si>
  <si>
    <t>Ann Arbor;Wako;Sendai</t>
  </si>
  <si>
    <t>University of Michigan, Ann Arbor;RIKEN (The Institute of Physical and Chemical Research);Tohoku University</t>
  </si>
  <si>
    <t>60025778;60021116;60008435</t>
  </si>
  <si>
    <t>Lubecke V.</t>
  </si>
  <si>
    <t>Micromachining for terahertz applications</t>
  </si>
  <si>
    <t>S0018948098083288</t>
  </si>
  <si>
    <t>10.1109/22.734493</t>
  </si>
  <si>
    <t>2-s2.0-0032208619</t>
  </si>
  <si>
    <t>1997 ARO MURI DAAG-55-97-0132</t>
  </si>
  <si>
    <t>['wave frequencies', 'state devices', 'r paths', 'r modes', 'qo architecture', 'power generation', 'front ends', 'element x', 'element ka', 'different polarizations', 'active circuits']</t>
  </si>
  <si>
    <t>Active antennas | Communications | Quasi-optical | Radar</t>
  </si>
  <si>
    <t>Quasi-optical (QO) active circuits have originally received interest for power generation by large-scale power combining of solid-state devices at microwave and millimeter-wave frequencies. Here, we present an overview of QO components developed with functionality in mind, with an emphasis on bidirectional amplifier arrays for transmit/receive (T/R) front ends. We discuss possible advantages of the QO architecture for communications and radar. The following three QO bidirectional arrays are presented: 1) a nine-element X-band patch antenna array with different polarizations in T/R modes; 2) a 24-element X-band slot lens array with switches for the T/R paths; and 3) a 22-element Ka-band patch lens array using monolithic microwave integrated circuits (MMIC's). ¬© 1998 IEEE.</t>
  </si>
  <si>
    <t>1964-1975</t>
  </si>
  <si>
    <t>60000221;60004923</t>
  </si>
  <si>
    <t>7101961963;7006858788</t>
  </si>
  <si>
    <t>Popovic, Zoya;Mortazawi, Amir</t>
  </si>
  <si>
    <t>Raleigh;Boulder</t>
  </si>
  <si>
    <t>NC State University;University of Colorado Boulder</t>
  </si>
  <si>
    <t>60004923;60000221</t>
  </si>
  <si>
    <t>Popovic Z.</t>
  </si>
  <si>
    <t>Quasi-optical transmit/receive front ends</t>
  </si>
  <si>
    <t>S0018948098083434</t>
  </si>
  <si>
    <t>10.1109/22.734521</t>
  </si>
  <si>
    <t>2-s2.0-0032208738</t>
  </si>
  <si>
    <t>Multidisciplinary University Research Initiative</t>
  </si>
  <si>
    <t>MURI</t>
  </si>
  <si>
    <t>['thermodynamic derivations', 'single element', 'phased array', 'grid arrays', 'entire array', 'element efficiency', 'available power', 'also extended']</t>
  </si>
  <si>
    <t>Element efficiency | Grid arrays | Noise | Quasioptics</t>
  </si>
  <si>
    <t>The element efficiency of a phased array is the ratio of the radiated-to-available power of a single element, when only that element is excited. We relate this element efficiency to the output noise power generated by a quasi-optical grid amplifier array. Both electromagnetic and thermodynamic derivations will be presented. These ideas will be used to predict the total noise power and noise radiation pattern of grid arrays. The results are also extended to show that the output noise temperature of the entire array will be the same as the output noise temperature of a single element. ¬© 1998 IEEE.</t>
  </si>
  <si>
    <t>1949-1955</t>
  </si>
  <si>
    <t>60013791;60021918;60031581</t>
  </si>
  <si>
    <t>56984331800;7004215444;7102803490</t>
  </si>
  <si>
    <t>De Lisio, Michael P.;Weikle, Robert M.;Rutledge, David B.</t>
  </si>
  <si>
    <t>Pasadena;Charlottesville;Honolulu</t>
  </si>
  <si>
    <t>California Institute of Technology;University of Virginia;University of Hawai ªi at MƒÅnoa</t>
  </si>
  <si>
    <t>60031581;60021918;60013791</t>
  </si>
  <si>
    <t>De Lisio M.</t>
  </si>
  <si>
    <t>Element efficiency and noise in grid arrays</t>
  </si>
  <si>
    <t>S0018948098083367</t>
  </si>
  <si>
    <t>10.1109/22.734517</t>
  </si>
  <si>
    <t>2-s2.0-0032208739</t>
  </si>
  <si>
    <t>['usually semiconductor', 'traditional batch', 'technology based', 'techniques similar', 'scale integration', 'processing methods', 'power dissipation', 'paradigm rf', 'paper deals', 'new devices', 'microelectromechanical systems', 'mems devices', 'mems device', 'mems ).', 'existing circuits', 'electrostatic microswitch', 'device addressed', 'delay networks', 'capacitor banks']</t>
  </si>
  <si>
    <t>This paper deals with a relatively new area of radio-frequency (RF) technology based on microelectromechanical systems (MEMS). RF MEMS provides a class of new devices and components which display superior high-frequency performance relative to conventional (usually semiconductor) devices, and which enable new system capabilities. In addition, MEMS devices are designed and fabricated by techniques similar to those of very large-scale integration, and can be manufactured by traditional batch-processing methods. In this paper, the only device addressed is the electrostatic microswitch-perhaps the paradigm RF-MEMS device. Through its superior performance characteristics, the microswitch is being developed in a number of existing circuits and systems, including radio front-ends, capacitor banks, and time-delay networks. The superior performance combined with ultra-low-power dissipation and large-scale integration should enable new system functionality as well. Two possibilities addressed here are quasi-optical beam steering and electrically reconfigurable antennas. ¬©1998 IEEE.</t>
  </si>
  <si>
    <t>1868-1880</t>
  </si>
  <si>
    <t>60002642-60027550</t>
  </si>
  <si>
    <t>Brown, Elliott R.</t>
  </si>
  <si>
    <t>Los Angeles;Arlington</t>
  </si>
  <si>
    <t>University of California, Los Angeles;Defense Advanced Research Projects Agency</t>
  </si>
  <si>
    <t>60027550;60002642</t>
  </si>
  <si>
    <t>RF-MEMS switches for reconfigurable integrated circuits</t>
  </si>
  <si>
    <t>S0018948098084026</t>
  </si>
  <si>
    <t>10.1109/22.734501</t>
  </si>
  <si>
    <t>2-s2.0-0032208938</t>
  </si>
  <si>
    <t>['unit cell', 'terahertz frequencies', 'planar structure', 'output power', 'output pattern', 'input power', 'fis 500', 'bowtie antennas', '8 mw', '47 w', '3 w', '24 mw', '1 thz']</t>
  </si>
  <si>
    <t>Frequency doubler | Multiplier grid | Quasi-optics | Terahertz</t>
  </si>
  <si>
    <t>We present a 144-element terahertz quasi-optical grid frequency doubler. The grid is a planar structure with bowtie antennas as a unit cell, each loaded with a planar Schottky diode. The maximum output power measured for this grid is 24 mW at 1 THz for 3.1-fis 500-GHz input pulses with a peak input power of 47 W. An efficiency of 0.17% for an input power of 6.3 W and output power of 10.8 mW is measured. To date, this is the largest recorded output power for a multiplier at terahertz frequencies. Input and output tuning curves are presented and an output pattern is measured and compared to theory. ¬© 1998 IEEE.</t>
  </si>
  <si>
    <t>1976-1981</t>
  </si>
  <si>
    <t>60009037;60029241;60021918;100816219;60013791;60021918;60031581</t>
  </si>
  <si>
    <t>56634321000;7004972007;55719119400;35195416000;54680859500;35502419000;7102803490</t>
  </si>
  <si>
    <t>Moussessian, Alina;Wanke, Michael C.;Li, Yongjun;Chiao, Jung Chih;James Alien, S.;Crowe, Thomas W.;Rutledge, David B.</t>
  </si>
  <si>
    <t>Pasadena;Santa Barbara;Charlottesville;Honolulu;Pasadena;McLean/Washington, D.C.</t>
  </si>
  <si>
    <t>California Institute of Technology;University of California, Santa Barbara;University of Virginia;University of Hawai ªi at MƒÅnoa;Jet Propulsion Laboratory;PricewaterhouseCoopers LLP</t>
  </si>
  <si>
    <t>60031581;60029241;60021918;60013791;60009037;100816219</t>
  </si>
  <si>
    <t>A terahertz grid frequency doubler</t>
  </si>
  <si>
    <t>S0018948098083380</t>
  </si>
  <si>
    <t>10.1109/22.734524</t>
  </si>
  <si>
    <t>2-s2.0-0032208967</t>
  </si>
  <si>
    <t>National Center for Research Resources</t>
  </si>
  <si>
    <t>R43RR012059</t>
  </si>
  <si>
    <t>NCRR</t>
  </si>
  <si>
    <t>['significant increase', 'optimize transmission', 'mass spectrometry', 'ion optics', 'digital converter', 'diagnostic tool', 'detection efficiency', 'counting efficiency', 'anode time', 'anode detector', 'also used']</t>
  </si>
  <si>
    <t>An electrospray ionization ion source coupled to a time-of-flight mass analyzer incorporating a multi-anode time-to-digital converter is described. High-speed data acquisition (kHz mass spectral acquisition) rates are achieved. The four-anode detector produces a significant increase in detection/counting efficiency over that for a single-anode detector. In this work a 2.5 times increase in detection efficiency is demonstrated. The multi-anode detector is also used as a diagnostic tool to optimize transmission of the ion optics. Copyright ¬© 1998 American Society for Mass Spectrometry.</t>
  </si>
  <si>
    <t>1328-1333</t>
  </si>
  <si>
    <t>Journal of the American Society for Mass Spectrometry</t>
  </si>
  <si>
    <t>60020547;60020547;60020547;60020547;60020547;60020547;60020547</t>
  </si>
  <si>
    <t>6603116491;35602561900;24725451800;6506865340;7005907197;57197141083;7006467599</t>
  </si>
  <si>
    <t>Barbacci, D. C.;Russell, D. H.;Schultz, J. A.;Holocek, J.;Ulrich, S.;Burton, W.;Van Stipdonk, M.</t>
  </si>
  <si>
    <t>Barbacci D.</t>
  </si>
  <si>
    <t>Multi-anode detection in electrospray ionization time-of-flight mass spectrometry</t>
  </si>
  <si>
    <t>S1044030598001135</t>
  </si>
  <si>
    <t>10.1016/S1044-0305(98)00113-5</t>
  </si>
  <si>
    <t>2-s2.0-0032216568</t>
  </si>
  <si>
    <t>['transmission measurements', 'impedance measurements', 'convenient alternative', 'components within', 'component layout', 'circuit layout', 'careful adjustment', 'author shows', 'antenna offer']</t>
  </si>
  <si>
    <t>Radio pagers commonly use resonant loop antennas but the strong magnetic field couples to components within the case reducing performance. The loss can be minimised by careful adjustment of the component layout and the author shows how impedance measurements may be used for the purpose. Impedance measurements of the antenna offer a very sensitive, reliable and convenient alternative to transmission measurements for optimising the circuit layout.</t>
  </si>
  <si>
    <t>2365-2366</t>
  </si>
  <si>
    <t>Hill, R.</t>
  </si>
  <si>
    <t>Hill R.</t>
  </si>
  <si>
    <t>Measurement of loss in loop antennas caused by coupling to adjacent lossy components</t>
  </si>
  <si>
    <t>10.1049/el:19981691</t>
  </si>
  <si>
    <t>2-s2.0-0032254685</t>
  </si>
  <si>
    <t>Greig, David</t>
  </si>
  <si>
    <t>GEC Marconi Avionics</t>
  </si>
  <si>
    <t>Greig D.</t>
  </si>
  <si>
    <t>Time-domain clutter model for airborne pulse doppler radar</t>
  </si>
  <si>
    <t>2-s2.0-0032255394</t>
  </si>
  <si>
    <t>['synthesis approach', 'optimisation technique', 'genetic algorithms']</t>
  </si>
  <si>
    <t>A numerical pattern synthesis and optimisation technique for shaped and low sidelobe beams adhering to desired array element excitations are described. The synthesis approach is a modification of the Woodward synthesis method with an additional sidelobe minimisation, and the final element excitation optimisation is based on array polynome complex root swapping and genetic algorithms. These methods have been applied to an equispaced linear planar array. Results of the synthesis and genetic algorithms are presented.</t>
  </si>
  <si>
    <t>460-464</t>
  </si>
  <si>
    <t>60033191;60033191</t>
  </si>
  <si>
    <t>35616227100;6602972521</t>
  </si>
  <si>
    <t>Markus, K.;Vaskelainen, L.</t>
  </si>
  <si>
    <t>Markus K.</t>
  </si>
  <si>
    <t>Optimisation of synthesised array excitations using array polynome complex root swapping and genetic algorithms</t>
  </si>
  <si>
    <t>10.1049/ip-map:19982041</t>
  </si>
  <si>
    <t>2-s2.0-0032258617</t>
  </si>
  <si>
    <t>['stations throughout', 'ssr antenna', 'shown deviations', 'shadowing obstacle', 'relatively simple', 'relative height', 'recorded data', 'partially shadowed', 'neighbouring man', 'made structures', 'currently operates', 'azimuth errors', 'antenna array', 'accurately estimated']</t>
  </si>
  <si>
    <t>National Air Traffic Services Ltd. (NATS) currently operates some 20 secondary surveillance radar (SSR) stations throughout the country for monitoring air traffic. Recorded data from some of these sites has shown deviations in aircraft positional accuracy when the SSR antenna is partially shadowed by neighbouring man-made structures. Modern SSR monopulse receivers estimate the bearing of aircraft through the orientation of the incident planar wavefront. Obstacles in the propagation path diffract part of the electromagnetic wave energy and as a result, the electric field across the antenna array is disturbed. The resultant azimuth error in the shadowed sector depends on the shape, distance and relative height between the antenna and the shadowing obstacle. A method to predict the azimuth error curve due to obstacle shadowing based on cylindrical diffraction theory is described. A comparison between experimental and calculated data reveals that azimuth errors can be very accurately estimated when the obstacle geometric shape is relatively simple.</t>
  </si>
  <si>
    <t>60022148;60022148</t>
  </si>
  <si>
    <t>6603235151;7003652416</t>
  </si>
  <si>
    <t>Vinagre, L.;Woodbridge, K.</t>
  </si>
  <si>
    <t>Vinagre L.</t>
  </si>
  <si>
    <t>Modelling and prediction of obstacle shadowing on secondary surveillance radar target azimuth</t>
  </si>
  <si>
    <t>2-s2.0-0032258678</t>
  </si>
  <si>
    <t>['unbounded region', 'spectral representation', 'problems arising', 'primarily concerned', 'observation points', 'observation point', 'numerical difficulties', 'medium identical', 'located along', 'investigated related', 'interface plane', 'function computation', 'field zone', 'field computation', 'determined within', 'complex images', 'axis perpendicular', 'accurate result']</t>
  </si>
  <si>
    <t>The paper is primarily concerned with the problems arising in connection with the complex image Green's function computation in the near-field zone and over the interface in multilayer dielectric media. The numerical difficulties are investigated related to the cases where the source and observation points are located along an axis perpendicular to lamination and the observation point is located on the interface between two dielectric media. Methods for resolving these difficulties when using complex image representations are presented. For near-field computation a range is determined within which the surface waves must not be extracted from the spectral representation. Over the interface plane, to obtain a more accurate result, the complex images should be placed in the medium identical to the unbounded region or the medium with a lower dielectric constant.</t>
  </si>
  <si>
    <t>449-454</t>
  </si>
  <si>
    <t>60022927;60014171;60013983</t>
  </si>
  <si>
    <t>6602099926;7005912644;55664638500</t>
  </si>
  <si>
    <t>Hojjat, N.;Safavi-Naeini, S.;Chow, Y. L.</t>
  </si>
  <si>
    <t>Iran;Canada;Hong Kong</t>
  </si>
  <si>
    <t>Tehran;Waterloo;Kowloon</t>
  </si>
  <si>
    <t>University of Tehran;University of Waterloo;City University of Hong Kong</t>
  </si>
  <si>
    <t>Hojjat N.</t>
  </si>
  <si>
    <t>Numerical computation of complex image Green's functions for multilayer dielectric media: near-field zone and the interface region</t>
  </si>
  <si>
    <t>10.1049/ip-map:19982255</t>
  </si>
  <si>
    <t>2-s2.0-0032261335</t>
  </si>
  <si>
    <t>Wright, P. J.</t>
  </si>
  <si>
    <t>Romsey</t>
  </si>
  <si>
    <t>Roke Manor Research Limited</t>
  </si>
  <si>
    <t>Wright P.</t>
  </si>
  <si>
    <t>Simulation of phased array antennas</t>
  </si>
  <si>
    <t>2-s2.0-0032266808</t>
  </si>
  <si>
    <t>['within 10', 'various lengths', 'results agree', 'moment method', 'integral method', 'input impedance', 'gap feed', 'flare angles', 'field patterns', 'calculated using', 'bowtie antennas']</t>
  </si>
  <si>
    <t>Input impedance and field patterns for bowtie antennas of various lengths and flare angles have been calculated using the moment method and triangular basis functions. These results agree to within 10% of previous experimental results. Rao-Wilton-Glisson basis functions, delta-gap feed and Caorsi's line-integral method were used.</t>
  </si>
  <si>
    <t>Leat, C. J.;Shuley, N. V.;Stickley, G. F.</t>
  </si>
  <si>
    <t>Triangular-patch model of bowtie antennas: validation against Brown and Woodward</t>
  </si>
  <si>
    <t>10.1049/ip-map:19981881</t>
  </si>
  <si>
    <t>2-s2.0-0032274563</t>
  </si>
  <si>
    <t>Royal Swedish Academy of Sciences</t>
  </si>
  <si>
    <t>96-02-184609</t>
  </si>
  <si>
    <t>KVA</t>
  </si>
  <si>
    <t>['substantially greater', 'spatial structure', 'plasma structure', 'measured values', 'glowing region', 'field structure', 'field corresponds', 'discharge surface', 'boltzmann equation', '15 torr']</t>
  </si>
  <si>
    <t>A description is given of an initiated microwave ball discharge generated at the end of an antenna in a metal discharge chamber whose dimensions are substantially greater than those of the glowing plasma zone. The experiments were carried in hydrogen at pressures of 1-15 Torr. The double electric probe method was used to investigate the plasma structure. The Boltzmann equation was used to estimate the microwave field strengths corresponding to the measured values of the electron temperature near the glowing region of the discharge. It is shown that the spatial structure of the field corresponds to the field structure of a surface wave propagating along the discharge surface. The existence of such a wave can explain the increase in the plasma radiation intensity at its boundary. ¬© 1998 American Institute of Physics.</t>
  </si>
  <si>
    <t>1428-1431</t>
  </si>
  <si>
    <t>Technical Physics</t>
  </si>
  <si>
    <t>60003858;60095467</t>
  </si>
  <si>
    <t>8451813100;57203810439</t>
  </si>
  <si>
    <t>Bardosh, L.;Lebedev, Yu A.</t>
  </si>
  <si>
    <t>Moscow;Uppsala</t>
  </si>
  <si>
    <t>A.V.Topchiev Institute of Petrochemical Synthesis, RAS;Uppsala Universitet</t>
  </si>
  <si>
    <t>60095467;60003858</t>
  </si>
  <si>
    <t>Bardosh L.</t>
  </si>
  <si>
    <t>Spherical microwave electrode discharge. Phenomenology and results of probe measurements</t>
  </si>
  <si>
    <t>S1063784298005121</t>
  </si>
  <si>
    <t>10.1134/1.1259218</t>
  </si>
  <si>
    <t>2-s2.0-0032276099</t>
  </si>
  <si>
    <t>['unity operation', 'organ pipes', 'modern concept', 'may generalize', 'matter exist', 'materials may', 'input power', 'generate tangible', 'external stimulus', 'enhanced response', 'educational devices', 'construction details', 'construct devices', 'average person', 'ambient conditions', 'aetheric grades', 'aetheric activation']</t>
  </si>
  <si>
    <t>A number of so-called ordinary devices may be considered to exhibit over-unity operation. Capacitors, coils, antennas, and organ pipes (to name just a few) produce a gain or enhanced response to external stimulus which is dependant on geometry. We may generalize the enhanced response of these devices as `Geometric Energy Fields' which are spacial phenomena associated with our modern concept of the aether. Certain optimal geometries and materials may be used to construct devices which exhibit enhanced response under ambient conditions, that is, with no external stimulus. Construction details are presented for two simple devices which generate tangible, linear force effects with absolutely no input power. The value of these educational devices are two-fold: (1) they prove that aetheric grades of matter exist and can be sensed by the average person, and (2) they demonstrate reliable methods of aetheric activation which may be utilized in new energy applications.</t>
  </si>
  <si>
    <t>122-127</t>
  </si>
  <si>
    <t>McCarthy, Guy</t>
  </si>
  <si>
    <t>McCarthy G.</t>
  </si>
  <si>
    <t>Geometric energy fields</t>
  </si>
  <si>
    <t>2-s2.0-0032277725</t>
  </si>
  <si>
    <t>['tested experimentally', 'investigated using', 'good agreement', 'dielectric substrate', 'applied except']</t>
  </si>
  <si>
    <t>Microstrip patch antenna analysis on a finite size model of the dielectric substrate is proposed and investigated using the method of moments. The surface-patch dipole modes are used to model the arbitrarily shaped microstrip patch while the volume polarisation current theorem with rectangular volume cells is used to model the dielectric. Galerkin's solution is applied except at the edges of the patch. Various copper patches have been tested experimentally. The results of the measurement are in good agreement with the computations.</t>
  </si>
  <si>
    <t>455-459</t>
  </si>
  <si>
    <t>60008524;60008524;60008524;60008524;60008524</t>
  </si>
  <si>
    <t>7003902501;55952532900;7006824457;57188822638;7005735138</t>
  </si>
  <si>
    <t>Abd-Alhameed, R. A.;McEwan, N. J.;Excell, P. S.;Ibrahim, M. M.;Ibrahim, B. A.W.</t>
  </si>
  <si>
    <t>Bradford</t>
  </si>
  <si>
    <t>University of Bradford</t>
  </si>
  <si>
    <t>Abd-Alhameed R.</t>
  </si>
  <si>
    <t>Procedure for analysis of microstrip patch antennas using the method of moments</t>
  </si>
  <si>
    <t>10.1049/ip-map:19982436</t>
  </si>
  <si>
    <t>2-s2.0-0032277762</t>
  </si>
  <si>
    <t>['upper band', 'transmission properties', 'still found', 'metallicity gap', 'measurements show', 'lower edge', 'increased sensitivity', 'edge frequency', 'demonstrated experimentally', 'defect volume', 'defect characteristics', 'crystals extends', 'conventional detectors', 'around 1', '2250 ).', '2 ghz', '2 %)', '100 %)']</t>
  </si>
  <si>
    <t>The authors have investigated the transmission properties and defect characteristics of layer-by-layer metallic photonic crystals. They have demonstrated experimentally that the metallicity gap of these crystals extends to an upper band-edge frequency, and no lower edge was detected down to 2 GHz. The defect structures built around these crystals exhibited high transmission peak amplitudes (100%) and high Q factors (2250). The crystals with low filling ratios (around 1-2%) were tested and were still found to possess metallic photonic crystal properties. These crystals exhibited high reflection rates within the metallicity gap and reasonable defect mode characteristics. A power enhancement factor of 190 was measured for the electromagnetic (EM) wave within planar cavity structures, by placing a monopole antenna inside the defect volume. These measurements show that detectors embedded inside a metallic photonic crystal can be used as frequency selective resonant cavity enhanced (RCE) detectors with increased sensitivity and efficiency when compared to conventional detectors.</t>
  </si>
  <si>
    <t>409-414</t>
  </si>
  <si>
    <t>6603954305;55663693300;7005956635</t>
  </si>
  <si>
    <t>Temelkuran, B.;Aitug, H.;Ozbay, E.</t>
  </si>
  <si>
    <t>Experimental investigation of layer-by-layer metallic photonic crystals</t>
  </si>
  <si>
    <t>10.1049/ip-opt:19982471</t>
  </si>
  <si>
    <t>2-s2.0-0032278042</t>
  </si>
  <si>
    <t>100771111;60026242</t>
  </si>
  <si>
    <t>7004010910;6604061553</t>
  </si>
  <si>
    <t>Collinson, Alan;Goodenough, Stephen</t>
  </si>
  <si>
    <t>Salisbury;Pickering</t>
  </si>
  <si>
    <t>Defence Science and Technology Laboratory;Collinson Systems Limited</t>
  </si>
  <si>
    <t>60026242;100771111</t>
  </si>
  <si>
    <t>Collinson A.</t>
  </si>
  <si>
    <t>Describing multifunction adaptive phased array radars</t>
  </si>
  <si>
    <t>2-s2.0-0032279721</t>
  </si>
  <si>
    <t>['transmission response', 'transmission band', 'simultaneously maintaining', 'reflection region', 'rapid rolloff', 'pathlength phase', 'layer semi', 'example used', 'cascaded layers', 'airspaced structure']</t>
  </si>
  <si>
    <t>An aspect of the Fabry Perot interferometer (FPI) approach to designing frequency selective surfaces (FSS) consisting of cascaded layers is applied to the problem of broadening the transmission band while simultaneously maintaining a rapid rolloff to the reflection region of the transmission response. The technique is to bring the pathlength phase and boundary reflectivity phase curves close to coincidence over the required frequency range. The example used is a two-layer semi-airspaced structure, with the resulting design validated experimentally.</t>
  </si>
  <si>
    <t>508-510</t>
  </si>
  <si>
    <t>7003661544;7201840709</t>
  </si>
  <si>
    <t>Antonopoulos, C.;Parker, E. A.</t>
  </si>
  <si>
    <t>Antonopoulos C.</t>
  </si>
  <si>
    <t>Design procedure for FSS with wide transmission band and rapid rolloff</t>
  </si>
  <si>
    <t>10.1049/ip-map:19982437</t>
  </si>
  <si>
    <t>2-s2.0-0032282210</t>
  </si>
  <si>
    <t>['spline method', 'results show', 'provide data', 'mathematical model', 'gray figures', 'emc analysis', 'difference time', 'calculating methods', 'boeing 707', '320b aircraft']</t>
  </si>
  <si>
    <t>The near field distribution of airborne short wave antenna is calculated. B-spline method was used to get the mathematical model of a Boeing 707-320B aircraft and to simulate its short wave antenna. FDTD (finite-difference time-domain) method was used to complete the calculation and analysis. The results show that near field distributions on aircraft's surface are obtained, and the curve and gray figures of the normalized near field value are shown. These modeling and calculating methods can provide data for aircraft's EMC analysis and design.</t>
  </si>
  <si>
    <t>286-292</t>
  </si>
  <si>
    <t>Journal of Beijing Institute of Technology (English Edition)</t>
  </si>
  <si>
    <t>60016835;60016835;60016835;60016835;60016835</t>
  </si>
  <si>
    <t>7203058541;7201753522;55739630300;56464462000;57198987996</t>
  </si>
  <si>
    <t>Xue, Zhenghui;Gao, Benqing;Liu, Ruixiang;Lu, Xin;Yang, Li</t>
  </si>
  <si>
    <t>Xue Z.</t>
  </si>
  <si>
    <t>Calculation and analysis of near field of airborne short wave antenna</t>
  </si>
  <si>
    <t>2-s2.0-0032282453</t>
  </si>
  <si>
    <t>['wire segments', 'wide class', 'unknowns required', 'unknown current', 'type solution', 'trilinear hexahedrons', 'several kinds', 'proposed method', 'principal advantage', 'oriented large', 'order polynomials', 'lumped loadings', 'highly efficient', 'given problem', 'generally combined', 'experimental results', 'existing methods', 'electromagnetic structures', 'domain method', 'distribution coefficients', 'distorted rectangles', 'dielectric bodies', 'current distribution', 'conducting surfaces', 'complex 3', 'bilinear quadrilaterals']</t>
  </si>
  <si>
    <t>A highly efficient, PC-oriented large-domain method is proposed for the analysis and CAD of a wide class of complex 3-D electromagnetic structures. The structures can be any combination of dielectric bodies, conducting surfaces and wires. The bodies are approximated by trilinear hexahedrons (distorted bricks), the surfaces by bilinear quadrilaterals (distorted rectangles) and the wires by straight-wire segments. Current distribution in the elements is approximated by high-order polynomials in local parametric co-ordinates, enabling electrically large elements. All elements can have any distributed impedance loading. In addition, the structure can have lumped loadings and generators of several kinds. The unknown current-distribution coefficients are determined by a Galerkin-type solution of a system of coupled integral equations. The principal advantage of the proposed method over existing methods is its generally combined with a comparatively small number of unknowns required for a given problem. The accuracy and versatility of the method are illustrated by a number of examples where analytical or experimental results are available.</t>
  </si>
  <si>
    <t>491-495</t>
  </si>
  <si>
    <t>Large-domain integral-equation method for analysis of general 3-D electromagnetic structures</t>
  </si>
  <si>
    <t>10.1049/ip-map:19982385</t>
  </si>
  <si>
    <t>2-s2.0-0032285103</t>
  </si>
  <si>
    <t>['takes account', 'radiation characteristic', 'good agreement', 'gives results', 'geometric parameters', 'finite size', 'experimental antenna', 'design study']</t>
  </si>
  <si>
    <t>A design study of the corner reflector antenna is reported, using the finite difference time domain (FDTD) method, which takes account of the finite size of the corner reflector plates. The influence of the geometric parameters on the radiation characteristic is established, and optimum design information is presented. The method has been validated by constructing and measuring an experimental antenna, which gives results in very good agreement with the predictions.</t>
  </si>
  <si>
    <t>481-485</t>
  </si>
  <si>
    <t>60022109;60077720</t>
  </si>
  <si>
    <t>7006827241;36836537500</t>
  </si>
  <si>
    <t>Olver, A. D.;Sterr, U.</t>
  </si>
  <si>
    <t>Backnang;London</t>
  </si>
  <si>
    <t>Bosch Telecom GmbH;Queen Mary University of London</t>
  </si>
  <si>
    <t>60077720;60022109</t>
  </si>
  <si>
    <t>Olver A.D.</t>
  </si>
  <si>
    <t>Design of corner reflector antennas using FDTD</t>
  </si>
  <si>
    <t>10.1049/ip-map:19982262</t>
  </si>
  <si>
    <t>2-s2.0-0032285492</t>
  </si>
  <si>
    <t>DAAH04-94-G-0352</t>
  </si>
  <si>
    <t>['waveguidefed slot', 'tracking applications', 'ring antenna', 'rf frequency', 'monopulse processing', 'mhz bandwidth', 'lo frequency', 'lens reflection', 'distribution loss', 'db nulls', 'band frequencies', 'backside radiation', 'absorption losses', '94 ghz', '7 db', '4 ghz', '0 ghz']</t>
  </si>
  <si>
    <t>Antenna arrays | Millimeter-wave technology | Receivers</t>
  </si>
  <si>
    <t>An integrated monopulse radar receiver has been developed for tracking applications at JV-band frequencies. The receiver is based on dielectric-lens-supported, coplanar-waveguidefed slot-ring antennas integrated with x2 uniplanar subharmonic mixers. The slot-ring antenna is capable of supporting two orthogonal modes offering the possibility of dual/multiple receive polarizations. The design center frequency is 94 GHz and the IF bandwidth is 2-4 GHz. The measured DSB conversion losses of the individual receiver channels range from 14.4 to 14.7 dB at an LO frequency of 45.0 GHz and an IF of 1.4 GHz. This includes the lens reflection and absorption losses, backside radiation, RF feedline loss, mixer conversion loss, and IF distribution loss. Excellent monopulse patterns are achieved with better than 45 dB difference pattern nulls using IF monopulse processing. This translates to submilliradian angular accuracy for a 24 mm aperture. Better than 25-dB nulls are possible over a 600-MHz bandwidth. The receiver is robust with respect to RF frequency. ¬© 1998 IEEE.</t>
  </si>
  <si>
    <t>2308-2316</t>
  </si>
  <si>
    <t>12 PART 2</t>
  </si>
  <si>
    <t>60027090;60027090;60025778</t>
  </si>
  <si>
    <t>7201482483;7006035255;7006384021</t>
  </si>
  <si>
    <t>Raman, Sanjay;Scott Barker, N.;Rebeiz, Gabriel M.</t>
  </si>
  <si>
    <t>Blacksburg;Ann Arbor</t>
  </si>
  <si>
    <t>Virginia Polytechnic Institute and State University;University of Michigan, Ann Arbor</t>
  </si>
  <si>
    <t>60027090;60025778</t>
  </si>
  <si>
    <t>Raman S.</t>
  </si>
  <si>
    <t>A W-band dielectric-lens-based integrated monopulse radar receiver</t>
  </si>
  <si>
    <t>S0018948098092035</t>
  </si>
  <si>
    <t>10.1109/22.739216</t>
  </si>
  <si>
    <t>2-s2.0-0032289735</t>
  </si>
  <si>
    <t>['typical microcell', 'successful deployment', 'picocell sites', 'photonic circuitry', 'measured results', 'low cost', 'key component', 'first demonstration', 'easily positioned', 'developed aru', 'design procedure', 'aru consists', 'appropriate rf']</t>
  </si>
  <si>
    <t>Hybrid integration | Printed antennas | RF photonic link</t>
  </si>
  <si>
    <t>The first demonstration of a printed antenna remote unit (ARU) for optically distributed mobile communications compliant with the 1.9-GHz PCN specifications is presented. The ARU consists of a cavity-backed printed antenna with appropriate RF and photonic circuitry. The ARU is low cost, compact, robust, and can be easily positioned in typical microcell/picocell sites. A summary of the design procedure for the ARU and the measured results are given. The developed ARU is a key component for the successful deployment of future optically distributed microcellular mobile communications systems.</t>
  </si>
  <si>
    <t>432-434</t>
  </si>
  <si>
    <t>60011362;60011362;60026553;60024590;60003892</t>
  </si>
  <si>
    <t>7004561859;35478779700;7103230273;57050319800;7005725769</t>
  </si>
  <si>
    <t>Lye, M.;Waterhouse, R. B.;Novak, D.;Zavosh, F.;Aberle, J. T.</t>
  </si>
  <si>
    <t>Australia;United States;Australia;United States</t>
  </si>
  <si>
    <t>Parkville;Schaumburg;Melbourne;Tempe</t>
  </si>
  <si>
    <t>University of Melbourne;Motorola;RMIT University;Arizona State University</t>
  </si>
  <si>
    <t>60026553;60024590;60011362;60003892</t>
  </si>
  <si>
    <t>Lye M.</t>
  </si>
  <si>
    <t>Design and Development of Printed Antenna Remote Units for Optically Distributed Mobile Communications</t>
  </si>
  <si>
    <t>S1051820798098286</t>
  </si>
  <si>
    <t>10.1109/75.746766</t>
  </si>
  <si>
    <t>2-s2.0-0032290712</t>
  </si>
  <si>
    <t>['theoretical results', 'predict impedance', 'polarization behaviour', 'perturbation segments', 'paper presents', 'obtained using', 'impedance bandwidth', 'good agreement', 'experimental results', 'ellipticity bandwidth', 'dielectric superstrate', 'coaxial feed', 'circular polarization', '323 db']</t>
  </si>
  <si>
    <t>This paper presents an investigation into the polarization behaviour of a Single Fed Circularly Polarized (SFCP) square-shaped microstrip patch antenna covered with dielectric superstrate. Circular polarization is obtained using a coaxial feed and perturbation segments at the corners of the patch. A full wave analysis method based on the Mixed Potential Integral Equation (MPIE) is used to predict impedance and polarization behaviour of the antenna. Experimental results are presented and show a good agreement with the theoretical results. A 7% impedance bandwidth (for VSWR ‚â§2) and a 2% ellipticity bandwidth with a minimum axial ratio of 0.323 dB are obtained for this antenna.</t>
  </si>
  <si>
    <t>60029284;60029284;60029284</t>
  </si>
  <si>
    <t>7003839738;35570164700;16470169900</t>
  </si>
  <si>
    <t>Padhi, Shantanu K.;Bialkowski, M. E.;Srivastava, G. P.</t>
  </si>
  <si>
    <t>Padhi S.</t>
  </si>
  <si>
    <t>Polarization agility of SFCP microstrip antenna with dielectric overlay</t>
  </si>
  <si>
    <t>2-s2.0-0032291141</t>
  </si>
  <si>
    <t>['wave circuits', 'various millimeter', 'tuning elements', 'theoretical calculations', 'submillimeter wavelengths', 'scale model', 'practical means', 'power delivered', 'planar transmission', 'monolithic integrated', 'microwave measurements', 'inuse performance', 'integrated tuners', 'ghz quasi', 'fabrication optimization', 'electrical length', 'developmental circuits', 'critical post', 'characterizing components']</t>
  </si>
  <si>
    <t>Micromachining | Submillimeter waves | Tuners</t>
  </si>
  <si>
    <t>While monolithic integrated-circuit technology promises a practical means for realizing reliable reproducible planar millimeter and submillimeter-wave circuits, conventional planar circuits do not allow for critical post-fabrication optimization of performance. A 620-GHz quasi-optical monolithic detector circuit is used here to demonstrate the performance of two integrated micromechanical planar tuning elements. This is the first reported demonstration of integrated micromechanical tuning at submillimeter wavelengths. The tuning elements, called sliding planar backshorts (SPB's), are used to adjust the electrical length of planar transmission-line tuning stubs to vary the power delivered between a substrate-lens coupled planar antenna and a thin-film bismuth detector over a range of nearly 15 dB. The circuit performance agrees with theoretical calculations and microwave measurements of a -0.06-dB reflection coefficient made for a scale model of the integrated tuners. The demonstrated tuning range for the SPB tuners indicates that they can be valuable for characterizing components in developmental circuits and for optimizing the inuse performance of various millimeter and submillimeter-wave integrated circuits. ¬© 1998 IEEE.</t>
  </si>
  <si>
    <t>2098-2103</t>
  </si>
  <si>
    <t>12 PART 1</t>
  </si>
  <si>
    <t>60031581;60021116-60009037;60009037;60003480</t>
  </si>
  <si>
    <t>6603919322;7006448685;7004250981;7102803490</t>
  </si>
  <si>
    <t>Lubecke, Victor M.;McGrath, William R.;Stimson, Philip A.;Rutledge, David B.</t>
  </si>
  <si>
    <t>United States;Japan;United States;Australia</t>
  </si>
  <si>
    <t>Pasadena;Wako;Pasadena;Edinburgh</t>
  </si>
  <si>
    <t>California Institute of Technology;RIKEN (The Institute of Physical and Chemical Research);Jet Propulsion Laboratory;Defence Science and Technology Group</t>
  </si>
  <si>
    <t>60031581;60021116;60009037;60003480</t>
  </si>
  <si>
    <t>Micromechanical tuning elements in a 620-GHz monolithic integrated circuit</t>
  </si>
  <si>
    <t>S0018948098090607</t>
  </si>
  <si>
    <t>10.1109/22.739288</t>
  </si>
  <si>
    <t>2-s2.0-0032291249</t>
  </si>
  <si>
    <t>['waveguide simulator', 'tested inside', 'rectifying device', 'rectenna element', 'input impedance', 'good agreement', 'form equations', 'filtering circuitry', 'dipole antenna', 'diode efficiency', 'circuit design', '8 ghz', '21 db']</t>
  </si>
  <si>
    <t>Detectors | Nonlinear circuits | Power conversion | Rectennas | Rectifying antennas</t>
  </si>
  <si>
    <t>A high-efficiency rectenna element has been designed and tested at 5.8 GHz for applications involving microwavepower transmission. The dipole antenna and filtering circuitry are printed on a thin duroid substrate. A silicon Schottkybarrier mixer diode with a low breakdown voltage is used as the rectifying device. The rectenna element is tested inside a waveguide simulator and achieves an RF-to-dc conversion efficiency of 82% at an input power level of 50-mW and 327-√ú load. Closed-form equations are given for the diode efficiency and input impedance as a function of input RF power. Measured and calculated efficiency results are in good agreement. The antenna and circuit design are based on a full-wave electromagnetic simulator. Second harmonic power levels are 21 dB down from the fundamental input power. ¬© 1998 IEEE.</t>
  </si>
  <si>
    <t>2053-2060</t>
  </si>
  <si>
    <t>60020547;60015272;60020547-60015272</t>
  </si>
  <si>
    <t>6701837757;7402512895;7404879378</t>
  </si>
  <si>
    <t>McSpadden, James O.;Fan, Lu;Chang, Kai</t>
  </si>
  <si>
    <t>College Station;Dallas</t>
  </si>
  <si>
    <t>Texas A&amp;M University;Texas Instruments</t>
  </si>
  <si>
    <t>60020547;60015272</t>
  </si>
  <si>
    <t>McSpadden J.O.</t>
  </si>
  <si>
    <t>Design and experiments of a high-conversion-efficiency 5.8-GHz rectenna</t>
  </si>
  <si>
    <t>S0018948098090371</t>
  </si>
  <si>
    <t>10.1109/22.739282</t>
  </si>
  <si>
    <t>2-s2.0-0032291529</t>
  </si>
  <si>
    <t>['widefrequency band', 'water spectrum', 'water composition', 'unambiguous determination', 'tb spectra', 'tb offset', 'tb occur', 'resulting brightness', 'previous work', 'power radiometry', 'oil films', 'much smaller', 'measure homogeneous', 'less ),', 'key result', 'homogeneous oil', 'homogeneous films', 'homogeneous film', 'frequency measurements', 'emulsion tested', 'emulsified films', '40 ghz', '1 mm']</t>
  </si>
  <si>
    <t>Antenna temperature | Brightness temperature | Dielectric constant of water | Emissivity | Kirchofps law | Millimeter waves | Oil films | Radiometry | Sky temperature | Wide-band temperature</t>
  </si>
  <si>
    <t>Total-power radiometry is applied over a widefrequency band (26-40 GHz) to measure homogeneous and emulsified (40% : 60% oil : water composition) oil films on water. The resulting brightness-temperature (Ta) spectra contain substantially more information about the film than the spot-frequency measurements of previous work. In thin homogeneous films (~3 mm or less), the TB spectra have the same monotonically increasing frequency dependence as the bare-water spectrum, but are distinguishable from the water by a positive TB offset. For thicker homogeneous films, oscillations in the TB spectra occur that have a period inversely related to the thickness of the film. For emulsified films, the TB offset is greater than that of a homogeneous film of the same thickness, and oscillations in TB occur, even for the thinnest (1 mm) emulsion tested. However, the amplitude of these oscillations is much smaller than for homogeneous films because of losses in the emulsion. Hence, the key result of this paper is that wide-band radiometry enables both the unambiguous determination of the thickness of homogeneous oil and the discrimination of homogeneous oil from emulsified films, at least in the range of thickness &gt;1 mm. ¬© 1998 IEEE.</t>
  </si>
  <si>
    <t>1989-1996</t>
  </si>
  <si>
    <t>60022195;60027550;60027550;60027550;60028337;60028337</t>
  </si>
  <si>
    <t>57223745182;6602297101;57199717225;57196772445;36791168200;6602822527</t>
  </si>
  <si>
    <t>Brown, E. R.;McMahon, O. B.;Murphy, T. J.;Hogan, G. G.;Daniels, G. D.;Hover, G.</t>
  </si>
  <si>
    <t>Washington, D.C.;Los Angeles;Cambridge</t>
  </si>
  <si>
    <t>U.S. Coast Guard;University of California, Los Angeles;Massachusetts Institute of Technology</t>
  </si>
  <si>
    <t>60028337;60027550;60022195</t>
  </si>
  <si>
    <t>Wide-band radiometry for remote sensing of oil films on water</t>
  </si>
  <si>
    <t>S0018948098090577</t>
  </si>
  <si>
    <t>10.1109/22.739271</t>
  </si>
  <si>
    <t>2-s2.0-0032291827</t>
  </si>
  <si>
    <t>['results show', 'receiver modules', 'photonic technology', 'photonic components', 'optic remoting', 'noise ratio', 'first time', 'db signal', 'band radar']</t>
  </si>
  <si>
    <t>Active array antennas | Fiber-optic remoting | Optical fiber delay lines | Transmitter/receiver modules</t>
  </si>
  <si>
    <t>We demonstrate, for the first time, fiber-optic remoting of an Jf-band radar with ultrahigh dynamic range, and show that photonic components can meet the stringent phase noise requirements for remoting modern radars. Fiber optic links were designed and built to remote the antenna and transmitter of the AN/SPQ-9B Advanced Development Model radar. The remoting links tested successfully in both transmit and receive configurations without significantly degrading the measured, postintegration, 87-dB signal-to-noise ratio of the radar. The results show the potential of photonic technology to remote the transmitter/receiver modules of active array radars. -.</t>
  </si>
  <si>
    <t>2317-2323</t>
  </si>
  <si>
    <t>60027271;60027271;60027271;60027271;60027271;60027271;60027271</t>
  </si>
  <si>
    <t>7201876598;7101619365;35596615300;7005229250;6506033032;7101851854;7101852187</t>
  </si>
  <si>
    <t>Roman, J. E.;Nichols, L. T.;Williams, K. J.;Esman, R. D.;Tavik, G. C.;Livingston, M.;Parent, M. G.</t>
  </si>
  <si>
    <t>Roman J.</t>
  </si>
  <si>
    <t>Fiber-optic remoting of an ultrahigh dynamic range radar</t>
  </si>
  <si>
    <t>10.1109/22.739217</t>
  </si>
  <si>
    <t>2-s2.0-0032292169</t>
  </si>
  <si>
    <t>['wave propagation', 'wave characteristics', 'wave antennas', 'wave antenna', 'various shapes', 'useful guidelines', 'trapezoidal dimensions', 'systematically studied', 'potential applications', 'parametric effects', 'numerical technique', 'nonradiative dielectric', 'new types', 'matching method', 'leakage properties', 'irregular structures', 'index terms', 'field modeling', 'extensive results', 'effectively combining', 'design considerations', 'cost millimeter']</t>
  </si>
  <si>
    <t>Leaky-wave characteristics of a class of nonradiative dielectric (NRD)-guides with various shapes of trapezoidal cross section are systematically studied for their potential applications in low-cost millimeter-wave antennas. A numerical technique is applied to model these irregular structures. The technique is formulated by effectively combining a multimode network theory with a mode-matching method. Our emphasis in this work is on the investigation of parametric effects in connection with the trapezoidal dimensions on leakage properties of the NRD-guide. Extensive results are presented to derive some useful guidelines for the design considerations of new types of NRD-guide leakywave antennas. Index Terms- CAD, field modeling, leaky-wave propagation, millimeter-wave antenna, multimode network theory, nonradiative dielectric (NRD)-guide. ¬© 1998 IEEE Publisher Item Identifier S 0018-9480(98)09188-1.</t>
  </si>
  <si>
    <t>2450-2456</t>
  </si>
  <si>
    <t>60019118;60019118;60019118;60019118</t>
  </si>
  <si>
    <t>13614168600;7403248297;9042159400;55510527400</t>
  </si>
  <si>
    <t>Xu, Shanjia J.;Zeng, Xiang Yin;Wu, Ke;Luk, Kwai Man</t>
  </si>
  <si>
    <t>University of Science and Technology of China</t>
  </si>
  <si>
    <t>Xu S.</t>
  </si>
  <si>
    <t>Characteristics and design consideration of leaky-wave NRD-Guides for use as millimeter-wave antenna</t>
  </si>
  <si>
    <t>10.1109/22.739234</t>
  </si>
  <si>
    <t>2-s2.0-0032292611</t>
  </si>
  <si>
    <t>['wide band', 'user terminals', 'service area', 'satellite flies', 'propagation impairments', 'paper provides', 'paper discusses', 'multimedia distribution', 'little leo', 'large amount', 'internet access', 'high cost', 'frequencies available', 'forward capability', 'fielding systems', 'earth orbit', 'earlier proposed', 'continuously illuminate', 'brief description', 'board demodulation', 'beam antennas', '56 ghz', '46 ghz', '3 ghz']</t>
  </si>
  <si>
    <t>Some sixteen proposed new satellite systems operating in the Q- (36-46 GHz) and V- (46-56 GHz) bands have been proposed to the FCC by United States companies. Of these, fourteen are intended to provide a global, or nearly-global, service. One is for United States domestic service and one is a package to provide additional store-and-forward capability on an earlier proposed 'Little LEO' system. This paper provides a brief description of the fourteen global systems which, for the most part, are designed to exploit the wide band of frequencies available for services such as multimedia distribution and Internet access. Systems are proposed that would use geostationary, medium-earth orbit, low-earth orbit, and Molniya orbit satellites, and in some cases, combinations of two of these orbits. Most of these new systems propose to exploit new technologies such as multiple narrow spot-beam antennas, on-board demodulation and routing of traffic between beams, intersatellite-links and in some cases, the scanning of the beams to continuously illuminate the service area as the satellite flies by. The paper discusses some of the difficulties of fielding systems at these high frequencies arising out of the propagation impairments that can be expected and the high cost of solid-state power devices for user terminals, which will drive up costs. It is concluded that while the large amount of band-width (3 GHz) that has been proposed by the FCC for these systems is attractive, few, if any, are likely to be built while spectrum remains available at Ka-band.</t>
  </si>
  <si>
    <t>Space Communications</t>
  </si>
  <si>
    <t>100338276;100338276</t>
  </si>
  <si>
    <t>56317558400;7003525587</t>
  </si>
  <si>
    <t>Evans, J. V.;Dissanayake, A.</t>
  </si>
  <si>
    <t>COMSAT Corp</t>
  </si>
  <si>
    <t>Evans J.</t>
  </si>
  <si>
    <t>The prospects for commercial satellite services at Q- and V-band</t>
  </si>
  <si>
    <t>2-s2.0-0032292612</t>
  </si>
  <si>
    <t>['vertical array', 'turnstile elements', 'tall radome', 'signal processing', 'receiving antenna', 'plane antenna', 'inadequate rejection', 'horizontal platter', 'gps techniques', 'gps antenna', 'geodetic surveyor', 'force methods', 'field tests', 'elevation angle', 'diameter ground', 'determining position', 'available antennas', 'antenna resembles', '5 db']</t>
  </si>
  <si>
    <t>Multipath interference limits the speed and accuracy of determining position by "differential" GPS techniques. A geodetic surveyor, for example, requires multipath interference rejection of about 36 + 20 log 10 sin Œµ dB, where Œµ is the elevation angle of the satellite being observed. Signal processing in a GPS receiver cannot satisfy this requirement. A receiving antenna is required that can sufficiently reject signals arriving from below the horizon. Available antennas have inadequate rejection, and brute-force methods of improving them, by enlarging their ground-planes, are impractical. A compact, ground-planeless, dual-band, GPS antenna with improved multipath rejection has been designed and field-tested. This antenna resembles a vertical post rather than a horizontal platter; within its 0.1-m diameter, 0.4-m tall radome is a vertical array of turnstile elements. In field tests, a three-element array antenna rejected multipath better than a 0.5-m diameter ground-plane antenna by an average of 5 dB. A five-element array antenna appears superior to a 0.9-m diameter ground-plane antenna.</t>
  </si>
  <si>
    <t>15-19</t>
  </si>
  <si>
    <t>Counselman, Charles C.</t>
  </si>
  <si>
    <t>Counselman C.</t>
  </si>
  <si>
    <t>Array antennas for DGPS</t>
  </si>
  <si>
    <t>10.1109/62.735950</t>
  </si>
  <si>
    <t>2-s2.0-0032295160</t>
  </si>
  <si>
    <t>['wave applications', 'transmission characteristics', 'three dimensions', 'sufficient performances', 'sidewalls consisting', 'power dividers', 'power divider', 'new structure', 'metallized planes', 'lower layers', 'lined via', 'lamination techniques', 'laminated waveguide', 'inter connections', 'inter connection', 'index terms', 'fundamental structures', 'feeding lines', 'feed waveguide', 'electromagnetic simulation', 'dielectric waveguide', 'dielectric constant', 'ceramic substrate', 'ceramic package', '83 ghz', '5 db']</t>
  </si>
  <si>
    <t>A waveguide of new structure has been developed for millimeter-wave applications. The dielectric waveguide is constructed with sidewalls consisting of lined via-holes and edges of metallized planes. This structure can be manufactured by lamination techniques, so we refer to the waveguide as a "laminated waveguide." The laminated waveguide can be embedded in a substrate and is able to be wired in three dimensions. The transmission characteristics are evaluated using glass-ceramic substrate of dielectric constant, er -5, and loss, tan S =0.0008. Insertion loss per unit length of the guide is estimated to be less than 0.5 dB/cm at 83 GHz. Furthermore, it was confirmed that the laminated waveguide is suitable to feeding lines for a small sized plane array antenna. By electromagnetic simulation, it has been confirmed that fundamental structures, such as bends, branches, power dividers, and inter connections between upper and lower layers can be realized with sufficient performances. Index Terms-Branch, ceramic circuit board, ceramic package, dielectric waveguide, feed waveguide, inter connection, laminate, millimeter-wave, power divider, via-hole, waveguide. ¬© 1998 IEEE Publisher Item Identifier S 0018-9480(98)09190-X.</t>
  </si>
  <si>
    <t>2438-2443</t>
  </si>
  <si>
    <t>60104219;60104219;60104219</t>
  </si>
  <si>
    <t>7006106077;6507255674;56096235800</t>
  </si>
  <si>
    <t>Uchimura, Hiroshi;Takenoshita, Takeshi;Fujii, Mikio</t>
  </si>
  <si>
    <t>Kyocera Corporation</t>
  </si>
  <si>
    <t>Uchimura H.</t>
  </si>
  <si>
    <t>Development of a "laminated waveguide"</t>
  </si>
  <si>
    <t>10.1109/22.739232</t>
  </si>
  <si>
    <t>2-s2.0-0032295269</t>
  </si>
  <si>
    <t>['wave field', 'wave coupling', 'significantly enhancing', 'quality homodyne', 'parasitic surface', 'oscillator signal', 'novel method', 'mixing rectenna', 'method uses', 'index terms', 'ghz antenna', 'cost millimeter', 'automotive radar', 'active antenna']</t>
  </si>
  <si>
    <t>In this paper, we present a novel method for significantly enhancing the performance of low-cost millimeter-wavesensor systems based on active integrated antennas. Our method uses the planar active antenna's parasitic surface-wave field as a local-oscillator signal for a mixing rectenna. Compared to a self-mixing active 67-GHz antenna, the surface-wave coupled rectenna receiver shows a considerably improved minimum detectable signal (10 dB lower) and the possibility for high-quality homodyne in-phase/quadrature signal detection. Index Terms- Active antenna, automotive radar, directionsensitive Doppler radar, surface-wave coupling. ¬© 1998 IEEE Publisher Item Identifier S 0018-9480(98)09187-X.</t>
  </si>
  <si>
    <t>2457-2462</t>
  </si>
  <si>
    <t>6603672824;7004736208</t>
  </si>
  <si>
    <t>Rasshofer, Ralph H.;Biebl, Erwin M.</t>
  </si>
  <si>
    <t>Surface-wave coupling of active antennas for homodyne sensor systems</t>
  </si>
  <si>
    <t>10.1109/22.739235</t>
  </si>
  <si>
    <t>2-s2.0-0032295270</t>
  </si>
  <si>
    <t>['turnstile network', 'reflected power', 'isolated port', 'dipole array', 'conveniently used']</t>
  </si>
  <si>
    <t>Antenna components | Antenna feeds | Circular polarization</t>
  </si>
  <si>
    <t>A turnstile network is introduced which may be conveniently used for circular polarization synthesis. The network, outfitted with proper phasing stubs, forms a balanced quadrature hybrid; for an antenna with less than a perfect reflection coefficient, the reflected power will appear at an isolated port, which may be terminated, resulting in good polarization properties coupled with good input voltage standingwave ratio. A crossed-dipole array is used as a test-bed to demonstrate the turnstile network. ¬© 1998 IEEE.</t>
  </si>
  <si>
    <t>2151-2156</t>
  </si>
  <si>
    <t>100593563-60026138</t>
  </si>
  <si>
    <t>Zimmerman, Robert K.</t>
  </si>
  <si>
    <t>Los Alamos;Arecibo</t>
  </si>
  <si>
    <t>Los Alamos Neutron Science Center;Arecibo Observatory</t>
  </si>
  <si>
    <t>60026138;100593563</t>
  </si>
  <si>
    <t>Zimmerman R.K.</t>
  </si>
  <si>
    <t>Crossed dipoles fed with a turnstile network</t>
  </si>
  <si>
    <t>S0018948098090589</t>
  </si>
  <si>
    <t>10.1109/22.739298</t>
  </si>
  <si>
    <t>2-s2.0-0032296634</t>
  </si>
  <si>
    <t>['uniquely determined', 'unique determining', 'uniform mass', 'torque sensor', 'tip end', 'stiffness distribution', 'simply composed', 'sensing strategy', 'practical realization', 'point coordinate', 'paper discusses', 'oscillation frequencies', 'natural frequencies', 'flexible beam', 'every mode', 'dynamic model', 'contact position', 'contact point']</t>
  </si>
  <si>
    <t>Antenna | Contact-point flexible beam | Natural frequencies | Tactile sensing</t>
  </si>
  <si>
    <t>This paper discusses a new dynamic sensing system capable of detecting the contact point between a flexible beam and an object. The proposed sensing system, named dynamic antenna, is simply composed of an insensitive flexible beam, a torque sensor, a joint position sensor, an actuator, and a payload at the tip end of the beam. The contact point can be detected through estimation of the oscillation frequencies of the beam in contact with the object. At first, a dynamic model of the sensor is derived. It is proved that the contact position is uniquely determined if every mode of the natural frequencies of the beam is taken into consideration. Next, it is shown that information of the fundamental and the second natural frequencies is sufficient for unique determining of the contact point if the beam has uniform mass and stiffness distribution. In practical realization, the fundamental and the second natural frequencies of the beam in contact with the object are extracted from the torque sensor measurements with the use of the maximum entropy method. Then, the frequencies are mapped into the contact-point coordinate. Extraction of the frequencies and mapping them into the contact point constitute a sensing strategy which is tested under experiment. The experimental results show the feasibility of the dynamic antenna sensing scheme. ¬© 1998 IEEE.</t>
  </si>
  <si>
    <t>254-264</t>
  </si>
  <si>
    <t>IEEE/ASME Transactions on Mechatronics</t>
  </si>
  <si>
    <t>60238171;60000251-60011418;60000251-60030788</t>
  </si>
  <si>
    <t>8946684000;7003311772;7403595190</t>
  </si>
  <si>
    <t>Ueno, Naohiro;Svinin, Mikhail M.;Kaneko, Makoto</t>
  </si>
  <si>
    <t>Japan;Japan;Japan;United States</t>
  </si>
  <si>
    <t>Tosu;Higashihiroshima;Kobe;New York</t>
  </si>
  <si>
    <t>National Institute of Advanced Industrial Science and Technology, Kyushu;Hiroshima University;Kobe University;IEEE</t>
  </si>
  <si>
    <t>60238171;60030788;60011418;60000251</t>
  </si>
  <si>
    <t>Ueno N.</t>
  </si>
  <si>
    <t>Dynamic contact sensing by flexible beam</t>
  </si>
  <si>
    <t>S1083443598093284</t>
  </si>
  <si>
    <t>10.1109/3516.736160</t>
  </si>
  <si>
    <t>2-s2.0-0032298214</t>
  </si>
  <si>
    <t>S774-WWLAN</t>
  </si>
  <si>
    <t>['thermal nature', 'temperature increases', 'solved using', 'simulated via', 'radiating antenna', 'plane wave', 'numerical technique', 'mobile terminal', 'lower heating', 'like fields', 'l mw', 'incident field', 'heating distribution', 'frequency increases', 'first step', 'eye lens', 'exposure limits', 'difference time', 'close proximity', 'cell resolution', 'bioheat equation', '6 ghz', '5 mm', '30 ghz']</t>
  </si>
  <si>
    <t>Biological effects of electromagnetic radiation | Dosimetry | Electromagnetic heating | Fdtd methods | Temperature | Wireless lan</t>
  </si>
  <si>
    <t>Wireless personal communication is a rapidly expanding sector, particularly in the field of cellular mobile phones and wireless local area networks (WLAN's). In an indoor WLAN system, the user of the mobile terminal can find himself in close proximity to the radiating antenna. It is, therefore, important to consider possible health hazards due to this type of exposure. As the most considered adverse effects of the electromagnetic (EM) fields are of thermal nature, particularly with reference to the eye, in this paper, we have evaluated the temperature increase induced in a human eye exposed to WLAN-like fields. In particular, we have considered possible WLAN's operating in the range between 6-30 GHz, so that the incident field can be simulated via a plane wave. As a first step, we have computed the specific absorption rate (SAR) distribution in a human-eye anatomical model, developed from the visible human data set, by using the finite-difference time-domain (FDTD) numerical technique with a cell resolution of 0.5 mm. Starting from the calculated SAR values, the heating distribution has been derived through the bioheat equation, which has been solved using an explicit finitedifference scheme. Temperature increases in the order of 0.04 ¬∞C have been calculated in the eye lens with an incident power density of l mW/cm2 at 6 GHz. Lower heating is obtained in the lens when the frequency increases. Finally, considerations about the exposure limits in the considered frequency range are made. ¬© 1998 IEEE.</t>
  </si>
  <si>
    <t>2074-2082</t>
  </si>
  <si>
    <t>60032350;60032350;60032350;60032350</t>
  </si>
  <si>
    <t>56231427700;7003948945;6603887757;6603094570</t>
  </si>
  <si>
    <t>Bernardi, Paolo;Cavagnaro, Marta;Pisa, Stefano;Piuzzi, Emanuele</t>
  </si>
  <si>
    <t>Bernardi P.</t>
  </si>
  <si>
    <t>SAR distribution and temperature increase in an anatomical model of the human eye exposed to the field radiated by the user antenna in a wireless LAN</t>
  </si>
  <si>
    <t>S0018948098090449</t>
  </si>
  <si>
    <t>10.1109/22.739285</t>
  </si>
  <si>
    <t>2-s2.0-0032298924</t>
  </si>
  <si>
    <t>9 040 209</t>
  </si>
  <si>
    <t>['studied theoretically', 'spherical cavity', 'solved using', 'slot length', 'singularity problem', 'rectangular slot', 'moment method', 'modematching method', 'magnetic current', 'integral equation', 'input impedance', 'good agreement', 'functions interior', 'forced resonances', 'excitation location', 'computationally efficient', 'cavity size', 'cavity resonances', 'admittance calculations']</t>
  </si>
  <si>
    <t>Modal analysis | Moment method | Resonance | Spherical cavity</t>
  </si>
  <si>
    <t>A rectangular slot on a spherical cavity is studied theoretically and experimentally. The Green's functions interior and exterior to the cavity are found rigorously using the modematching method. An integral equation of magnetic current in the slot is formulated, which is solved using the moment method. The singularity problem in admittance calculations is tackled and the result is very computationally efficient. Both the slot and cavity resonances are examined. Moreover, the natural and forced resonances of the cavity are addressed. The effects of slot length, cavity size, excitation location, and cavity dielectric constant on the input impedance are discussed. Very good agreement between theory and experiment is obtained. ¬© 1998 IEEE.</t>
  </si>
  <si>
    <t>2117-2123</t>
  </si>
  <si>
    <t>Leung, Kwok Wa</t>
  </si>
  <si>
    <t>Theory and experiment of a rectangular slot on a sphere</t>
  </si>
  <si>
    <t>S001894809809053X</t>
  </si>
  <si>
    <t>10.1109/22.739292</t>
  </si>
  <si>
    <t>2-s2.0-0032299640</t>
  </si>
  <si>
    <t>['three arrays', 'superconducting thin', 'superconducting antennas', 'significant application', 'microstrip antenna', 'matching network', 'film materials', 'enhanced bandwidth', 'diplexing multifrequency', 'described using', 'copper antennas', 'convenient enhancement', 'center frequency', 'aperture feed', 'analytical expression']</t>
  </si>
  <si>
    <t>High-temperature conductors | Patch antenna | Superconductor</t>
  </si>
  <si>
    <t>The "H" microstrip antenna is suitable for use as an efficient small antenna when it is constructed out of superconducting thin-film materials. An aperture feed and matching network is described which provides a convenient enhancement of the capabilities of the "H" antenna. Methods of prediction of the center frequency are given. In addition, an analytical expression is developed for the farfield radiation pattern of the "H" antenna and the efficiency and Q of superconducting and copper antennas are described using this expression. It is likely that superconducting antennas will only have significant application when they are used in arrays. Three arrays are described demonstrating multiband self-diplexing multifrequency-enhanced bandwidth and multifrequency beam forming. ¬© 1998 IEEE.</t>
  </si>
  <si>
    <t>168-177</t>
  </si>
  <si>
    <t>IEEE Transactions on Applied Superconductivity</t>
  </si>
  <si>
    <t>60000251-60019702;60019702;60000251-60019702</t>
  </si>
  <si>
    <t>7101744863;9244011700;24495645400</t>
  </si>
  <si>
    <t>Lancaster, Michael J.;Wang, Hanyang Y.;Hong, Jia Sheng</t>
  </si>
  <si>
    <t>Birmingham;New York</t>
  </si>
  <si>
    <t>University of Birmingham;IEEE</t>
  </si>
  <si>
    <t>60019702;60000251</t>
  </si>
  <si>
    <t>Lancaster M.J.</t>
  </si>
  <si>
    <t>Thin-film HTS planar antennas</t>
  </si>
  <si>
    <t>S1051822398096468</t>
  </si>
  <si>
    <t>10.1109/77.740682</t>
  </si>
  <si>
    <t>2-s2.0-0032301059</t>
  </si>
  <si>
    <t>['three antennas', 'structures given', 'optimization techniques', 'optimal design', 'numerical results', 'first used', 'dbs reception', 'classical geometries', 'antenna useful']</t>
  </si>
  <si>
    <t>An optimal design for RLSA (radial line slot array) antenna useful for DBS reception is presented. Classical geometries and structures given in the literature are first used. It is found that in some cases these are not suitable. So, optimization techniques by using the right objective functions have been applied. Two different methods were developed and three antennas were designed. Numerical results and comparisons with other similar antennas give the advantages of our design. ¬© 1998 IEEE.</t>
  </si>
  <si>
    <t>460-469</t>
  </si>
  <si>
    <t>60015331;60000251-60015331;60000251-60015331</t>
  </si>
  <si>
    <t>6506249649;22995779600;7005683394</t>
  </si>
  <si>
    <t>Kechagias, Konstantinos;Vafiadis, Elias;Sahalos, John N.</t>
  </si>
  <si>
    <t>Greece;United States</t>
  </si>
  <si>
    <t>Thessaloniki;New York</t>
  </si>
  <si>
    <t>Aristotle University of Thessaloniki;IEEE</t>
  </si>
  <si>
    <t>60015331;60000251</t>
  </si>
  <si>
    <t>Kechagias K.</t>
  </si>
  <si>
    <t>On the RLSA antenna optimum design for DBS reception</t>
  </si>
  <si>
    <t>S0018931698095596</t>
  </si>
  <si>
    <t>10.1109/11.735909</t>
  </si>
  <si>
    <t>2-s2.0-0032301533</t>
  </si>
  <si>
    <t>['wireless systems', 'upper bound', 'shadow fading', 'results show', 'qam signals', 'present closed', 'possible previously', 'performance gain', 'outage probability', 'optimum combining', 'including analysis', 'form expressions', 'error rate', 'differential detection', 'decreasing ber', 'computer simulation', 'combined effect', 'coherent detection', 'asymptotically tight', 'asymptotic gain', 'adaptive arrays']</t>
  </si>
  <si>
    <t>Bit-error rate | Optimum combining | Rayleigh fading | Smart antennas</t>
  </si>
  <si>
    <t>This paper presents upper bounds on the bit-error rate (BER) of optimum combining in wireless systems with multiple cochannel interferers in a Rayleigh fading environment. We present closed-form expressions for the upper bound on the bit-error rate with optimum combining, for any number of antennas and interferers, with coherent detection of BPSK and QAM signals, and differential detection of DPSK. We also present bounds on the performance gain of optimum combining over maximal ratio combining. These bounds are asymptotically tight with decreasing BER, and results show that the asymptotic gain is within 2 dB of the gain as determined by computer simulation for a variety of cases at a 10 3 BER. The closed-form expressions for the bound permit rapid calculation of the improvement with optimum combining for any number of interferers and antennas, as compared with the CPU hours previously required by Monte Carlo simulation. Thus these bounds allow calculation of the performance of optimum combining under a variety of conditions where it was not possible previously, including analysis of the outage probability with shadow fading and the combined effect of adaptive arrays and dynamic channel assignment in mobile radio systems. ¬© 1998 IEEE.</t>
  </si>
  <si>
    <t>1619-1624</t>
  </si>
  <si>
    <t>7102662778;7005389578</t>
  </si>
  <si>
    <t>Winters, Jack H.;Salz, Jack</t>
  </si>
  <si>
    <t>Upper bounds on the bit-error rate of optimum combining in wireless systems</t>
  </si>
  <si>
    <t>S009067789809388X</t>
  </si>
  <si>
    <t>10.1109/26.737400</t>
  </si>
  <si>
    <t>2-s2.0-0032302303</t>
  </si>
  <si>
    <t>['system parameters', 'radiation patterns', 'polarization characteristics', 'pattern widths', 'mode radiation', 'irradiated media', 'frequency band', 'circular waveguide']</t>
  </si>
  <si>
    <t>The method of calculation of the H11-mode radiation from a circular waveguide with a plane logarithmic spiral in the aperture into a dielectric half space is presented. The calculations of radiation patterns and polarization characteristics for the various spiral parameters and permittivities of irradiated media have been carried out. It was established that there exists some set of the system parameters and wavelengths, for which the pattern widths and ellipticity coefficients ‚â• 0.5 remain constant in the 40% frequency band.</t>
  </si>
  <si>
    <t>417-422</t>
  </si>
  <si>
    <t>60027251;60027251</t>
  </si>
  <si>
    <t>6507200474;6506539518</t>
  </si>
  <si>
    <t>Yatzuk, Klara P.;Shvelidze, Robert R.</t>
  </si>
  <si>
    <t>Yatzuk K.P.</t>
  </si>
  <si>
    <t>Plane spiral excitation by the H&lt;inf&gt;11&lt;/inf&gt;-mode of circular waveguide</t>
  </si>
  <si>
    <t>10.1002/(SICI)1098-2760(19981220)19:6&lt;417::AID-MOP11&gt;3.0.CO;2-U</t>
  </si>
  <si>
    <t>2-s2.0-0032303794</t>
  </si>
  <si>
    <t>['transmissive design', 'time delays', 'rights reserved', 'physical length', 'path compared', 'experimentally demonstrated', 'different within', 'also proposed']</t>
  </si>
  <si>
    <t>Delay lines | Ferroelectric liquid crystal (FLC) | Microwave radar | Phased array antennas | Photonic beamformer | Polarization-selective holograms | Polymer dispersed liquid crystal (PDLC)</t>
  </si>
  <si>
    <t>The use of polarization selective holograms as optical signal routing elements for the implementation of photonic delay lines (PDLs) is proposed. A single bit PDL using ferroelectric liquid crystal (FLC) devices as active polarization switches and polymer dispersed liquid crystal (PDLC) devices as polarization selective holograms for optical path routing is experimentally demonstrated and characterized. Different within-channel leakage noise filters for improved PDL performance are discussed and experimentally demonstrated. Record high optical signal-to-leakage noise ratios (&gt; 45 dB) are obtained for both PDL settings using a combination of the proposed noise filters. An alternative reflective PDL architecture is also proposed. This reflective architecture requires half the physical length for each path compared with the transmissive design to obtain the same time delays. Other polarization dependent optical router designs based on birefringent-mode nematic liquid crystal (NLC) devices are also proposed. ¬© 1998 Elsevier Science B.V. All rights reserved.</t>
  </si>
  <si>
    <t>225-237</t>
  </si>
  <si>
    <t>60022144;60022144</t>
  </si>
  <si>
    <t>6604012410;7103231658</t>
  </si>
  <si>
    <t>Madamopoulos, Nicholas;Riza, Nabeel A.</t>
  </si>
  <si>
    <t>Madamopoulos N.</t>
  </si>
  <si>
    <t>Polarization selective hologram-based photonic delay lines</t>
  </si>
  <si>
    <t>S003040189800501X</t>
  </si>
  <si>
    <t>10.1016/S0030-4018(98)00501-X</t>
  </si>
  <si>
    <t>2-s2.0-0032304980</t>
  </si>
  <si>
    <t>['viii ),', 'related experiments', 'possible using', 'held terminal', 'broadcasting mission', 'band using']</t>
  </si>
  <si>
    <t>BFN | ETS-VIII | GEO | Mobile communications | Packet switching</t>
  </si>
  <si>
    <t>R&amp;D on a mobile communication system with S-band using a geostationary earth orbit satellite is being carried out in Japan. Its communication and broadcasting mission will be loaded on the Engineering Test Satellite VIII (ETS-VIII), which will be launched in 2002, and related experiments are planned for the following three years. In order to achieve seamless data communication with IMT-2000 (International Mobile Telecommunications-2000)-based users, we set a target whereby voice communication and low speed data communication would be possible using a hand-held terminal, and high-speed data communication and packet communication would be possible using a terminal on a car. To achieve the mission, developments such as a large on-board deployable reflector are necessary. Here we focus the discussion on the antenna feed system and the packet switching system which are being developed in Japan in the Communications Research Laboratory.</t>
  </si>
  <si>
    <t>55-63</t>
  </si>
  <si>
    <t>60032325;60032325;60032325</t>
  </si>
  <si>
    <t>14046853800;35230437500;36950526800</t>
  </si>
  <si>
    <t>Hama, Shin'ichi;Matsumoto, Yasushi;Taira, Shin'ichi</t>
  </si>
  <si>
    <t>Hama S.</t>
  </si>
  <si>
    <t>GEO based mobile communication of the near future - BFN and packet switch on the ETS-VIII satellite</t>
  </si>
  <si>
    <t>2-s2.0-0032305319</t>
  </si>
  <si>
    <t>['varying linearly', 'sio2 interface', 'negative depending', 'hotcarrier stressing', 'device may', 'charging voltoage', 'carrier response', 'antenna ratio']</t>
  </si>
  <si>
    <t>Hot-carrier stressing | Oxide reliability | Plasma-etch damage | Wafer-level reliability</t>
  </si>
  <si>
    <t>Plasma-process-induced charting voltage for a device may be positive (gate is positive with respect to the substrate) or negative depending on the location of the device on the wafer. The negative charging damage increases the number of trapped boles doser to Si-SiO2 interface while the positive charging damage does not. This number of trapped holes also depends on the antenna ratio. The trapped holes closer to the Si-SiO2 interface gets compensated by hot electrons injected during hotcarrier stressing. Thus, the type of charging voltoage and the antenna size determines the hot-carrier response of a device. In addition, the differences in hot-carrier response for devices with varying antenna ratio are shown to be varying linearly with the differences in prestress subthreshold characteristics. This finding has the potential to reduce the hot-carrier stressing time or determine the most vulnerable devices without actually carrying out the experiments.</t>
  </si>
  <si>
    <t>IEEE Electron Device Letters</t>
  </si>
  <si>
    <t>60018708;60003915;60003915-60000251;60018489;60003915-60000251</t>
  </si>
  <si>
    <t>6507822305;57196691402;7003945493;7007183612;54680937200</t>
  </si>
  <si>
    <t>Janapaty, V.;Oner, M.;Bhuva, B. L.;Bui, N.;Kems, S. E.</t>
  </si>
  <si>
    <t>Milpitas;Sunnyvale;Nashville;New York</t>
  </si>
  <si>
    <t>LSI Corporation;Advanced Micro Devices, Inc.;Vanderbilt University;IEEE</t>
  </si>
  <si>
    <t>60018708;60018489;60003915;60000251</t>
  </si>
  <si>
    <t>Janapaty V.</t>
  </si>
  <si>
    <t>Effects of die location on hot-carrier response of plasma-etched NMOS devices</t>
  </si>
  <si>
    <t>S074131069809065X</t>
  </si>
  <si>
    <t>10.1109/55.735744</t>
  </si>
  <si>
    <t>2-s2.0-0032305434</t>
  </si>
  <si>
    <t>['variable bandwidth', 'rainbow actuators', 'parasitic element', 'one method', 'major weakness', 'increase bandwidth', 'higher frequencies', 'five increase', 'dielectric plate', 'design process', 'antennas operating', 'antenna bandwidth', '1 cm']</t>
  </si>
  <si>
    <t>The major weakness of a microstrip patch antenna is its narrow bandwidth characteristic. One method that has been investigated to increase bandwidth is the addition of a parasitic element to the microstrip patch antenna. In an active microstrip patch antenna, variable bandwidth can be achieved by varying the spacing between the antenna and the parasitic element, which is fixed to a dielectric plate. In the study an actuator is developed, tested and employed on an actual microstrip patch antenna and its parasite. Since a relatively large displacement (1 cm) is needed, the actuator is comprised of a stack of RAINBOW actuators This study takes advantage of the tact that, for antennas operating at higher frequencies, smaller absolute displacements will result in significant percentage changes in antenna bandwidth. The use of the parasite and the active system accounted for up to a factor of five increase in antenna bandwidth. Vanous control techniques were employed to counteract the effects of hysteresis and creep on the actuator. Because the use ol metal components can degrade antenna performance, emphasis was placed on synergy in the design process.</t>
  </si>
  <si>
    <t>792-800</t>
  </si>
  <si>
    <t>60003500;60003500;60027646</t>
  </si>
  <si>
    <t>8135220100;35580630500;7101803680</t>
  </si>
  <si>
    <t>Kiely, Edward;Washington, Gregory;Bernhard, Jennifer</t>
  </si>
  <si>
    <t>Durham;Columbus</t>
  </si>
  <si>
    <t>University System of New Hampshire;The Ohio State University</t>
  </si>
  <si>
    <t>60027646;60003500</t>
  </si>
  <si>
    <t>Kiely E.</t>
  </si>
  <si>
    <t>Design and development of smart microstrip patch antennas</t>
  </si>
  <si>
    <t>S0964172698966812</t>
  </si>
  <si>
    <t>10.1088/0964-1726/7/6/007</t>
  </si>
  <si>
    <t>2-s2.0-0032308958</t>
  </si>
  <si>
    <t>['two types', 'six types', 'significant contribution', 'side antennae', 'rf power', 'results suggest', 'radio frequency', 'plasma production', 'plasma produced', 'plasma emission', 'magnetic field', 'located outside', 'like rf', 'iis increased', 'highest value', 'filling pressure', 'axial directions', 'antennae showed']</t>
  </si>
  <si>
    <t>Plasma production studies excited by the radio frequency (RF) wave were carried out using various antenna configurations. Six types of side antennae, located outside the large cylindrical chamber, and two types of internal loop antennae were tested. The ion saturation current Iis of a probe and the plasma emission were measured as a function of the filling pressure, the RF power and the magnetic field. With the increase in the power and the magnetic field, Iis increased in most cases, while some of the antennae showed the maximum Iis values under low magnetic field. Among the side antennae, a spiral antenna produced the highest value of Iis in a wide operational window. For the case of the internal loop antennae, the electric field parallel to the magnetic field did not show a significant contribution to plasma production. These results suggest the importance of the loop-like RF-induced electric field. When an external magnetic field was applied, the uniformity of the plasma produced by the internal loop antennae in both the radial and axial directions was improved. ¬© 1998 IOP Publishing Ltd.</t>
  </si>
  <si>
    <t>2081-2095</t>
  </si>
  <si>
    <t>7102082310;8613171400</t>
  </si>
  <si>
    <t>Shinohara, Shunjiro;Soejima, Tsutomu</t>
  </si>
  <si>
    <t>Trials of RF plasma production using different antenna geometries with magnetic field</t>
  </si>
  <si>
    <t>S0741333598947340</t>
  </si>
  <si>
    <t>10.1088/0741-3335/40/12/008</t>
  </si>
  <si>
    <t>2-s2.0-0032309089</t>
  </si>
  <si>
    <t>['space division', 'scenarios studied', 'satellite customers', 'reconfigurable architecture', 'fixed one', 'end users']</t>
  </si>
  <si>
    <t>Multiple operation alternatives with reconfigurable scenarios may be offered to satellite customers and end users. The purpose of this paper by Maria Jesus Martin Jimenez of CASA, Space Division, Madrid and Leandro de Haro Ariet of University of Madrid, Spain, is to envisage a rationale to evaluate the applicability of the reconfigurable architecture to replace the fixed one. The method has shown high figure of merit of such systems in most of the scenarios studied.</t>
  </si>
  <si>
    <t>43-50</t>
  </si>
  <si>
    <t>100409189;100409189</t>
  </si>
  <si>
    <t>6603867450;6602619971</t>
  </si>
  <si>
    <t>Martin Jimenez, Maria Jesus;de Haro Ariet, Leandro</t>
  </si>
  <si>
    <t>CASA</t>
  </si>
  <si>
    <t>Martin Jimenez M.</t>
  </si>
  <si>
    <t>Evaluation of reconfigurable antennas for communications satellites</t>
  </si>
  <si>
    <t>2-s2.0-0032309387</t>
  </si>
  <si>
    <t>['paper describes', 'optical inter', 'nasda program', 'measured performances', 'many devices', 'luce em', 'engineering model']</t>
  </si>
  <si>
    <t>Engineering Model of LUCE (Laser Utilizing Communications Equipment) is now under production in the frame of OICETS (Optical Inter-Orbit Communications Engineering Satellite) NASDA program. Many devices and components to realize required functions of LUCE have been developed and characterized. This paper describes the design and measured performances of devices and components for LUCE EM and Optical Antenna STM.</t>
  </si>
  <si>
    <t>60031293;60031293</t>
  </si>
  <si>
    <t>7402471464;6602256678</t>
  </si>
  <si>
    <t>Koyama, Y.;Shiratama, K.</t>
  </si>
  <si>
    <t>Koyama Y.</t>
  </si>
  <si>
    <t>Development of laser communication terminal for OICETS</t>
  </si>
  <si>
    <t>2-s2.0-0032310362</t>
  </si>
  <si>
    <t>['paper presents', 'electromagnetic waves', 'closely tuned', 'array resonances', 'array resonance', 'absorbing surfaces']</t>
  </si>
  <si>
    <t>This paper presents a discrete domain analysis for plane wave scattering from passive microstrip structure over a wide frequency band. The analysis shows multi-TM0 leaky wave resonances follow the dips in the reflection coefficient characteristic curve. These resonances are classified as an element or array resonance. A structure of Y-shaped patch array, with element and array resonances are closely tuned, is proposed for the development of absorbing surfaces of electromagnetic waves over a moderate frequency band.</t>
  </si>
  <si>
    <t>17-25</t>
  </si>
  <si>
    <t>Modelling, measurement and control. A, general physics, electronics, electrical engineering</t>
  </si>
  <si>
    <t>60032320;60032320;60032320;60032320</t>
  </si>
  <si>
    <t>7101871837;57023291000;55582327600;6602084482</t>
  </si>
  <si>
    <t>Ragab, A. S.;Mokhtar, M.;Allam, A. M.;Ibraheem, S. M.</t>
  </si>
  <si>
    <t>Egypt</t>
  </si>
  <si>
    <t>Cairo</t>
  </si>
  <si>
    <t>Military Technical College, Cairo</t>
  </si>
  <si>
    <t>Ragab A.</t>
  </si>
  <si>
    <t>Plane wave scattering from microstrip passive arrays</t>
  </si>
  <si>
    <t>2-s2.0-0032312428</t>
  </si>
  <si>
    <t>['via holes', 'uniform plasma', 'two types', 'rights reserved', 'one type', 'mos capacitors', 'metal deposition', 'damage depends', 'clean plasma', 'aspect ratios', 'asa result', 'antenna structures']</t>
  </si>
  <si>
    <t>Charge damage occurring when via contact hole is exposed in sputter etch pre-cleaning process using Ar gas plasma prior to metal deposition was studied, MOS capacitors with two types of antenna structures were prepared to study this damage, one type is the expose antenna used to examine damage caused by non-uniform plasma and the other is the via hole antenna used to examine electron shading damage. No damage is detected in MOS capacitors having the expose antenna structure, whereas the damage is observed in the via hole antenna structure. This damage depends on the number of via holes and their aspect ratios. Asa result of this study we found the damage by pre-clean plasma is caused by electron shading effects. ¬© 1998 Elsevier Science Ltd. All rights reserved.</t>
  </si>
  <si>
    <t>555-558</t>
  </si>
  <si>
    <t>60007951;60007951;60007951;60007951</t>
  </si>
  <si>
    <t>7202591295;7410329311;7406270638;7005557437</t>
  </si>
  <si>
    <t>Aoyama, M.;Ito, T.;Inoue, M.;Shioya, Y.</t>
  </si>
  <si>
    <t>Aoyama M.</t>
  </si>
  <si>
    <t>Shading damage in sputter cleaning using Ar gas plasma</t>
  </si>
  <si>
    <t>S0042207X98002498</t>
  </si>
  <si>
    <t>10.1016/s0042-207x(98)00249-8</t>
  </si>
  <si>
    <t>2-s2.0-0032313288</t>
  </si>
  <si>
    <t>['spectral efficiency', 'principal driver', 'network operators', 'many advantages', 'business opportunities', 'analog carrier']</t>
  </si>
  <si>
    <t>Digital compression benefits end-users and network operators and leads to more business opportunities. Spectral efficiency is currently the principal driver of digital video transmission technology. The marketplace is discovering that an MPEG-2/DVB digital carrier has many advantages over an analog carrier.</t>
  </si>
  <si>
    <t>34-38</t>
  </si>
  <si>
    <t>Popovic, Misko</t>
  </si>
  <si>
    <t>INTELSAT</t>
  </si>
  <si>
    <t>Popovic M.</t>
  </si>
  <si>
    <t>Moving forward in the digital world</t>
  </si>
  <si>
    <t>2-s2.0-0032313957</t>
  </si>
  <si>
    <t>['within 1', 'wireless channels', 'viterbi decoder', 'thus remedying', 'tentative decisions', 'symbol period', 'soft decisions', 'snr )]', 'simple method', 'several tens', 'required signal', 'rayleigh fading', 'perform almost', 'paper introduces', 'nonlinear device', 'noise ratio', 'new approach', 'large delays', 'isi ).', 'increasing effect', 'error propagation', 'dfe uses', 'dfe output', 'dfe ).', 'delay spreads', 'antenna diversity', '2 db']</t>
  </si>
  <si>
    <t>Convolutional coding | Equalization | Wireless communications</t>
  </si>
  <si>
    <t>This paper introduces a new approach for joint convolutional coding and decision feedback equalization (DFE). To minimize error propagation, the DFE uses a combination of soft decisions and delayed tentative decisions to cancel intersymbol interference (ISI). Soft decisions are obtained by passing the DFE output through a (soft) nonlinear device. This simple method is shown to perform almost as well as an optimum soft feedback approach on wireless channels with diversity. Tentative decisions from the Viterbi decoder are used to cancel ISI due to multipath with large delays, thus remedying the increasing effect of error propagation in channels with large delay spreads. We consider the use of this soft/delayed feedback DFE (S/D-DFE) technique in broadband wireless channels (with delay spreads up to several tens of the symbol period) typical in high-bit-rate mobile data applications. Simulation results indicate that the proposed joint coding and S/D-DFE technique performs to within 1-2 dB [in required signal-to-noise ratio (SNR)] of an ideal coded DFE without error propagation. When combined with antenna diversity and a reduced-complexity DFE concept with adaptive feedforward tap assignment, it provides high packet throughput against Rayleigh fading, severe delay spreads, and high Doppler rates.</t>
  </si>
  <si>
    <t>1670-1678</t>
  </si>
  <si>
    <t>60000251-100358783-60011001-60023456-60014300-100882269;60000251-60014300</t>
  </si>
  <si>
    <t>7006783653;57195633181</t>
  </si>
  <si>
    <t>Ariyavisitakul, Sirikiat Lek;Li, Ye</t>
  </si>
  <si>
    <t>United States;United States;Japan;United States;Japan;United States</t>
  </si>
  <si>
    <t>Piscataway;San Antonio;Kyoto;New York;;Norcross</t>
  </si>
  <si>
    <t>Telcordia Technologies, Inc.;AT&amp;T Inc.;Kyoto University;IEEE;Inst. Electronics;Home Wireless Networks</t>
  </si>
  <si>
    <t>60023456;60014300;60011001;60000251;100882269;100358783</t>
  </si>
  <si>
    <t>Joint coding and decision feedback equalization for broadband wireless channels</t>
  </si>
  <si>
    <t>S0733871698086557</t>
  </si>
  <si>
    <t>10.1109/49.737636</t>
  </si>
  <si>
    <t>2-s2.0-0032315466</t>
  </si>
  <si>
    <t>['wide range', 'substrate thicknesses', 'results obtained', 'reported elsewhere', 'new method', 'microstrip antennas', 'aided design']</t>
  </si>
  <si>
    <t>A new method based on the backpropagation multilayered perceptron network for calculating the bandwidth of resonant rectangular microstrip patch antennas is presented. The method can be used for a wide range of substrate thicknesses and permittivities, and is useful for the computer-aided design (CAD) of microstrip antennas. The results obtained by using this new method are in conformity with those reported elsewhere. This method may find wide applications in high-frequency printed antennas, especially at the millimeter-wave frequency range.</t>
  </si>
  <si>
    <t>37-47</t>
  </si>
  <si>
    <t>1300686X</t>
  </si>
  <si>
    <t>Mathematical and Computational Applications</t>
  </si>
  <si>
    <t>Sagiroglu, Seref;Guney, Kerim;Erler, Mehmet</t>
  </si>
  <si>
    <t>Neural computing of the bandwidth of resonant rectangular microstrip antennas</t>
  </si>
  <si>
    <t>2-s2.0-0032320176</t>
  </si>
  <si>
    <t>The quasi-optical antenna-mixer system transforms a radio frequency (RF) signal into an intermediate-frequency signal as soon as the system receives the RF and local oscillator's (LO) signals spatially. We propose a novel beam scanning system with a quasi-optical antenna-mixer array. The traditional phased array needs RF circuits such as phase shifters for beam scanning, but our system can steer the beam without them. RF arrival direction is steered by changing the LO incidence angle and/or frequency. Therefore, not only are losses reduced in RF circuits, but the system is easily designed because of its simple structure. First, we describe the principle of beam scanning with concrete model. Next, a fabricated model working in the microwave band is tested to verify beam-scanning performance. The experimental results agree with the theory very well and our proposal is confirmed.</t>
  </si>
  <si>
    <t>60014652;60014652;60014652;60014652</t>
  </si>
  <si>
    <t>10.1002/(SICI)1520-6424(199812)81:12&lt;1::AID-ECJA1&gt;3.0.CO;2-9</t>
  </si>
  <si>
    <t>2-s2.0-0032343284</t>
  </si>
  <si>
    <t>['workers maintain', 'workers display', 'workers burdened', 'well adapted', 'tips 3', 'reserve behavior', 'prey succeeds', 'prey ).', 'paths corresponding', 'paths appear', 'mandibles open', 'highly excited', 'held 8', 'height varying', 'generally going', 'g .,', 'four types', 'extremely rectilinear', 'even erratic', 'different situations', 'concentrated searching', 'closed mandibles', 'behavior accordingly', 'average speed', 'antennae foreword', '3 mm']</t>
  </si>
  <si>
    <t>Foragers of the predatory ant Pachycondyla villosa follow four types of paths corresponding to: "classical" exploration, area-concentrated searching, reserve behavior and homing. During "classical" exploration, the workers maintain a posture that is characterized by closed mandibles, with the apices of the antennae, held 8 to 10 mm apart, placed at a height varying from 1.5 to 3 mm. The same posture is observed at the time of "area-concentrated" searching when faced with a group of termites. The average speed is then lower and the paths more sinuous. When a prey succeeds in escaping, the workers display a "reserve behavior" whereby they appear to be highly excited; they keep their mandibles open and move very quickly, following a path that may vary according to the circumstances. It may be extremely rectilinear (generally going in the direction of the prey), circular and then rosette-like when a prey suddenly escapes from the ants' detection, or even erratic. When homing, a behavior which is generally very directional, the workers burdened with small prey place their antennae foreword, tips 3 to 5 mm apart and held very close to the ground. The characteristics of the four types of paths appear to be well adapted to different situations (e.g., the encounter of a group of prey or the escape of a prey). A worker is able to modify its behavior accordingly and, as such, increase its efficacy.</t>
  </si>
  <si>
    <t>409-426</t>
  </si>
  <si>
    <t>Sociobiology</t>
  </si>
  <si>
    <t>60250859;60138276</t>
  </si>
  <si>
    <t>7102263144;6701685826</t>
  </si>
  <si>
    <t>Dejean, A.;Corbara, B.</t>
  </si>
  <si>
    <t>Villetaneuse;Clermont-Ferrand</t>
  </si>
  <si>
    <t>Laboratoire d'Ethologie Exp√©rimentale et Compar√©e (LEEC);Universit√© Clermont Auvergne</t>
  </si>
  <si>
    <t>Dejean A.</t>
  </si>
  <si>
    <t>Study of different foraging paths of the predatory neotropical ponerine ant pachycondyla (=Neoponera) villosa (Hymenoptera, Formicidae)</t>
  </si>
  <si>
    <t>2-s2.0-0032359318</t>
  </si>
  <si>
    <t>['workers varies', 'workers place', 'workers antennate', 'worker antennates', 'unequivocally demonstrate', 'three subfamilies', 'proper position', 'produce honeydew', 'plant hopper', 'one adult', 'micrantha cultivated', 'latter attracts', 'laboratory conditions', 'isolated adults', 'hopper ready', 'honeydew excretion', 'get honeydew', 'genus bridelia', 'formicinae ).', 'first droplet', 'excreted droplets', 'excrete honeydew', 'euphyonarthex phyllostoma', 'entire period', 'dorsal regions', 'camponotus brutus', 'body areas', 'behavior varied', 'attending worker', 'ants belonging', 'antennation continues', 'antennae slowly', 'always associated', '17 species']</t>
  </si>
  <si>
    <t>During a five-year field study we noted that Euphyonarthex phyllostoma (Fulgoromorpha, Tettigometridae) was always associated with plants of the genus Bridelia (Euphorbiaceae), particularly with B. micrantha. Moreover, we gathered arguments permitting us to unequivocally demonstrate that this plant hopper is a myrmecophile. Isolated adults were attended by ants belonging to 17 species and three subfamilies, while colonies were only associated with Camponotus brutus or C. acvapimensis (Formicinae). The behavior of the workers of C. brutus during the solicitation of honeydew was studied in detail. The position of the workers varies as a function of the size of the nymphs of the hopper. The workers place themselves at the side of clusters of small first instar nymphs, moving their antennae slowly above the nymphs. The workers antennate the extremity of the abdomen of the nymphs which begin to produce honeydew. This antennation continues during the entire period of honeydew excretion. In contrast, generally only one worker attends one last instar nymph or one adult and places itself behind the hopper. The worker antennates the dorsal regions of the abdomen and the thorax of the hopper in broad prolonged movements. A hopper ready to secrete honeydew raises its body; in response, the worker folds back the antennae and palpates the apex of the hopper's abdomen, all the while absorbing the excreted droplets. If an attending worker is not in the proper position when the hopper is ready to excrete honeydew, the latter attracts the ant by alternating the extrusion and withdrawal of the first droplet. All other arboreal ant species tested under laboratory conditions (B. micrantha cultivated in planters) were able to get honeydew from both adults and nymphs, even those not recorded as being associated with the hopper in nature. Behavior varied with the workers' size, but the same body areas of the hopper were palpated.</t>
  </si>
  <si>
    <t>91-100</t>
  </si>
  <si>
    <t>60250859;60028311</t>
  </si>
  <si>
    <t>7102263144;6603737928</t>
  </si>
  <si>
    <t>Dejean, A.;Bourgoin, T.</t>
  </si>
  <si>
    <t>Villetaneuse;Paris</t>
  </si>
  <si>
    <t>Laboratoire d'Ethologie Exp√©rimentale et Compar√©e (LEEC);Museum National d'Histoire Naturelle</t>
  </si>
  <si>
    <t>Relationships between ants (Hymenoptera: Formicidae) and Euphyonarthex phyllostoma (Hemiptera: Tettigometridae)</t>
  </si>
  <si>
    <t>2-s2.0-0032371922</t>
  </si>
  <si>
    <t>['workers toward', 'tibial glands', 'tibial gland', 'social organization', 'secretion signals', 'reproductive state', 'reproductive dominance', 'reproductive activity', 'mutual rubbings', 'might respond', 'mated queen', 'laying queens', 'inseminated queens', 'encountered nestmates', 'closely linked', 'ants rub']</t>
  </si>
  <si>
    <t>In the ponerine ant species Pachycondyla stigma the social organization and reproductive activity is closely linked with the rate at which individual colony members perform mutual antennal rubbings with nestmates. During these encounters the ants rub their antennae over the openings of a front-tibial gland of the encountered nestmates. The inseminated queen engaged in such mutual rubbings at a much higher rate than non-inseminated queens and workers. The reproductive dominance of the mated queen was further enhanced by extremely aggressive behavior of workers toward other egg-laying queens. Once the mated queen was removed from the colony, mutual antennal rubbings among virgin queens and aggressive behavior increased. We hypothesize that the tibial glands in the front-legs of queens produce either an inhibitory chemical signal, or more likely, the secretion signals the reproductive state to nestmates who might respond by refraining from reproduction.</t>
  </si>
  <si>
    <t>60029570;60108337;60108337</t>
  </si>
  <si>
    <t>7102098015;6603356465;7005715910</t>
  </si>
  <si>
    <t>Oliveira, Paulo S.;Obermayer, Malu;H√∂lldobler, Bert</t>
  </si>
  <si>
    <t>Germany;Brazil</t>
  </si>
  <si>
    <t>Wurzburg;Campinas</t>
  </si>
  <si>
    <t>Biozentrum der Universit√§t W√ºrzburg;Universidade Estadual de Campinas</t>
  </si>
  <si>
    <t>60108337;60029570</t>
  </si>
  <si>
    <t>Oliveira P.S.</t>
  </si>
  <si>
    <t>Division of labor in the neotropical ant, Pachycondyla stigma (Ponerinae), with special reference to mutual antennal rubbing between nestmates (Hymenoptera)</t>
  </si>
  <si>
    <t>2-s2.0-0032372748</t>
  </si>
  <si>
    <t>['use device', 'special care', 'spatial coordinates', 'small rod', 'results show', 'reference position', 'pelvic rotation', 'francis group', 'article describes', 'antenna position', '5 %.', '10 %.']</t>
  </si>
  <si>
    <t>Maximum pressure | Palpation | Pelvic rotation Posture | Pelvis | Rigid body | Sitting</t>
  </si>
  <si>
    <t>A simple and easy-to-use device for measuring forward ‚Äî backward rotation of the pelvis is introduced. It consists of a small rod, which can be attached to the skin of the sacrum. This ‚Äòantenna‚Äô follows the movements of the pelvis. The article describes the use of this device and the calibration of this method; to this end the antenna position is related to the ‚Äòactual‚Äô rotation of the pelvis, defined as the rotation of a set of easily palpable landmarks. Each landmark is found by palpation and its spatial coordinates are measured with a palpator. The results show that pelvic rotation with respect to a reference position can be obtained with an inaccuracy of 10%. With special care this can be reduced to 5%. ¬© 1998 Taylor &amp; Francis Group, LLC.</t>
  </si>
  <si>
    <t>Ergonomics</t>
  </si>
  <si>
    <t>Moes, C. C.M.</t>
  </si>
  <si>
    <t>Faculteit Industrieel Ontwerpen, TU Delft</t>
  </si>
  <si>
    <t>Moes C.C.M.</t>
  </si>
  <si>
    <t>Measuring the tilt of the pelvis</t>
  </si>
  <si>
    <t>10.1080/001401398185992</t>
  </si>
  <si>
    <t>2-s2.0-0032401576</t>
  </si>
  <si>
    <t>['tetraantennary structures', 'smaller amounts', 'sialic acid', 'salivary proline', 'rich glycoproteins', 'retention times', 'recognition processes', 'polyfucosylated glycans', 'phase hplc', 'peridontal pathogen', 'parotid glycoproteins', 'parotid gland', 'paper reports', 'one difucosylated', 'microbial flora', 'mass spectrometry', 'major glycan', 'mainly substituted', 'mainly bi', 'lubricating properties', 'human saliva', 'fusobacterium nucleatum', 'fully known', 'first time', 'exoglycosidase digestions', 'detailed structures', 'detailed structure', 'corresponding oligomers', 'bisected glycans', 'biological roles', 'assisted laser', 'arm fucosylation', 'antennary sugars', 'also found', 'acidic glycans', '17 368', '17 358', '., burlingame']</t>
  </si>
  <si>
    <t>Fucose | HPLC | Matrix-assisted laser- desorption/ionization MS | Oligosaccharide | Parotid gland</t>
  </si>
  <si>
    <t>The glycosylation of a number of constituents of human saliva is known to modify its biological roles, such as its lubricating properties and binding of microbial flora. Gillece-Castro et al. [Gillece-Castro, B. L., Prakobphol, A., Burlingame, A. L., Leffler, H. and Fisher, S. J. (1991) J. Biol. Chem. 266, 17 358-17 368] have proposed that the major glycan on the salivary proline-rich glycoproteins is a trifucosylated biantennary sugar with one difucosylated and one unfucosylated antenna: Furthermore, they proposed that the non-fucosylated antenna mediated adherence to a peridontal pathogen, Fusobacterium nucleatum. The detailed structures and roles of other highly fucosylated glycans that co-exist in the parotid gland are not fully known. In view of the influence of outer-arm fucosylation on carbohydrate recognition processes in general, this paper reports the use of a combination of HPLC (normal and reversed phase), matrix-assisted laser- desorption/ionisation (MALDI) mass spectrometry and exoglycosidase digestions to dissect the detailed structures of the most abundant of these polyfucosylated glycans. For measurement of reversed-phase HPLC retention times, new calibration units were used which paralleled the glucose units used for normal-phase HPLC. These differed in that the difference in retention times were compared with those derived from a ladder of 2- aminobenzamide-labelled arabinose oligomers instead of the corresponding oligomers from partially hydrolysed dextran. Over sixty neutral sugars were identified from the parotid gland and many of these were additionally found substituted with sialic acid (both Œ±2-3-linked and Œ±2-6-linked) and sulphate. These glycans were mainly bi- and tri-antennary sugars with up to five and seven fucose residues respectively, containing fucose Œ±1-3-linked to the outerarm GlcNAc residues and Œ±1-2-linked to the galactose. All fucosylated structures contained a core (Œ±16-linked) fucose. The detailed structure of the trifucosylated biantennary glycan was confirmed, together with the structures of another 12 fucosylated biantennary glycans. Smaller amounts of hybrid and tetraantennary structures were also found and bisected glycans were shown to be constituents of parotid glycoproteins for the first time. Acidic glycans were mainly substituted with sialic acid. Most were monosialylated as the presence of fucose on the antennae was found to suppress the addition of extra sialic acid moieties. The possible functional significance of highly fucosylated N-glycans is discussed in relation to their modification of the availability of other non-reducing terminal monosaccharides for recognition processes.</t>
  </si>
  <si>
    <t>623-656</t>
  </si>
  <si>
    <t>60002634;60002634;60002634;60002634;60002634;60002634;60002634;60002634;60002634</t>
  </si>
  <si>
    <t>6602389491;7202064593;56627260100;57207171954;7402779334;6701842103;7005622222;35399298000;7007068113</t>
  </si>
  <si>
    <t>Guile, Geoffrey R.;Harvey, David J.;O'Donnell, Niall;Powell, Andrew K.;Hunter, Ann P.;Zamze, Susanne;Fernandes, Daryl L.;Dwek, Raymond A.;Wing, David R.</t>
  </si>
  <si>
    <t>University of Oxford Medical Sciences Division</t>
  </si>
  <si>
    <t>Guile G.R.</t>
  </si>
  <si>
    <t>Identification of highly fucosylated N-linked oligosaccharides from the human parotid gland</t>
  </si>
  <si>
    <t>10.1046/j.1432-1327.1998.2580623.x</t>
  </si>
  <si>
    <t>2-s2.0-0032402884</t>
  </si>
  <si>
    <t>R43CA067598</t>
  </si>
  <si>
    <t>['ultrasound modalities', 'tumor location', 'translucent nature', 'tissue heterogeneity', 'system uses', 'surrounding lesion', 'robustly detected', 'microwave spectrum', 'method reviewed', 'malignant tumors', 'difference timedomain', 'dielectric properties', 'diameter could', 'detecting tumors', '5 cm', '2 mm']</t>
  </si>
  <si>
    <t>Biom√©dical electromagnetic imaging | Cancer | FDTD methods | Microwave antenna arrays | Numerical analysis | Scattering | Tumors</t>
  </si>
  <si>
    <t>A novel focused active microwave system is investigated for detecting tumors in the breast. In contrast to X-ray and ultrasound modalities, the method reviewed here exploits the breast-tissue physical properties unique to the microwave spectrum, namely, the translucent nature of normal breast tissues and the high dielectric contrast between malignant tumors and surrounding lesion-free normal breast tissues. The system uses a pulsed confocal technique and time-gating to enhance the detection of tumors while suppressing the effects of tissue heterogeneity and absorption. Using published data for the dielectric properties of normal breast tissues and malignant tumors, we have conducted a two-dimensional (2-D) finite-difference timedomain (FDTD) computational electromagnetics analysis of the system. The FDTD simulations showed that tumors as small as 2 mm in diameter could be robustly detected in the presence of the background clutter generated by the heterogeneity of the surrounding normal tissue. Lateral spatial resolution of the tumor location was found to be about 0.5 cm. ¬© 1998 IEEE.</t>
  </si>
  <si>
    <t>1470-1479</t>
  </si>
  <si>
    <t>60032179-100449386;60007363;60007363</t>
  </si>
  <si>
    <t>7003809691;7006104679;7102617827</t>
  </si>
  <si>
    <t>Hagness, Susan C.;Taflove, Alien;Bridges, Jack E.</t>
  </si>
  <si>
    <t>Madison;Evanston;Park Ridge</t>
  </si>
  <si>
    <t>University of Wisconsin-Madison;Northwestern University;Interstitial, Inc.</t>
  </si>
  <si>
    <t>60032179;60007363;100449386</t>
  </si>
  <si>
    <t>Hagness S.C.</t>
  </si>
  <si>
    <t>Two-dimensional FDTD analysis of a pulsed microwave confocal system for breast cancer detection: Fixed-focus and antenna-array sensors</t>
  </si>
  <si>
    <t>S001892949808848X</t>
  </si>
  <si>
    <t>10.1109/10.730440</t>
  </si>
  <si>
    <t>2-s2.0-0032403014</t>
  </si>
  <si>
    <t>['whole plants', 'whole cells', 'vivo substitution', 'stressed plants', 'situ detection', 'polar solvents', 'photosynthetic activity', 'new methods', 'higher concentrations', 'heavy metals', 'heavy metal', 'extreme heterogeneity', 'continuously measuring', 'chloroplasts ).', 'central atom', 'avoiding artefacts', 'already disintegrating']</t>
  </si>
  <si>
    <t>Antenna pigments | Copper | Fluorescence microscopy | Fluorimetry | Spectroscopy | Zinc</t>
  </si>
  <si>
    <t>The in vivo substitution of magnesium, the central atom of chlorophyll, by heavy metals (mercury, copper, cadmium, nickel, zinc, lead) leads to a breakdown in photosynthesis and is an important damage mechanism in heavy metal-stressed plants. In this study, a number of methods are presented for the efficient in situ detection of this substitution (i.e. in whole plants or in chloroplasts). While macroscopic observations point to the formation of heavy metal chlorophylls at higher concentrations, fluorescence microscopy enables the detection of this reaction at very low substitution rates. Therefore, the course of the reaction can be followed by continuously measuring the fluorescence of whole plants. Furthermore absorbance spectroscopy of whole cells or isolated chloroplasts also enables the in situ detection of heavy metal chlorophylls. These methods provide practicable approaches in detecting the formation of these compounds in situ, avoiding artefacts that might occur using extraction methods based on polar solvents. In addition to the new methods for in situ detection, an extreme heterogeneity in the reaction of cells in the same tissue upon heavy metal stress was observed: while some cells are already disintegrating, others still show normal fluorescence and photosynthetic activity. Measurements of fluorescence kinetics gave a further hint that in high light intensity a substitution of Mg by heavy metals might take place specifically in PS II reaction centres.</t>
  </si>
  <si>
    <t>123-133</t>
  </si>
  <si>
    <t>60025525;60026803;60016653</t>
  </si>
  <si>
    <t>7005308712;8433926800;7003863461</t>
  </si>
  <si>
    <t>K√ºpper, Hendrik;K√ºpper, Frithjof;Spiller, Martin</t>
  </si>
  <si>
    <t>France;Germany;Germany</t>
  </si>
  <si>
    <t>Roscoff;Konstanz;Aachen</t>
  </si>
  <si>
    <t>Station Biologique de Roscoff;Universit√§t Konstanz;Rheinisch-Westf√§lische Technische Hochschule Aachen</t>
  </si>
  <si>
    <t>60026803;60025525;60016653</t>
  </si>
  <si>
    <t>K√ºpper H.</t>
  </si>
  <si>
    <t>In situ detection of heavy metal substituted chlorophylls in water plants</t>
  </si>
  <si>
    <t>10.1023/A:1006132608181</t>
  </si>
  <si>
    <t>2-s2.0-0032411208</t>
  </si>
  <si>
    <t>GRK 174/3</t>
  </si>
  <si>
    <t>['x ).', 'whole cells', 'time constants', 'time constant', 'slow phases', 'significant fraction', 'second phase', 'relative electrogenicity', 'quantitative analysis', 'probably quinones', 'poorly connected', 'photovoltage kinetics', 'observation indicates', 'fluorescence yields', 'fluorescence spectra', 'energy transfer', 'endogenous quenchers', 'depleted membranes', 'chlorosomes via', 'chlorobium limicola', 'bchl c', '840 nm', '532 nm', '23 %)']</t>
  </si>
  <si>
    <t>Charge stabilization | Energy transfer | Fluorescence quenching | FMO-protein | Green sulfur bacterium | Trapping</t>
  </si>
  <si>
    <t>Energy transfer kinetics and primary charge separation were studied in whole cells and in chlorosome-depleted membranes of Chlorobium limicola by ps-fluorescence and ps-photovoltage as well as by stationary fluorescence spectroscopy. The fluorescence decay kinetics of whole cells indicate a sequential energy transfer from the chlorosomes via the baseplates and the Fenna-Matthews-Olson-protein (FMO) to the core-complexes with time constants of 35 ¬± 4 ps and 95 ¬± 10 ps, respectively. The quantitative analysis of fluorescence spectra and the occurrence of slow phases in the fluorescence decays reveal that in whole cells a significant fraction of BChl c in the chlorosome and of BChl a in the baseplate-FMO-protein is poorly connected to the core-complexes. The photovoltage kinetics of whole cells upon excitation in the chlorosome (Œª(ex) = 532 nm) consisted of two electrogenic phases with time constants of 121 ¬± 10 ps and 575 ¬± 140 ps. The ‚âÉ 120 ps phase is composed of energy transfer from the baseplate-FMO-protein to the core-complex and trapping from the core-complexes by P+A0- formation. The second phase (relative electrogenicity of 23%) is a charge stabilization step, probably from the first electron acceptor, A0, to the secondary electron acceptor F(x). When the core-complexes were excited (Œª(ex) = 840 nm) the photovoltage kinetics also consisted of two electrogenic phases, but the first phase showed a time constant of 23 ¬± 6 ps. This phase reflects exclusively trapping from the core-complexes by P+A0- formation. In dark-adapted whole cells the fluorescence yields of the peripheral antenna complexes increased strongly upon background illumination. This observation indicates the disappearance of endogenous quenchers, probably quinones.</t>
  </si>
  <si>
    <t>57-70</t>
  </si>
  <si>
    <t>60003878;60009731</t>
  </si>
  <si>
    <t>55464614500;57202396392</t>
  </si>
  <si>
    <t>Schmidt, Kristiane A.;Trissl, Hans Wilhelm</t>
  </si>
  <si>
    <t>Osnabruck;Leiden</t>
  </si>
  <si>
    <t>Universit√§t Osnabr√ºck;Sterrewacht Leiden</t>
  </si>
  <si>
    <t>60009731;60003878</t>
  </si>
  <si>
    <t>Schmidt K.</t>
  </si>
  <si>
    <t>Combined fluorescence and photovoltage studies on chlorosome containing bacteria: II. Whole cells and chlorosome-depleted membranes of Chlorobium limicola</t>
  </si>
  <si>
    <t>10.1023/A:1006093627724</t>
  </si>
  <si>
    <t>2-s2.0-0032415574</t>
  </si>
  <si>
    <t>['torino ),', 'test applied', 'strongly conditioned', 'site problems', 'itrf96 solutions', 'fact shows', 'deformation analysis', 'cm corresponding', 'central europe', 'care used']</t>
  </si>
  <si>
    <t>Displacement field | GPS permanent stations | Italian region | Statistical analysis</t>
  </si>
  <si>
    <t>A network of nine permanent GPS stations, six of them located in Italy (Cagliari, Matera, Medicina, Noto, Padova and Torino), the other three in Central Europe (Graz, Zimmervald and Wettzell) was been analyzed four times from October 1996 till 1998. After the GPS data processing, a rigorous statistical analysis based on the F (Fisher) test applied on the detected coordinate differences showed significant displacement at Matera, Medicina and Noto. The mean velocities computed for these sites with respect to Wettzell are (0.6 ¬± 0.3) cm/yr for Matera, (0.7 ¬± 0.2) cm/yr for Medicina and (0.6 ¬± 0.3) cm/yr for Noto. GPS velocities agree with those derived by VLBI and ITRF96 solutions, provided error ellipses are taken into account. The deformation analysis of the last time span shows a suspicious horizontal jump at Padova of (1.0 ¬± 0.1) cm corresponding to an antenna changing within the same period. This fact shows, in spite of the care used in permanent GPS installation, how the results of the deformation analysis may be strongly conditioned by site problems.</t>
  </si>
  <si>
    <t>233-240</t>
  </si>
  <si>
    <t>Annali di Geofisica</t>
  </si>
  <si>
    <t>60000243;60028218</t>
  </si>
  <si>
    <t>7003342502;6508369812</t>
  </si>
  <si>
    <t>Riguzzi, Federica;Zanutta, Antonio</t>
  </si>
  <si>
    <t>Alma Mater Studiorum Universit√† di Bologna;Istituto Nazionale Di Geofisica E Vulcanologia, Rome</t>
  </si>
  <si>
    <t>60028218;60000243</t>
  </si>
  <si>
    <t>Riguzzi F.</t>
  </si>
  <si>
    <t>Displacement field of the Italian area from permanent GPS stations</t>
  </si>
  <si>
    <t>2-s2.0-0032417374</t>
  </si>
  <si>
    <t>DE-FC36-98GO10278</t>
  </si>
  <si>
    <t>['showed signs', 'psi ).', 'photosynthesis saturated', 'occurring prior', 'normally pigmented', 'maximal rates', 'max ))', 'grown cells', 'exponential phase', 'enhanced p', 'dunaliella salina', 'deep green', 'currently achieved', 'cultures acclimated', 'continuous low', 'chronic photoinhibition', 'chloroplast thylakoids', 'batch cultures', 'algal strains', '500 chlorophyll']</t>
  </si>
  <si>
    <t>Chlorophyll antenna size | Damage and repair cycle | Dunaliella salina | Photoinhibition | Photon use efficiency | Photosynthesis</t>
  </si>
  <si>
    <t>The photon use efficiencies and maximal rates of photosynthesis in Dunaliella salina (Chlorophyta) cultures acclimated to different light intensities were investigated. Batch cultures were grown to the mid-exponential phase under continuous low-light (LL: 100 Œºmol photon m-2 s-1) or high-light (HL: 2000 Œºmol photon m-2 s-1) conditions. Under LL, cells were normally pigmented (deep green) containing ~500 chlorophyll (Chl) molecules per photosystem II (PSII) unit and ~250 Chl molecules per photosystem I (PSI). HL-grown cells were yellowgreen, contained only 60 Chl per PSII and 100 Chl per PSI and showed signs of chronic photoinhibition, i.e., accumulation of photodamaged PSII reaction centers in the chloroplast thylakoids. In LL-grown cells, photosynthesis saturated at ~200 Œºmol photon m-2 s-1 with a rate (P(max)) of ~100 mmol O2 (mol Chl)-1 s-1. In HL-grown cells, photosynthesis saturated at much higher light intensities, i.e. ~2500 Œºmol photon m-2 s-1, and exhibited a three-fold higher P(max) (~300 mmol O2 (mol Chl)-1 s-1) than the normally pigmented LL-grown cells. Recovery of the HL-grown cells from photoinhibition, occurring prior to a light-harvesting Chl antenna size increase, enhanced P(max) to ~ 675 mmol O2 (mol Chl)-1 s-1. Extrapolation of these results to outdoor mass culture conditions suggested that algal strains with small Chl antenna size could exhibit 2-3 times higher productivities than currently achieved with normally pigmented cells.</t>
  </si>
  <si>
    <t>515-525</t>
  </si>
  <si>
    <t>Journal of Applied Phycology</t>
  </si>
  <si>
    <t>60121355;60121355;60121355</t>
  </si>
  <si>
    <t>57203081985;8132280500;7004689394</t>
  </si>
  <si>
    <t>Melis, Anastasios;Neidhardt, John;Benemann, John R.</t>
  </si>
  <si>
    <t>Melis A.</t>
  </si>
  <si>
    <t>Dunaliella salina (Chlorophyta) with small chlorophyll antenna sizes exhibit higher photosynthetic productivities and photon use efficiencies than normally pigmented cells</t>
  </si>
  <si>
    <t>10.1023/A:1008076231267</t>
  </si>
  <si>
    <t>2-s2.0-0032423858</t>
  </si>
  <si>
    <t>['thylakoid membranes', 'subchloroplast particles', 'smaller antennae', 'second maximum', 'inner parts', 'induction curve', 'grana thylakoids', 'first derivative', 'chlorophyll fluorescence', 'appressed regions', 'antenna sizes', 'actinic irradiance']</t>
  </si>
  <si>
    <t>Appressed and non-appressed thylakoids | Chlorophyll fluorescence induction | Pisum sativum</t>
  </si>
  <si>
    <t>The antenna sizes of Q(B)-reducing photosystem 2 (PS2) complexes in two different fractions of the subchloroplast particles were compared by measuring time corresponding to the second maximum of the first derivative from induction curve of chlorophyll fluorescence as a function of actinic irradiance. The Q(B)-reducing PS2 complexes in the fraction of particles that originated from inner parts of grana thylakoids had smaller antennae than those in the fraction from non-appressed regions of thylakoid membranes.</t>
  </si>
  <si>
    <t>269-272</t>
  </si>
  <si>
    <t>Kornyeyev, D. Y.</t>
  </si>
  <si>
    <t>Kornyeyev D.</t>
  </si>
  <si>
    <t>The antenna size of Q(B)-reducing photosystem 2 complexes in different fractions of subchloroplast particles</t>
  </si>
  <si>
    <t>10.1023/A:1006975210174</t>
  </si>
  <si>
    <t>2-s2.0-0032433002</t>
  </si>
  <si>
    <t>['west kyushu', 'volutator orientalis', 'usually used', 'sediment surface', 'second antenna', 'seasonal changes', 'peduncle length', 'parabolic relationship', 'occupied area', 'nutritional conditions', 'maximum level', 'maximum density', 'individual amphipod', 'head width', 'frequency distribution', 'factors must', 'collecting detritus', 'chemical factors', 'carrying capacity', 'area occupied', 'adult males', 'adult females']</t>
  </si>
  <si>
    <t>Carrying Capacity | Maximum density | Occupied area | Population dynamics</t>
  </si>
  <si>
    <t>The maximum density of the surface deposit feeder Corophium volutator orientalis was estimated from the sediment surface area occupied by an individual, which was defined as 'occupied area'. The occupied area of an individual was related to the peduncle length of the second antenna, which is usually used for collecting detritus on the sediment surface. The parabolic relationship between occupied area and head width of adult females was similar to those of young and juveniles. However, adult males had a larger occupied area than adult females of the same size. Seasonal changes of the maximum possible density of C. volutator orientalis in Shioiri-hama, West Kyushu, Japan were estimated from the frequency distribution of head width and the parabolic relationship between occupied area and head width. The density of the field population exceeded the estimated maximum density in May and June, when nutritional conditions may be the highest of the year, and increased again to the maximum level in October. Nutritional conditions and other physico-chemical factors such as temperature also affect the area occupied by an individual amphipod, therefore these factors must be included in the equation of occupied area when estimating the carrying capacity of a habitat.</t>
  </si>
  <si>
    <t>31-45</t>
  </si>
  <si>
    <t>Journal of Experimental Marine Biology and Ecology</t>
  </si>
  <si>
    <t>60002090;60011047</t>
  </si>
  <si>
    <t>7101849371;55628572283</t>
  </si>
  <si>
    <t>Omori, Koji;Tanaka, Masao</t>
  </si>
  <si>
    <t>Fukuoka;Matsuyama</t>
  </si>
  <si>
    <t>Kyushu University;Ehime University</t>
  </si>
  <si>
    <t>60011047;60002090</t>
  </si>
  <si>
    <t>Omori K.</t>
  </si>
  <si>
    <t>Estimation of maximum density of a mudflat amphipod, Corophium volutator orientalis (Amphipoda: Crustacea) on the basis of its occupied area</t>
  </si>
  <si>
    <t>S0022098198000719</t>
  </si>
  <si>
    <t>10.1016/S0022-0981(98)00071-9</t>
  </si>
  <si>
    <t>2-s2.0-0032433408</t>
  </si>
  <si>
    <t>['œ ±', 'structural features', 'sdgc ).', 'salt ion', 'reversible effect', 'rc complex', 'possible correlation', 'photoreceptor complex', 'nucleotide sequences', 'membrane helix', 'isolated using', 'isolated lh1', 'genes coding', 'chr tepidum', 'characteristic features', 'c terminal', 'arginine residue', 'absorption maximum', '915 nm', '885 nm', '100 followed']</t>
  </si>
  <si>
    <t>Bacterial antenna | Chromatiaceae | Membrane protein | Puf operon</t>
  </si>
  <si>
    <t>The photoreceptor complex (LHI-RC) of the thermophilic purple sulfur bacterium Chromatium tepidum (Chr. tepidum) has been investigated and isolated using the detergent Triton X-100 followed by sucrose density gradient centrifugation (SDGC). The isolated LH1-RC complex had an absorption maximum at 915 nm, the longest absorption band observed in light harvesting complex 1 (LH1) in purple bacteria containing bacteriochlorophylla (BChl a). The absorption maximum of this LH1-RC complex showed a 30 nm blue-shift to 885 nm after being purified by DEAE cellulose column chromatography. The blue-shifted absorption band was found to return to 915 nm after removing the salt ion, indicating a reversible effect of salt ion on this LH1-RC complex. We have determined the nucleotide sequences of genes coding for the Œ±, Œ≤ polypeptide subunits of the LH1 core complex from Chr tepidum and have found some characteristic features. The deduced amino acid sequences of the Œ± subunit showed a deletion of an arginine residue in the C terminal of membrane helix. A possible correlation between the unusual absorption behavior and structural features of Œ± and Œ≤ polypeptide subunits of the LH1 core complex is discussed.</t>
  </si>
  <si>
    <t>193-202</t>
  </si>
  <si>
    <t>60008435;60008435;60008435;60008435;60008435;60008435;60008435;60008435</t>
  </si>
  <si>
    <t>6507776653;36119700800;36121435700;36120555700;6602782203;55628545000;16164731000;7103347251</t>
  </si>
  <si>
    <t>Fathir, Insan;Ashikaga, Mitsuhiro;Tanaka, Kohki;Katano, Takashi;Nirasawa, Takashi;Kobayashi, Masayuki;Wang, Zheng Yu;Nozawa, Tsunenori</t>
  </si>
  <si>
    <t>Fathir I.</t>
  </si>
  <si>
    <t>Biochemical and spectral characterization of the core light harvesting complex 1 (LH1) from the thermophilic purple sulfur bacterium Chromatium tepidum</t>
  </si>
  <si>
    <t>10.1023/A:1006146713751</t>
  </si>
  <si>
    <t>2-s2.0-0032437780</t>
  </si>
  <si>
    <t>['spiking cells', 'smaller spike', 'sense organ', 'renewed effort', 'odour puffs', 'funicular part', 'every spike', 'drosophila virilis', 'could lead', 'appearing first', '60 œºv']</t>
  </si>
  <si>
    <t>Antenna | Biorhythms | Clock-spikes | Diptera | Drosophila | Eyes | Oscillator | Pace- maker</t>
  </si>
  <si>
    <t>During the course of single cell olfactory recordings from the funicular part of the antenna of Drosophila virilis we encountered a pair of cells firing synchronously and consistently at a rate of about 9 to 14 spikes per second. Every spike was seen to consist of a spike complex made up of two separate biphasic components thought to originate from two separate cells. The larger action potential, appearing first, had a peak-to-peak (ptp) amplitude of up to 200 ŒºV followed closely by a smaller spike with an amplitude of about 60 ŒºV. The repetitive firing pattern was not affected by air or odour puffs. This kind of consistent spontaneous spiking activity of two closely associated cells resembles remarkably closely the clock-spikes hitherto known only from the eyes of flies. Our encounter with such cells in a sense organ other than the eye poses many new questions and could lead to a renewed effort to understand the role(s) of the clock-spiking cells as possible oscillatory components of the dipteran pacemaking system in particular and the insect nervous systems, generally.</t>
  </si>
  <si>
    <t>277-281</t>
  </si>
  <si>
    <t>Acta Neurobiologiae Experimentalis</t>
  </si>
  <si>
    <t>60012954;60012954</t>
  </si>
  <si>
    <t>7004482137;7004547745</t>
  </si>
  <si>
    <t>Moro, S. D.;Huotari, M.</t>
  </si>
  <si>
    <t>Moro S.D.</t>
  </si>
  <si>
    <t>Clock-spiking cells not only in the eye of the fly, but also in the antenna!</t>
  </si>
  <si>
    <t>2-s2.0-0032440663</t>
  </si>
  <si>
    <t>Natur og Univers, Det Frie Forskningsr√•d</t>
  </si>
  <si>
    <t>FNU, DFF</t>
  </si>
  <si>
    <t>['triton x', 'therefore suggest', 'small redox', 'small amounts', 'reducing conditions', 'red ))', 'oxidizing conditions', 'ox ))', 'likewise found', 'large redox', 'isoprenoid quinone', 'isolated chlorosomes', 'ionic character', 'glycolipid monolayer', 'furthermore observed', 'extract components', 'excitation transfer', 'dependent fluorescence', 'contain ck', 'chlorosome interior', 'chlorosome antenna', 'chlorosomal bchl', 'chlorobial chlorosomes', 'c enveloped', 'approximately 40', 'approximately 3', 'also redox', 'also present', 'aggregated bacteriochlorophyll']</t>
  </si>
  <si>
    <t>Bacteriochlorophyll | Chlorobium | Chlorobiumquinone | Excitation energy transfer | Fluorescence quenching | Menaquinone</t>
  </si>
  <si>
    <t>The chlorosome antenna of the green sulfur bacterium Chlorobium tepidum essentially consists of aggregated bacteriochlorophyll (BChl) c enveloped in a glycolipid monolayer. Small amounts of protein and the isoprenoid quinone; chlorobiumquinone (CK) and menaquinone-7 (MK-7) are also present. Treatment of isolated chlorosomes from Cb. tepidum with sodium dodecyl sulfate (SDS) did not affect the quinones, demonstrating that these are located in a site which is inaccessible to SDS, probably in the interior of the chlorosomes. About half of the quinones were removed by Triton X-100. The non-ionic character of Triton probably allowed it to extract components from within the chlorosomes. MK-10 in chlorosomes from the green filamentous bacterium Chloroflexus aurantiacus was likewise found to be located in the chlorosome interior. The excitation transfer in isolated chlorosomes from Cb. tepidum is redox-regulated. We found a ratio of BChl c fluorescence intensity under reducing conditions (F(red)) to that under oxidizing conditions (F(ox)) of approximately 40. The chlorosomal BChl a fluorescence was also redox-regulated. When the chlorosomal BChl c-BChl c interactions were disrupted by 1-hexanol, the BChl c Fred/Fox ratio decreased to approximately 3. When CK and MK-7 were extracted from isolated chlorosomes with hexane, the BChl c F(red)/F(ox) ratio also decreased to approximately 3. A BChl C F(red)/F(ox) ratio of 3-5 was furthermore observed in aggregates of pure BChl c and in chlorosomes from Cfx. aurantiacus which do not contain CK. We therefore suggest that BChl c aggregates inherently exhibit a small redox-dependent fluorescence (Fred/Fox ‚âÉ 3) and that the large redox-dependent fluorescence observed in chlorobial chlorosomes (F(red)/F(cx) ‚âÉ 40) is CK-dependent.</t>
  </si>
  <si>
    <t>81-90</t>
  </si>
  <si>
    <t>60019160;60005038;60005038;60019160;60019160</t>
  </si>
  <si>
    <t>6603809402;57200274634;7201993560;7406531143;7403420126</t>
  </si>
  <si>
    <t>Frigaard, Niels Ulrik;Matsuura, Katsumi;Hirota, Masamitsu;Miller, Mette;Cox, Raymond P.</t>
  </si>
  <si>
    <t>Denmark;Japan</t>
  </si>
  <si>
    <t>Odense;Hachioji</t>
  </si>
  <si>
    <t>Syddansk Universitet;Tokyo Metropolitan University</t>
  </si>
  <si>
    <t>60019160;60005038</t>
  </si>
  <si>
    <t>Frigaard N.U.</t>
  </si>
  <si>
    <t>Studies of the location and function of isoprenoid quinones in chlorosomes from green sulfur bacteria</t>
  </si>
  <si>
    <t>10.1023/A:1006043706652</t>
  </si>
  <si>
    <t>2-s2.0-0032444952</t>
  </si>
  <si>
    <t>['whole cells', 'time constants', 'stationary fluorescence', 'slow phases', 'significant fraction', 'second one', 'room temperature', 'quinone acceptor', 'quantitative analysis', 'pronounced sigmoidicity', 'pigment stoichiometries', 'photosynthetic units', 'neighbored psus', 'induction curves', 'fluorescence spectra', 'first phase', 'final trapping', 'excitonic connectivity', 'different wavelengths', 'dense packing', 'comparable electrogenicities', 'chlorosomes via', 'chloroflexus aurantiacus', 'charge stabilization', 'bchl c', 'antenna size', '866 complexes', ')- formation']</t>
  </si>
  <si>
    <t>Energy transfer kinetics, primary charge separation, antenna size and excitonic connectivity of photosynthetic units (PSU) in whole cells of Chloroflexus aurantiacus were studied at room temperature by ps-fluorescence and ps-photovoltage as well as by stationary fluorescence-spectroscopy and fluorescence induction measurements. The fluorescence decay kinetics measured at different wavelengths are in accordance with the currently accepted sequential energy transfer from the chlorosomes via the baseplates to the B808-866 complexes and the final trapping in the RC with time constants of 19 ¬± 2 ps, 40 ¬± 4 ps and 90 ¬± 9 ps, respectively. However, the quantitative analysis of fluorescence spectra and the occurrence of slow phases in the fluorescence decays reveal that in whole cells a significant fraction of BChl c in the chlorosome and of BChl a in the baseplate is unconnected. The photovoltage kinetics consisted of two electrogenic phases with time constants of 118 ¬± 5 ps and 326 ¬± 35 ps and comparable electrogenicities. The first phase is ascribed to trapping from the B808-866 complexes by P+ H(A)- formation and the second one to charge stabilization on a quinone acceptor. Fluorescence induction curves displayed a pronounced sigmoidicity, indicating efficient lateral energy transfer between neighbored PSUs and a dense packing of ‚âÉ19 reaction centers (RC) beneath one chlorosome. A quantitative analysis of the fluorescence-induction curves at different excitation wavelengths allows the estimation of pigment stoichiometries (i.e. antenna sizes): BChl c/RC ‚âÉ 794 and B808/RC ‚âÉ 15.</t>
  </si>
  <si>
    <t>43-55</t>
  </si>
  <si>
    <t>Combined fluorescence and photovoltage studies on chlorosome containing bacteria: I. Whole cells of Chloroflexus aurantiacus</t>
  </si>
  <si>
    <t>10.1023/A:1006045711794</t>
  </si>
  <si>
    <t>2-s2.0-0032445526</t>
  </si>
  <si>
    <t>Son-derforschungsbereich 515</t>
  </si>
  <si>
    <t>['vertical wall', 'trained pattern', 'tactile patterns', 'spatial wavelengths', 'parallel lines', 'parallel grooves', 'object irrespective', 'negative forms', 'learning curve', 'high degree', 'flying bees', 'fixed bees', 'different types', 'diagonal alternative', 'conditioned responses', 'condition bees', 'call scan', 'animals show', 'angle discrimination', '50 %.', '4 rewards']</t>
  </si>
  <si>
    <t>Antenna | Honeybee | Insect | Learning | Tactile</t>
  </si>
  <si>
    <t>Free-flying bees were conditioned on a vertical wall to a vertical tactile pattern consisting of parallel lines of grooves and elevations. The asymptote of the learning curve is reached after approximately 25 rewards. Bees can discriminate the conditioned vertical pattern from a horizontal or diagonal alternative. Angle discrimination is apparent only for relatively coarse tactile cues. The proboscis extension response of fixed bees was used to condition bees to a vertical tactile pattern which was presented to the antennae. The learning curve reaches an asymptote after 4 rewards. After 7 unrewarded extinction trials the conditioned responses are reduced to 50%. Bees show best discrimination for patterns whose edges they call scan with their antennae. The animals show a high degree of generalization by responding to an object irrespective of the trained pattern. Under laboratory conditions fixed bees can discriminate the angles and spatial wavelengths of fine tactile patterns consisting of parallel grooves. Bees can also discriminate forms and sizes of tactile patterns. They do not discriminate between different types of edges and between positive and negative forms.</t>
  </si>
  <si>
    <t>737-744</t>
  </si>
  <si>
    <t>60011604;60011604;60011604;60011604</t>
  </si>
  <si>
    <t>7006073714;6507779350;7005320403;6506113206</t>
  </si>
  <si>
    <t>Erber, J.;Kierzek, S.;Sander, E.;Grandy, K.</t>
  </si>
  <si>
    <t>Erber J.</t>
  </si>
  <si>
    <t>Tactile learning in the honeybee</t>
  </si>
  <si>
    <t>10.1007/s003590050296</t>
  </si>
  <si>
    <t>2-s2.0-0032446687</t>
  </si>
  <si>
    <t>['vertical movements', 'two areas', 'term trace', 'sustained increase', 'spike frequency', 'specific subcompartments', 'serial reconstructions', 'pe1 neuron', 'olfactory stimuli', 'olfactory learning', 'neuroanatomical techniques', 'mushroom body', 'multisensory properties', 'mouth parts', 'memory consolidation', 'mb peduncle', 'light flashes', 'kenyon cells', 'intracellular recording', 'integrative processing', 'honeybee brain', 'extended objects', 'dendritic organization', 'calyx region', 'calycal subcompartments', 'broadly tuned']</t>
  </si>
  <si>
    <t>A mushroom body extrinsic neuron, the Pe1 neuron, connects the peduncle of the mushroom body (MB) with two areas of the protocerebrum in the honeybee brain, the lateral protocerebral lobe (LPL) and the ring neuropil around the Œ±-lobe. Each side of the bee brain contains only one Pe1 neuron. Using a combination of intracellular recording and neuroanatomical techniques we analyzed its properties of integrative processing of the different sensory modalities. The Pe1 neuron responds to visual, mechanosensory, and olfactory stimuli. The responses are broadly tuned, consisting of a sustained increase of spike frequency to the onset and offset of light flashes, to horizontal and vertical movements of extended objects, to mechanical stimuli applied to the antennae or mouth parts, and to all olfactory stimuli tested (29 chemicals). These multisensory properties are reflected in its dendritic organization. Serial reconstructions of intracellularly stained Pe1 neurons using confocal microscopy reveal that the Pe1 neuron arborizes throughout all layers of MB peduncle with finger-like, vertically oriented dendrites. The peduncle of the MB is formed by the axons of Kenyon cells, whose dendritic inputs are organized in modality-specific subcompartments of the calyx region. The peduncular arborization indicates that the Pe1 neuron receives input from Kenyon cells of all calycal subcompartments. Because the Pe1 neuron changes its odor responses transiently as a consequence of olfactory learning, we hypothesize that the multimodal response properties might have a role in memory consolidation and help to establish contextual references in the long-term trace.</t>
  </si>
  <si>
    <t>60015913;60030718</t>
  </si>
  <si>
    <t>7006538464;7102000725</t>
  </si>
  <si>
    <t>Rybak, J√ºrgen;Menzel, Randolf</t>
  </si>
  <si>
    <t>Germany;Canada</t>
  </si>
  <si>
    <t>Berlin;Halifax</t>
  </si>
  <si>
    <t>Freie Universit√§t Berlin;Dalhousie University</t>
  </si>
  <si>
    <t>60030718;60015913</t>
  </si>
  <si>
    <t>Rybak J.</t>
  </si>
  <si>
    <t>Integrative properties of the Pe1 neuron, a unique mushroom body output neuron</t>
  </si>
  <si>
    <t>2-s2.0-0032450414</t>
  </si>
  <si>
    <t>['space problem', 'sommerfeld theory', 'radiation half', 'monopole antenna', 'input impedance', 'driven wire', 'dissipative half', 'buried wire']</t>
  </si>
  <si>
    <t>Wire</t>
  </si>
  <si>
    <t>The end-driven wire, immersed in the imperfectly conducting ground is modelled, as a monopole antenna by using the electric field integral equation derived for radiation half-space problem. The influence of a dissipative half-space is taken into account by Sommerfeld theory, and also by reflection coefficient approximation. Solving the corresponding equation via finite element integral equation method (FEIEM) the equivalent current distribution is obtained. After expressing the electric field distribution in terms of known current distribution it is possible to evaluate the input impedance of the buried wire.</t>
  </si>
  <si>
    <t>International Journal for Engineering Modelling</t>
  </si>
  <si>
    <t>6603118156;7004103789</t>
  </si>
  <si>
    <t>Jajac, B.;Poljak, D.</t>
  </si>
  <si>
    <t>Jajac B.</t>
  </si>
  <si>
    <t>The finite element analysis of horizontal wire buried in a lossy ground</t>
  </si>
  <si>
    <t>2-s2.0-0032451382</t>
  </si>
  <si>
    <t>R01GM024349</t>
  </si>
  <si>
    <t>['spectra acquired', 'simultaneous cleavages', 'ring cleavages', 'oligosaccharide sequencing', 'model glycoproteins', 'mass spectrometry', 'linked oligosaccharides', 'induced dissociation', 'glycosidic bonds', 'fragmentation due', 'effective tool', 'branching point', 'acquired spectra', 'acidic n', 'acid glycoprotein']</t>
  </si>
  <si>
    <t>Esterification of sialic residues | Human AGP | MALDI-CID | Maltoheptaose | Ribonuclease B</t>
  </si>
  <si>
    <t>Using ribonuclease B and human Œ±1-acid glycoprotein (AGP) as model glycoproteins, matrix-assisted laser desorption/ionization (MALDI) mass spectrometry with collision-induced dissociation (CID) is validated here as an effective tool for oligosaccharide sequencing. The spectra acquired for high-mannose and complex oligosaccharide structures show characteristic fragments resulting from cleavages of the glycosidic bonds and a few cross-ring cleavages. Esterification of the sialic acid residues is essential in stabilizing the acidic N-linked oligosaccharides. An important analytical feature observed in all acquired spectra is the occurrence of cleavages on the same antenna up to the branching point, as deduced from the absence of fragmentation due to the simultaneous cleavages on two or more antennas. Copyright (C) 1998 Elsevier Science Ltd.</t>
  </si>
  <si>
    <t>145-155</t>
  </si>
  <si>
    <t>Carbohydrate Research</t>
  </si>
  <si>
    <t>60021121;60021121;60021121</t>
  </si>
  <si>
    <t>7004369396;7403520650;35407302500</t>
  </si>
  <si>
    <t>Mechref, Yehia;Baker, Andrew G.;Novotny, Milos V.</t>
  </si>
  <si>
    <t>Mechref Y.</t>
  </si>
  <si>
    <t>Matrix-assisted laser desorption/ionization mass spectrometry of neutral and acidic oligosaccharides with collision-induced dissociation</t>
  </si>
  <si>
    <t>S000862159800264X</t>
  </si>
  <si>
    <t>10.1016/S0008-6215(98)00264-X</t>
  </si>
  <si>
    <t>2-s2.0-0032453918</t>
  </si>
  <si>
    <t>['precede earthquakes', 'observe variations', 'observation point', 'network consists', 'magnetic field', 'low frequencies', 'lf variations', 'lf ).', 'high frequencies', 'hf variations', 'hf ).', 'final stage', 'electromagnetic anomalies', 'electric field', 'dc voltage', 'dc output', 'dc converter', 'crete island', '53 mhz', '2 dipoles', '2 antenna', '10 khz']</t>
  </si>
  <si>
    <t>A network has been constructed along Crete island (Greece) for earthquake prediction using seismogenic electromagnetic emissions. The network consists of four observation points. Each observation point has: (a) loop antennas tuned to 3 and 10 kHz. (low frequencies-LF). The final stage of the antennas is an RMS to DC converter. Thus the output of the receiver is a DC voltage that is proportional to the power spectrum density Œ¶(H) of the magnetic field that excites the antenna, (b) Œª/2 dipoles to observe variations in 41 and 53 MHz (high frequencies-HF). In this stage the DC output is proportional to the electric field which appears in the Œª/2 antenna. In the present contribution recordings of the electromagnetic anomalies that precede earthquakes during the last three years are presented. The experimental results indicate the presence of radioemissions, associated to shallow and intermediate depth earthquakes in the vicinity of Crete island. It is concluded that the electromagnetic variations appear to follow an invariant time pattern (i.e. LF variations - HF variations - Earthquake event).</t>
  </si>
  <si>
    <t>953-957</t>
  </si>
  <si>
    <t>60032307;</t>
  </si>
  <si>
    <t>56264486500;6507720350</t>
  </si>
  <si>
    <t>Vallianatos, F.;Nomikos, K.</t>
  </si>
  <si>
    <t>Heraklion</t>
  </si>
  <si>
    <t>Hellenic Mediterranean University</t>
  </si>
  <si>
    <t>Vallianatos F.</t>
  </si>
  <si>
    <t>Seismogenic radioemissions as earthquake precursors in Greece</t>
  </si>
  <si>
    <t>S0079194698001268</t>
  </si>
  <si>
    <t>10.1016/S0079-1946(98)00126-8</t>
  </si>
  <si>
    <t>2-s2.0-0032454256</t>
  </si>
  <si>
    <t>Institut National de la Sant√© et de la Recherche M√©dicale</t>
  </si>
  <si>
    <t>Inserm</t>
  </si>
  <si>
    <t>['three sialosylated', 'single gala3lewis', 'sialosylated lewis', 'results indicate', 'previously found', 'preparative hptlc', 'novel structure', 'nmr spectroscopy', 'neolactoseries glycolipids', 'neolacto core', 'methylation analysis', 'linked antenna', 'known structure', 'discovered presenting', 'appears unable', 'acetylneuraminic acid']</t>
  </si>
  <si>
    <t>Fucosyltransferase | Glycoshingolipids | Kidney | Lewis(x) | Mass spectrometry | Nuclear magnetic resonance | Pig | Xenotransplantation</t>
  </si>
  <si>
    <t>Three sialosylated and three neutral glycosphingolipids sharing a common is neolacto core were isolated from porcine kidney cortex. They were purified by preparative HPTLC, and were characterized by partial exoglycosidase hydrolysis followed by thin layer chromatography and immunostaining with anti-GalŒ±1‚Üí3Gal, anti-type 2 lactosamine and anti-Lewis(x) antibodies, methylation analysis, MALDI-TOF mass spectrometry and 1H-NMR spectroscopy. Among neutral glycolipids, one was a known structure, VI3VI('3)(Œ±Gal)2-iso-nLc8Cer, and two were novel structures differing by the number of GalŒ±3Lewis(x) determinants: VI3VI('3)(Œ±Gal)2V('3)Œ±Fuc-iso-nLc8, and VI3VI('3)(Œ±Gal)2 V3V('3)(Œ±Fuc)2-iso-nLc8. The single Gala3Lewis(x) determinant was found on the 6-linked antenna. Among sialosylated glycolipids, two had been previously found in other species and tissues, VI3VI('3)(NeuAC)2-iso-nLc8, and VI3NeuAcVI('3)Œ±Gal-iso-nLc8. A novel structure was discovered presenting a GalŒ±3Lewis(x) determinant on the 6-linked antenna and a N-acetylneuraminic acid on the 3-linked antenna, VI3NeuAcVI('3)Œ±GalV('3)Œ±Fuc-iso-nLc8. These results indicate that, in vivo, the porcine kidney Œ±3fucosyltransferase synthesizes the GalŒ±3Lewis(x) determinant, acting on the 6-linked before the 3-linked GalŒ±3neolactosamine, and appears unable to synthesize the sialosylated Lewis(x) determinant on neolactoseries glycolipids.</t>
  </si>
  <si>
    <t>1001-1016</t>
  </si>
  <si>
    <t>Glycoconjugate Journal</t>
  </si>
  <si>
    <t>60028048;60028048-60032006;60104665;100362863;60028048</t>
  </si>
  <si>
    <t>7004482310;6602616317;7102488849;6602615291;7005003899</t>
  </si>
  <si>
    <t>Bouhours, Dani√®le;Liaigre, J√©r√¥me;Lemoine, J√©r√¥me;Mayer-Posner, Franz;Bouhours, Jean Fran√ßois</t>
  </si>
  <si>
    <t>France;France;France;Germany</t>
  </si>
  <si>
    <t>Lille;Nantes;Nantes;Bremen</t>
  </si>
  <si>
    <t>Universit√© de Lille;Universit√© de Nantes;CHU de Nantes;Bruker-Franzen Analytik GmbH</t>
  </si>
  <si>
    <t>60104665;60032006;60028048;100362863</t>
  </si>
  <si>
    <t>Bouhours D.</t>
  </si>
  <si>
    <t>Two novel isoneolacto-undecaglycosylceramides carrying GalŒ±1‚Üí3Lewis(x) on the 6-linked antenna and N-acetylneuraminic acidŒ±2‚Üí3 or Galactose Œ±1‚Üí3 on the 3-linked antenna, expressed in porcine kidney</t>
  </si>
  <si>
    <t>10.1023/A:1006994126958</t>
  </si>
  <si>
    <t>2-s2.0-0032455522</t>
  </si>
  <si>
    <t>['numerical results', 'lossy half', 'lossy earth', 'loaded wire', 'finite element', 'feiem ).', 'efficient procedure']</t>
  </si>
  <si>
    <t>The finite element/exponential approximation approach provides a simple and efficient procedure for input impedance calculation of the loaded straight wire located horizontally over a lossy half-space. The effect of a lossy half-space is taken into account via Sommerfeld integrals appearing within the kernel of electric field integral equation (EFIE) for loaded wire. These integrals are evaluated by means of exponential approximation technique. The EFIE for loaded wire above a lossy earth is solved via finite element integral equation method (FEIEM). Numerical results are obtained for input impedance spectrum for a resistively loaded dipole antenna.</t>
  </si>
  <si>
    <t>7004103789;6603118156</t>
  </si>
  <si>
    <t>Poljak, D.;Jajac, B.</t>
  </si>
  <si>
    <t>Finite element input impedance calculation of the loaded wire above an imperfect ground</t>
  </si>
  <si>
    <t>2-s2.0-0032459971</t>
  </si>
  <si>
    <t>['wide swath', 'wave mode', 'viewing area', 'vh polarisation', 'table 4', 'sea ice', 'reference target', 'radar transponder', 'radar backscatter', 'polarisation state', 'overall gain', 'orbit performance', 'ocean monitoring', 'natural target', 'modules housed', 'internal calibration', 'imaged simultaneously', 'image mode', 'global monitoring', 'external calibration', 'challenging one', 'central electronics', 'asar measures', '485 km', '100 km', '), whereas']</t>
  </si>
  <si>
    <t>ASAR The Advanced Synthetic Aperture Radar (ASAR) is a high-resolution, wide-swath imaging radar instrument that can be used for site specific investigations as well as land, sea ice and ocean monitoring and surveillance. Compared to the ERS-1/2 Active Microwave Instrument (AMI) the ASAR is a significantly advanced instrument employing a number of new technological developments, where the replacement of the passive radiator array of the AMI by an active phased array antenna system using distributed elements is the most challenging one. The resulting attractive improvements are the capability to provide more than 400 km wide swath coverage using Scansar techniques and the alternating polarisation feature allowing scenes to be imaged simultaneously in vertical (V) and horizontal (H) polarisation or a combination of both. (Table 4) The instrument is designed to operate in the following principal operating modes: - image - wide swath - alternating polarisation mode - wave - global monitoring. In image mode the ASAR gathers data from relatively narrow swaths (100 km within a viewing area of ~485 km) with high spatial resolution (30 m), whereas in wide swath mode using scansar techniques a much wider stripe (~400 km) is imaged with lower spatial resolution (150 m). The alternating/cross polarisation mode provides imaging in W/HH, HH/HV and W/VH polarisation of the same scene with a spatial resolution equal to image mode but reduced radiometric resolution. In wave mode, ASAR measures the change in radar backscatter from the sea surface due to ocean surface waves. In this mode, images of 5 x 5 km are taken over the ocean at a distance of 100 km. In global monitoring mode a wide swath (~ 400 km) is imaged with low spatial resolution (1 km). In order to maintain the in orbit performance of the instrument, both internal and external calibration are planned. External calibration can be made by observing a reference target (natural target and/or radar transponder) on the ground for each mode, swath, and polarisation state. Internal calibration is intended to compensate for changes in the overall gain of the instrument. This is achieved by regular calibration loop measurements including both the central electronics and the Transmit/Receive (T/R) modules housed in the antenna.</t>
  </si>
  <si>
    <t>0256596X</t>
  </si>
  <si>
    <t>Earth Observation Quarterly</t>
  </si>
  <si>
    <t>The payload</t>
  </si>
  <si>
    <t>2-s2.0-0032461374</t>
  </si>
  <si>
    <t>['visual cues', 'significant reduction', 'sexual response', 'sex recognition', 'reach females', 'mating behavior', 'major role', 'experiments carried', 'chemical receptors', 'body surface', '2 ).']</t>
  </si>
  <si>
    <t>Experiments carried out with Anoplophora chinensis suggest that mating behavior of males was stimulated by a contact female sex pheromone occurring on her body surface. Male antennae played a major role in sex recognition and visual cues were not important in eliciting a sexual response by males to females. Significant reduction of mating success rates occurred when six antennal segments of males were removed. This may be interpreted as either (1) most chemical receptors for the contact female sex pheromone were situated in the males' first six antennal segments, or (2) removal of six out of eleven antennal segments substantially reduced the males' ability to reach females with their antennae, or both (1) and (2).</t>
  </si>
  <si>
    <t>363-368</t>
  </si>
  <si>
    <t>Wang, Qiao</t>
  </si>
  <si>
    <t>Palmerston North</t>
  </si>
  <si>
    <t>Massey University</t>
  </si>
  <si>
    <t>Wang Q.</t>
  </si>
  <si>
    <t>Evidence for a contact female sex pheromone in Anoplophora chinensis (Forster) (Coleoptera: Cerambycidae: Lamiinae)</t>
  </si>
  <si>
    <t>2-s2.0-0032464410</t>
  </si>
  <si>
    <t>['zeaxanthin pointed', 'vivo conditions', 'transthylakoid œîph', 'state 1', 'reaction centre', 'photosystem 2', 'photoprotective mechanisms', 'p680 ),', 'main light', 'independent aggregation', 'high amounts', 'different amounts', 'clearly resolved', 'antenna complexes']</t>
  </si>
  <si>
    <t>Energy quenching | Pisum sativum | State 1/state 2 transition | Sustained energy quenching | Xanthophyll cycle | Zeaxanthin</t>
  </si>
  <si>
    <t>Chlorophyll (Chl) fluorescence decay measurements were performed on higher plant leaves to investigate the photoprotective mechanisms under in vivo conditions. Measurements on leaves with different amounts of zeaxanthin pointed out that zeaxanthin is necessary for most of the observed nonphotochemical energy quenching, that has to be activated by a transthylakoid ŒîpH. An additional sustained energy quenching component was clearly resolved in leaves with high amounts of zeaxanthin. The changes of the Chl fluorescence decay parameters did not correlate with a photoprotective energy dissipation in the reaction centre of photosystem 2 (P680), nor with a ŒîpH-mediated, zeaxanthin-independent aggregation of the antenna complexes; no indications for a state 1/state 2 transition of the main light-harvesting complex LHC2 were found.</t>
  </si>
  <si>
    <t>621-629</t>
  </si>
  <si>
    <t>Terjung, F.</t>
  </si>
  <si>
    <t>Terjung F.</t>
  </si>
  <si>
    <t>Photoprotective energy dissipation in higher plant leaves investigated by chlorophyll fluorescence decay measurements with additional radiation pulses</t>
  </si>
  <si>
    <t>10.1023/A:1006947527836</t>
  </si>
  <si>
    <t>2-s2.0-0032465261</t>
  </si>
  <si>
    <t>SFB 286</t>
  </si>
  <si>
    <t>['structurally related', 'since lysozyme', 'rapid purification', 'protein backbone', 'proper spacing', 'multivalent substrates', 'linked oligosaccharides', 'doubly glycosylated', 'acetyllactosamine repeats']</t>
  </si>
  <si>
    <t>Glycosylation | Lysozyme | N-acetyllactosamine | Polylactosamine length</t>
  </si>
  <si>
    <t>Lysozyme is an example of an extensively studied secretory enzyme. Glycosylated mutant human lysozyme has been used as a model in studies on the biosynthesis of N-acetyllactosamine repeats in N-linked oligosaccharides. We examined the biosynthesis of the repeats in two doubly glycosylated mutants and describe here a rapid purification and separation of singly and doubly glycosylated molecules. In one of the mutants, the elongation of the repeats is enhanced if the molecules are doubly glycosylated, but not if the carbohydrate is attached to either site individually. This enhancement is not seen in the other doubly glycosylated mutant. Since lysozyme is not structurally related to glycoproteins bearing carbohydrate with N-acetyllactosamine repeats, we propose that in multivalent substrates the synthesis of the repeats can be promoted by a proper spacing of the elongated carbohydrate antennae in addition to any role of the protein backbone.</t>
  </si>
  <si>
    <t>987-993</t>
  </si>
  <si>
    <t>60012556;60012556;60012556;60012556</t>
  </si>
  <si>
    <t>7006284818;7003913564;6507563910;34769745200</t>
  </si>
  <si>
    <t>Melcher, Ralph;Grosch, Hans Wilhelm;Grosse, Oliver;Hasilik, Andrej</t>
  </si>
  <si>
    <t>Marburg</t>
  </si>
  <si>
    <t>Philipps-Universit√§t Marburg</t>
  </si>
  <si>
    <t>Melcher R.</t>
  </si>
  <si>
    <t>Increased elongation of N-acetyllactosamine repeats in doubly glycosylated lysozyme with a particular spacing of the glycosylation sites</t>
  </si>
  <si>
    <t>10.1023/A:1006937909211</t>
  </si>
  <si>
    <t>2-s2.0-0032467946</t>
  </si>
  <si>
    <t>['wave form', 'wave chlorophyll', 'trimeric complexes', 'trimeric complex', 'strongly decreased', 'spirulina contains', 'reduced p700', 'protein complexes', 'protein complex', 'pigment antenna', 'p700 photooxidation', 'oxidized p700', 'kinetic analysis', 'induced quenching', 'extreme long', 'exist mainly', 'energy absorbed', 'efficient quencher', 'cyanobacterium spirulina', 'complexes contribute', 'chlorophyll originates', '77 k', '760 nm', '735 nm']</t>
  </si>
  <si>
    <t>The data on the organization and function of the photosystem I pigment-protein complexes of the cyanobacterium Spirulina and the characteristics of pigment antenna of the photosystem I monomeric and trimeric core complexes are presented and discussed. We proved that the photosystem I complexes in the cyanobacterial membrane pre-exist mainly as trimers, though both types of complexes contribute to the photosynthetic electron transport. In contrast to monomers, the antenna of the photosystem I trimeric complexes of Spirulina contains the extreme long-wave chlorophyll form absorbing at 735 nm and emitting at 760 nm (77 K). The intensity of fluorescence at 760 nm depends strongly on the P700 redox state: it is maximum with the reduced P700 and strongly decreased with the oxidized P700 which is the most efficient quencher of fluorescence at 760 nm. The energy absorbed by the extreme long-wave chlorophyll form is active in the photooxidation of P700 in the trimeric complex. The data obtained indicate that the long-wave form of chlorophyll originates from interaction of the chlorophyll molecules localized on monomeric subunits forming the photosystem I trimer. Kinetic analysis of the P700 photooxidation and light-induced quenching of fluorescence at 760 nm (77 K) allows the suggestion that the excess energy absorbed by the antenna monomeric subunits within the trimer migrates via the extreme long-wave chlorophyll to the P700 cation radical and is quenched, which prevents the photodestruction of the pigment-protein complex.</t>
  </si>
  <si>
    <t>571-584</t>
  </si>
  <si>
    <t>Membrane and Cell Biology</t>
  </si>
  <si>
    <t>Karapetyan, N. V.</t>
  </si>
  <si>
    <t>Bach Institute of Biochemistry</t>
  </si>
  <si>
    <t>Karapetyan N.</t>
  </si>
  <si>
    <t>Organization and role of the long-wave chlorophylls in the photosystem I of the cyanobacterium Spirulina</t>
  </si>
  <si>
    <t>2-s2.0-0032468269</t>
  </si>
  <si>
    <t>['œ ≤).', 'varying degrees', 'time evolution', 'states prepared', 'standard deviation', 'site energies', 'proposed based', 'pronounced sensitivity', 'pigment inhomogeneity', 'novel approach', 'modest degrees', 'model calculations', 'impulsive excitation', 'harvesting complexes', 'gaussian distribution', 'exciton delocalization', 'domain analysis', 'disorder scattering', 'coherent excitation', 'cause scattering', 'calculated exactly']</t>
  </si>
  <si>
    <t>A time-domain analysis of the effects of pigment inhomogeneity upon the dynamics of optical excitations within bacterial light-harvesting complexes is presented. We focus upon examining the manifestation of disorder scattering in polarized femtosecond spectroscopy and the degree to which exciton delocalization is revealed in emission and transient absorption anisotropy measurements. The time evolution of states prepared by impulsive excitation of a statically disordered circular aggregate model for LH2 antenna complexes have been calculated exactly for varying degrees of pigment inhomogeneity. For a Gaussian distribution of site energies, the dynamics of coherence-loss (scattering) is explored as a function of the ratio of the standard deviation (œÉ) of the distribution to the intersite interaction energy (Œ≤). It is found that modest degrees of disorder (œÉ/Œ≤‚àº0.4) are sufficient to cause scattering on a sub-100 fs time scale. Results from model calculations of the pump-probe anisotropy strongly suggest that the initial ultrafast emission depolarization component reported for LH1 and LH2 antenna complexes by several groups represents the decay of an initially delocalized exciton, prepared by coherent excitation of eigenstates that become partially localized due to inhomogeneity. A novel approach to studying exciton coherence is proposed based on measurement of the anisotropy of band‚Üíband transient absorption transitions, which exhibit a pronounced sensitivity to exciton delocalization. ¬© 1998 American Institute of Physics.</t>
  </si>
  <si>
    <t>855-865</t>
  </si>
  <si>
    <t>60006297;60006297</t>
  </si>
  <si>
    <t>6603097958;35465712100</t>
  </si>
  <si>
    <t>Kumble, Ranjit;Hochstrasser, Robin M.</t>
  </si>
  <si>
    <t>Philadelphia</t>
  </si>
  <si>
    <t>University of Pennsylvania</t>
  </si>
  <si>
    <t>Kumble R.</t>
  </si>
  <si>
    <t>Disorder-induced exciton scattering in the light-harvesting systems of purple bacteria: Influence on the anisotropy of emission and band‚Üíband transitions</t>
  </si>
  <si>
    <t>S002196069800525X</t>
  </si>
  <si>
    <t>10.1063/1.476924</t>
  </si>
  <si>
    <t>2-s2.0-0032496804</t>
  </si>
  <si>
    <t>['water vapor', 'typically 0', 'resistivity si', 'plane dimensions', 'noise temperature', 'noise performance', 'bolometer strip', 'best results', 'based phonon', '910 ghz', '850 k', '750 ghz', '640 ghz', '600 k', '500 k', '1250 k', '100 nw', '1 thz']</t>
  </si>
  <si>
    <t>In this letter, the noise performance of NbN-based phonon-cooled hot electron bolometric quasioptical mixers is investigated in the 0.55-1.1 THz frequency range. The best results of the double-sideband (DSB) noise temperature are: 500 K at 640 GHz, 600 K at 750 GHz, 850 K at 910 GHz, and 1250 K at 1.1 THz. The water vapor in the signal path causes significant contribution to the measured receiver noise temperature around 1.1 THz. The devices are made from 3-nm-thick NbN film on high-resistivity Si and integrated with a planar spiral antenna on the same substrate. The in-plane dimensions of the bolometer strip are typically 0.2√ó2 Œºm. The amount of local oscillator power absorbed in the bolometer is less than 100 nW. ¬© 1998 American Institute of Physics.</t>
  </si>
  <si>
    <t>2814-2816</t>
  </si>
  <si>
    <t>60000990;60000990;60000990;60000990;60068676;60068676;60068676</t>
  </si>
  <si>
    <t>6701611551;6602499455;57197516701;7005304586;7006771637;7005231326;35591261100</t>
  </si>
  <si>
    <t>Yagoubov, P.;Kroug, M.;Merkel, H.;Kollberg, E.;Gol'tsman, G.;Svechnikov, S.;Gershenzon, E.</t>
  </si>
  <si>
    <t>Moscow Pedagogical State University;Chalmers University of Technology</t>
  </si>
  <si>
    <t>60068676;60000990</t>
  </si>
  <si>
    <t>Yagoubov P.</t>
  </si>
  <si>
    <t>Noise temperature and local oscillator power requirement of NbN phonon-cooled hot electron bolometric mixers at terahertz frequencies</t>
  </si>
  <si>
    <t>S0003695198035451</t>
  </si>
  <si>
    <t>10.1063/1.122599</t>
  </si>
  <si>
    <t>2-s2.0-0032500992</t>
  </si>
  <si>
    <t>['wave frequencies', 'two photomixers', 'transmission line', 'system size', 'spectral brightness', 'quantitatively test', 'photoconductive sampling', 'microwave version', 'general technique', 'frequency resolution', 'coupled photomixers', '5 ghz', '25 ghz', '2 thz']</t>
  </si>
  <si>
    <t>A general technique has been demonstrated at microwave and submillimeter-wave frequencies for photoconductive sampling in the frequency domain using photomixers and continuous-wave laser diodes. A microwave version in which two photomixers were coupled by a transmission line was developed to quantitatively test the concept from 0.05 to 26.5 GHz. A quasioptical version using antenna-coupled photomixers was demonstrated from 25 GHz to 2 THz. Such a system can outperform systems based on time-domain photoconductive sampling in frequency resolution, spectral brightness, system size, and cost.</t>
  </si>
  <si>
    <t>3824-3826</t>
  </si>
  <si>
    <t>60022195;60022195;60022195;60022195;60022195;60022195</t>
  </si>
  <si>
    <t>7007152447;7101984059;6602187243;6505903525;6701558108;6603939695</t>
  </si>
  <si>
    <t>Verghese, S.;McIntosh, K. A.;Calawa, S.;Dinatale, W. F.;Duerr, E. K.;Molvar, K. A.</t>
  </si>
  <si>
    <t>Verghese S.</t>
  </si>
  <si>
    <t>Generation and detection of coherent terahertz waves using two photomixers</t>
  </si>
  <si>
    <t>S0003695198031520</t>
  </si>
  <si>
    <t>10.1063/1.122906</t>
  </si>
  <si>
    <t>2-s2.0-0032576516</t>
  </si>
  <si>
    <t>['varying periods', 'two collars', 'three collar', 'tailed deer', 'sized mammals', 'short location', 'remotely released', 'release failures', 'ranging wolves', 'possible drop', 'odocoileus virginianus', 'large volume', 'improperly attached', 'gps collar', 'gps antennas', 'gm collars', 'desktop computer', 'collect data', 'canis lupus', 'august 1997', 'answer questions', '8 free', '70 %).', '549 locations', '5 collars', '41 days', '4 collars', '3 white', '2 collars']</t>
  </si>
  <si>
    <t>Alaska | GPS | Location data | Minnesota | Movements | Satellites | Telemetry | White-tailed deer | Wolves</t>
  </si>
  <si>
    <t>We tested prototype GPS collars on 8 free-ranging wolves (Canis lupus) and 3 white-tailed deer (Odocoileus virginianus) for varying periods between February and August 1997. We programmed the 920-gm collars to make a location attempt 6-96 times per day. The collars were designed to be remotely released from the animal and the data were then downloaded to a desktop computer. The collars produced 47-1,549 locations each during 11-41 days; locations were successful in 26-95% of the attempts (xÃÑ = 70%). Eight collars released successfully. Three collar-release failures were caused by condensation. Two collars had GPS antennas that were improperly attached and did not collect data. Life was as long as, or longer than, expected in 4 collars, less than expected in 5 collars, and unknown in 2 collars. Limitations of this type of collar include brief life if programmed at short location-attempt intervals (‚â§1 hr) and possible drop-off failure. Nevertheless, the large volume of data we collected with no field telemetry effort demonstrates the potential for this type of GPS collar to answer questions about movements of medium-sized mammals.</t>
  </si>
  <si>
    <t>830-835</t>
  </si>
  <si>
    <t>Wildlife Society Bulletin</t>
  </si>
  <si>
    <t>60005759;60011347;60011347;60011347</t>
  </si>
  <si>
    <t>7005441815;7202283144;55951163700;7006490759</t>
  </si>
  <si>
    <t>Merrill, Samuel B.;Adams, Layne G.;Nelson, Michael E.;Mech, L. David</t>
  </si>
  <si>
    <t>Reston;Minneapolis</t>
  </si>
  <si>
    <t>United States Geological Survey;Minnesota Department of Natural Resources</t>
  </si>
  <si>
    <t>60011347;60005759</t>
  </si>
  <si>
    <t>Merrill S.</t>
  </si>
  <si>
    <t>Testing releasable GPS radiocollars on wolves and white-tailed deer</t>
  </si>
  <si>
    <t>2-s2.0-0032901812</t>
  </si>
  <si>
    <t>['wide range', 'various pressures', 'tapered feature', 'studied using', 'short œñ', 'residence time', 'plasma generation', 'p diagram', 'mask resist', 'longer œñ', 'line resulted', 'large amount', 'ion sputtered', 'ion densities', 'ion currents', 'improve uniformity', 'flow rate', 'etched features', 'electron densities', 'determined unequivocally', 'ar addition', 'adopted wide']</t>
  </si>
  <si>
    <t>Residence time effects on high aspect ratio SiO2 hole etching with a 90% Ar addition to C4F8 have been studied using a planar type neutral loop discharge. An adopted wide-type antenna instead of the original narrow one enabled us to improve uniformity of ion currents, electron densities, and plasma generation over a wide range of pressure. Thus, the residence time (T) dependence of radical and ion densities, and etched features were investigated for various pressures (P It was found that the conditions which achieved high aspect ratio features followed a straight line passing an origin in the œÑ-P diagram. This demonstrated that the high aspect ratio feature etching was determined unequivocally by the adequate flow rate, because the gradient of the line resulted in the reciprocal of the flow rate. On the other hand, at short œÑ, a large amount of radicals generated due to suppressed recombination produced the excess polymer deposition, causing the "etch stop." At longer œÑ, ions and radical densities decreased due to recombination and thus dominated Ar+ ion sputtered the mask resist, forming the tapered feature. ¬© 1998 American Vacuum Society.</t>
  </si>
  <si>
    <t>1519-1524</t>
  </si>
  <si>
    <t>60015123;60015123;60009885;60015123;60015123</t>
  </si>
  <si>
    <t>7007013544;7201695330;7102728941;7006164417;7006633555</t>
  </si>
  <si>
    <t>Chinzei, Yasuhiko;Ogata, Makoto;Shindo, Haruo;Ichiki, Takanori;Horiike, Yasuhiro</t>
  </si>
  <si>
    <t>Toyo University;Tokai University</t>
  </si>
  <si>
    <t>60015123;60009885</t>
  </si>
  <si>
    <t>Flow rate rule for high aspect ratio SiO&lt;inf&gt;2&lt;/inf&gt; hole etching</t>
  </si>
  <si>
    <t>10.1116/1.581180</t>
  </si>
  <si>
    <t>2-s2.0-0037956441</t>
  </si>
  <si>
    <t>['two cave', 'trechus apoduvalipenis', 'new species', 'morphological characteristics', 'following characters', 'female genitalia', 'ecological data', 'cantabrian karst', 'also included']</t>
  </si>
  <si>
    <t>Two cave-dwelling beetle species from the Cantabrian karst, Trechus apoduvalipenis, new species, and Apoduvalius (Trichapoduvalius) leonensis, new species, are described. In both species the following characters are examined: antennae, elytra, chaetotaxy and in particular, the structure of the male and female genitalia. Affinities with closely related species are discussed in the study of a series of morphological characteristics. Ecological data are also included.</t>
  </si>
  <si>
    <t>351-362</t>
  </si>
  <si>
    <t>100429110;100416203</t>
  </si>
  <si>
    <t>7102811686;6602477467</t>
  </si>
  <si>
    <t>Salgado, J. M.;Ortu√±o, V. M.</t>
  </si>
  <si>
    <t>Leon;Vitoria-Gasteiz</t>
  </si>
  <si>
    <t>Facultad de Biolog√≠a;Museo de Ciencias Naturales de Alava</t>
  </si>
  <si>
    <t>Salgado J.</t>
  </si>
  <si>
    <t>Two new cave-dwelling beetle species (Coleoptera: Carabidae: Trechinae) of the Cantabrian karst (Spain)</t>
  </si>
  <si>
    <t>2-s2.0-0040294521</t>
  </si>
  <si>
    <t>['type radio', 'temperature jump', 'temperature gradient', 'system suitable', 'significantly reduces', 'shorter length', 'sample solution', 'pulse programmer', 'placed around', 'nmr spectrometer', 'nmr probe', 'microwave temperature', 'microwave pulses', 'microwave pulse', 'microwave power', 'microwave heating', 'glass tube', 'frequency pulses', 'frequency coil', 'excite spins', 'efficiently absorbed', 'dielectric resonator', 'desired temperature', 'desired length', 'coupling loop', 'coaxial cable', 'aqueous solutions', 'aqueous solution', '46 ghz', '20 ms', '100 œºl']</t>
  </si>
  <si>
    <t>A microwave temperature-jump nuclear magnetic resonance (NMR) system suitable for aqueous solutions has been developed. A microwave pulse of a desired length is generated at a frequency of 2.46 GHz from a 1.3 kW magnetron, and is delivered through a waveguide and a coaxial cable to a coupling loop which works as an antenna to the dielectric resonator in the NMR probe. Inside the dielectric resonator, the microwave power is efficiently absorbed by the sample solution (about 100 Œºl) contained in a glass tube, causing a temperature jump by about 25¬∞C in less than 20 ms. The temperature after the jump can be maintained by applying intermittent microwave pulses of shorter length. A saddle-type radio-frequency coil is placed around the sample tube inside the hollow of the dielectric resonator to excite spins and detect NMR signals. Both the microwave pulses and the radio-frequency pulses are gated by a pulse programmer of the NMR spectrometer to form a desired temperature-jump pulse sequence. A mechanical mixing device is introduced, which significantly reduces the temperature gradient of the sample solution well within 100 ms after the jump. Application to an aqueous solution of ribonuclease A showed that the protein unfolds within 20 ms of microwave heating. ¬© 1998 American Institute of Physics.</t>
  </si>
  <si>
    <t>3365-3369</t>
  </si>
  <si>
    <t>60011418;60011418</t>
  </si>
  <si>
    <t>56720819100;24545361400</t>
  </si>
  <si>
    <t>Kawakami, Masaru;Akasaka, Kazuyuki</t>
  </si>
  <si>
    <t>Kobe</t>
  </si>
  <si>
    <t>Kobe University</t>
  </si>
  <si>
    <t>Kawakami M.</t>
  </si>
  <si>
    <t>Microwave temperature-jump nuclear magnetic resonance system for aqueous solutions</t>
  </si>
  <si>
    <t>S0034674898047091</t>
  </si>
  <si>
    <t>10.1063/1.1149102</t>
  </si>
  <si>
    <t>2-s2.0-0043007449</t>
  </si>
  <si>
    <t>['ws data', 'target area', 'soil moisture', 'soil frost', 'seasonal behavior', 'promising results', 'feasible field', 'beam measurements', '50 km']</t>
  </si>
  <si>
    <t>The feasibility of the ERS-1 Wind Scatterometer (WS) for monitoring the boreal forest zone is investigated, concentrating on soil frost and soil moisture monitoring. The ERS-1 WS measures the target area with coarse spatial resolution (about 50 km) using three separate antenna beams and a wide angular range. The investigations are concerned with the boreal forest zone using data 1) from test areas located in Finland and 2) covering the whole northern European boreal forest zone. The seasonal behavior of WS data is studied and a semiempirical forest backscattering model-based inversion method for the retrieval of soil moisture and for soil frost monitoring from WS data is developed. The developed inversion method employs nearly simultaneous three-beam measurements and a varying incidence angle. Promising results were obtained in the monitoring of soil frost, and the retrieval of soil moisture also appears to be a feasible field of application. The applicability of the instrument for forest biomass retrieval using single images was found to be limited to long-term change detection. ¬© 1998 IEEE.</t>
  </si>
  <si>
    <t>849-863</t>
  </si>
  <si>
    <t>7005023087;7004047492;35579880600</t>
  </si>
  <si>
    <t>Pulliainen, Jouni T.;Manninen, Terhikki;Hallikainen, Martti T.</t>
  </si>
  <si>
    <t>Pulliainen J.</t>
  </si>
  <si>
    <t>Application of ERS-1 wind scatterometer data to soil frost and soil moisture monitoring in boreal forest zone</t>
  </si>
  <si>
    <t>S019628929802854X</t>
  </si>
  <si>
    <t>10.1109/36.673678</t>
  </si>
  <si>
    <t>2-s2.0-0242547692</t>
  </si>
  <si>
    <t>['unit cell', 'therefore cause', 'sidelobe levels', 'scattered field', 'primary feed', 'material parameters', 'inhomogeneous region', 'checked satisfactorily', 'arbitrary geometric', 'analytical results']</t>
  </si>
  <si>
    <t>Boundary element method | Cylinder | Electromagnetic scattering by periodic structure | Finite-element method</t>
  </si>
  <si>
    <t>In many antenna systems the primary feed or the subreflector will most often be supported by struts which obstruct the aperture and therefore cause a reduction in the directivity and an increase in sidelobe levels. So as to be able to design new structures which avoid these drawbacks, the problem of plane wave scattering from an infinite axially periodic cylinder of arbitrary geometric and material parameters is analyzed in this paper by a hybrid finite element/boundary element method. Covariant-projection edge elements are employed in the inhomogeneous region of the unit cell and the scattered field is expanded in terms of cylindrical Floquet harmonics. The resulting practical numerical procedure has been tested to ensure that power conservation rules are obeyed and checked satisfactorily against both analytical results and measurements on periodically loaded struts. ¬© 1998 IEEE.</t>
  </si>
  <si>
    <t>1859-1866</t>
  </si>
  <si>
    <t>55575947900;6701643527;7203060918</t>
  </si>
  <si>
    <t>Freni, Angelo;Mias, Christos;Ferrari, Ronald L.</t>
  </si>
  <si>
    <t>Freni A.</t>
  </si>
  <si>
    <t>Hybrid finite-element analysis of electromagnetic plane wave scattering from axially periodic cylindrical structures</t>
  </si>
  <si>
    <t>S0018926X98097130</t>
  </si>
  <si>
    <t>10.1109/8.743824</t>
  </si>
  <si>
    <t>2-s2.0-0342377762</t>
  </si>
  <si>
    <t>['subsurface sar', 'signal processing', 'radar display', 'radar antenna', 'large antenna', 'effectively compressed', 'antenna beam']</t>
  </si>
  <si>
    <t>It is essential and desirable to get a high resolution echo in a radar image without using a large antenna. On scanning a radar antenna, the target's distribution is smoothed by the antenna beam and a smeared echo appears on the radar display. This paper describes three different types of Beam Compression Radars: Subsurface SAR; Correlation Array Radar; and Inversion Processed Radar. The experimental results show that the beamwidth on display was effectively compressed by the signal processing.</t>
  </si>
  <si>
    <t>43-48</t>
  </si>
  <si>
    <t>Suzuki, Tsutomu</t>
  </si>
  <si>
    <t>Minami-saitama District</t>
  </si>
  <si>
    <t>Nippon Institute of Technology</t>
  </si>
  <si>
    <t>Suzuki T.</t>
  </si>
  <si>
    <t>Radar beamwidth reduction techniques</t>
  </si>
  <si>
    <t>10.1109/62.673742</t>
  </si>
  <si>
    <t>2-s2.0-0343677749</t>
  </si>
  <si>
    <t>['voltages induced', 'voltage readings', 'voltage data', 'unique system', 'two papers', 'three dimensions', 'theoretical aspects', 'simulated experiments', 'particularly useful', 'overall technique', 'nonintrusively track', 'nonintrusive nature', 'marquardt algorithm', 'inverse problem', 'experimental studies', 'experimental apparatus', 'dimensional position', 'computational technique', 'also shown', 'added noise']</t>
  </si>
  <si>
    <t>A unique system to nonintrusively track a particle in three dimensions is presented. It is based on the principle of magnetic induction coupling and consists of small transmitters mounted inside the particle being tracked, and a set of receiving antennae surrounding the experimental apparatus. In Part I of the sequence of two papers, the focus is on the theoretical aspects, in particular, on developing a computational technique to solve the inverse problem, i.e., find the three-dimensional position as well as orientation of the particle from the voltages induced in the antennae. The computational technique is based on the Levenberg-Marquardt algorithm, along with a scheme for providing good initializations. Through simulated experiments that include various levels of added noise in the voltage readings, the success of this algorithm is demonstrated and the feasibility of the overall technique is established. It is also shown that a system with three mutually orthogonal transmitters provides accurate results even with the noise in the voltage data. Although this system is intended for use in experimental studies of dry granular flows, it has wide applicability due to its nonintrusive nature, and is particularly useful when optical tracking techniques are not feasible. ¬© 1998 American Institute of Physics.</t>
  </si>
  <si>
    <t>3598-3605</t>
  </si>
  <si>
    <t>7101612674;6603611284</t>
  </si>
  <si>
    <t>Dave, Rajesh N.;Bukiet, Bruce G.</t>
  </si>
  <si>
    <t>Dave R.</t>
  </si>
  <si>
    <t>Nonintrusive rigid body tracking technique for dry particulate flows. Part I. Theoretical aspects</t>
  </si>
  <si>
    <t>S0034674898020103</t>
  </si>
  <si>
    <t>10.1063/1.1149145</t>
  </si>
  <si>
    <t>2-s2.0-0344263286</t>
  </si>
  <si>
    <t>['three n', 'structural changes', 'specific activities', 'pca tissue', 'pca samples', 'pancreatic ribonuclease', 'pancreatic carcinoma', 'np ).', 'gnt v', 'gnt iv', 'gnt iii', 'elevated 12', 'affinity chromatography', '9 samples', '4 fold', '3 fold', '10 samples']</t>
  </si>
  <si>
    <t>ConA affinity chromatography | Glycan | N-acetylglucosaminyltransferase | Pancreatic carcinoma | Ribonuclease | WGA affinity chromatography</t>
  </si>
  <si>
    <t>The activities of three N-acetylglucosaminyltransferases (GnT III, GnT IV and GnT V) were determined in 10 samples of pancreatic carcinoma (PCa) and compared with those in 9 samples of normal pancreatic tissue (NP). It was found that the specific activities of GnT III, GnT IV and GnT V increased in all of the PCa samples. GnT HI increased most significantly, up to 22.3 fold of normal, GnT IV was elevated 12.3 fold, while GnT V increased only 2.4 fold. The elevation of GnTs in pancreatic carcinoma was consistent with the increase in the number of antenna and bisecting GlcNAc structures in N-glycans of pancreatic ribonuclease (RNase) as assessed by Con A affinity chromatography. Polycytidylate specific RNase from the serum of PCa patients showed the same structural changes as that found in in N-glycans of the RNase from PCa tissue.</t>
  </si>
  <si>
    <t>1033-1037</t>
  </si>
  <si>
    <t>60073471;60066010;60073471;60073471;60066010;60073655;60073655</t>
  </si>
  <si>
    <t>20235596200;7006765465;57192534818;57196142273;55237703600;57196208354;55550626600</t>
  </si>
  <si>
    <t>Nan, Bi cheng;Shao, Dong min;Chen, Hui li;Huang, Yong;Gu, Jian xin;Zhang, Yi bin;Wu, Zhao guang</t>
  </si>
  <si>
    <t>China;China;China</t>
  </si>
  <si>
    <t>Shanghai;Beijing;Shanghai</t>
  </si>
  <si>
    <t>Zhongshan Hospital;Ministry of Health of People's Republic of China;Shanghai Medical College Fudan University</t>
  </si>
  <si>
    <t>60073655;60073471;60066010</t>
  </si>
  <si>
    <t>Nan B.</t>
  </si>
  <si>
    <t>Alteration of N-acetylglucosaminyltransferases in pancreatic carcinoma</t>
  </si>
  <si>
    <t>10.1023/A:1006950311937</t>
  </si>
  <si>
    <t>2-s2.0-0344719239</t>
  </si>
  <si>
    <t>['tec data', 'special antenna', 'scintillation measurements', 'results obtained', 'polar patches', 'polar holes', 'phase difference', 'nnss satellites', 'measurements logged', 'high gain', 'gps satellites', 'gps measurements', 'fof2 obtained', 'earlier findings', 'digisonde records', 'casey station', 'amplitude scintillations', 'amplitude data', 'also made', 'absolute tec', '400 mhz', '28 degrees', '24 mhz', '150 mhz']</t>
  </si>
  <si>
    <t>GPS | NNSS | Polar holes | Polar patches | TEC</t>
  </si>
  <si>
    <t>During the period of 1993-1996, the transmissions from the US Navy Navigational Satellite System (NNSS) polar orbiting satellites, received at Casey (66.28 degrees S, 110.5 degrees E), Antarctica, were used to investigate the amplitude scintillations on 150 MHz and the Ionospheric Total Electron Content obtained using the Differential phase technique. The differential phase technique, measuring the phase difference between the two coherent transmissions on 150 MHz and 400 MHz from the NNSS satellites, permits only relative TEC changes to be calculated. Absolute TEC is estimated from the relative TEC using the foF2 obtained from the digisonde records from Casey station or from GPS measurements. A JMR-1 satellite receiver system is used to obtain the phase and amplitude data, with all measurements logged on a PC. A special antenna with high gain at high elevation enabled the reception of high quality signals from the NNSS satellites. Scintillation measurements were obtained from a purpose built receiver, attached to the 24 MHz IF output of the JMR. Investigations of the ionospheric enhancements known as polar patches, and the depletions, known as polar holes were carried out. In order to locate the patches and polar holes, the TEC data are mapped in MLT magnetic co-ordinates. Comparisons to results similarly obtained from GPS satellites are also made. The results obtained are in agreement with the earlier findings. However, comparisons with models indicate large discrepancies when patches and holes are present.</t>
  </si>
  <si>
    <t>Acta Geodaetica et Geophysica Hungarica</t>
  </si>
  <si>
    <t>60006925;60006925;60006925</t>
  </si>
  <si>
    <t>7005937539;6701708457;6603820985</t>
  </si>
  <si>
    <t>Tate, B. S.;Shilo, N. M.;Essex, E. A.</t>
  </si>
  <si>
    <t>Tate B.S.</t>
  </si>
  <si>
    <t>An investigation of the ionosphere in the southern high latitudes during low sunspot numbers</t>
  </si>
  <si>
    <t>2-s2.0-0346334895</t>
  </si>
  <si>
    <t>['paper describes', 'microstrip antenna', 'input impedence', 'engineering computations']</t>
  </si>
  <si>
    <t>Distributed Computing | Electromagnetic Field Calculations | FDTD | MPI</t>
  </si>
  <si>
    <t>This paper describes an implementation of the Finite Difference Time Domain (FDTD) method using MPI (Message Passing Interface) library to the sample electromagnetic problem: calculating the input impedence of a microstrip antenna. Its objective is to demonstrate to engineers in disciplines other than computing, how easy it is to use contemporary software tools, such as MPI, to speed up engineering computations.</t>
  </si>
  <si>
    <t>485-490</t>
  </si>
  <si>
    <t>Informatica (Ljubljana)</t>
  </si>
  <si>
    <t>60022144;60022144;60022144;60029336</t>
  </si>
  <si>
    <t>35465847700;6505533791;57206201741;6603570019</t>
  </si>
  <si>
    <t>Christodoulou, Christos;Tangle, Javier Gomez;Zalewski, Janusz;Machura, Marek</t>
  </si>
  <si>
    <t>Bournemouth;Orlando</t>
  </si>
  <si>
    <t>Bournemouth University;University of Central Florida</t>
  </si>
  <si>
    <t>60029336;60022144</t>
  </si>
  <si>
    <t>Christodoulou C.</t>
  </si>
  <si>
    <t>Applying MPI to Electromagnetic Field Calculations</t>
  </si>
  <si>
    <t>2-s2.0-0346969916</t>
  </si>
  <si>
    <t>['optical systems', 'mode analysis', 'horn indicates', 'hexagonal horn', 'hermite beam', 'fractional power', 'asymmetrical gauss']</t>
  </si>
  <si>
    <t>Horn antennas</t>
  </si>
  <si>
    <t>Asymmetrical Gauss-Hermite beam-mode analysis is presented to investigate the hexagonal horn. The fractional power in the fundamental beam mode is approximately 86%. The near- and far-field radiation patterns are calculated. The high fractional power in the fundamental beam mode of the horn indicates that it can be used as an efficient Gaussian beam launcher in quasi-optical systems. ¬© 1998 IEEE.</t>
  </si>
  <si>
    <t>1444-1451</t>
  </si>
  <si>
    <t>60000251-60005244;60020304-60005244;60000251-60005244-60020304</t>
  </si>
  <si>
    <t>57203810277;7006874529;7404239172</t>
  </si>
  <si>
    <t>Shen, Tao;Dou, Wenbin;Sun, Zhongliang</t>
  </si>
  <si>
    <t>United States;China;United States</t>
  </si>
  <si>
    <t>College Park;Nanjing;New York</t>
  </si>
  <si>
    <t>University of Maryland, College Park;Southeast University;IEEE</t>
  </si>
  <si>
    <t>60020304;60005244;60000251</t>
  </si>
  <si>
    <t>Shen T.</t>
  </si>
  <si>
    <t>Asymmetrical gauss-hermite beam-mode analysis of the hexagonal horn</t>
  </si>
  <si>
    <t>S0018948098072433</t>
  </si>
  <si>
    <t>10.1109/22.721146</t>
  </si>
  <si>
    <t>2-s2.0-0347819995</t>
  </si>
  <si>
    <t>['various conditions', 'ten times', 'prototype one', 'optical interconnects', 'incoming wave', 'field distribution', 'directly measuring', 'dimensional free', 'dimensional arrays', 'demonstrate two', 'coupled mixers', 'conjugate wave', '24 ghz']</t>
  </si>
  <si>
    <t>An artificial nonlinear surface has been developed using antenna-coupled mixers with optical interconnects for microwave and millimeter-wave phase conjugation. Prototype one-dimensional arrays have been constructed and have been used to demonstrate two-dimensional free-space phase conjugation at 10.24 GHz. The phase conjugation properties have been observed and verified by directly measuring the electric-field distribution of the conjugate wave under various conditions. Furthermore, the experiments have shown amplified conjugate wave power up to ten times of that of the incoming wave. This amplifying ability demonstrates the potential of such surfaces to be used in novel communications applications. ¬© 1998 American Institute of Physics.</t>
  </si>
  <si>
    <t>745-747</t>
  </si>
  <si>
    <t>Millimeter-wave phase conjugation using artificial nonlinear surfaces</t>
  </si>
  <si>
    <t>S0003695198021068</t>
  </si>
  <si>
    <t>10.1063/1.120863</t>
  </si>
  <si>
    <t>2-s2.0-0347901785</t>
  </si>
  <si>
    <t>['spectral shift', 'reaction centers', 'protein complexes', 'primary structure', 'peripheral antenna', 'isolated pigment', 'diethyl pyrocarbonate', 'core antenna', 'chromatium minutissimum', '850 ).', '830 nm']</t>
  </si>
  <si>
    <t>Diethyl pyrocarbonate effect | Photosynthetic bacteria | Pigment-protein complexes</t>
  </si>
  <si>
    <t>The effect of diethyl pyrocarbonate on chromatophores and isolated pigment-protein complexes of Chromatium minutissimum was studied. It is shown that modification of histidine residues results in the destruction of the core antenna LHI (B880) and in a spectral shift from 850 to 830 nm in the peripheral antenna LHII (B800-850). In the purple sulfur bacterium Chromatium minutissimum the pigment-protein complexes B800-B850 (peripheral antenna, LHII) and B880 (core antenna, LHI) collect and transmit the absorbed light energy to the reaction centers. The composition of pigments and proteins as well as primary structure of the majority of polypeptides in both types of complexes from various photosynthetic bacteria have been determined.</t>
  </si>
  <si>
    <t>1205-1208</t>
  </si>
  <si>
    <t>60021331;60021331;60021331</t>
  </si>
  <si>
    <t>7004004963;6602859772;7004563044</t>
  </si>
  <si>
    <t>Prokhorenko, I. R.;Makhneva, Z. K.;Erokhin, Yu E.</t>
  </si>
  <si>
    <t>Prokhorenko I.</t>
  </si>
  <si>
    <t>Effect of modification of histidine residues on organization of the pigment-protein complexes of Chromatium minutissimum</t>
  </si>
  <si>
    <t>2-s2.0-11644257508</t>
  </si>
  <si>
    <t>['various situations', 'substantial improvement', 'spatial model', 'significant difference', 'paper considers', 'obstructions close', 'multipath dispersion', 'mean power', 'ends make', 'either antenna', 'distributed obstructions', 'directional antennas', 'delay spread', 'delay profile', 'considers scattering', 'also results']</t>
  </si>
  <si>
    <t>This paper considers the use of directional antennas in broadband radio access systems to overcome the effects of i.s.i. due to multipath dispersion. It introduces a "spatial model" which considers scattering from randomly-distributed obstructions in the environment. Using this model the mean power-delay profile is estimated for various situations. It is shown that this leads to an asymptotic power law for the power-delay profile, unlike the exponential profile commonly assumed, and that this also results in difficulties in calculating the delay spread. We propose that obstructions close to either antenna should be treated as reflectors, rather than scatterers, and we then use this model to calculate the delay-spread in three scenarios involving directional antennas, with and without LOS paths. It is shown that the presence of the LOS path provides a substantial improvement, and that whereas only one directional antenna further reduces delay spread by a factor of about 2, directional antennas at both ends make a very significant difference: a factor of about 20.</t>
  </si>
  <si>
    <t>Burr, A. G.</t>
  </si>
  <si>
    <t>York</t>
  </si>
  <si>
    <t>University of York</t>
  </si>
  <si>
    <t>Burr A.</t>
  </si>
  <si>
    <t>A spatial channel model to evaluate the influence of directional antennas in a broadband radio system</t>
  </si>
  <si>
    <t>2-s2.0-11744265936</t>
  </si>
  <si>
    <t>['structural analyses', 'several cases', 'parametric studies', 'orbital changes', 'orbit altitude', 'material properties', 'design concept', 'coating types', 'antenna array']</t>
  </si>
  <si>
    <t>The proposed Hydrostar mission used a large orbiting antenna array to demonstrate synthetic aperture technology in space while obtaining global soil moisture data. In order to produce accurate data, the array was required to remain as close as possible to its perfectly aligned placement while undergoing the mechanical and thermal stresses induced by orbital changes. Thermal and structural analyses for a design concept of this antenna array were performed. The thermal analysis included orbital radiation calculations, as well as parametric studies of orbit altitude, material properties and coating types. The thermal results included predicted thermal distributions over the array for several cases. The structural analysis provided thermally-driven deflections based on these cases, as well as based on a 1-g inertial load. In order to minimize the deflections of the array in orbit, the use of XN70, a carbon-reinforced polycyanate composite, was recommended.</t>
  </si>
  <si>
    <t>NASA Technical Memorandum</t>
  </si>
  <si>
    <t>60000854;60000854</t>
  </si>
  <si>
    <t>6602542071;7102364757</t>
  </si>
  <si>
    <t>Amundsen, Ruth M.;Hope, Drew J.</t>
  </si>
  <si>
    <t>Hampton</t>
  </si>
  <si>
    <t>NASA Langley Research Center</t>
  </si>
  <si>
    <t>Amundsen R.</t>
  </si>
  <si>
    <t>Hydrostar thermal and structural deformation analyses of antenna array concept</t>
  </si>
  <si>
    <t>2-s2.0-12944255741</t>
  </si>
  <si>
    <t>['thermostablity nature', 'study mechanisms', 'nanoscale clusters', 'microwave substrates', 'microwave dielectrics', 'low frequencies', 'dielectric resonators', '1000 k']</t>
  </si>
  <si>
    <t>High dielectric constant (Œµ) ceramics are used as dielectric resonators, filters, microwave substrates, waveguides and antennas. The properties of microwave dielectrics can be improved only by the understanding of the nature of polarization. Dielectric spectroscopy method at temperature interval 10-1000 K, initiated from low frequencies and extended up to far infrared range, was used to study mechanisms of polarization. It was shown that the thermostablity nature of low loss microwave dielectrics are nanoscale clusters, electronic by their nature, with extremely low relaxation time. This mechanism provides thermal stability of microwave low loss dielectrics with Œµ ‚àº 100.</t>
  </si>
  <si>
    <t>4 SUPPL.</t>
  </si>
  <si>
    <t>Journal of the Korean Physical Society</t>
  </si>
  <si>
    <t>60003172;60014840</t>
  </si>
  <si>
    <t>7004301579;7202175542</t>
  </si>
  <si>
    <t>Poplavko, Yuri M.;You, Young Soo</t>
  </si>
  <si>
    <t>South Korea;Ukraine</t>
  </si>
  <si>
    <t>Asan;Kiev</t>
  </si>
  <si>
    <t>Sunmoon University;National Technical University of Ukraine ‚ÄúIgor Sikorsky Kyiv Polytechnic Institute‚Äù</t>
  </si>
  <si>
    <t>60014840;60003172</t>
  </si>
  <si>
    <t>Poplavko Y.M.</t>
  </si>
  <si>
    <t>Future trends in microwave dielectrics</t>
  </si>
  <si>
    <t>2-s2.0-19944425552</t>
  </si>
  <si>
    <t>['voltages induced', 'vibrated bed', 'two papers', 'time trajectories', 'three dimensions', 'theoretical aspects', 'test experiments', 'results presented', 'real trajectories', 'particularly useful', 'particle nonintrusively', 'part ii', 'nonintrusive nature', 'inverse problem', 'include details', 'experimental studies', 'experimental apparatus', 'dimensional position', 'computational technique', 'also shown', 'actual measurements']</t>
  </si>
  <si>
    <t>A system, based on the principle of magnetic induction coupling, to track a particle nonintrusively in three dimensions is presented. It consists of small transmitters mounted inside the particle being tracked, and a set of receiving antennae surrounding the experimental apparatus. In Part I of the sequence of two papers, the focus is on the theoretical aspects, in particular, on developing a computational technique to solve the inverse problem of finding the three-dimensional position as well as orientation of the particle from the voltages induced in the antennae. In Part II the focus is on the actual system development, including all hardware and data acquisition aspects. The results presented here are comprehensive, as they include details of hardware/electronics, comparison of induced voltage model and actual measurements, and a set of actual tracking results. Through test experiments that include a variety of real-time trajectories, this system is tested and its success is demonstrated. Results of real trajectories of a single ball rising in a mass of other spheres in a vibrated bed are also shown. Although this system is intended for use in experimental studies of dry granular flows, it has wide applicability due to its nonintrusive nature, and is particularly useful when optical tracking techniques are not feasible. ¬© 1998 American Institute of Physics.</t>
  </si>
  <si>
    <t>3606-3613</t>
  </si>
  <si>
    <t>60022904;60022904;60022904;60022904</t>
  </si>
  <si>
    <t>7101612674;8446232300;57205849332;57212178410</t>
  </si>
  <si>
    <t>Dave, Rajesh N.;Volcy, J.;Agarwal, J.;Gupta, V.</t>
  </si>
  <si>
    <t>Nonintrusive rigid body tracking technique for dry particulate flows. Part II. Practical aspects and implementation</t>
  </si>
  <si>
    <t>S0034674898021108</t>
  </si>
  <si>
    <t>10.1063/1.1149146</t>
  </si>
  <si>
    <t>2-s2.0-21944448071</t>
  </si>
  <si>
    <t>['slot antenna', 'planar surface', 'integral equation', 'input impedance', 'fleld pattern', 'computed results']</t>
  </si>
  <si>
    <t>The characteristics of a microstripline-fed cylindrical slot antenna are presented. The integral equation, which involves spectral domain Green's functions and unknown slot electric lirld, is numerically solved using the method of moments. Computed results are compared with slot antenna on planar surface to demonstrate the validity and accuracy of the method. The effects of the size of the cylinder on the input impedance and far-fleld pattern are investigated. ¬© 1998 IEEE.</t>
  </si>
  <si>
    <t>1587-1589</t>
  </si>
  <si>
    <t>Tarn, W. Y.</t>
  </si>
  <si>
    <t>Hong Kong Polytechnic University</t>
  </si>
  <si>
    <t>Tarn W.</t>
  </si>
  <si>
    <t>Microstripline-fed cylindrical slot antennas</t>
  </si>
  <si>
    <t>S0018926X98075097</t>
  </si>
  <si>
    <t>10.1109/8.725296</t>
  </si>
  <si>
    <t>2-s2.0-22444448997</t>
  </si>
  <si>
    <t>['specular component', 'sounding data', 'reflected amplitudes', 'random electron', 'radiation scattering', 'radiation field', 'probability distributions', 'numerical simulations', 'nonstationary ionosphere', 'method requires', 'ionospheric vertical', 'interperiodica ".', 'incoherent intensity', 'experimental implementation', 'doppler shift', 'density irregularities', 'coherent receivers', 'coherent component', 'characteristic waves']</t>
  </si>
  <si>
    <t>A method is proposed for the use of ionospheric vertical-sounding data to estimate the parameter Œ≤2 = signal/noise, which is equal to the ratio of the coherent to the incoherent intensity, and the collisionless damping Ls of the specular component of the radiation field, which is caused by radiation scattering from random electron-density irregularities. The method requires no knowledge of the probability distributions of the reflected amplitudes and can be applied to the nonstationary ionosphere. Experimental implementation of this method requires the use of coherent receivers. Numerical simulations are used to assess the potential of the method. Measuring signal parameters with a single linearly polarized antenna allows Œ≤2, Ls, and the Doppler shift of the frequency of the coherent component to be determined. A pair of orthogonal antennas allow the modulus and phase of the complex polarization coefficient for characteristic waves to be determined. Copyright ¬© 1999 by MAIK "Hayka/Interperiodica".</t>
  </si>
  <si>
    <t>776-782</t>
  </si>
  <si>
    <t>Geomagnetism and Aeronomy</t>
  </si>
  <si>
    <t>60025383;60025383;60025383</t>
  </si>
  <si>
    <t>7003924988;8714216500;8714216600</t>
  </si>
  <si>
    <t>Denisenko, P. F.;Kuleshov, G. I.;Skazik, A. I.</t>
  </si>
  <si>
    <t>Rostov-on-Don</t>
  </si>
  <si>
    <t>Southern Federal University</t>
  </si>
  <si>
    <t>Denisenko P.</t>
  </si>
  <si>
    <t>Possibility of determining the collisionless radio-wave damping from vertical-incidence ionospheric sounding</t>
  </si>
  <si>
    <t>2-s2.0-24644470071</t>
  </si>
  <si>
    <t>['simultaneous measurements', 'noon hours', 'interperiodica ".', 'incidence sounding', 'electron density', 'dmsp f2', 'cusp region', 'august 29', 'antenna system', '900 satellites']</t>
  </si>
  <si>
    <t>The dynamics of a trough in the cleft/cusp region in noon hours during the disturbance of August 29, 1979, is investigated on the base of simultaneous measurements from the DMSP F2, F4, and Kosmos-900 satellites and the ground-based ionosonde Tixie Bay station, equipped with an antenna system for oblique-incidence sounding. The dayside in electron density are shown to be localized at 2¬∞-4¬∞ equatorward of the cusp. Copyright ¬© 1999 by MAHK "Hayka/Interperiodica".</t>
  </si>
  <si>
    <t>396-399</t>
  </si>
  <si>
    <t>60075941;60017989;60075941;60075941;60075941</t>
  </si>
  <si>
    <t>8976000500;7005152910;7801668935;56284407000;7801409792</t>
  </si>
  <si>
    <t>Shestakova, L. V.;Afonin, V. V.;Khalipov, V. L.;Stepanov, A. E.;Zikrach, E. K.</t>
  </si>
  <si>
    <t>Yakutsk;Moscow</t>
  </si>
  <si>
    <t>Yu.G. Shafer Institute of Cosmophysical Research and Aeronomy of the Siberian Branch of the RAS;Space Research Institute of the Russian Academy of Sciences</t>
  </si>
  <si>
    <t>60075941;60017989</t>
  </si>
  <si>
    <t>Shestakova L.</t>
  </si>
  <si>
    <t>Specific features of the high-latitude ionosphere in noon hours during the the 29 disturbance of August 29, 1979</t>
  </si>
  <si>
    <t>2-s2.0-24744459329</t>
  </si>
  <si>
    <t>['year 2000', 'two technologies', 'spectrum sharing', 'several attempts', 'recent developments', 'network technologies', 'band gsm', 'band dual', 'added pressure', 'accomplish dual']</t>
  </si>
  <si>
    <t>The recent developments of dual-band dual-mode D-AMPS/AMPS mobile handsets and radiostations has added pressure on GSM service providers to follow similar technology breakthroughs as a first step towards UMTS/FPLMTS. A frequency agile device accommodating both GSM standard frequency bands would serve more than 25 million GSM subscribers, with expectations as high as 100 millions subscribers by the year 2000. The complexity of the spectrum sharing between the two technologies and service generations may be alleviated by all terminal, system and network technologies. In this paper, several attempts to accomplish dual-band GSM/DCS 1800 operation on a single handset employing dual-band antenna concepts are introduced, and novel printed antenna elements developed at the Universidad Polit√©cnica de Valencia are described.</t>
  </si>
  <si>
    <t>21-26</t>
  </si>
  <si>
    <t>Serrano-Vaello, √Ågata;S√°nchez-Hern√°ndez, David</t>
  </si>
  <si>
    <t>Novel printed bow-tie antennas for dual-band dual-mode mobile handsets</t>
  </si>
  <si>
    <t>2-s2.0-2542554123</t>
  </si>
  <si>
    <t>['usw radars', 'sw region', 'single section', 'radar probing', 'potential provided', 'observed almost', 'interperiodica ".', 'high latitudes', 'first experiments', 'distance equal', 'antenna mounted', 'altitudes 83', '90 km', '9 mhz', '3 km']</t>
  </si>
  <si>
    <t>The first experiments on radar probing of the mesosphere in the SW region were carried out in the summer of 1994 in the frequency range 8-9 MHz with a resolution in distance equal to 3 km and using the potential provided by a single section of the antenna mounted at the SURA heating facility. Almost all observations have demonstrated the presence of strong radar echoes within the interval of altitudes 83-90 km. The properties of these echoes are very similar to those of Mesosphere Summer Echoes (MSEs) and Polar Mesosphere Summer Echoes (PMSEs) observed by USW radars at middle and high latitudes, respectively. Unlike the USW radar echoes, the SW radar echoes can be observed almost all the time. Copyright ¬© 1999 by MAINK "Hayka/Interperiodica".</t>
  </si>
  <si>
    <t>60008673;60008673;60008673;60008673;60008673;60008673;60008673;60008673</t>
  </si>
  <si>
    <t>6602114339;6506767484;56421559700;57207543807;36902214200;26038995900;6507288782;6701613915</t>
  </si>
  <si>
    <t>Karashtin, A. N.;Shlyugaev, Yu V.;Abramov, V. I.;Belov, I. F.;Berezin, I. V.;Bychkov, V. V.;Eryshev, E. B.;Komrakov, G. P.</t>
  </si>
  <si>
    <t>Karashtin A.N.</t>
  </si>
  <si>
    <t>First results of short-wave radar probing of the mesosphere</t>
  </si>
  <si>
    <t>2-s2.0-26444496668</t>
  </si>
  <si>
    <t>TIC95-0983-C03-01</t>
  </si>
  <si>
    <t>['several v', 'receiving characteristics', 'linear resistance', 'interior angle', 'feed point']</t>
  </si>
  <si>
    <t>Broad-band antennas | Time domain</t>
  </si>
  <si>
    <t>Pulse-receiving characteristics such as bandwidth, sensitivity, and fidelity of several V-dipole antennas loaded with a nonreflecting resistance profile are analyzed, taking into account the effect of parameters such as the linear resistance at the feed point, the interior angle of the V-antenna, and the terminal resistance load.</t>
  </si>
  <si>
    <t>174-176</t>
  </si>
  <si>
    <t>7004462554;6701414738;7003589064</t>
  </si>
  <si>
    <t>S√°nchez Garc√≠a, I.;Rubio Bretones, A.;G√≥mez Mart√≠n, R.</t>
  </si>
  <si>
    <t>S√°nchez Garc√≠a I.</t>
  </si>
  <si>
    <t>Pulse-receiving characteristics of V-dipole antennas with resistive loading</t>
  </si>
  <si>
    <t>S0018937598040174</t>
  </si>
  <si>
    <t>10.1109/15.673624</t>
  </si>
  <si>
    <t>2-s2.0-26644431549</t>
  </si>
  <si>
    <t>['rydberg orbitals', 'interperiodica publishing', 'inertial reaction']</t>
  </si>
  <si>
    <t>The capture of quasi-free electrons onto quasi-Rydberg orbitals of positively charged atoms AŒ¥+ in polarized neutral acceptor molecules AŒ¥+BŒ¥- was considered. Electron capture onto an antenna cluster leads to an increase in time of its interaction with the molecule AB bound to the cluster through the quasi-Rydberg orbitals. This ensures the occurrence of the inertial reaction of dissociative electron capture by AB. ¬© 1998 MAHK Hayka/Interperiodica Publishing.</t>
  </si>
  <si>
    <t>239-242</t>
  </si>
  <si>
    <t>High Energy Chemistry</t>
  </si>
  <si>
    <t>Skvortsov, V. I.</t>
  </si>
  <si>
    <t>Chernogolovka</t>
  </si>
  <si>
    <t>Institute of Problems of Chemical Physics of Russian Academy of Sciences</t>
  </si>
  <si>
    <t>Skvortsov V.I.</t>
  </si>
  <si>
    <t>Dynamics of scavenging reactions of quasi-free and quasi-rydberg electrons in silver halide grains: 1. Statement of the problem, reaction cross sections, and antenna clusters</t>
  </si>
  <si>
    <t>2-s2.0-27144477473</t>
  </si>
  <si>
    <t>['sulfur sensitization', 'part 1', 'molecules produced', 'interperiodica publishing', 'inertial reaction', 'fast emulsions', 'concepts disclosed', 'antenna clusters', 'agbr grains']</t>
  </si>
  <si>
    <t>The dynamics of photoreactions of formation of silver clusters Agn (n ‚â§ 4) in AgBr grains of fast emulsions is discussed on the basis of concepts disclosed in part 1 [1] and the available experimental data. The role of antenna clusters (Ag2S)m, where m is the number of molecules produced by sulfur sensitization, involved in particular in the inertial reaction of dissociative electron capture onto the adjacent Ag2 molecule is substantiated. ¬© 1998 MAHK Hayka/Interperiodica Publishing.</t>
  </si>
  <si>
    <t>316-319</t>
  </si>
  <si>
    <t>Dynamics of scavenging reactions of quasi-free and quasi-rydberg electrons in silver halide grains: 2. Mechanism of chemical sensitization</t>
  </si>
  <si>
    <t>2-s2.0-27144527396</t>
  </si>
  <si>
    <t>Heane, Gary</t>
  </si>
  <si>
    <t>Heane G.</t>
  </si>
  <si>
    <t>Examining the role of the antenna in millimetre wave point to multipoint communications systems</t>
  </si>
  <si>
    <t>2-s2.0-2742511195</t>
  </si>
  <si>
    <t>['position radiolocation', 'phase distribution', 'known results', 'integral equations', 'current along']</t>
  </si>
  <si>
    <t>Using the method of integral equations, the amplitude-phase distribution of a current along a receiving symmetric dipole is calculated, taking into account the current asymmetry caused by the oblique wave incidence. The effective scattering cross sections (ESCSs) are determined for the case of single-position radiolocation, and the obtained and known results are compared.</t>
  </si>
  <si>
    <t>527-531</t>
  </si>
  <si>
    <t>Journal of Communications Technology and Electronics</t>
  </si>
  <si>
    <t>6602822671;7004769280;7004569427;6506886650</t>
  </si>
  <si>
    <t>Brikker, A. M.;Zernov, N. V.;Martynova, T. E.;Shkil, V. M.</t>
  </si>
  <si>
    <t>Brikker A.</t>
  </si>
  <si>
    <t>Scattering of Electromagnetic Waves by a Dipole Antenna at Arbitrary Angles of Incidence</t>
  </si>
  <si>
    <t>2-s2.0-2742511360</t>
  </si>
  <si>
    <t>['two regions', 'thus composed', 'theoretical base', 'test results', 'test method', 'test fixture', 'test chamber', 'standard 61196', 'short circuit', 'shield effectiveness', 'satisfactory implementation', 'production environment', 'paper describes', 'paper concludes', 'located within', 'general laboratory', 'easily assembled', 'cylindrical housing', 'contact resistance', 'combination foil', 'coaxial cable', 'centre conductor', 'cable sample', 'also known', '7 meters', '140 db', '1000 mhz']</t>
  </si>
  <si>
    <t>This paper describes a practical test fixture that has been developed for the measurement of shielded screening attenuation (also known as shield effectiveness) of Community Antenna Television (CATV) coaxial cable. The theoretical base of the fixture is contained in the draft Amendment 11 to International Electrotechnical Commission (IEC) Standard 61196-1 and the original German development publications2. The fixture uses commercially available transmission line hardware, is low in cost and is easily assembled for utilisation in a general laboratory or production environment. The test fixture housing is a cylinder that forms a triaxial test configuration with the cable sample shield and centre conductor. The test fixture is thus composed of two regions; the test chamber, which is located between the cylindrical housing and the cable sample shield, and the cable sample. The test chamber diameter ratio determines the upper frequency test limit and the lower frequency limit is determined by the length of the cable sample. The sensitivity of the test method is limited by contact resistance where the cable sample shield forms a short circuit with the cylindrical test fixture end plate and by leakage from the cable sample termination which is located within the fixture test chamber. These factors have been minimised to achieve a measurement capability greater than 140 dB over the 1-1000 MHz frequency range. Test results are presented for a selection of braid and combination foil-braid shield designs for RG 6 type coaxial cable measured in lengths up to 6.7 meters over the frequency range 1-1000 MHz. The paper concludes that the test fixture is a satisfactory implementation of the shielded screening attenuation test method. However, recommendations are given for further study of combination foil-braid shield performance.</t>
  </si>
  <si>
    <t>100628252;100628252</t>
  </si>
  <si>
    <t>7006223737;55251586500</t>
  </si>
  <si>
    <t>Kincaid, J.;Dole, C.</t>
  </si>
  <si>
    <t>Richmond</t>
  </si>
  <si>
    <t>Beiden Wire and Cable Co.</t>
  </si>
  <si>
    <t>Kincaid J.</t>
  </si>
  <si>
    <t>Test fixture design and shielded screening attenuation performance of CATV coaxial cable</t>
  </si>
  <si>
    <t>2-s2.0-2742511537</t>
  </si>
  <si>
    <t>['œª ).', 'monochromatic radiators', 'main attention', 'fraunhofer zone', 'exciting pulse', 'energy parameters', 'energy equivalence', 'e .,', 'directional pattern', 'different shapes', 'different apertures', 'close values', 'basic characteristics']</t>
  </si>
  <si>
    <t>Basic characteristics are considered of antennas-radiators of electromagnetic pulse fields. The main attention is paid to the energy parameters, i.e., the directional pattern and the directivity in the Fraunhofer zone for different shapes of the exciting pulse and different apertures. The energy equivalence is shown for the pulse and monochromatic radiators for close values of the length of the exciting pulse (cœÑ) and the wavelength (Œª).</t>
  </si>
  <si>
    <t>154-162</t>
  </si>
  <si>
    <t>Sodin, L. G.</t>
  </si>
  <si>
    <t>Institute of Radio Astronomy National Academy of Sciences of Ukraine</t>
  </si>
  <si>
    <t>Sodin L.</t>
  </si>
  <si>
    <t>Antenna Pulse Radiation</t>
  </si>
  <si>
    <t>2-s2.0-2742512368</t>
  </si>
  <si>
    <t>['ultimate characteristics', 'output signal', 'different variants', 'comparative analysis', '-( interference']</t>
  </si>
  <si>
    <t>A comparative analysis is performed and ultimate characteristics are estimated [the interference rejection depth and output signal-to-(interference + noise) ratio] for different variants of adaptive spatial signal processing algorithms synthesized from the criterion of the minimum signal power at the antenna array output.</t>
  </si>
  <si>
    <t>49-54</t>
  </si>
  <si>
    <t>7007006910;6507817143;6506924019</t>
  </si>
  <si>
    <t>Marchuk, L. A.;Giniyatullin, N. F.;Kolin'ko, A. V.</t>
  </si>
  <si>
    <t>Marchuk L.</t>
  </si>
  <si>
    <t>Analysis of Output Signal Minimization Algorithms in Adaptive Antenna Arrays</t>
  </si>
  <si>
    <t>2-s2.0-2742518019</t>
  </si>
  <si>
    <t>60031342;60031342;60031342</t>
  </si>
  <si>
    <t>7005576274;7007110636;7003950726</t>
  </si>
  <si>
    <t>Edge, C.;Langley, L. N.;Wale, M. J.</t>
  </si>
  <si>
    <t>GEC-Marconi Materials Technology Ltd</t>
  </si>
  <si>
    <t>Edge C.</t>
  </si>
  <si>
    <t>Technologies for an optically controlled mobile phased array communications antenna</t>
  </si>
  <si>
    <t>2-s2.0-2742525806</t>
  </si>
  <si>
    <t>['numerical analysis', 'equivalent circuits', 'electrodynamic characteristics', 'antiphase log']</t>
  </si>
  <si>
    <t>Relationships for calculating input currents of monopoles in inphase and antiphase log-periodic monopole antennas (LMAs), based on equivalent circuits, are derived, and examples of numerical analysis of their electrodynamic characteristics are presented.</t>
  </si>
  <si>
    <t>358-365</t>
  </si>
  <si>
    <t>Polukhin, G. A.</t>
  </si>
  <si>
    <t>AOOT Radiofizika</t>
  </si>
  <si>
    <t>Polukhin G.</t>
  </si>
  <si>
    <t>A Calculation Technique for Log-periodic Monopole Antennas</t>
  </si>
  <si>
    <t>2-s2.0-2742526903</t>
  </si>
  <si>
    <t>Parini, C. G.</t>
  </si>
  <si>
    <t>Parini C.G.</t>
  </si>
  <si>
    <t>Antenna measurements at millimetric frequencies</t>
  </si>
  <si>
    <t>2-s2.0-2742527079</t>
  </si>
  <si>
    <t>['signal amplitudes', 'carrier frequency', 'antenna array', 'analyzed taking', 'account fluctuations']</t>
  </si>
  <si>
    <t>By the methods of statistical antenna theory, the properties of an antenna array (AA) excited by pulse signals without the carrier frequency is analyzed taking into account fluctuations of the signal amplitudes and fronts.</t>
  </si>
  <si>
    <t>763-768</t>
  </si>
  <si>
    <t>Maslov, O. N.</t>
  </si>
  <si>
    <t>Maslov O.N.</t>
  </si>
  <si>
    <t>Statistical Characteristics of the Field of a Nonsinusoidal-Wave Radiator Array</t>
  </si>
  <si>
    <t>2-s2.0-2742528078</t>
  </si>
  <si>
    <t>['stratified medium', 'integral equation', 'impose restrictions', 'exact solution']</t>
  </si>
  <si>
    <t>A method of solution is proposed and the results of analyzing the characteristics of vibrator antennas situated near a planar-stratified lossy medium (PSM) are presented. It is shown that the method does not impose restrictions on the length, orientation, and configuration of the antenna, as well as on the distance from the interface and the parameters of the planar-stratified medium. The method is based on solving the integral equation for the current on the antenna and taking into account the influence of the medium by means of exact solution of the boundary value problem.</t>
  </si>
  <si>
    <t>1096-1102</t>
  </si>
  <si>
    <t>7006839310;7102592136</t>
  </si>
  <si>
    <t>Bodrov, V. V.;Romanov, S. I.</t>
  </si>
  <si>
    <t>Bodrov V.V.</t>
  </si>
  <si>
    <t>Taking into Account the Influence of a Planar-Stratified Medium on Characteristics of Vibrator Antennas</t>
  </si>
  <si>
    <t>2-s2.0-2742528151</t>
  </si>
  <si>
    <t>['radiation field', 'near field', 'maximum entropy', 'harmonic parameters', 'harmonic model', 'harmonic expansion', 'finite two', 'base domain', 'antenna array']</t>
  </si>
  <si>
    <t>A method for approximating the radiation field by finite two-dimensional harmonic series is presented. In the case of the near field of an antenna array, the choice of the harmonic model, the base domain of the field sampling matrix, and the algorithm for estimating the harmonic parameters are analyzed. On the basis of the harmonic expansion, the spectral field characteristic is proposed that has the maximum entropy.</t>
  </si>
  <si>
    <t>239-243</t>
  </si>
  <si>
    <t>Bunyak, Yu A.</t>
  </si>
  <si>
    <t>Bunyak Y.</t>
  </si>
  <si>
    <t>Harmonic Analysis of Wave Fields</t>
  </si>
  <si>
    <t>2-s2.0-2742530209</t>
  </si>
  <si>
    <t>['transverse operator', 'successive reflections', 'propagation constant', 'insulated wire', 'helmholtz operator', 'frequency antennas', 'curvilinear interface', 'conformal mappings', 'conducting media', 'characteristic equation', 'cable wave']</t>
  </si>
  <si>
    <t>The influence of a curvilinear interface on the propagation constant of a cable wave in an insulated wire is investigated; this wire is applied as a basic construction element of low-frequency antennas in conducting media. The propagation constant of a cable wave is determined as an eigenvalue of the transverse operator. The characteristic equation is obtained on the basis of the method of successive reflections. The coefficient of reflection from the curvilinear interface is determined by the method of semi-inversion of the Helmholtz operator with the use of conformal mappings.</t>
  </si>
  <si>
    <t>682-685</t>
  </si>
  <si>
    <t>6506861442;7102821199</t>
  </si>
  <si>
    <t>Zhevelev, V. V.;Makarov, G. I.</t>
  </si>
  <si>
    <t>Zhevelev V.</t>
  </si>
  <si>
    <t>Influence of a Curvilinear Interface with Air on Excitation of an Isolated Wire in a Conducting Medium</t>
  </si>
  <si>
    <t>2-s2.0-2742533442</t>
  </si>
  <si>
    <t>['small area', 'radio designer', 'paper describes', 'inherent ability', 'helped alleviate', 'harmonic generation', 'gaas mmics', 'critical specifications', 'complex antenna', 'band handsets']</t>
  </si>
  <si>
    <t>The recent trend towards Dual and Tri-Band handsets has resulted in the necessity for more complex Antenna and TX/RX switching topologies together with far more stringent electrical specifications relating to factors such as harmonic generation. This paper describes how GaAs MMIC antenna switches may be used to provide the TX/RX and antenna diversity configurations. The inherent ability of GaAs MMICs to integrate complex functions into a small area has helped alleviate the severe constraints imposed on the radio designer. Measurements will be presented for a realistic radio implementation together with a discussion on critical specifications.</t>
  </si>
  <si>
    <t>60075757;60075757</t>
  </si>
  <si>
    <t>35611353300;6602880623</t>
  </si>
  <si>
    <t>Clifton, J. C.;Albasha, L.</t>
  </si>
  <si>
    <t>Sony Europe Limited, Germany</t>
  </si>
  <si>
    <t>Clifton J.</t>
  </si>
  <si>
    <t>RF IC Antenna Switch Solutions for GSM Dualband Telephones</t>
  </si>
  <si>
    <t>2-s2.0-2742536818</t>
  </si>
  <si>
    <t>['work well', 'significant angle', 'shielded chamber', 'removable component', 'practical reasons', 'person holding', 'necessary accuracy', 'measured results', 'measure gain', 'mannequin arranged', 'integral part', 'field probe', 'azimuth positioner', 'antenna measurements']</t>
  </si>
  <si>
    <t>Antenna measurements have been dominated by an assumption that the antenna is a removable component of the system where it is applied; the approach to measure the antenna is to remove it, and place it in a generic test system to measure gain, patterns, etc. Although this technique still applies to many antenna measurements, it does not work well in some applications. Generic antenna measurement systems in some cases are not capable of providing the necessary accuracy. Mobile phone antennas measured by placing the phone on a roll over azimuth positioner are convenient, but not representative of the way they are used in a real life situation. Mobile phone antennas exhibit significant electromagnetic coupling to the human body holding the phone; therefore, the antenna should be measured in situ with a person holding the phone, or for practical reasons, with a mannequin arranged such that it can hold the phone. The mannequin is placed on an azimuth positioner; a near-field probe is moved on a very accurate circular arch from zenith to a significant angle below the mobile phone horizon plane. In this system the shielded chamber is an integral part of the system. A description of the chamber and system, and measured results are provided.</t>
  </si>
  <si>
    <t>;100473079</t>
  </si>
  <si>
    <t>57198123633;57198149382</t>
  </si>
  <si>
    <t>Rizzo, C.;Farina, D.</t>
  </si>
  <si>
    <t>Horsham</t>
  </si>
  <si>
    <t>ORBIT/FR Inc.</t>
  </si>
  <si>
    <t>Rizzo C.</t>
  </si>
  <si>
    <t>Customised spherical near-field system for the mobile phone market</t>
  </si>
  <si>
    <t>2-s2.0-2742539195</t>
  </si>
  <si>
    <t>['vhf field', 'transverse irregularities', 'theoretical study', 'temporal structure', 'surface paths', 'shadow zone', 'multitrace propagation', 'irregular obstacles', 'directional patterns', 'account jointly']</t>
  </si>
  <si>
    <t>Results of the experimental and theoretical study of the VHF wave propagation along closed near-surface paths with transverse surface irregularities are presented. In the shadow zone of irregular obstacles, distortions of directional patterns are observed that are caused by multitrace propagation. It is demonstrated that when the spatial-temporal structure of the VHF field is calculated, the characteristics of antennas should be taken into account jointly with characteristics of transverse irregularities.</t>
  </si>
  <si>
    <t>1380-1387</t>
  </si>
  <si>
    <t>6603488444;6505829772;6508056645</t>
  </si>
  <si>
    <t>Dagurov, P. N.;Zayakhanov, A. S.;Tsybikov, A. E.</t>
  </si>
  <si>
    <t>Dagurov P.</t>
  </si>
  <si>
    <t>Influence of Multitrace Propagation on Antenna Characteristics</t>
  </si>
  <si>
    <t>2-s2.0-2742541277</t>
  </si>
  <si>
    <t>7004510554;35563466100</t>
  </si>
  <si>
    <t>De Jongh, R. V.;Ligthart, L. P.</t>
  </si>
  <si>
    <t>De Jongh R.</t>
  </si>
  <si>
    <t>Antenna time domain measurements (ATDM)</t>
  </si>
  <si>
    <t>2-s2.0-2742544705</t>
  </si>
  <si>
    <t>['synthesized pattern', 'mathematical simulation', 'antenna array', 'adaptive nulls']</t>
  </si>
  <si>
    <t>The prescribed amplitude pattern and adaptive nulls in a priori unknown directions are formed by means of phase-only control. Two fast iterative methods for solving this problem are proposed that are based on minimization of a functional involving requirements for the shape of a synthesized pattern and the measured noise power at the output of an antenna array. For both methods, the results of mathematical simulation of their operation are presented and analyzed.</t>
  </si>
  <si>
    <t>756-762</t>
  </si>
  <si>
    <t>60070943;113103753</t>
  </si>
  <si>
    <t>7003513371;7003764513</t>
  </si>
  <si>
    <t>Khzmalyan, A. D.;Kondrat'yev, A. S.</t>
  </si>
  <si>
    <t>Obninsk;Moscow</t>
  </si>
  <si>
    <t>Research and Production Association Typhoon;Moscow Pwr. Eng. Inst. (Tech. Univ.)</t>
  </si>
  <si>
    <t>Khzmalyan A.D.</t>
  </si>
  <si>
    <t>Phase-Only Antenna Array Control: The Adaptive Forming of Nulls in the Amplitude Pattern of a Prescribed Shape</t>
  </si>
  <si>
    <t>2-s2.0-2742545636</t>
  </si>
  <si>
    <t>['rectangular radiators', 'feed lines', 'antenna array', 'account interaction']</t>
  </si>
  <si>
    <t>An algorithm is constructed by matching the feed lines with a microstrip (MS) antenna array (AA) of rectangular radiators that takes into account interaction between its elements.</t>
  </si>
  <si>
    <t>1376-1379</t>
  </si>
  <si>
    <t>54419121500;7005057309;6602460722</t>
  </si>
  <si>
    <t>Prosvirnin, S. L.;Reznik, I. I.;Seleznev, D. G.</t>
  </si>
  <si>
    <t>Prosvirnin S.</t>
  </si>
  <si>
    <t>Matching with Feed Lines and Taking into Account Interaction in Microstrip Antenna Arrays</t>
  </si>
  <si>
    <t>2-s2.0-2742549972</t>
  </si>
  <si>
    <t>['radiator surface', 'interfaces must', 'interface geometry', 'integral equation', 'dispersion properties']</t>
  </si>
  <si>
    <t>The dependence of dispersion properties of linear radiators located close to an interface on the interface geometry are discussed, as well as the method of considering these properties in the radiator integral equation. The possibility of applying the calculation results obtained with the help of the integral equation of a thin, axially symmetric isolated antenna for solving the problems of radiation of linear currents located near an interface is indicated. The interfaces must be cylindrical and coaxial with the radiator surface.</t>
  </si>
  <si>
    <t>1347-1350</t>
  </si>
  <si>
    <t>Selin, V. I.</t>
  </si>
  <si>
    <t>Selin V.</t>
  </si>
  <si>
    <t>On Dispersion Properties of Linear Radiators Located Close to Interface</t>
  </si>
  <si>
    <t>2-s2.0-2742552200</t>
  </si>
  <si>
    <t>McDonnell, J. T.Edward</t>
  </si>
  <si>
    <t>5 GHz indoor channel characterization: Masurements and models</t>
  </si>
  <si>
    <t>2-s2.0-2742556563</t>
  </si>
  <si>
    <t>['source moving', 'signal received', 'constant velocity', 'angle structures']</t>
  </si>
  <si>
    <t>The problem of radiation from a source moving with a constant velocity in a semibounded plasma parallel to its boundary with a vacuum is considered. The time and angle structures of the signal received by a stationary watching antenna situated outside the plasma is analyzed.</t>
  </si>
  <si>
    <t>796-798</t>
  </si>
  <si>
    <t>57196807728;7101991748</t>
  </si>
  <si>
    <t>Zaitsev, S. I.;Stepanov, N. S.</t>
  </si>
  <si>
    <t>Zaitsev S.</t>
  </si>
  <si>
    <t>On the Structure of Signals from a Source Moving in a Plasma Layer</t>
  </si>
  <si>
    <t>2-s2.0-2742567566</t>
  </si>
  <si>
    <t>6603994383;6506548318</t>
  </si>
  <si>
    <t>Agius, A. A.;Pavlidou, P.</t>
  </si>
  <si>
    <t>Two low profile wire antennas for a satellite PCN handheld transceiver: The challenge of using two different linguistic realities to express the same technical aspects</t>
  </si>
  <si>
    <t>2-s2.0-2742575155</t>
  </si>
  <si>
    <t>['œ ¶', 'whose amplitude', 'size antenna', 'semitransparent surface', 'power flux', 'near field', 'material fibers', 'located along', 'closed flux', 'circle r']</t>
  </si>
  <si>
    <t>A semitransparent surface of a small-size antenna is constructed by a given circularly polarized far field, whose amplitude does not depend on Œ¶ whose phase is defined by a factor exp(-iŒ¶) at r = const and V = const (r, V, Œ¶ are the spherical coordinates). The near field and the power flux are calculated; a closed flux is singled out by separating the term that corresponds to radiation. By the closed flux, the material fibers are determined that form a semitransparent surface and are located along the streams of the closed flux tangential to the circle r = const, V = œÄ/2. As a result, an antenna is obtained that is similar to a multistep cylindrical spiral with a multiwire feedback line.</t>
  </si>
  <si>
    <t>366-372</t>
  </si>
  <si>
    <t>Fedyanovich, V. I.</t>
  </si>
  <si>
    <t>Fedyanovich V.</t>
  </si>
  <si>
    <t>Synthesis of an Antenna of Circular Polarization</t>
  </si>
  <si>
    <t>2-s2.0-2742576247</t>
  </si>
  <si>
    <t>56948283200;7201494978</t>
  </si>
  <si>
    <t>McCormick, J.;Da Silva, E.</t>
  </si>
  <si>
    <t>McCormick J.</t>
  </si>
  <si>
    <t>The use of partial scan techniques in near field antenna measurements</t>
  </si>
  <si>
    <t>2-s2.0-2742576427</t>
  </si>
  <si>
    <t>['wave beam', 'thermal noise', 'statistical characteristics', 'shift keying', 'semitransparent obstacle', 'path channel', 'partial beams', 'mixed forest', 'mathematically described', 'lossy half', 'good agreement', 'forest edge', 'field conditions', 'fast technique', 'external interference', 'error probability', 'equivalent single', 'different amplitudes', 'corresponding calculations', 'coherent component', 'calculations averaged', 'beam scattered', 'beam propagating', 'altitude distributions', 'additive noise', 'account interference', '28 ghz']</t>
  </si>
  <si>
    <t>The coherent component and statistical characteristics of fluctuations of the field of a millimeterwave (MMW) beam propagating through a forest-park are mathematically described and measured under field conditions. The mathematical model takes into account interference of partial beams of different amplitudes: the beam scattered by the forest edge (similar to diffraction of a wave beam by a lossy half-plane) and the direct beam traveled through and attenuated in the vegetation. The results of calculations averaged over the receive antenna aperture are in good agreement with altitude distributions of the MMW (28 GHz) field measured behind the mixed forest under field conditions in winter and summer on 200- and 680-m-long propagation paths. A fast technique for determining the extinction Œ≥ (in dB/m) of a tract of forest from the altitude distributions of the MMW beam intensity measured behind the forest edge is developed. A technique is developed for calculating the reliability of reception (error probability) of a digital fluctuating MMW beam with the phase-shift keying in a shadow of a semitransparent obstacle in the presence of thermal noise and external interference; corresponding calculations are performed. The mathematical model describes a two-path atmospheric radio channel with fluctuations and additive noise as an equivalent single-path channel.</t>
  </si>
  <si>
    <t>1210-1218</t>
  </si>
  <si>
    <t>7004850705;36923647300;6701734876</t>
  </si>
  <si>
    <t>Andreev, G. A.;Ogarev, S. A.;Khokhlov, G. I.</t>
  </si>
  <si>
    <t>Andreev G.A.</t>
  </si>
  <si>
    <t>Characteristics of a Millimeter Wave Beam Shadowed by a Forest</t>
  </si>
  <si>
    <t>2-s2.0-2742577508</t>
  </si>
  <si>
    <t>['wave field', 'verified experimentally', 'underlying surface', 'transverse direction', 'transmit antennas', 'transmit antenna', 'three series', 'space period', 'single building', 'signal due', 'shown theoretically', 'selective fading', 'reflection varies', 'reflection characteristics', 'reflecting surfaces', 'receiver moves', 'receive antenna', 'ray model', 'power beamwidth', 'plane horn', 'path length', 'path close', 'parabolic antenna', 'nonobstructed path', 'mathematical description', 'lens antenna', 'interference due', 'ghz millimeter', 'fading period', 'different seasons', 'conical horn', 'beam pattern', 'autumn ).', 'aperture diameters', 'aperture diameter']</t>
  </si>
  <si>
    <t>A 28-GHz millimeter-wave field is studied in a region of interference due to reflection from a single building on a nonobstructed path. The approach enables one to take into account the patterns of the receive and transmit antennas and reflection characteristics of the underlying surface and building when the receive antenna moves along and across the path. A mathematical description is given, calculations are performed, and measurements are carried out on location. The field is measured as a function of the distance between the receiver and wall of the building during three series of experiments in different seasons (summer, winter and autumn). A parabolic Cassegrain antenna (with the aperture diameter of 0.22 m) and an H-plane horn-lens antenna with a (Œ¥ √ó Œ¥œÜ)0.7 = 8.5¬∞ √ó 60¬∞ half-power beamwidth are used as the transmit antenna. A parabolic antenna and a conical horn (with aperture diameters of 0.29 m and 0.09 m, respectively) were used as the receive antenna. It is shown that when the receiver moves along the path close to the reflecting surfaces, at a distance L ‚â• 130 m from the transmit antenna, the space period of the selective fading of the signal due to reflection varies from 30 to 400 m (at a path length of up to 730 m). It is shown theoretically and verified experimentally that when the receiver moves in the transverse direction, the fading period of the received signal becomes several hundred times less and amounts to 0.35 m at a 70 m distance between the receive and transmit antennas. The analysis of experimental and theoretical results reveals that the two-ray model of reflection from the underlying surface or a single building can be applied when the receive antenna has a narrow-beam pattern.</t>
  </si>
  <si>
    <t>1317-1324</t>
  </si>
  <si>
    <t>Andreyev, G. A.;Ogarev, S. A.;Khokhlov, G. I.</t>
  </si>
  <si>
    <t>Andreyev G.A.</t>
  </si>
  <si>
    <t>Propagation of Millimeter-Wave Beams in the Presence of Reflection from the Underlying Surface and Building</t>
  </si>
  <si>
    <t>2-s2.0-2742578460</t>
  </si>
  <si>
    <t>['resulting capabilities', 'radio frequency', 'radar systems', 'optimally adapt', 'operational requirements', 'low rf', 'installation restrictions', 'impressive advantages', 'form subarrays', 'flexible combination', 'faceted arrays', 'design multi', 'briefly described', 'aesa technology', 'aesa permits']</t>
  </si>
  <si>
    <t>Among the impressive advantages of AESA technology are flexible antenna designs using TRMs (Transmit-Receive Modules), small installation depth of antennas, and low RF (Radio Frequency) losses in the TRMs. On the basis of these features, new design principles for airborne radar systems can be realised. Thus it is possible to design multi-faceted arrays and to optimally adapt them to the operational requirements and the installation restrictions of the aircraft. Also, an AESA permits the flexible combination of TRMs to form subarrays for adaptive beam patterns on receive. The varied configuration possibilities for multi-faceted arrays and the resulting capabilities of such radar systems with active electronic scanning will be briefly described.</t>
  </si>
  <si>
    <t>Gruener, W.</t>
  </si>
  <si>
    <t>Airbus Group SE</t>
  </si>
  <si>
    <t>Gruener W.</t>
  </si>
  <si>
    <t>System aspects of future airborne radar technology</t>
  </si>
  <si>
    <t>2-s2.0-2742579512</t>
  </si>
  <si>
    <t>['successful design', 'stable adaptation', 'results obtained', 'receive path', 'performance within', 'low cost', 'digital look', 'design challenges', 'commercial application', 'clearest testament', 'beamformer needs', 'analogue beamformer', 'adaptive loop']</t>
  </si>
  <si>
    <t>An analogue beamformer for a null steering adaptive antenna has been developed for use in the receive path of an airborne communications system. The particular application poses many design challenges for the beamformer, namely broad bandwidth, wide dynamic range, high weight accuracy and resolution, and rapid weight settling time. In addition to these requirements, the beamformer needs to be of low cost with the intention of reuse in a commercial application. The beamformer has been simulated, built and has undergone extensive testing. The results obtained from the beamforraer in 'stand-alone' mode and within an adaptive loop, show the design challenges were all successfully met using a PIN diode based analogue beamformer design. The exceptional weight accuracy was achieved by a combination of a novel analogue linearising circuit and a digital look-up table. The clearest testament to the successful design of the beamformer is its performance within the adaptive loop, where the speed and accuracy of the beamformer achieved rapid and stable adaptation against interference.</t>
  </si>
  <si>
    <t>60030813;60030813</t>
  </si>
  <si>
    <t>57205978219;7003535139</t>
  </si>
  <si>
    <t>Wilson, F. M.;Rickard, R. P.</t>
  </si>
  <si>
    <t>Wilson F.</t>
  </si>
  <si>
    <t>The design of an analogue beamformer for adaptive antennas</t>
  </si>
  <si>
    <t>2-s2.0-2742582910</t>
  </si>
  <si>
    <t>['radiating area', 'hilbert transform', 'far field']</t>
  </si>
  <si>
    <t>The antenna phase pattern is expressed in terms of its amplitude radiation pattern using the Hilbert transform on a circle and a specially introduced new integral representation for the far field in the form of an integral over segments of a polygonal line enclosing the radiating area.</t>
  </si>
  <si>
    <t>886-892</t>
  </si>
  <si>
    <t>Ovcharenko, O. V.</t>
  </si>
  <si>
    <t>Ovcharenko O.V.</t>
  </si>
  <si>
    <t>Representation of the Two-Dimensional Antenna Phase Pattern in Terms of Its Amplitude Radiation Pattern</t>
  </si>
  <si>
    <t>2-s2.0-2742584705</t>
  </si>
  <si>
    <t>['temporal compensation', 'system consists', 'nonlinear dynamics', 'extended interferences', 'equation mapping', 'compensation system', 'adaptive spatial', 'adaptive antenna']</t>
  </si>
  <si>
    <t>An equation mapping a discrete dynamic system of adaptive spatial-temporal compensation for a superposition of a point and extended interferences is derived. The system consists of a phase-only adaptive antenna and frequency rejection filter. The steady-state and transient adaptation modes are studied by methods of nonlinear dynamics. A chaotic oscillation mode is uncovered and studied. A relationship between the chaotic mode region and parameters of the compensation system and interference is established.</t>
  </si>
  <si>
    <t>Parshin, Yu N.</t>
  </si>
  <si>
    <t>Parshin Y.N.</t>
  </si>
  <si>
    <t>Chaotic Dynamics of an Adaptive System Compensating for a Superposition of a Point and Extended Interferences</t>
  </si>
  <si>
    <t>2-s2.0-2742591683</t>
  </si>
  <si>
    <t>['variable radius', 'generalized taking', 'equivalent circuit', 'electromagnetic oscillations', 'account couplings']</t>
  </si>
  <si>
    <t>In the case of a wire of variable radius, a method is considered for calculating wire antennas by means of an equivalent circuit that is generalized taking into account couplings and delays of electromagnetic oscillations.</t>
  </si>
  <si>
    <t>163-167</t>
  </si>
  <si>
    <t>Kazanskii, L. S.</t>
  </si>
  <si>
    <t>Kazanskii L.</t>
  </si>
  <si>
    <t>A Method for Calculating Rectilinear Antennas by Means of a Generalized Equivalent Circuit: A Wire of Variable Radius</t>
  </si>
  <si>
    <t>2-s2.0-2742597091</t>
  </si>
  <si>
    <t>['shown ..', 'retrodirective antenna', 'multipath sensor', 'microstrip technology']</t>
  </si>
  <si>
    <t>This paper presents recent developments of planar active retrodirective antennas based on microstrip technology. The architectures of the retrodirective antennas described in the paper are based on dual frequency operation for transmission and reception. Results for the monostatic radar cross section (MRCS) measurement on two element retrodirective arrays based these architectures are presented and the use of the retrodirective antenna as a multipath sensor is shown..</t>
  </si>
  <si>
    <t>Active retrodirective antenna arrays for mobile communication applications</t>
  </si>
  <si>
    <t>2-s2.0-2742599137</t>
  </si>
  <si>
    <t>101052811;60026242</t>
  </si>
  <si>
    <t>57198259793;7202483407</t>
  </si>
  <si>
    <t>Browning, D. J.;Summers, J. E.</t>
  </si>
  <si>
    <t>Salisbury;</t>
  </si>
  <si>
    <t>Defence Science and Technology Laboratory;Peakdawn Limited</t>
  </si>
  <si>
    <t>60026242;101052811</t>
  </si>
  <si>
    <t>Browning D.</t>
  </si>
  <si>
    <t>Computer modelling of ground clutter in airborne radar</t>
  </si>
  <si>
    <t>2-s2.0-2742599314</t>
  </si>
  <si>
    <t>['radiation pattern', 'practical applications', 'lens antennas', 'experimental investigations', 'dielectric torus', 'calculation error', 'calculating characteristics', 'antenna gain']</t>
  </si>
  <si>
    <t>A technique is proposed for calculating characteristics of lens antennas on the basis of a dielectric torus. Numerical and experimental investigations of the antenna gain and radiation pattern are performed; the calculation error is satisfactory for practical applications.</t>
  </si>
  <si>
    <t>524-526</t>
  </si>
  <si>
    <t>57197239555;6603772117;6603584865</t>
  </si>
  <si>
    <t>Zakharov, E. V.;Levchenko, S. N.;Kharlanov, Yu Ya</t>
  </si>
  <si>
    <t>Zakharov E.</t>
  </si>
  <si>
    <t>Investigation and Optimization of Characteristics of Toroid Lens Antennas</t>
  </si>
  <si>
    <t>2-s2.0-2742599321</t>
  </si>
  <si>
    <t>['time differences', 'thus raised', 'synchronous excitation', 'shell focusing', 'radiator aperture', 'precise focusing', 'observation point', 'hitherto studied', 'field pulses', 'field energy', 'energy characteristics', 'electromagnetic shell', 'different delays', 'corresponding method']</t>
  </si>
  <si>
    <t>The properties and characteristics of a electromagnetic shell (ES) were hitherto studied under the condition of synchronous excitation of the radiator aperture, when the field pulses from different aperture points arrive at the observation point with different delays. In order to amplify the shell's intensity at a certain space point, one can choose the time differences between the moments of excitation of different aperture parts so that the difference of delays is compensated and the field energy at the point is thus raised. By analogy with radio and optical wave focusing, the corresponding method can be called the shell focusing. In this work, the space-time and energy characteristics are studied for precise focusing on a given point situated on the axis of a radiating disk antenna.</t>
  </si>
  <si>
    <t>222-227</t>
  </si>
  <si>
    <t>Electromagnetic Shell Focusing</t>
  </si>
  <si>
    <t>2-s2.0-2742601507</t>
  </si>
  <si>
    <t>['receiving modules', 'mounted directly', 'frequency band', 'field pattern', 'barrier diodes', 'applying schottky', '60 ghz']</t>
  </si>
  <si>
    <t>The possibility is considered of applying Schottky-barrier diodes (SBDs) mounted directly on logperiodic-type stripline antennas (rectennas) and employed as receiving modules for portable wideband communication systems in a frequency band of 40-60 GHz. It is shown that a reflecting screen allows one to increase the sensitivity (response) of the rectenna and to create a sufficiently narrow (‚â§10¬∞) far-field pattern.</t>
  </si>
  <si>
    <t>522-523</t>
  </si>
  <si>
    <t>7006802959;7003766000;6602226973</t>
  </si>
  <si>
    <t>Zaitsev, N. M.;Lyubchenko, V. E.;Yunevich, E. O.</t>
  </si>
  <si>
    <t>Zaitsev N.</t>
  </si>
  <si>
    <t>Antenna-Coupled Schottky Diodes in Receiving Devices of the Millimeter-Wave Band</t>
  </si>
  <si>
    <t>2-s2.0-2742602647</t>
  </si>
  <si>
    <t>Alexander, M. J.</t>
  </si>
  <si>
    <t>Middlesex</t>
  </si>
  <si>
    <t>National Physical Laboratory</t>
  </si>
  <si>
    <t>Alexander M.</t>
  </si>
  <si>
    <t>The calibration of VHF antennas</t>
  </si>
  <si>
    <t>2-s2.0-2742607348</t>
  </si>
  <si>
    <t>['metallic conductor', 'interperiodica publishing', 'goubou line', 'experimental simulation', 'dielectric coating', '43 ghz']</t>
  </si>
  <si>
    <t>The results of experimental simulation of various amplitude distributions of the field over an antenna array excited by the Goubou line (metallic conductor with dielectric coating) at a frequency of 9.43 GHz are discussed. ¬© 1998 MAHK Hayka/Interperiodica Publishing.</t>
  </si>
  <si>
    <t>530-531</t>
  </si>
  <si>
    <t>Instruments and Experimental Techniques</t>
  </si>
  <si>
    <t>60031116;60031116</t>
  </si>
  <si>
    <t>6506008415;7801432307</t>
  </si>
  <si>
    <t>Kismereshkin, V. P.;Lobova, G. N.</t>
  </si>
  <si>
    <t>Omsk</t>
  </si>
  <si>
    <t>Dostoevsky Omsk State University</t>
  </si>
  <si>
    <t>Kismereshkin V.</t>
  </si>
  <si>
    <t>Simulation of field amplitude distributions over a dipole-waveguide array on the basis of a single-wire transmission line</t>
  </si>
  <si>
    <t>2-s2.0-27544472892</t>
  </si>
  <si>
    <t>['south pole', 'polar areas', 'permanent return', 'interperiodica publishing', 'important ramifications', 'ice near', 'ice deposits', 'geological times', 'earth show', 'deposits could', 'clementine spacecraft', '8 km3']</t>
  </si>
  <si>
    <t>Ice deposits, derived from comets and water-bearing meteorites hitting the Moon over geological times, have long been postulated to exist in dark areas near the poles of the Moon. The characteristics of radio waves beamed from the Clementine spacecraft into the polar areas, reflected from the Moon's surface, and received on the large dish antennas of the Deep Space Network here on Earth show that roughly the volume of a small lake (‚àº0.9-1.8 km3) of water ice makes up part of the Moon's surface layer near the south pole. The discovery of ice near the lunar south pole has important ramifications for a permanent return to the Moon. These deposits could be used to manufacture rocket propellant and to support human life on the Moon. ¬© 1998 MAHK Hayka/Interperiodica Publishing.</t>
  </si>
  <si>
    <t>17-22</t>
  </si>
  <si>
    <t>Solar System Research</t>
  </si>
  <si>
    <t>60031943;100788023;60027271;101834157;101834157;100590056;60011347;60011347</t>
  </si>
  <si>
    <t>7003840775;6602083580;6603249378;7005597052;6603480157;6602179154;7404467081;55663207100</t>
  </si>
  <si>
    <t>Spudis, Paul D.;Nozette, Stu;Lichtenberg, Chris;Bonner, R.;Ort, W.;Malaret, Erick;Robinson, Mark;Shoemaker, Eugene</t>
  </si>
  <si>
    <t>Houston;Washington, D.C.;Reston;Alexandria;Alexandria;Herndon</t>
  </si>
  <si>
    <t>LPI;Naval Research Laboratory;United States Geological Survey;Pivstasis Inc.;U.S. Air Force Phillips Laboratory;ACT, Inc</t>
  </si>
  <si>
    <t>60031943;60027271;60011347;101834157;100788023;100590056</t>
  </si>
  <si>
    <t>Spudis P.D.</t>
  </si>
  <si>
    <t>The clementine bistatic radar experiment: Evidence for ice on the moon</t>
  </si>
  <si>
    <t>2-s2.0-27644543948</t>
  </si>
  <si>
    <t>['x -,', 'scale human', 'radio pagers', 'numerically solve', 'numerical results', 'loop antenna', 'human body', 'coupling problem', 'body model', 'body effect', 'absorption rate', '400 mhz']</t>
  </si>
  <si>
    <t>EM coupling | Human body | Loop antenna | RF dose</t>
  </si>
  <si>
    <t>This paper presents numerical computation of the electromagnetic (EM) coupling between circular loop antennas and a full-scale human-body model. The loop antenna can be x-, y-, or z-oriented. Coupled integral equations (CIE's) and the method of moments (MoM) are employed to numerically solve this antenna-body-coupling problem. Numerical results of the antenna radiation characteristics influenced by the human body and the body-absorption rate from 50 to 400 MHz are presented. The applications of this study include assessment of a radiofrequency (RF) dose from a loop antenna and the body effect on the performance of the loop antenna used in personal communication devices such as radio pagers. ¬© 1998 IEEE.</t>
  </si>
  <si>
    <t>1516-1520</t>
  </si>
  <si>
    <t>Chen, W. T.;Chuang, H. R.</t>
  </si>
  <si>
    <t>Numerical computation of the em coupling between a circular loop antenna and a full-scale human-body model</t>
  </si>
  <si>
    <t>S0018948098072305</t>
  </si>
  <si>
    <t>10.1109/22.721159</t>
  </si>
  <si>
    <t>2-s2.0-30544435647</t>
  </si>
  <si>
    <t>['wide variety', 'study hygroreceptors', 'situ investigation', 'quantitative basis', 'promising potential', 'present work', 'observed changes', 'morphological changes', 'methodological developments', 'large potential', 'insitu studies', 'images taken', 'humidity transduction', 'honey bee', 'different conditions', 'described technique', 'defined humidity', 'biological material', 'analytical figures', 'ambient conditions', 'already proven']</t>
  </si>
  <si>
    <t>Atomic force microscopy has already proven its large potential for in-situ investigation of a wide variety of materials under ambient conditions. In the present work our methodological developments have been utilized for insitu studies of morphological changes on biological material under atmospheres of defined humidity. The observed changes have been evaluated on a quantitative basis through calculation of the correlation between images taken under different conditions. By using female hair as a well-known model sample it could be shown that expansions in the order of 1% or less are accessible. The analytical figures of merit will be discussed. The described technique has also been applied to study hygroreceptors of the honey bee. The promising potential of the method for studying the mechanism of humidity transduction of such organs will be addressed, too. ¬© 1998 Springer-Verlag.</t>
  </si>
  <si>
    <t>SUPPL. 1</t>
  </si>
  <si>
    <t>Applied Physics A: Materials Science and Processing</t>
  </si>
  <si>
    <t>60018163-60029311;60069038;60069038;60018163</t>
  </si>
  <si>
    <t>7004442617;6507177544;56249960300;7003783393</t>
  </si>
  <si>
    <t>Resch, R.;Ehn, R.;Tichy, H.;Friedbacher, G.</t>
  </si>
  <si>
    <t>Austria;United States;Austria</t>
  </si>
  <si>
    <t>Vienna;Los Angeles;Vienna</t>
  </si>
  <si>
    <t>University of Vienna Institute of Zoology;University of Southern California;Technische Universit√§t Wien</t>
  </si>
  <si>
    <t>60069038;60029311;60018163</t>
  </si>
  <si>
    <t>Resch R.</t>
  </si>
  <si>
    <t>In-situ investigation of humidity-induced changes on human hair and antennae of the honey bee, Apis mellifera L., by scanning force microscopy</t>
  </si>
  <si>
    <t>10.1007/s003390051209</t>
  </si>
  <si>
    <t>2-s2.0-33645820477</t>
  </si>
  <si>
    <t>DEM-95-UTA-55</t>
  </si>
  <si>
    <t>['taking advantage', 'secondary scattering', 'sbr engine', 'sbr approach', 'multiaspect far', 'imaging concept', 'fast approach', 'demonstrated using', 'computation time', 'code apatch', 'bouncing ray', 'aspect algorithm', 'asar image', 'antenna mounted']</t>
  </si>
  <si>
    <t>Antennas | Electromagnetic scattering | Feature extraction | Radar cross section | Sar imaging</t>
  </si>
  <si>
    <t>The antenna synthetic aperture radar (ASAR) imaging concept is introduced. We present the ASAR imaging algorithm to pinpoint the locations of secondary scattering off a platform from antenna radiation data. It is shown that a three-dimensional (3-D) ASAR image of the platform can be formed by inverse Fourier transforming the multifrequency, multiaspect far-field radiation data from an antenna mounted on the platform. This concept is demonstrated using the computed radiation data from the code Apatch, which employs the shooting and bouncing ray (SBR) technique. Furthermore, we develop a fast ASAR algorithm specially tailored for the SBR approach. By taking advantage of the ray tracing information within the SBR engine, we demonstrate that the fast approach can result in the same quality of image as the frequency-aspect algorithm at only a fraction of the computation time. ¬© 1998 IEEE.</t>
  </si>
  <si>
    <t>1845-1852</t>
  </si>
  <si>
    <t>100510990;100510990;100510990;100510990</t>
  </si>
  <si>
    <t>57224139368;14218955000;6701743519;7202062608</t>
  </si>
  <si>
    <t>Ozdemir, Caner;Bhalla, Rajan;Trintinalia, Luiz C.;Ling, Hao</t>
  </si>
  <si>
    <t>Columbia</t>
  </si>
  <si>
    <t>AlliedSignal</t>
  </si>
  <si>
    <t>Ozdemir C.</t>
  </si>
  <si>
    <t>ASAR - Antenna synthetic aperture radar imaging</t>
  </si>
  <si>
    <t>S0018926X98096902</t>
  </si>
  <si>
    <t>10.1109/8.743822</t>
  </si>
  <si>
    <t>2-s2.0-33746354206</t>
  </si>
  <si>
    <t>['various quasi', 'ray tracing', 'integrated circuits', 'field pattern', 'extension length', 'calculation results', 'antenna system']</t>
  </si>
  <si>
    <t>Extended hemispherical lens | Integrated antanna | Millimeter waves</t>
  </si>
  <si>
    <t>The ray tracing and field integration methods were used to analyze the far-field pattern of an extended hemispherical lens/objective lens antenna system. Calculation results were given. It was shown that this antenna system has good radiation property. By changing the extension length of the extended hemispherical lens, the coupling between integrated circuits and various quasi-optical systems may be realized.</t>
  </si>
  <si>
    <t>Hongwai Yu Haomibo Xuebao/Journal of Infrared and Millimeter Waves</t>
  </si>
  <si>
    <t>Dou, Wen Bin;Zeng, Gang;Sun, Zhong Liang</t>
  </si>
  <si>
    <t>Analysis of the far - field pattern of an extended hemispherical lens/objective lens MMW antenna system</t>
  </si>
  <si>
    <t>2-s2.0-33746682655</t>
  </si>
  <si>
    <t>['terrestrial surface', 'stealth airplane', 'paper presented', 'new method', 'liebe model', 'clutter ratio', 'antenna temperaure']</t>
  </si>
  <si>
    <t>Antenna temperature signal-to-clutter ratio | Coating-stealth airplane | Millimeter wave radiometer</t>
  </si>
  <si>
    <t>In view of coating-stealth, this paper presented a new method to use a millimeter wave radiometer for anti-coating-stealth-airplane. The background noise temperature of atmosphere and terrestrial surface was calculated with American standard atmospheric model (1976) and Liebe model (1985) for millimeter wave propagation. Antenna temperaure of coating-stealth airplane in air was analyzed and its signal-to-clutter ratio (SCR) was achieved.</t>
  </si>
  <si>
    <t>60010080;60010080</t>
  </si>
  <si>
    <t>14056765800;14057128000</t>
  </si>
  <si>
    <t>Shu-Sheng, Peng;Xing-Guo, L. I.</t>
  </si>
  <si>
    <t>Nanjing University of Science and Technology</t>
  </si>
  <si>
    <t>Shu-Sheng P.</t>
  </si>
  <si>
    <t>Analysis of anti-coating-stealth-airplane with a millimeter wave radiometer</t>
  </si>
  <si>
    <t>2-s2.0-33746761140</t>
  </si>
  <si>
    <t>['wave analysis', 'smallsignal model', 'radiation losses', 'precise prediction', 'passive structure', 'passive circuit', 'paper discusses', 'oscillation condition', 'operation frequency', 'mobility transistors', 'microstrip lines', 'method approach', 'like losses', 'known network', 'high electron', 'fundamental quasi', 'e .,', 'active devices', 'active device']</t>
  </si>
  <si>
    <t>Active integrated circuit | HEMT | Oscillator</t>
  </si>
  <si>
    <t>This paper discusses the design of radiating A"-band oscillators with high electron-mobility transistors (HEMT's) as active devices. In order to allow monolithic integration, the design is based on a uniplanar microstrip configuration, i.e., all terminals of the passive microstrip circuit are located on top of the substrate and no via-holes are needed. In this configuration, feeding of the microstrip lines is incompatible to the fundamental quasi-TEM microstrip mode. Moreover, the radiation losses of these so-called active antennas significantly influence the oscillation condition. Thus, modeling of the passive circuit by means of a full-wave analysis is mandatory. In this paper, we show how a full-wave analysis of the passive circuit can be combined with well-known network-based oscillator design methods using commercially available design tools. By using a moment-method approach for the passive structure and smallsignal model for the active device, all relevant electromagnetic effects, like losses, coupling and radiation, are included, allowing a very precise prediction of the operation frequency. ¬©1998 IEEE.</t>
  </si>
  <si>
    <t>1586-1589</t>
  </si>
  <si>
    <t>6602920798;7004736208</t>
  </si>
  <si>
    <t>Kaleja, Martin M.;Biebl, Erwin M.</t>
  </si>
  <si>
    <t>Kaleja M.</t>
  </si>
  <si>
    <t>Design of radiating at-band hemt oscillators by means of moment-method approach</t>
  </si>
  <si>
    <t>S0018948098067325</t>
  </si>
  <si>
    <t>10.1109/22.721170</t>
  </si>
  <si>
    <t>2-s2.0-33747223039</t>
  </si>
  <si>
    <t>['trunkpool techniques', 'radio coverage', 'practical considerations', 'power control', 'one drawback', 'limiting factor', 'limited deployment', 'interference ratio', 'even improved', 'either increase', 'cir ).', 'channel performance', 'beam sectoring', 'also addressed', 'achievable gains']</t>
  </si>
  <si>
    <t>The performance and feasibility of switched-beani smart antennas for cellular radio systems is investigated. Switched-beam smart antenna systems are shown to either increase the capacity or extend the radio coverage by increasing the carrier-to-interference ratio (CIR). The trunking efficiency degradation caused by narrow-beam sectoring can be recovered or even improved by using a variety of trunkpool techniques. One drawback of switched-beam smart antennas is that the improvement in reverse-channel performance is not uniform over the entire cell area, and this presents a limiting factor on the achievable gains. Practical considerations such as power control and the limited deployment of smart antenna cells are also addressed. ¬© 1998 IEEE.</t>
  </si>
  <si>
    <t>60026638;60021032;60014806</t>
  </si>
  <si>
    <t>7403080767;14068118600;7202194005</t>
  </si>
  <si>
    <t>Ho, Ming Ju;Stiiber, Gordon L.;Austin, Mark D.</t>
  </si>
  <si>
    <t>Espoo;Atlanta;Atlanta</t>
  </si>
  <si>
    <t>Nokia Corporation;Georgia Institute of Technology;BellSouth</t>
  </si>
  <si>
    <t>Ho M.J.</t>
  </si>
  <si>
    <t>Performance of switched-beam smart antennas for cellular radio systems</t>
  </si>
  <si>
    <t>S0018954598006732</t>
  </si>
  <si>
    <t>10.1109/25.661027</t>
  </si>
  <si>
    <t>2-s2.0-33747391544</t>
  </si>
  <si>
    <t>['street cell', 'sd configurations', 'results clarify', 'required arrangements', 'optimum arrangement', 'metal pole', 'also presented']</t>
  </si>
  <si>
    <t>Antenna arrangement | Metal pole | Microcell mobile communication system | Space diversity | Street cell environment</t>
  </si>
  <si>
    <t>Two-branch vertical space diversity (V-SD) and horizontal space diversity (H-SD) antenna arrangements mounted on a metal pole to illuminate a street cell are investigated. Measurement results taken in a Japanese suburban area are also presented. These results clarify the required arrangements for both V-SD and H-SD configurations. Measured results show that the optimum arrangement of the H-SD configuration depends on the diameter of the pole on which the antennas are mounted. ¬© 1998 IEEE.</t>
  </si>
  <si>
    <t>531-536</t>
  </si>
  <si>
    <t>7403954564;7402411659</t>
  </si>
  <si>
    <t>Cho, Keizo;Hori, Toshikazu</t>
  </si>
  <si>
    <t>Space diversity antenna arrangements mounted on a metal pole for illuminating a street cell</t>
  </si>
  <si>
    <t>S0018954598006756</t>
  </si>
  <si>
    <t>10.1109/25.669090</t>
  </si>
  <si>
    <t>2-s2.0-33747405839</t>
  </si>
  <si>
    <t>['wireless channels', 'theoretical results', 'temporal vector', 'stvc motivates', 'studied case', 'reliable communication', 'radio link', 'practical reduced', 'power increase', 'paper shows', 'output antennas', 'one side', 'noise ratio', 'multiple antennas', 'mimo channel', 'lattice trellis', 'input multiple', 'input antennas', 'high signal', 'frequency dimensions', 'experimental examples', 'dmmt channel', 'desirable result', 'compact model', 'communication structure', 'coding technique', 'coding across', 'capacity slope', 'asymptotically optimum']</t>
  </si>
  <si>
    <t>Adaptive arrays | Adaptive coding | Adaptive modulation | Antenna arrays | Broad-band communication | Channel coding | Digital modulation | Information rates | Mimo systems | Multipath channels</t>
  </si>
  <si>
    <t>Multipath signal propagation has long been viewed as an impairment to reliable communication in wireless channels. This paper shows that the presence of multipath greatly improves achievable data rate if the appropriate communication structure is employed. A compact model is developed for the multiple-input multiple-output (MIMO) dispersive spatially selective wireless communication channel. The multivariate information capacity is analyzed. For high signal-to-noise ratio (SNR) conditions the MIMO channel can exhibit a capacity slope in bits per decibel of power increase that is proportional to the minimum of the number multipath components the number of input antennas or the number of output antennas. This desirable result is contrasted with the lower capacity slope of the well-studied case with multiple antennas at only one side of the radio link. A spatio-temporal vector-coding (STVC) communication structure is suggested as a means for achieving MIMO channel capacity. The complexity of STVC motivates a more practical reduced-complexity discrete matrix multitone (DMMT) space-frequency coding approach. Both of these structures are shown to be asymptotically optimum. An adaptive-lattice trellis-coding technique is suggested as a method for coding across the space and frequency dimensions that exist in the DMMT channel. Experimental examples that support the theoretical results are presented. ¬© 1998 IEEE.</t>
  </si>
  <si>
    <t>357-366</t>
  </si>
  <si>
    <t>100463169-60012708-100354397;100463169</t>
  </si>
  <si>
    <t>6602681425;7102640968</t>
  </si>
  <si>
    <t>Raleigh, Gregory G.;Cioffi, John M.</t>
  </si>
  <si>
    <t>Palo Alto;Belmont;San Jose</t>
  </si>
  <si>
    <t>Stanford University;Clarity Wireless;Amati Communications Corp</t>
  </si>
  <si>
    <t>60012708;100463169;100354397</t>
  </si>
  <si>
    <t>Raleigh G.G.</t>
  </si>
  <si>
    <t>Spatio-temporal coding for wireless communication</t>
  </si>
  <si>
    <t>S0090677898021230</t>
  </si>
  <si>
    <t>10.1109/26.662641</t>
  </si>
  <si>
    <t>2-s2.0-33747433684</t>
  </si>
  <si>
    <t>['varying channels', 'uplink reception', 'timing method', 'time implementation', 'synchronous uplink', 'spatial diversity', 'slowly time', 'selective fading', 'paper considers', 'overall method', 'mitigating fading', 'link margin', 'interchannel interference', 'ici alone', 'frequency offsets', 'fast time', 'effectively overcome', 'combined beamforming', 'combat cci', 'channel interference', 'based beamforming', 'base station']</t>
  </si>
  <si>
    <t>This paper considers the problem of mitigating fading and interference in wireless OFDM multiple access communication systems. Applications include cellular mobile radio and wireless local loop and wireless local area networks. The effect of interchannel interference (ICI) arising from time-selective fading and frequency offsets and co-channel interference (CCI) is analyzed. A loop-timing method is described that enables a synchronous uplink between multiple mobile transceivers and a base station. Adaptive antenna arrays are utilized at the base for uplink reception, and optimum array combining based on the maximum SINR criterion is used for each subchannel over slowly time-varying channels. For operation over fast time-varying channels, a novel twostage adaptive array architecture is presented that incorporates combined spatial diversity and constraint-based beamforming. While ICI alone is most effectively overcome by spatial diversity, combined beamforming and diversity are most effective to combat CCI in the presence of fading. The overall method is suitable for real-time implementation and can be used in conjunction with traditional coding schemes to increase the link margin. ¬© 1998 IEEE.</t>
  </si>
  <si>
    <t>100316048;100316048;100316048</t>
  </si>
  <si>
    <t>7201358059;6506691408;7501575331</t>
  </si>
  <si>
    <t>Kapoor, Samir;Marchok, Daniel J.;Huang, Yih Fang</t>
  </si>
  <si>
    <t>South Bend</t>
  </si>
  <si>
    <t>Tellabs Research Cent</t>
  </si>
  <si>
    <t>Kapoor S.</t>
  </si>
  <si>
    <t>Adaptive interference suppression in multiuser wireless OFDM systems using antenna arrays</t>
  </si>
  <si>
    <t>S1053587X98044390</t>
  </si>
  <si>
    <t>2-s2.0-33747638114</t>
  </si>
  <si>
    <t>['unifying framework', 'resulting algorithms', 'remain consistent', 'multiuser transmissions', 'multiple antennas', 'multicarrier modulations', 'input color', 'implemented online', 'fractional sampling', 'fir zero', 'fir channels', 'deep fades', 'computationally simple', 'block synchronizers', 'appropriate modifications']</t>
  </si>
  <si>
    <t>Transmitter redundancy introduced using FIR fllterbank precoders offers a unifying framework for single-user and multiuser transmissions. With minimal rate reduction, FIR fllterbank transmitters with trailing zeros allow for perfect (in the absence of noise) equalization of FIR channels with FIR zero-forcing equalizer fllterbanks, irrespective of the input color and the channel zero locations. Exploiting input diversity, blind channel estimators, block synchronizers, and direct selfrecovering equalizing fllterbanks are derived in this paper. The resulting algorithms are computationally simple, require small data sizes, can be implemented online, and remain consistent (after appropriate modifications) even at low SNR colored noise. Simulations illustrate applications to multicarrier modulations through channels with deep fades and superior performance relative to CMA and existing output diversity techniques relying on multiple antennas and fractional sampling. ¬© 1998 IEEE.</t>
  </si>
  <si>
    <t>60032350;60032350;60032350</t>
  </si>
  <si>
    <t>7005577332;36049280600;35494538700</t>
  </si>
  <si>
    <t>Scaglione, Anna;Giannakis, Georgios B.;Barbarossa, Sergio</t>
  </si>
  <si>
    <t>Scaglione A.</t>
  </si>
  <si>
    <t>Redundant filterbank precoders and equalizers-Part II: Blind channel estimation, synchronization, and direct equalization</t>
  </si>
  <si>
    <t>2-s2.0-33747698425</t>
  </si>
  <si>
    <t>['unpolarized antennas', 'six electromagnetic', 'resolution threshold', 'proposed scheme', 'orthogonally oriented', 'novel esprit', 'noise ratio', 'incident source', 'high variance', 'half wavelength', 'fleld components', 'electromagnetic vector', 'distinctly measuring', 'cosine estimates', 'component antennas', 'coarse references', 'channel communications', 'based two', 'aperture extension', '9 db', '16 wavelengths']</t>
  </si>
  <si>
    <t>Aperture extension is achieved in this novel ESPRIT-based two-dimensional (2-1)1 angle estimation scheme using a sparse uniform rectangular array of electromagnetic vector-sensors spaced much farther apart than a half wavelength. An electromagnetic vector-sensor is composed of six spatially co-located, orthogonally oriented, diversely polarized antennas, distinctly measuring all six electromagnetic-fleld components of an incident multisource wavefleld. Each incident source's direction of arrival is determined from the source's electromagnetic-fleld vector components, which are extracted by decoupling the data correlation matrix's signal-subspace eigenvectors using the lower-dimensional eigenvectors obtainable by TLS-ESPRIT. These direction-cosine estimates are unambiguous but have high variance; they are used as coarse references to disambiguate the cyclic phase ambiguities in ESPRIT's eigenvalues when the intervector sensor spacing exceeds a half wavelength. In one simulation scenario, the estimation standard deviation decreases linearly with increasing intervector sensor spacing up to 16 wavelengths, effecting a 97% reduction in the estimation standard deviation. In another simulation scenario, the proposed scheme and attendant electromagnetic vectorsensor array outperform a uniformly spaced array of unpolarized antennas with the same aperture and a slightly greater number of component antennas, lowering the signal-to-noise ratio (SNR) resolution threshold by 9 dB and achieving a 21-dB SNR performance gain. Other simulations further demonstrate the significant performance gain realizable by this method for wireless mobile fading-channel communications. ¬© 1998 IEEE.</t>
  </si>
  <si>
    <t>60009254;60009254</t>
  </si>
  <si>
    <t>55664103800;7404759216</t>
  </si>
  <si>
    <t>Zoltowski, Michael D.;Wong, Kainam Thomas</t>
  </si>
  <si>
    <t>West Lafayette</t>
  </si>
  <si>
    <t>Purdue University</t>
  </si>
  <si>
    <t>Zoltowski M.</t>
  </si>
  <si>
    <t>Extended-Aperture ESPRIT-Based 2-D direction finding with a sparse uniform array of electromagnetic vector sensors</t>
  </si>
  <si>
    <t>S1053587X98019886</t>
  </si>
  <si>
    <t>2-s2.0-33747700355</t>
  </si>
  <si>
    <t>['technique suggests', 'technique suggested', 'signal parameters', 'rao bounds', 'noise subspace', 'new technique', 'minimal polynomial', 'input process', 'highly efficient', 'doas ),', 'cross correlation', 'correlation coefficients', 'accuracy near']</t>
  </si>
  <si>
    <t>A new technique to estimate the number of signals and their parameters (i.e., direction of arrival, power, and correlation coefficients) in adaptive antenna arrays has been suggested. The technique is based on the estimation of the parameters of the minimal polynomial (i.e., power, its coefficients, and roots) for the sample correlation matrix describing the input process. The technique suggested is highly efficient and makes it possible to estimate the signal parameters with accuracy near the Cram√©r-Rao bounds. For signal parameter estimation, this technique suggests the priority of actions: finding the parameters of the minimal polynomial for the sample correlative matrix; forming the matrix projector onto the noise subspace; estimating the number of the signals, the directions of arrival (DOAs), and the powers; and the coefficients of cross correlation. ¬© 1998 IEEE.</t>
  </si>
  <si>
    <t>100672276;100672276;100672276</t>
  </si>
  <si>
    <t>6602809557;6602783965;14122224900</t>
  </si>
  <si>
    <t>Ermolayev, Victor T.;Flaksman, Alexander G.;Ponomaryev, Dmitry M.</t>
  </si>
  <si>
    <t>Nizhni Novgorod</t>
  </si>
  <si>
    <t>MERA Scientific-Technical Company</t>
  </si>
  <si>
    <t>Ermolayev V.</t>
  </si>
  <si>
    <t>Estimating the number and parameters of the signals being received by an antenna array</t>
  </si>
  <si>
    <t>S1053587X98052428</t>
  </si>
  <si>
    <t>2-s2.0-33747711390</t>
  </si>
  <si>
    <t>['related issues', 'proposed algorithms', 'order determination', 'one determines', 'multiple inputs', 'invariant multiinput', 'equalizers directly', 'channels first', 'channel variations', 'addressed briefly', 'accomplished without']</t>
  </si>
  <si>
    <t>In this paper, we study the blind equalization problem of time-varying (TV) systems where the channel variations are too rapid to be tracked with conventional adaptive equalizers. We show that using a finite Fourier basis expansion, a TV antenna array system can be cast into a time-invariant multiinput, multi-output (MIMO) framework. The multiple inputs are related through the bases, thereby allowing blind equalization to be accomplished without the use of higher order statistics. Two deterministic blind equalization approaches are presented: One determines the channels first and then the equalizers, whereas the other estimates the equalizers directly. Related issues such as order determination are addressed briefly. The proposed algorithms are illustrated using simulations. ¬© 1998 IEEE.</t>
  </si>
  <si>
    <t>2975-2989</t>
  </si>
  <si>
    <t>Liu, Hui</t>
  </si>
  <si>
    <t>S1053587X9807809X</t>
  </si>
  <si>
    <t>10.1109/78.726811</t>
  </si>
  <si>
    <t>2-s2.0-33747720773</t>
  </si>
  <si>
    <t>['solomon coding', 'ofdm systems', 'ofdm receiver', 'interesting application', 'induced cyclostationarity', 'fractional sampling', 'explored recently', 'even channels', 'cyclic prefix', 'blind identification']</t>
  </si>
  <si>
    <t>Transmitter-induced cyclostationarity has been explored recently as an alternative to fractional sampling and antenna array methods for blind identification of FIR communication channels. An interesting application of these ideas is in OFDM systems, which induce cyclostationarity due to the cyclic prefix. In this paper, we develop a novel subspace approach for blind channel identification using cyclic correlations at the OFDM receiver. Even channels with equispaced unit circle zeros are identifiable in the presence of any nonzero length cyclic prefix with adequate block length. Simulations of the proposed channel estimator along with its performance in OFDM systems combined with impulse response shortening and Reed-Solomon coding are presented. ¬© 1998 IEEE.</t>
  </si>
  <si>
    <t>55934670700;36049280600</t>
  </si>
  <si>
    <t>Heath, Robert W.;Giannakis, Georgios B.</t>
  </si>
  <si>
    <t>Heath R.</t>
  </si>
  <si>
    <t>Exploiting input cyclostationarity for blind channel identification in OFDM systems</t>
  </si>
  <si>
    <t>S1053587X98013282</t>
  </si>
  <si>
    <t>2-s2.0-33747807667</t>
  </si>
  <si>
    <t>['wide flexibility', 'stub width', 'small height', 'simple configuration', 'scan angles', 'rectangular waveguide', 'radiation patterns', 'propagation properties', 'permits rapid', 'part iii', 'modifications required', 'microwave ranges', 'half wavelength', 'excellent agreement', 'easily controlled', 'desirable features', 'available beamwidths', 'also simple', '60 ghz']</t>
  </si>
  <si>
    <t>Leakywave antennas</t>
  </si>
  <si>
    <t>A new leakywave antenna is presented here that possesses many desirable features and is suitable for application to both the millimeterwave and microwave ranges. These desirable features, some of which are unusual, include a simple configuration, a wide flexibility in the range of available beamwidths, the ability to control the beamwidth and the direction of the beam essentially independently, and negligible cross polarization at all scan angles. The antenna structure consists of a parallelplate stub guide of small height, less than a half wavelength, located off center on the top of rectangular waveguide. The beamwidth is easily controlled from very wide to very narrow by adjusting the stub width or location. Part I presents the principle of operation and the theory, employing a new transverse equivalent network that is accurate, but also simple, so that it permits rapid and inexpensive numerical calculations. Part II describes and derives the modifications required in the theory to account for flanges and/or finite stub length, and Part III is devoted to measurements at Xband and from 40 to 60 GHz on both the propagation properties and the radiation patterns; excellent agreement with the theory is demonstrated. ¬© 1998 IEEE.</t>
  </si>
  <si>
    <t>60032350;60010726;60108318;60108318;60108318</t>
  </si>
  <si>
    <t>Lampariello, Paolo;Frezza, Fabrizio;Shigesawa, Hiroshi;Tsuji, Mikio;Oliner, Arthur A.</t>
  </si>
  <si>
    <t>United States;Italy;Japan</t>
  </si>
  <si>
    <t>New York;Rome;Kyoto</t>
  </si>
  <si>
    <t>NYU Tandon School of Engineering;Sapienza Universit√† di Roma;Doshisha University</t>
  </si>
  <si>
    <t>60108318;60032350;60010726</t>
  </si>
  <si>
    <t>A versatile leakywave antenna based on stubloaded rectangular waveguide: part itheory</t>
  </si>
  <si>
    <t>S0018926X98057810</t>
  </si>
  <si>
    <t>2-s2.0-33747918266</t>
  </si>
  <si>
    <t>['wireframe structures', 'wavelet transform', 'popular tools', 'original nec', 'often limited', 'less singularities', 'electromagnetic simulation', 'close examination']</t>
  </si>
  <si>
    <t>Numerical analysis | Wavelet transforms | Wire antennas | Wire scatters</t>
  </si>
  <si>
    <t>The Numerical Electromagnetic Code (NEC) is one of the most popular tools for electromagnetic simulation of wireframe structures. The application of NEC is often limited to small to medium sized problems due to its full matrix nature. In this paper, an approach by using the wavelet transform to increase the efficiency and capability of NEC is presented. In the approach, a sparse moment matrix equation can be produced and solved by efficient sparse solver instead of solving full matrix equation in the original NEC. Under close examination, structures with less singularities are found to have much better accuracy and higher compression rates. ¬© 1998 IEEE.</t>
  </si>
  <si>
    <t>3395-3398</t>
  </si>
  <si>
    <t>Lee, Yee Hui</t>
  </si>
  <si>
    <t>Accelerating numerical electromagnetic code computation by using the wavelet transform</t>
  </si>
  <si>
    <t>10.1109/20.717799</t>
  </si>
  <si>
    <t>2-s2.0-33747927946</t>
  </si>
  <si>
    <t>['waves excited', 'wave characteristics', 'two kinds', 'trunkground interfaces', 'trunk layer', 'transmission losses', 'shown theoretically', 'saddlepoint technique', 'radio waves', 'quasistatic approximation', 'propagation mechanism', 'propagate inside', 'paper presents', 'lateral waves', 'integral expression', 'fourlayered medium', 'fourlayered geometry', 'electric fields', 'e .,', 'dyadic green', 'dominant modes', 'direct waves', 'dipole antenna', 'complex plane', 'complex images', 'closed form', 'calculated numerically', 'branchcut integrations', 'applied first', 'also discussed']</t>
  </si>
  <si>
    <t>Antenna radiation | Dyadic green's function | Inhomogeneous stratified media | Radio propagation terrain factors | Radio wave propagation</t>
  </si>
  <si>
    <t>This paper presents a novel fullwave analysis of the radio waves that are excited from a dipole antenna located in the trunk layer and propagate inside a fourlayered forest medium. The dyadic Green's functions for the fourlayered geometry are applied first to derive the integral expression of the electric fields. The closed form of the electric fields is then obtained by using the quasistatic approximation, saddlepoint technique, and branchcut integrations in the complex plane and, hence, expressed in terms of direct waves, multiple reflected waves, and lateral waves. Two kinds of images, i.e., the quasidynamic and complex images, are considered in the integration in the complex plane. Among those waves excited by a dipole antenna in the fourlayered medium, it is shown theoretically and numerically that the lateral wave along the upperside aircanopy interface plays a role of dominant modes. Propagation mechanism of other lateral waves due to the aircanopy, canopytrunk, and trunkground interfaces is also discussed and analyzed so as to gain an insight into the wave characteristics. Transmission losses of the lateral waves are calculated numerically. ¬© 1998 IEEE.</t>
  </si>
  <si>
    <t>Li, Le Wei;Yeo, Tat Soon;Kooi, Pang Shyan;Leong, Mook Seng</t>
  </si>
  <si>
    <t>Radio wave propagation along mixed paths through a fourlayered model of rain forest: An analytic approach</t>
  </si>
  <si>
    <t>S0018926X98057901</t>
  </si>
  <si>
    <t>2-s2.0-33747938623</t>
  </si>
  <si>
    <t>Finite-element methods | Microstrip arrays | Mode-matching, scattering matrices</t>
  </si>
  <si>
    <t>A full-wave method to analyze probe-fed infinite phased arrays of arbitrarily shaped microstrip patches residing in a cavity is proposed. The method is based on a combination of the mode matching and finite-element methods (MM-FEM) and provides a rigorous characterization of the coaxial feed. The radiated field to the half space is expressed as a Floquet's harmonic expansion reducing the analysis to a single elementary cell of the periodic antenna. The unit cell is analyzed as an open-ended succession of homogeneous waveguides of diverse cross sections. Each transition between waveguides is solved by a hybrid MM-FEM procedure to obtain its generalized scattering matrix (GSM). Finally, the GSM of the structure, which characterizes the array, is obtained from the individual GSM's by a cascading process. The method is also extended to the analysis of conventional probe-fed microstrip arrays by using the waveguide simulator model. Several prototypes, implemented and measured in waveguide simulator, have been analyzed to prove the validity and efficiency of the proposed method. ¬© 1998 IEEE.</t>
  </si>
  <si>
    <t>60028442;60028442;60028442;60028442;60028442;60028442</t>
  </si>
  <si>
    <t>54680923600;54681246300;6506362194;7005853672;35614881800;6507708612</t>
  </si>
  <si>
    <t>Matrix, Scattering;Method, Finite Element;De Gonzalez Aza, Miguel A.;Encinar, Jos√© A.;Zapata, Juan;Lambea, Manuel</t>
  </si>
  <si>
    <t>Matrix S.</t>
  </si>
  <si>
    <t>Full-wave analysis of cavity-backed and probe-fed microstrip patch arrays by a hybrid mode-matching generalized</t>
  </si>
  <si>
    <t>S0018926X98014926</t>
  </si>
  <si>
    <t>2-s2.0-33747939307</t>
  </si>
  <si>
    <t>['numerical examples', 'numerical analysis', 'ground plane', 'formulation lias', 'contain inhomogeneous', 'computer program', 'arbitrary shape']</t>
  </si>
  <si>
    <t>Anisotropic media | Boundary clement methods | Finite element methods | Lossy media | Microstrip antennas</t>
  </si>
  <si>
    <t>In this article, a hybrid formulation based on the finite element method (FEM) and boundary element method (BEM) is presented for numerical analysis of the electromagnetic (EM) radiation and scattering from cavity-backed microstrip patch antennas. The cavity is recessed in a ground plane and may have arbitrary shape and contain inhomogeneous, anisotropic, and lossy dielectric materials. The formulation lias been implemented using edge elements and the computer program has been tested by a number of numerical examples, proven to be valid and robust. ¬©1998 IEEE.</t>
  </si>
  <si>
    <t>3296-3299</t>
  </si>
  <si>
    <t>Lu, Yilong</t>
  </si>
  <si>
    <t>Lu Y.</t>
  </si>
  <si>
    <t>Analysis of microstrip antennas with complex and anisotropie substrate by a hybrid FEM/BEM approach</t>
  </si>
  <si>
    <t>10.1109/20.717774</t>
  </si>
  <si>
    <t>2-s2.0-33747939843</t>
  </si>
  <si>
    <t>['simple ruleofthumb', 'sidelobe structure', 'scintillating atmospheres', 'received signals', 'real function', 'particular interest', 'optical beams', 'multipath situations', 'multipath scenarios', 'mobile communications', 'main lobe', 'main beam', 'indoor communications', 'essentially independent', 'directive beams', 'conveyed via', 'boresight axes', 'beam configuration', 'antenna pattern', 'angular separation', 'acoustic case', 'acoustic beamforming']</t>
  </si>
  <si>
    <t>Multibeam antennas</t>
  </si>
  <si>
    <t>In the uncorrelated scenario model, a continuous source distribution illuminates a receiver with waves bearing signals that are uncorrelated with respect to their angle of arrival. This model is used for multipath situations such as scintillating atmospheres, but also can be applied to optical beams for indoor communications, acoustic beamforming, and, of particular interest here, mobile communications. For diversity antennas operating in such a scenario, patterns that produce uncorrelated signals are required. An angular separation of directive beams in multipath scenarios acts to decorrelate the received signals. It is of interest to quantify the minimum angular spacing required of beams in order to provide a framework for the design and configuration of the antennas. The approach is to consider only the main lobe of the antenna pattern and to take it as a real function. This is reasonable as long as most of the energy is conveyed via the main beam. In practice, the sidelobe structure and nonuniformity in the phase of an actual pattern act to improve the situation in the sense that the decorrelation angles become smaller. The conditions for angular diversity result in a simple ruleofthumb for the minimum beam separation requirement, which is essentially independent of the directivity. Finally, both scalar (acoustic case and circularly polarized case) and vector (linearly polarized case) elliptic beams rotated about their boresight axes are analyzed for the decorrelation rotation angle as a function of the ratio of the ellipticity. The resulting design curves offer a guideline to beam configuration for multipath scenarios. ¬© 1998 IEEE.</t>
  </si>
  <si>
    <t>Vaughan, Rodney G.</t>
  </si>
  <si>
    <t>S0018926X98057743</t>
  </si>
  <si>
    <t>2-s2.0-33747940350</t>
  </si>
  <si>
    <t>Horn antennas | Pulseexcited antennas</t>
  </si>
  <si>
    <t>The concept of prompt aperture efficiency is introduced for impulse radiating antennas (IRA's) and the efficiency is analyzed in detail for a specific class of lens IRA's. By using two isorefractive media, one with a low impedance within the aperture of the IRA and one with a high impedance outside the aperture, the power on the TEM transmission linefeed structure of the IRA can be concentrated within the aperture, thereby improving the prompt aperture efficiency beyond what is possible using a single medium. ¬©1998 IEEE.</t>
  </si>
  <si>
    <t>60015710;60015710;60015710</t>
  </si>
  <si>
    <t>S0018926X98057925</t>
  </si>
  <si>
    <t>2-s2.0-33747944608</t>
  </si>
  <si>
    <t>Loss resistance and efficiency are calculated for a slot in a resistive screen and for the complementary dipole. Double numerical integration of the magnetic near field is used. Strip dipole loss resistance is three to five times that of the complementary slot for short elements. ¬© 1998 IEEE.</t>
  </si>
  <si>
    <t>S0018926X98057809</t>
  </si>
  <si>
    <t>2-s2.0-33747951670</t>
  </si>
  <si>
    <t>['top wall', 'stub guide', 'simply remain', 'rectangular waveguide', 'practical circumstances', 'offcenter stub', 'infinitely long', 'ground plane', 'finite length', 'essential features', 'basic theory', 'antenna structure', 'also simple']</t>
  </si>
  <si>
    <t>A new leakywave antenna was presented and discussed in Part I that possesses many desirable performance features. The antenna structure is also simple in form, consisting of a rectangular waveguide with an offcenter stub on its top wall. Part I presented the principle of operation and the basic theory in which the stub guide was idealized to be infinitely long (or high) in order to stress the essential features. In practice, however, the stub guide has a finite length (or height) and it may be terminated by a flange or a ground plane or simply remain in the form of a pair of baffles. The modifications in the theory and the associated performance considerations under these practical circumstances are treated in the present paperPart II. l ¬©1998 IEEE.</t>
  </si>
  <si>
    <t>60032350;60010726;60108318;60032350;60010726</t>
  </si>
  <si>
    <t>Frezza, Fabrizio;Lampariello, Paolo;Shigesawa, Hiroshi;Tsuji, Mikio;Oliner, Arthur A.</t>
  </si>
  <si>
    <t>A versatile leakywave antenna based on stubloaded rectangular waveguide: part iieffects of flanges and finite stub length</t>
  </si>
  <si>
    <t>S0018926X98057822</t>
  </si>
  <si>
    <t>2-s2.0-33747958889</t>
  </si>
  <si>
    <t>['suggested allowing', 'sommerfeld integrals', 'numerical evaluation', 'modified boundary', 'microstrip antennas', 'integral method', 'fast analysis', 'dielectric slab']</t>
  </si>
  <si>
    <t>Recently a modified boundary-integral method was suggested allowing for fast analysis of microstrip antennas. In this paper a Green's function of the dielectric slab to be incorporated into this method is proposed. Some implementation issues regarding the numerical evaluation of SOMMERFELD integrals are discussed. ¬©1998 IEEE.</t>
  </si>
  <si>
    <t>2767-2770</t>
  </si>
  <si>
    <t>Straumann, Till</t>
  </si>
  <si>
    <t>Straumann T.</t>
  </si>
  <si>
    <t>Green's function of the dielectric slab for fast analysis of microstrip antennas with a modified boundary-integral method</t>
  </si>
  <si>
    <t>10.1109/20.717643</t>
  </si>
  <si>
    <t>2-s2.0-33747972005</t>
  </si>
  <si>
    <t>520244/95-8</t>
  </si>
  <si>
    <t>['usual geometries', 'significant improvement', 'shaped loop', 'reduce sidelobes', 'new antennas', 'loop must', 'loop antennas', 'improved performance', 'current distribution', 'computed results']</t>
  </si>
  <si>
    <t>Gradient method optimization | Loop autennas | Method of moments | Prototypes | Radiation patterns</t>
  </si>
  <si>
    <t>Two new configurations for the rectangular loop antenna are introduced in this work. The first is a "Vee" shaped loop and the second is a modification of the former to reduce sidelobes. It is shown that each loop must have a perimeter of 3Œª. or greater for improved performance. The method of moments with a polynomial expansion function was employed to determine the current distribution of the new antennas. Prototypes were built and measured, indicating good agreement with the computed results and showing a significant improvement over the usual geometries for loop antennas. ¬© 1998 IEEE.</t>
  </si>
  <si>
    <t>2744-2746</t>
  </si>
  <si>
    <t>60024989;60024989;60024989;60024989;60024989</t>
  </si>
  <si>
    <t>54680598000;54681330000;7202562512;54681396600;57214022122</t>
  </si>
  <si>
    <t>Da Silva, Vania M.;Suva, Franklin Da C.;Terada, Marco A.B.;Scares, Antonio J.M.;Fonseca, Sergio B.A.</t>
  </si>
  <si>
    <t>Da Silva V.</t>
  </si>
  <si>
    <t>A novel class of loop antennas</t>
  </si>
  <si>
    <t>10.1109/20.717637</t>
  </si>
  <si>
    <t>2-s2.0-33747975105</t>
  </si>
  <si>
    <t>['waveguide antennas', 'substantial spillover', 'poor low', 'optimum solution', 'optimum low', 'novel use', 'matching technique', 'low frequency', 'high frequencies', 'frequency performance', 'development beam', 'defocusing loss', 'conjugate phase']</t>
  </si>
  <si>
    <t>Beam waveguides | Phase conjugation</t>
  </si>
  <si>
    <t>The poor low-frequency performance of geometrically designed beam-waveguide antennas is shown to be caused by the diffraction phase centers being far from the geometrical optics mirror foci, resulting in substantial spillover and defocusing loss. Two novel solutions are proposed: 1) reposition the mirrors to focus low frequencies and redesign the high frequencies to utilize the new mirror positions and 2) redesign the input feed system to provide an optimum solution for the low frequency. A novel use of the conjugate phase-matching technique is utilized to design the optimum low-frequency feed system and the new feed system has been implemented in the Jet Propulsion Laboratory (JPL) Research and Development beam-waveguide (BWG) as part of a dual S/X-band feed system. The new S-band feed system is shown to perform significantly better than the original geometrically designed system. ¬© 1998 IEEE.</t>
  </si>
  <si>
    <t>1790-1796</t>
  </si>
  <si>
    <t>60009037;60009037;60009037</t>
  </si>
  <si>
    <t>7003977774;7003768989;6603851109</t>
  </si>
  <si>
    <t>Imbriale, William A.;Esquivel, M. S.;Manshadi, F.</t>
  </si>
  <si>
    <t>Imbriale W.</t>
  </si>
  <si>
    <t>Novel solutions to low-frequency problems with geometrically designed B earn-waveguide systems</t>
  </si>
  <si>
    <t>S0018926X98096823</t>
  </si>
  <si>
    <t>10.1109/8.743814</t>
  </si>
  <si>
    <t>2-s2.0-33747977984</t>
  </si>
  <si>
    <t>['problem domain', 'numerical results', 'local nature', 'input impedance', 'finite size', 'fields outside', 'fem region', 'electromagnetic fields', 'agree well']</t>
  </si>
  <si>
    <t>Bi-anisotropic media | Hybrid finite element method | Open integrated structures</t>
  </si>
  <si>
    <t>A new extended finite element formulation for finding radiation patterns, Radar Cross Section (RCS) and input impedance of planar integrated circuits on a very general bianisotropic grounded slab with finite size is presented. The approach is based on a hybrid Finite Element Method (FEM) wherein the electromagnetic fields in the FEM region are coupled to the fields outside by a surface integral equation. Because of the local nature of the FEM, this formalism allows inclusion of the inhomogeneities in the problem domain. Numerical results are compared and agree well with existing published data for various conventional configurations. ¬© 1998 IEEE.</t>
  </si>
  <si>
    <t>2716-2719</t>
  </si>
  <si>
    <t>60012630;60012630;60012630</t>
  </si>
  <si>
    <t>7005054440;7006242275;7004147354</t>
  </si>
  <si>
    <t>Toscano, Alessandro;Vegni, Lucio;Urbani, Fabio</t>
  </si>
  <si>
    <t>Universit√† degli Studi Roma Tre</t>
  </si>
  <si>
    <t>Toscano A.</t>
  </si>
  <si>
    <t>Scattering from a cavity backed microstrip antenna on a bi-anisotropic substrate with a finite ground plane by a hybrid finite element method</t>
  </si>
  <si>
    <t>10.1109/20.717630</t>
  </si>
  <si>
    <t>2-s2.0-33747979522</t>
  </si>
  <si>
    <t>['theoretical analyses', 'spatial signatures', 'spatial signature', 'spatial diversity', 'small displacement', 'significantly increase', 'response vector', 'presented include', 'potential benefits', 'nonideal perturbations', 'mobile unit', 'mobile subscribers', 'ideal assumptions', 'first time', 'computer simulations', 'channel capacity', 'certain location', 'beamforming performance', 'antenna array', '7 ],']</t>
  </si>
  <si>
    <t>Adaptive arrays | Mobile communication</t>
  </si>
  <si>
    <t>A spatial signature is the response vector of a basestation antenna array to a mobile unit at a certain location. Mobile subscribers at different locations exhibit different spatial signatures. The exploitation of spatial diversity (or the difference of spatial signatures) is the basic idea behind the socalled spacedivision multipleaccess (SDMA) scheme, which can be used to significantly increase the channel capacity and quality of a wireless communication system. Although SDMA schemes have been studied by a number of researchers [l][6], most of these studies are based on theoretical analyses and computer simulations with ideal assumptions. Not much experimental study [7], [8] has been reported on spatial signature variation due to nonideal perturbations in a real wireless communication environment. The purpose of this paper is to present, for the first time, extensive experimental results of spatial signature variation using a smart antenna testbed. The results to be presented include the spatial signature variation with time, frequency, small displacement, multipath angle spread and beamforming performance. The experimental results show the rich spatial diversity and potential benefits of using an antenna array for wireless communication applications. ¬© 1998 IEEE.</t>
  </si>
  <si>
    <t>Jeng, Shiann Shiun;Xu, Guanghan;Lin, Hsin Piao;Vogel, Wolfhard J.</t>
  </si>
  <si>
    <t>Experimental studies of spatial signature variation at 900 mhz for smart antenna systems</t>
  </si>
  <si>
    <t>S0018926X98057718</t>
  </si>
  <si>
    <t>2-s2.0-33747995445</t>
  </si>
  <si>
    <t>['threepart series', 'theoretical expressions', 'radiation patterns', 'part iii', 'papers presented', 'new type', 'millimeter wavelengths', 'leakywave antenna', 'good agreement']</t>
  </si>
  <si>
    <t>Parts I and II of this threepart series of papers presented the theory for this new type of leakywave antenna. Part III now describes the measurements that verify the validity of the theoretical expressions. Measurements were made both at millimeter wavelengths and in the Xband frequency range and of two different quantities: the propagation wavenumbers Œ≤and a and radiation patterns. Comparisons were made with numerical values obtained from the theoretical expressions derived in Parts I and II and very good agreement was found in all cases. ¬© 1998 IEEE.</t>
  </si>
  <si>
    <t>60010726;60032350;60108318;60010726;60032350</t>
  </si>
  <si>
    <t>Tsuji, Mikio;Shigesawa, Hiroshi;Frezza, Fabrizio;Lampariello, Paolo;Oliner, Arthur A.</t>
  </si>
  <si>
    <t>A versatile leakywave antenna based on stubloaded rectangular waveguide: part IIIcomparisons with measurements</t>
  </si>
  <si>
    <t>S0018926X98057834</t>
  </si>
  <si>
    <t>2-s2.0-33748012807</t>
  </si>
  <si>
    <t>['usually configured', 'three kinds', 'suppress jammers', 'sidelobe blankering', 'research since', 'proposed approach', 'precisely control', 'phase errors', 'often encountered', 'may result', 'late 1980', 'high sidelobes', 'falsealarm probability', 'e .,', 'directly applied', 'channel gain', 'array gain', 'also cause', 'adapted patterns', 'active area']</t>
  </si>
  <si>
    <t>Adaptive arrays | Airborne radar</t>
  </si>
  <si>
    <t>Spacetime adaptive processing (STAP) for airborne early warning radar has been a very active area of research since the late 1980's. An airborne rectangular planar array antenna is usually configured into subarrays and then partial adaptive processing is applied to the outputs of these subarrays. In practice, three kinds of errors are often encountered, i.e., the array gain and phase errors existing in each element, the channel gain and phase errors, and the clutter covariance matrix estimation errors due to insufficient secondary data samples. These errors not only degrade the clutter suppression performance, but also cause the adapted array patterns to suffer much distortion (high sidelobes and distorted mainbeams), which may result in the rise of falsealarm probability and make the adaptive monopulse tracking and sidelobe blankering more difficult. In this paper, the causes of the above three kinds of errors to array pattern distortion are discussed and a novel quadratic soft constraint factored approach is proposed to precisely control the peak sidelobe level of adapted patterns. The soft constraint factor can be determined explicitly according to the peak sidelobe level desired and the known or desired tolerant error standard deviations. Numerical results obtained by using highfidelity simulated airborne radar clutter data are provided to illustrate the performance of the proposed approach. Although the method is presented for STAP, it can be directly applied to the conventional adaptive beamforming for rectangular planar arrays used to suppress jammers. ¬© 1998 IEEE.</t>
  </si>
  <si>
    <t>101229925;60025578</t>
  </si>
  <si>
    <t>Wu, Renbiao;Bao, Zheng</t>
  </si>
  <si>
    <t>Xi'an;Tianjin</t>
  </si>
  <si>
    <t>Xidian University;Civil Aviation Institute of China</t>
  </si>
  <si>
    <t>60025578;101229925</t>
  </si>
  <si>
    <t>Array pattern distortion and remedies in spacetime adaptive processing for airborne radar</t>
  </si>
  <si>
    <t>S0018926X9805772X</t>
  </si>
  <si>
    <t>2-s2.0-33748021476</t>
  </si>
  <si>
    <t>['several slant', 'radiation patterns', 'main features', 'good agreement', 'cut angles']</t>
  </si>
  <si>
    <t>Distributed memory systems | Finite element methods | Microwave antennas | Parallel algorithms</t>
  </si>
  <si>
    <t>A series of Vlasov-type high power microwave launchers were investigated with several slant-cut angles. Finite element analysis using parallel computation was performed on a cluster of workstations and compared with lowpower measurements made on a variety of such antennas. Good agreement between the main features of the radiation patterns were observed. However, not all details were reproduced. ¬© 1998 IEEE.</t>
  </si>
  <si>
    <t>2712-2715</t>
  </si>
  <si>
    <t>60008134;60025534;112507419;60008134;60025534;112507419</t>
  </si>
  <si>
    <t>55879603500;7006319312;7006083534;7005586639;7007097705;6603390006</t>
  </si>
  <si>
    <t>Vollaire, C.;Nicolas, L.;Connor, K. A.;Salon, S. J.;Ruth, B. G.;Libelo, L. F.</t>
  </si>
  <si>
    <t>United States;France;United States</t>
  </si>
  <si>
    <t>Troy;Paris;Adelphi</t>
  </si>
  <si>
    <t>Rensselaer Polytechnic Institute;CNRS Centre National de la Recherche Scientifique;Army Ressarch Laboratory</t>
  </si>
  <si>
    <t>60025534;60008134;112507419</t>
  </si>
  <si>
    <t>Vollaire C.</t>
  </si>
  <si>
    <t>Microwave radiation from slant cut cylindrical antennas - modeling an experiment</t>
  </si>
  <si>
    <t>10.1109/20.717629</t>
  </si>
  <si>
    <t>2-s2.0-33748023438</t>
  </si>
  <si>
    <t>['work demonstrates', 'theoretical models', 'protostar formation', 'protostar chemistry', 'outer parts', 'infalling envelope', 'ideal testbed', 'dynamical models', 'core around', 'collapsing envelope', 'collapse phase', 'cm wavelengths', 'classical example', 'ccs traces']</t>
  </si>
  <si>
    <t>CCS - radio lines | Interstellar medium - protostar formation | Molecules</t>
  </si>
  <si>
    <t>We study the structure and chemistry of the protostellar core B335 using high resolution spectral line observations of CCS with both single dish antennas and interferometers at cm wavelengths. B335 is a classical example of a young protostellar region containing both outflow and infall and is an ideal testbed for theoretical models of the collapse phase of protostar formation. We use combined VLA and single dish data to image the core around the protostar in B335. We find that CCS traces the outer parts of a collapsing envelope with a velocity and spatial structure consistent with dynamical models. However, CCS is absent in the interior of the infalling envelope which can only be explained with time dependent models of the protostar chemistry. Our work demonstrates the importance of spectral line mapping at cm wavelengths for understanding protostar evolution. ¬© 1998 OPA (Overseas Publishers Association) N.V. Published by license under the Gordon and Breach Science Publishers imprint.</t>
  </si>
  <si>
    <t>59-72</t>
  </si>
  <si>
    <t>Astrophysical Letters and Communications</t>
  </si>
  <si>
    <t>36084862900;6603865780;55954108500</t>
  </si>
  <si>
    <t>Langer, W. D.;Kuiper, T. B.H.;Velusamy, T.</t>
  </si>
  <si>
    <t>Langer W.</t>
  </si>
  <si>
    <t>CM wavelength spectral line mapping of protostellar cores</t>
  </si>
  <si>
    <t>2-s2.0-33748398823</t>
  </si>
  <si>
    <t>['vivo treatment', 'vivo formation', 'vivo development', 'transplantation experiments', 'resistance gene', 'purornycin resistance', 'previously shown', 'presently used', 'polylactosamine antennae', 'novel vector', 'myeloid lineages', 'green fluorescence', 'easier detection', 'differentially regulated', 'dependant inhibition', 'cells expressing', 'cell ontogeny', 'cell lines', 'cell activation', 'cd43 130kda', 'c2gnt prevents', 'c2gnt overexpression', 'c2gnt gene', 'c2gnt expression', 'c2gnt ),', 'acetylglucosaminyltransferase family', '6 n']</t>
  </si>
  <si>
    <t>Core 2 glycosyltransferase (C2GnT), a member of the O-glycan Œ≤l ,6 N-acetylglucosaminyltransferase family, is responsible for the branching of O-linked oligosaccharide side chains, enabling the formation of lactosamine and polylactosamine antennae. C2GnT expression is upregulated in T cell activation and is differentially regulated in T cell ontogeny. We have previously shown in transplantation experiments that C2GnT overexpression did not affect T cell ontogeny. In contrast, C2GnT overexpression prevented the in vivo development of 1L-3/GM-CSF responsive myeloid cells. In vivo treatment with IL-3 for 10 days prior to analysis of CFC did not rescue CFC formation, indicating that overexpression of C2GnT prevents the in vivo formation of progenitor cells repopulating the myeloid lineages. In order to understand the mechanism of the myeloid development inhibition, we have elaborated a new strategy using a vector coexpressing puromycin-resistance gene, C2GnT gene and the GFP (green fluorescent protein), allowing for easier detection of cells expressing these genes. Hence, we observed that expression of C2GnT in cell lines, characterized by the transformation of the CD43 11 SkDa into the CD43 130kDa, is concomitant with green fluorescence and purornycin resistance. This novel vector is presently used to investigate the phenotype of hematopoietic progenitors overexpressing C2GnT, in an effort to characterise the mechanism of C2GnT-dependant inhibition of the myeloid differentiation process.</t>
  </si>
  <si>
    <t>0301472X</t>
  </si>
  <si>
    <t>Experimental Hematology</t>
  </si>
  <si>
    <t>7006756777;57189985154;8119768200;14524015900;7004648100</t>
  </si>
  <si>
    <t>Corbel, S. Y.;Merkens, H.;Fellinger, W.;Barran, P. A.;Ziltener, H. J.</t>
  </si>
  <si>
    <t>Corbel S.</t>
  </si>
  <si>
    <t>Overexpression of core 2-glycosyltransferase (C2GnT) in hematopoietic cells inhibits myeloid development</t>
  </si>
  <si>
    <t>2-s2.0-33748607722</t>
  </si>
  <si>
    <t>['type species', 'present also', 'meyrick ),', 'labial palpus', 'ctenomeristis snbftiscella', 'ctenomeristis sebasmia', 'cladistic analysis']</t>
  </si>
  <si>
    <t>Due to confusion about the type species the Australian genus Ctenomeristis Meyrick has been misinterpreted. The genus is revised, comprising the type species Ctenomeristis almella (Meyrick), and Ctenomeristis snbftiscella (Hampson), Ctenomeristis paiicicomuti sp. n., Ctenomeristis albata sp. n. (present also in Papua New Guinea), Ctenomeristis shafferi sp. n. and Ctenomeristis sebasmia (Meyrick) comb. n. The genus Eremographa Meyrick syn. n. is synonymised with Ctenomeristis. A cladistic analysis and comprehensive illustrations draw attention to the remarkably homoplasious antenna and labial palpus in a clearly monophyletic group with uniquely derived male genitalia. Lectotypes are designated for Ceroprepes almella Meyrick and Odontarthria subfnscella Hampson. ¬© Entomologica scandinavica (Grp 3).</t>
  </si>
  <si>
    <t>445-470</t>
  </si>
  <si>
    <t>Entomologica Scandinavica</t>
  </si>
  <si>
    <t>Horak, Marianne</t>
  </si>
  <si>
    <t>CSIRO Entomology</t>
  </si>
  <si>
    <t>Horak M.</t>
  </si>
  <si>
    <t>A reassessment and review of the Australian genus Ctenomeristis Meyrick (Lepidoptera: Pyralidae: Phycitinae)</t>
  </si>
  <si>
    <t>2-s2.0-33749459297</t>
  </si>
  <si>
    <t>['scan time', 'limiting condition', 'determining principle', 'basic formulas', 'azimuth resolution', 'also discussed']</t>
  </si>
  <si>
    <t>Batch processing period | Doppler beam sharpening (DBS) | Frame-scan time | Pulse Doppler radar</t>
  </si>
  <si>
    <t>Some bases are presented for determining and calculating the airborne pulse doppler radar's DBS system parameters. Major problems discussed here are the limitation to the beam sharpening ratio and azimuth resolution, and the limitation to maximum pitch angle and minimum azimuth angle. Some basic formulas are given for calculating the batch processing period, frame-scan time and antenna rotating speed. Also discussed are the limiting condition and determining principle of the pulse repetition frequency.</t>
  </si>
  <si>
    <t>99-107</t>
  </si>
  <si>
    <t>Chinese Journal of Aeronautics</t>
  </si>
  <si>
    <t>Yang, Jianhang</t>
  </si>
  <si>
    <t>Xi'an</t>
  </si>
  <si>
    <t>Air Force College of Engineering</t>
  </si>
  <si>
    <t>Yang J.</t>
  </si>
  <si>
    <t>Several problems in designing DBS systems for airborne pulse doppler radar</t>
  </si>
  <si>
    <t>2-s2.0-3643092739</t>
  </si>
  <si>
    <t>['tracking system', 'telemetering antenna', 'stepping motor', 'pilotless aircraft', 'parallel control', 'effectively used', 'discussion centres', 'design plan', 'control words']</t>
  </si>
  <si>
    <t>In this paper, the design plan of the tracking system of telemetering antenna in a type of pilotless aircraft is introduced. The discussion centres on the controls. Then the format of control words and an algorithm, which are effectively used to control the stepping motor are given. This algorithm has a function of parallel control and has already been used in our research. The design of the antenna servo system and the Fining Step Pitch (FSP) control of the stepping motor will benefit from this paper.</t>
  </si>
  <si>
    <t>Huang, Yong</t>
  </si>
  <si>
    <t>Huang Y.</t>
  </si>
  <si>
    <t>Design of tracking system of telemetering antenna in pilotless aircraft</t>
  </si>
  <si>
    <t>10.1109/62.735947</t>
  </si>
  <si>
    <t>2-s2.0-3843151497</t>
  </si>
  <si>
    <t>['variability expressed', 'type species', 'type localities', 'two species', 'therefore concluded', 'terminal spines', 'taxonomic status', 'st petersburg', 'separate p', 'redescribed based', 'proportional measurements', 'posterior surface', 'leg 4', 'leg 1', 'imminuta kiefer', 'frontal surface', 'extensive overlap', 'early records', 'caudal rami', '1853 ),']</t>
  </si>
  <si>
    <t>Copepoda | P. chiltoni | P. fimbriatus | P. imminuta | Palaearctic | Taxonomy</t>
  </si>
  <si>
    <t>The type species of Paracyclops, P. fimbriatus (Fischer, 1853), is redescribed based on material from the vicinity of St Petersburg in Russia, one of the type localities. The taxonomic status of P. fimbriatus, P. chiltoni (Thomson, 1882) and P. imminuta Kiefer, 1929 are stabilised and a neotype is designated for P. fimbriatus. It is revealed that failure to separate P. imminuta from the other two species of the complex was the main factor responsible for the taxonomic confusion concerning all three. Characters traditionally used by taxonomists, such as proportional measurements of the caudal rami and the terminal spines of the third endopodal segment of leg 4 are found to vary considerably within populations as well as between populations. Since there is extensive overlap in variability expressed between these three variable species, it is therefore concluded that most early records are unreliable. Previously overlooked characters which can help to differentiate between them are introduced, including the ornamentation of the frontal surface of the coxobasis of antenna, of the posterior surface of leg 1, and of the caudal rami.</t>
  </si>
  <si>
    <t>563-602</t>
  </si>
  <si>
    <t>Zoosystema</t>
  </si>
  <si>
    <t>60025352-60105356;60025352</t>
  </si>
  <si>
    <t>6603233252;7005517485</t>
  </si>
  <si>
    <t>Karaytug, S√ºphan;Boxshall, Geoffrey A.</t>
  </si>
  <si>
    <t>London;London</t>
  </si>
  <si>
    <t>School of Biological and Chemical Sciences Queen Mary University of London;The Natural History Museum, London</t>
  </si>
  <si>
    <t>60105356;60025352</t>
  </si>
  <si>
    <t>Karaytug S.</t>
  </si>
  <si>
    <t>The Paracyclops fimbriatus-complex (Copepoda, Cyclopoida): A revision</t>
  </si>
  <si>
    <t>2-s2.0-54649083368</t>
  </si>
  <si>
    <t>['z directions', 'quality factor', 'propagation constant', 'patch parameters', 'patch dimensions', 'numerical results', 'maxwell equations', 'electromagnetic fields', 'electromagnetic field', 'dielectric region', 'designed using', 'antenna efficiency', 'accurate result']</t>
  </si>
  <si>
    <t>The microstrip antenna patch is analyzed and designed using the full wave model of the Transverse Transmission Line (TTL) in conjunction with the Transmission Line Model. The TTL method starts with the Maxwell equations for achieve the general electromagnetic fields in any dielectric region. Are obtained a set of equations where the electromagnetic fields in x and z directions are determined as a function of the electromagnetic field in y direction. This efficient method provides an accurate result for the propagation constant. From the propagation constant the effective dielectric constants (Œµe) is obtained and applied in the microstrip antennas patch theory providing precise values for the patch parameters as the E-plane and H-plane radiation pattern, patch dimensions, antenna efficiency, bandwidth, quality factor and fractional resonant frequency. Numerical results for these parameters are presented.</t>
  </si>
  <si>
    <t>Journal of Microwaves and Optoelectronics</t>
  </si>
  <si>
    <t>60023857;60023857</t>
  </si>
  <si>
    <t>25624273700;7005418215</t>
  </si>
  <si>
    <t>Facias, Anthony R.N.;Chaves Fernandes, Humberto C.</t>
  </si>
  <si>
    <t>Natal</t>
  </si>
  <si>
    <t>Universidade Federal do Rio Grande do Norte</t>
  </si>
  <si>
    <t>Facias A.</t>
  </si>
  <si>
    <t>The microstrip antenna analysis and design using the TTL method</t>
  </si>
  <si>
    <t>2-s2.0-54649084337</t>
  </si>
  <si>
    <t>96-02-16471-a</t>
  </si>
  <si>
    <t>['whistler emission', 'surrounding plasma', 'studied experimentally', 'strongest near', 'strictional nonlinearity', 'magnetoactive plasma', 'directional pattern', 'antenna surface']</t>
  </si>
  <si>
    <t>The influence of thermal and strictional nonlinear effects on the whistler emission in magnetoactive plasma is studied experimentally. It is established that a nonlocal thermal nonlinearity determines the directional pattern of the antenna, while a strictional nonlinearity, which is strongest near the antenna surface, is responsible for the matching of the emitter with the surrounding plasma. ¬© 1998 American Institute of Physics.</t>
  </si>
  <si>
    <t>579-583</t>
  </si>
  <si>
    <t>JETP Letters</t>
  </si>
  <si>
    <t>6701630876;55574203363;6701851840;7005991131</t>
  </si>
  <si>
    <t>Kostrov, A. V.;Smirnov, A. I.;Starodubtsev, M. V.;Sha«êkin, A. A.</t>
  </si>
  <si>
    <t>Kostrov A.V.</t>
  </si>
  <si>
    <t>Influence of nonlinear effects on whistler emission in magnetoactive plasma</t>
  </si>
  <si>
    <t>S0021364098006082</t>
  </si>
  <si>
    <t>10.1134/1.567729</t>
  </si>
  <si>
    <t>2-s2.0-6744238361</t>
  </si>
  <si>
    <t>['transistors used', 'threshold voltage', 'subthreshold swing', 'substrate voltage', 'study plasma', 'semiconductor flow', 'semiconductor field', 'results show', 'mosfets ).', 'maximum transconductance', 'l g', 'induced damage', 'experiments performed', 'effect transistors', 'contact etch', '2 v']</t>
  </si>
  <si>
    <t>We report the results of experiments performed to study plasma-induced damage in ultrathin gate oxide of metal-oxide-semiconductor field-effect transistors (MOSFETs). The transistors used were 0.35 Œºm ¬´-channel MOSFETs with ¬´¬£65-√Å-≈•hick gate oxides fabricated on 200 mm p/p + boron-doped silicon substrates using a full complementary metal-oxide-semiconductor flow up to and including metal 2 processes. Our results show that threshold voltage, maximum transconductance, and subthreshold swing as well as charge pumping current became ineffective in discerning charging damage in these thin oxide MOSFETs. In contrast, gate leakage current l g, measured at a gate-to-substrate voltage of 2 V, is shown to emerge as the more sensitive damage indicator in this case. The sensitivity of I g is attributed to trap-assisted direct tunneling which is enhanced by decreasing oxide thickness. The sensitivity of l g in probing charging damage is demonstrated using special MOSFET structures that utilize charge antennas at the polycrystalline silicon gate definition etch, contact etch, and metal etch steps. ¬© 1998 American Vacuum Society.</t>
  </si>
  <si>
    <t>1664-1669</t>
  </si>
  <si>
    <t>57198571619;7004688904;6603825130</t>
  </si>
  <si>
    <t>Jiang, J.;Awadelkarim, O. O.;Werking, J.</t>
  </si>
  <si>
    <t>Jiang J.</t>
  </si>
  <si>
    <t>Gate leakage current: A sensitive characterization parameter for plasmainduced damage detection in ultrathin oxide submicron transistors</t>
  </si>
  <si>
    <t>10.1116/1.581139</t>
  </si>
  <si>
    <t>2-s2.0-75149124711</t>
  </si>
  <si>
    <t>['valuable alternative', 'top wall', 'recent article', 'processed surface', 'previous experiments', 'plasma source', 'plasma processing', 'plasma confirmed', 'one order', 'one observed', 'new source', 'magnitude lower', 'lower pressures', 'lower density', 'low pressures', 'evanescent along', 'electron density', 'dry etching', 'dielectric region', 'dielectric plate', 'chamber axis', 'azimuthally along', '3 mtorr', '1996 )]', '1012 cm', '1 torr']</t>
  </si>
  <si>
    <t>Plasma processing of large flat surfaces requires low pressure high density (ne= 1011-1012 cm-3) plasmas with uniform plasma density distribution near to the processed surface. Microwave discharges may provide a valuable alternative to the inductively coupled plasmas applied widely now for this purpose. In a recent article [Jpn. J. Appl. Phys., Part 1 35, L341 (1996)] we proposed a plasma source in which the plasma is sustained by a standing surface wave propagating radially and azimuthally along the interface between the plasma and a dielectric plate located at the top wall of a large-diameter cylindrical metal chamber, the wave being launched by a pair of slot antennas cut in the top chamber wall above the dielectric plate. Here we present new experimental results at lower pressures (down to 3 mTorr) and in a non-noble reactive gas (CF4) demonstrating the applicability of the new source for dry etching. The electron density was about one order of magnitude lower than the one observed by previous experiments at 0.2-1 Torr in Ar. We present an eigenmode analysis suggesting that this lower density should cause the appearance of hybrid surface TMmns eigenmodes with an axial mode number s = 1, which, in contrast to the case of s = 0 of the pure surface modes observed previously at higher electron densities, are evanescent along the chamber axis only in the plasma but not in the dielectric region. Electron density and microwave filed distribution measurements in the plasma confirmed the presence of the hybrid surface modes at low pressures (3-15 mTorr). ¬© 1998 American Vacuum Society.</t>
  </si>
  <si>
    <t>1537-1541</t>
  </si>
  <si>
    <t>6701807338;7006519215;35594076200;7101665824</t>
  </si>
  <si>
    <t>Ghanashev, I.;Nagatsu, M.;Morita, S.;Sugai, H.</t>
  </si>
  <si>
    <t>Ghanashev I.</t>
  </si>
  <si>
    <t>Large-area high-density plasma excitation using standing pure and hybrid surface waves</t>
  </si>
  <si>
    <t>10.1116/1.581183</t>
  </si>
  <si>
    <t>2-s2.0-75149196766</t>
  </si>
  <si>
    <t>['œ ≤', 'two values', 'total shift', 'scanned array', 'radar applications', 'quite interesting', 'pattern characteristics', 'minor lobe', 'maximum radiation', 'impedance bandwidth', 'directive gain', 'dielectirc based', 'comprehensive study', 'array antenna', 'antenna geometry', '10 ghz']</t>
  </si>
  <si>
    <t>A comprehensive study of 2x2 planar phased array of rectangular microstrip antenna on Ni-Co based ferrite substrate at 10 GHz is presented. The far-zone field expressions have been derived using vector wave function technique and pattern multiplication approach. The pattern characteristics and other important antenna parameters like half power beam width (HPBW), direction of maximum radiation, total shift of major and minor lobe, side lobe level (SLL), radiation conductance, directive gain and impedance bandwidth are estimated for two values of progressive phase excitation difference, i.e. Œ≤x=Œ≤y = œÄ/2 and 2œÄ/3. The results of ferrite based array geometry are compared with those of dielectirc based (PTFE quartz reinforced) array antenna. The results are quite interesting and the antenna geometry is suitable to be employed as a scanned array for radar applications.</t>
  </si>
  <si>
    <t>289-296</t>
  </si>
  <si>
    <t>60070212;60070212</t>
  </si>
  <si>
    <t>6507847292;6603730792</t>
  </si>
  <si>
    <t>Pourush, P. K.S.;Dixit, Lata</t>
  </si>
  <si>
    <t>Pourush P.</t>
  </si>
  <si>
    <t>A 2x2 element planar phased array of rectangular microstrip antenna on Ni-Co ferrite substrate at 10 GHz</t>
  </si>
  <si>
    <t>2-s2.0-7544247210</t>
  </si>
  <si>
    <t>['typical site', 'obtain results', 'maximum error', 'high frequencies', 'great deal', 'dipole calibration', 'better understand', '5 db']</t>
  </si>
  <si>
    <t>There are many potential sources of error when performing Yagi gain measurements and there has been a great deal of optimism when analysing them. If you consider that a typical site for professional measurements described in reference 12 certifies the gains of the antennas under test within ¬±2dB between 30 and 1000MHz, you can better understand the difficulties that arise. We have examined the subject of dipole calibration and presented a three-element reference yagi for easy comparison tests at very high frequencies. We believe that by averaging repeated measurements, it is possible to obtain results with maximum error of around ¬±0.5 dB.</t>
  </si>
  <si>
    <t>1002-1006</t>
  </si>
  <si>
    <t>6602789177;7801529013</t>
  </si>
  <si>
    <t>Antoniazzi, Paolo;Arecco, Marco</t>
  </si>
  <si>
    <t>Antoniazzi P.</t>
  </si>
  <si>
    <t>Measuring Yagis</t>
  </si>
  <si>
    <t>2-s2.0-8644244262</t>
  </si>
  <si>
    <t>['well precursor', 'tubular organ', 'took advantage', 'salivary tissues', 'salivary primordium', 'salivary glands', 'salivary fate', 'salivary expression', 'salivary duct', 'previously described', 'pregland cells', 'obligate requirement', 'initial establishment', 'individual ducts', 'imaginal ring', 'fork head', 'eye gone', 'ductless phenotype', 'duct primordium', 'duct primordia', 'drosophila larvae', 'dimensional field']</t>
  </si>
  <si>
    <t>Convergence | Drosophila | Extension | eye gone | Imaginal ring | Pax | Salivary duct | Salivary gland</t>
  </si>
  <si>
    <t>What are the developmental mechanisms required for conversion of an undifferentiated, two-dimensional field of cells into a patterned, tubular organ? In this report, we describe the contribution of the Drosophila Pax gene eye gone to the development of the embryonic salivary glands and ducts. eye gone expression in salivary tissues is controlled by several known regulators of salivary fate. After the initial establishment of the salivary primordium by Sex combs reduced, fork head excludes eye gone expression from the pregland cells so that its salivary expression is restricted to the posterior preduct cells, trachealess, in contrast, activates eye gone expression in the posterior preduct cells. We have previously described the process by which fork head and the EGF receptor pathway define the border between the gland and duct primordia. Here we show that eye gone is required for the subdivision of the duct primordium itself into the posterior individual duct and the anterior common duct domains, absence of eye gone, individual ducts as well precursor of the adult salivary glands, the imaginal ring, are absent. We took advantage of this ductless phenotype to show that Drosophila larvae do not have an obligate requirement for salivary glands and ducts. In addition to its role in the salivary duct, eye gone is required in the embryo for the development of the eye-antennal imaginal disc and the chemosensory antennal organ.</t>
  </si>
  <si>
    <t>4163-4174</t>
  </si>
  <si>
    <t>Development</t>
  </si>
  <si>
    <t>60025038;60023691;60092446;60025038</t>
  </si>
  <si>
    <t>7403398515;7403232665;26421401800;6701713763</t>
  </si>
  <si>
    <t>Jones, Nikolas A.;Kuo, Yien Ming;Sun, Y. Henry;Beckendorf, Steven K.</t>
  </si>
  <si>
    <t>Taiwan;United States;United States</t>
  </si>
  <si>
    <t>Taipei;Berkeley;San Francisco</t>
  </si>
  <si>
    <t>Academia Sinica, Institute of Molecular Biology;University of California, Berkeley;University of California, San Francisco</t>
  </si>
  <si>
    <t>60092446;60025038;60023691</t>
  </si>
  <si>
    <t>Jones N.A.</t>
  </si>
  <si>
    <t>The Drosophila Pax gene eye gone is required for embryonic salivary duct development</t>
  </si>
  <si>
    <t>2-s2.0-0031735994</t>
  </si>
  <si>
    <t>['x chromosome', 'ruby gene', 'lozenge locus', 'leg transformation', 'hypermutable strain', 'genetic analysis', 'ectopic eyes', 'drosophila simulans', 'called zoinho']</t>
  </si>
  <si>
    <t>blistered | Drosophila simulans | Hypermutability | lozenge | ruby</t>
  </si>
  <si>
    <t>A hypermutable strain of Drosophila simulans that originated from a single spontaneous mutant male was characterized. Seven different mutations were isolated from roughly 100 generations of offspring. The genetic analysis of the viable mutants showed two mutations on the X chromosome, one in the lozenge locus and the other in the ruby gene. The autosomic mutations characterized were a dpp-heldout-like, a blistered-like and a homoeotic dominant mutant with an antenna-to-leg transformation and ectopic eyes that we called Zoinho-na-pata.</t>
  </si>
  <si>
    <t>1283-1290</t>
  </si>
  <si>
    <t>1420682X</t>
  </si>
  <si>
    <t>Cellular and Molecular Life Sciences</t>
  </si>
  <si>
    <t>60033356;60006726;60027950-60006475;60027950;60006726</t>
  </si>
  <si>
    <t>8534796500;7003406885;57202700881;7203035306;8090910700</t>
  </si>
  <si>
    <t>Loreto, √â L.S.;Zaha, A.;Nichols, C.;Pollock, J. A.;Valente, V. L.S.</t>
  </si>
  <si>
    <t>Brazil;United States;Brazil;United States</t>
  </si>
  <si>
    <t>Santa Maria;Pittsburgh;Porto Alegre;Nashville</t>
  </si>
  <si>
    <t>Universidade Federal de Santa Maria;Carnegie Mellon University;Universidade Federal do Rio Grande do Sul;Vanderbilt University School of Medicine</t>
  </si>
  <si>
    <t>60033356;60027950;60006726;60006475</t>
  </si>
  <si>
    <t>Loreto E.</t>
  </si>
  <si>
    <t>Characterization of a hypermutable strain of Drosophila simulans</t>
  </si>
  <si>
    <t>10.1007/s000180050254</t>
  </si>
  <si>
    <t>2-s2.0-0031768212</t>
  </si>
  <si>
    <t>['triantennary oligosaccharide', 'tetraantennary oligosaccharide', 'substrate asialo', 'strongly inhibited', 'sephadex g', 'reducing conditions', 'purified 100', 'preferred substrate', 'optimum ph', 'man a1', 'human platelets', 'gel filtration', 'ec 2', 'divalent cations', 'biantennary gngn', '3 antenna', '28 œºm']</t>
  </si>
  <si>
    <t>a1,6-fucosyltransferase | Platelets</t>
  </si>
  <si>
    <t>a-6-L-fucosyltransferase (a1,6FucT; EC 2.4.1.68) from human platelets, the enzyme that is released into serum during coagulation of blood, was purified 100,000-fold. The purification required three sequential chromatographic steps: chromatofocusing, affinity column chromatography on GnGn-Gp (asialo-aglacto-transferrin glycopeptide)-CH-Sepharose, and gel filtration of Sephadex G-200. The final preparation contained a protein that migrated as a single discrete band M(r) of 58,000 in sodium dodecyl sulfate-polyacrylamide gel electrophoresis (SDS-PAGE) under non-reducing conditions, and as a single enzymatically active peak M(r) of 58,000 in gel filtration. Although the purified enzyme utilized the biantennary GnGn-Gp as substrate, it was twice as active with the triantennary oligosaccharide when the Man a1,3 antenna was substituted with GlcNacŒ≤1,4. On the other hand the tetraantennary oligosaccharide was not a preferred substrate. The K(m) values for the substrate asialo-agalactotransferrin-glycopeptide, and GDP-L-fucose were 29 and 28 ŒºM, respectively. The optimum pH of the enzyme was 6.0. The activity of a1,6FucT was abolished in the presence of Œ≤-mercaptoethanol. Divalent cations such as Mg2+ and Ca2+ activated, but Cu2+, Zn2+ and Ni2+ strongly inhibited the activity.</t>
  </si>
  <si>
    <t>783-788</t>
  </si>
  <si>
    <t>60073843;60006297-60030118;60073843</t>
  </si>
  <si>
    <t>57198319193;7102493230;16688917700</t>
  </si>
  <si>
    <t>Kami≈Ñska, Joanna;Glick, Mary Catherine;Ko≈õcielak, Jerzy</t>
  </si>
  <si>
    <t>Poland;United States;United States</t>
  </si>
  <si>
    <t>Warsaw;Philadelphia;Philadelphia</t>
  </si>
  <si>
    <t>Institute of Haematology and Transfusion Medicine, Warsaw;The Children's Hospital of Philadelphia;University of Pennsylvania</t>
  </si>
  <si>
    <t>60073843;60030118;60006297</t>
  </si>
  <si>
    <t>Kami≈Ñska J.</t>
  </si>
  <si>
    <t>Purification and characterization of GDP-L-Fuc: N-acetyl Œ≤-D-glucosaminide a1‚Üí6fucosyltransferase from human blood platelets</t>
  </si>
  <si>
    <t>10.1023/A:1006959915435</t>
  </si>
  <si>
    <t>2-s2.0-0031794255</t>
  </si>
  <si>
    <t>Two four-element linear broadside arrays, shaping the EŒ∏- and EœÜ-field components, using microstrip-coupled cylindrical dielectric resonator antennas are reported. The resonant frequency, radiation pattern, gain, unloaded Q-factor, and impedance bandwidth of each array configuration are investigated. It is concluded that microstrip coupling is an efficient, simple, and easy to implement feeding scheme. An important benefit is that critical coupling can be obtained by simply varying the position of the CDRA with respect to the microstrip line. Overall, good agreement was obtained between theoretical and experimental results, with the numerical values being more accurate than the analytical data.</t>
  </si>
  <si>
    <t>10.1002/(SICI)1098-2760(19981205)19:5&lt;375::AID-MOP19&gt;3.0.CO;2-#</t>
  </si>
  <si>
    <t>2-s2.0-0032488191</t>
  </si>
  <si>
    <t>['wireless technology', 'spatial characteristics', 'smart antennas', 'novel relationship', 'narrowband small', 'multipath power', 'microwave propagation', 'fundamental relationship', 'azimuthal distribution']</t>
  </si>
  <si>
    <t>A novel relationship between the azimuthal distribution of multipath power and narrowband small-scale fading characteristics is developed. The fundamental relationship is useful for studying adaptive arrays, smart antennas, equalisation, diversity, and any other wireless technology or concept that depends on the spatial characteristics of radiowave and microwave propagation.</t>
  </si>
  <si>
    <t>2431-2432</t>
  </si>
  <si>
    <t>60027090;60027090</t>
  </si>
  <si>
    <t>6603675014;7006091503</t>
  </si>
  <si>
    <t>Durgin, G.;Rappaport, T. S.</t>
  </si>
  <si>
    <t>Durgin G.</t>
  </si>
  <si>
    <t>Basic relationship between multipath angular spread and narrowband fading in wireless channels</t>
  </si>
  <si>
    <t>10.1049/el:19981689</t>
  </si>
  <si>
    <t>2-s2.0-0032256227</t>
  </si>
  <si>
    <t>['‚ àº0', 'range 1', 'good dual', 'frequency ratios', 'dualmode capabilities', 'dualband antenna', 'dcs1800 modes', 'band operation', 'amps modes', '9ghz band', '8ghz bands']</t>
  </si>
  <si>
    <t>Cellular telephone handsets are now being designed to have dualmode capabilities. In particular, GSM and DCS1800 modes are used in Europe, and PCS and AMPS modes are used in the USA. A novel planar dualband internal antenna for handsets which operates in the ‚àº0.9 and 1.8GHz bands is proposed. The dualband antenna has almost the same size as a conventional internal antenna operating in the 0.9GHz band. Good dual-band operation was obtained for frequency ratios in the range 1.3-2.7.</t>
  </si>
  <si>
    <t>2362-2363</t>
  </si>
  <si>
    <t>60018735;60018735;60018735</t>
  </si>
  <si>
    <t>7102331471;36762388600;7403250763</t>
  </si>
  <si>
    <t>Chiba, N.;Amano, T.;Iwasaki, H.</t>
  </si>
  <si>
    <t>Chiba N.</t>
  </si>
  <si>
    <t>Dual-frequency planar antenna for handsets</t>
  </si>
  <si>
    <t>10.1049/el:19981652</t>
  </si>
  <si>
    <t>2-s2.0-0032266901</t>
  </si>
  <si>
    <t>['‚ àº', 'surface area', 'resonant frequency', 'polarisation level', '37 %.']</t>
  </si>
  <si>
    <t>A novel folded rectangular patch antenna is designed and measured. Compared with a conventional patch antenna with the same surface area, the resonant frequency is reduced by 37%. The cross-polarisation level is ‚àº -20dB.</t>
  </si>
  <si>
    <t>2366-2367</t>
  </si>
  <si>
    <t>55510527400;35569904600;7501501369</t>
  </si>
  <si>
    <t>Luk, K. M.;Chair, R.;Lee, K. F.</t>
  </si>
  <si>
    <t>Small rectangular patch antenna</t>
  </si>
  <si>
    <t>10.1049/el:19981643</t>
  </si>
  <si>
    <t>2-s2.0-0032279125</t>
  </si>
  <si>
    <t>['large radius', 'faceted array', 'experimental resufts', 'curvature 1', 'beam steering']</t>
  </si>
  <si>
    <t>The problem of synthesising low sidelobe beams from conformal arrays consisting of few elements and large radius of curvature is addressed. Experimental resufts are presented for a 12 element array of linearly polarised elements forming a faceted array with radius of curvature 1.5m. It is shown that by calculation of an aperture correcting matrix sidelobe levels of 40dB can be obtained from the array by application of conventional linear array Taylor weights. Beam steering is achieved by aperture phase tapering while low sidelobe levels are maintained.</t>
  </si>
  <si>
    <t>2363-2365</t>
  </si>
  <si>
    <t>60005811;60005811</t>
  </si>
  <si>
    <t>7202904160;26643184600</t>
  </si>
  <si>
    <t>Fletcher, P. N.;Dean, M.</t>
  </si>
  <si>
    <t>Least squares pattern synthesis for conformal arrays</t>
  </si>
  <si>
    <t>10.1049/el:19981469</t>
  </si>
  <si>
    <t>2-s2.0-0032279405</t>
  </si>
  <si>
    <t>['underlying research', 'transmission performance', 'tradeoff considerations', 'single carrier', 'simulation results', 'results indicate', 'radiates downwards', 'qpsk transmission', 'main objective', 'desktop level', 'centralised antenna', 'ceiling height', '60ghz based']</t>
  </si>
  <si>
    <t>The transmission performance of a high speed indoor radio communication system at 60GHz based on (single carrier) QPSK transmission is evaluated. The main objective of the underlying research is to examine how far high data rates can be achieved with a highly directional antenna placed at desktop level and a centralised antenna at ceiling height that radiates downwards in order to illuminate a circular coverage area below. The results can serve as a reference for tradeoff considerations with respect to the complexity and performance of more sophisticated transmission schemes such as OFDM. Simulation results of achievable data rates are presented. These results indicate that a relatively simple transmission scheme can be applied to provide high data rates in the order of 100-200Mbit/s.</t>
  </si>
  <si>
    <t>2361-2362</t>
  </si>
  <si>
    <t>60032882;60032882</t>
  </si>
  <si>
    <t>16415286000;6508155429</t>
  </si>
  <si>
    <t>Smulders, P. F.M.;Van Den Meerendonk, H. J.A.</t>
  </si>
  <si>
    <t>Technische Universiteit Eindhoven</t>
  </si>
  <si>
    <t>Smulders P.</t>
  </si>
  <si>
    <t>Achievement of high data rates by using high gain antennas in indoor pico cells</t>
  </si>
  <si>
    <t>10.1049/el:19981682</t>
  </si>
  <si>
    <t>2-s2.0-3743062630</t>
  </si>
  <si>
    <t>2-s2.0-3743144920</t>
  </si>
  <si>
    <t>['useful information', 'statistical properties', 'sensitivity band', 'provide us', 'phase estimation', 'pearson criterion', 'noise ratio', 'likely generated', 'fast rotation', 'eventual amplitude', 'established according', 'data generated', 'crossing probabilities', 'common approach', 'candidate events', 'better signal']</t>
  </si>
  <si>
    <t>Gravitation | Instrumentation: detectors | Methods: data analysis | Methods: statistical</t>
  </si>
  <si>
    <t>In this paper we design and develop several filtering strategies for the analysis of data generated by a resonant bar gravitational wave (GW) antenna, with the goal of assessing the presence (or absence) therein of long-duration monochromatic GW signals, as well as the eventual amplitude and frequency of the signals, within the sensitivity band of the detector. Such signals are most likely generated in the fast rotation of slightly asymmetric spinning stars. We develop practical procedures, together with a study of their statistical properties, which will provide us with useful information on the performance of each technique. The selection of candidate events will then be established according to threshold-crossing probabilities, based on the Neyman-Pearson criterion. In particular, it will be shown that our approach, based on phase estimation, presents a better signal-to-noise ratio than does pure spectral analysis, the most common approach.</t>
  </si>
  <si>
    <t>729-744</t>
  </si>
  <si>
    <t>60001576;60001576</t>
  </si>
  <si>
    <t>35607588100;7102553469</t>
  </si>
  <si>
    <t>Lobo, J. A.;Montero, M.</t>
  </si>
  <si>
    <t>Universitat de Barcelona</t>
  </si>
  <si>
    <t>Lobo J.</t>
  </si>
  <si>
    <t>All-sky search algorithms for monochromatic signals in resonant bar gravitational wave detector data</t>
  </si>
  <si>
    <t>10.1111/j.1365-8711.1998.02016.x</t>
  </si>
  <si>
    <t>2-s2.0-1842739845</t>
  </si>
  <si>
    <t>North Atlantic Treaty Organization</t>
  </si>
  <si>
    <t>NATO</t>
  </si>
  <si>
    <t>['twist plots', 'rights reserved', 'relatively low', 'radiation patterns', 'new class', 'find lacunarity', 'examine diffraction', 'distinctive subfractal', 'diffracted sidelobes', 'diffractal geometry', 'cantor targets']</t>
  </si>
  <si>
    <t>Antenna | Aperture | Array | Fractal | Lacunarity</t>
  </si>
  <si>
    <t>We examine diffraction by a new class of Cantor ring diffractals (Cantor targets) based on a polyadic Cantor set described by several fractal descriptors including fractal dimension, lacunarity, number of gaps, and stage of growth. We find scaling properties characteristic of these diffractals and examine their radiation patterns through the use of twist plots. These twist plots can be used to find lacunarity "windows" where diffracted sidelobes are relatively low. We find that Cantor ring diffractals have distinctive subfractal, fractal and superfractal diffraction regimes whose boundaries we predict from the diffractal geometry. ¬© 1998 Elsevier Science B.V. All rights reserved.</t>
  </si>
  <si>
    <t>141-148</t>
  </si>
  <si>
    <t>60007082-60102562-60006297;60102562</t>
  </si>
  <si>
    <t>6603116905;7006013598</t>
  </si>
  <si>
    <t>Jaggard, Aaron D.;Jaggard, Dwight L.</t>
  </si>
  <si>
    <t>Philadelphia;Wheaton;Philadelphia</t>
  </si>
  <si>
    <t>School of Engineering and Applied Science;Wheaton College - Illinois;University of Pennsylvania</t>
  </si>
  <si>
    <t>60102562;60007082;60006297</t>
  </si>
  <si>
    <t>Jaggard A.D.</t>
  </si>
  <si>
    <t>Cantor ring diffractals</t>
  </si>
  <si>
    <t>S0030401898005501</t>
  </si>
  <si>
    <t>10.1016/S0030-4018(98)00550-1</t>
  </si>
  <si>
    <t>2-s2.0-0032303969</t>
  </si>
  <si>
    <t>['values across', 'three preparations', 'stokes shifts', 'reliable value', 'red tail', 'red forms', 'outer antenna', 'marked asymmetry', 'maize containing', 'linear electron', 'least 80', 'intact photosystem', 'high sv', 'fluorescence spectroscopy', 'bulk pigments', 'absorption spectra', 'absorption forms', 'absorption band', '300 k', '25 cm', '110 cm']</t>
  </si>
  <si>
    <t>The intact photosystem I of maize containing its full antenna complement (PSI-200) has been purified and fractionated into the core and outer antenna (LHCI) components. It is demonstrated by absorption and fluorescence spectroscopy that at least 80% of the long wavelength absorbing antenna pigments (red forms) are located in LHCI. Absorption spectra in the Q(y) region of all three preparations were measured between 72 and 300 K and subjected to a thermal broadening analysis. Data are interpreted in the linear electron-phonon coupling assumption, and the average optical reorganization energy (Sv(m)) for the bulk pigment band and the red absorption tail determined. A marked asymmetry in Sv(m) values across the absorption band is demonstrated. The bulk pigments in all three preparations have rather low values, in the range of 15-25 cm-1, suggesting that Stokes shifts for the absorption forms are in the 1.5-3 nm range. On the other hand the red forms have markedly greater reorganization energies. While a direct thermal analysis of the red tail indicates minimum Sv(m) values of around 60 cm-1, when the contribution of the red tail of the bulk pigments is corrected for in LHCI, the more reliable value of 110 cm-1 is obtained. These high Sv(m) values for the red pigment forms suggest that they have unusually wide homogeneously broadened absorption bands and large Stokes shifts (6-11 nm).</t>
  </si>
  <si>
    <t>17355-17360</t>
  </si>
  <si>
    <t>60030318-60072285;60030318;60030318;60030318</t>
  </si>
  <si>
    <t>7005812451;7006530694;6701308180;7201971898</t>
  </si>
  <si>
    <t>Croce, Roberta;Zucchelli, Giuseppe;Garlaschi, Flavio M.;Jennings, Robert C.</t>
  </si>
  <si>
    <t>Germany;Italy</t>
  </si>
  <si>
    <t>Mulheim an der Ruhr;Milan</t>
  </si>
  <si>
    <t>Max Planck Institute for Chemical Energy Conversion;Universit√† degli Studi di Milano</t>
  </si>
  <si>
    <t>60072285;60030318</t>
  </si>
  <si>
    <t>Croce R.</t>
  </si>
  <si>
    <t>A thermal broadening study of the antenna chlorophylls in PSI- 200, LHCI, and PSI core</t>
  </si>
  <si>
    <t>10.1021/bi9813227</t>
  </si>
  <si>
    <t>2-s2.0-0032535215</t>
  </si>
  <si>
    <t>['unpaired electron', 'two bchl', 'triplet states', 'triplet state', 'sucrose monocholate', 'subsequent transformation', 'state bchl', 'singlet state', 'rhodobacter sphaeroides', 'reaction center', 'rapid generation', 'radical state', 'quenched efficiently', 'photoprotective function', 'new detergent', 'native form', 'nanosecond time', 'lh2 complex', 'intrinsic properties', 'generated immediately', 'excitation established', 'cation radical', 'carotenoidless r26', 'carotenoidless lh1', 'b850 bchl', 'antenna complex', '50 %.', '1 mutants']</t>
  </si>
  <si>
    <t>The LH1 antenna complex and a native form of the LH2 complex were isolated from the carotenoidless R26 and R26.1 mutants of Rhodobacter sphaeroides by the use of a new detergent, sucrose monocholate. One- color, pump-and-probe transient Raman spectroscopy of these complexes using 351 nm, ~50 ps pulses showed the generation of the triplet State of bacteriochlorophyll a (BChl a), whereas measurements using 355 nm, ~ 12 ns pulses showed the generation of BChl a cation radical. Subpicosecond to nanosecond time-resolved absorption spectroscopy using 388 nm, 200 fs pulses for excitation showed rapid (&lt;1 ps) generation of the triplet state and fast decay (&lt;10 ps) of the singlet state of BChl a. Microsecond absorption spectroscopy confirmed the generation of BChl a Cation radical. EPR spectroscopy using 532 nm, ~5 ns pulses for excitation established the generation of BChl a cation radical. The EPR line width suggested that the unpaired electron is shared by two BChl a molecules. In LH1, the yield of BChl a cation radical per complex was estimated to be about 80% of that in the reaction center, and in LH2 about 50%. Thus, rapid generation of the triplet state, and its Subsequent transformation into the cation-radical state of BChl have been shown to be intrinsic properties of B870 and B850 BChl a assembly in the carotenoidless LH1 and LH2 antenna complexes. In the case of the carotenoid-containing LH2 complex, the triplet states of BChl a and carotenoid (spheroidene) were generated immediately after excitation, but the triplet-state BChl a was quenched efficiently by the carotenoid so that no BChl a cation radical was generated. Thus, the photoprotective function of the carotenoid in this antenna complex is shown.</t>
  </si>
  <si>
    <t>17469-17486</t>
  </si>
  <si>
    <t>Limantara, Leenawaty</t>
  </si>
  <si>
    <t>Nishinomiya</t>
  </si>
  <si>
    <t>Kwansei Gakuin University</t>
  </si>
  <si>
    <t>Limantara L.</t>
  </si>
  <si>
    <t>Generation of triplet and cation-radical bacteriochlorophyll a in carotenoidless LH1 and LH2 antenna complexes from Rhodobacter sphaeroides</t>
  </si>
  <si>
    <t>10.1021/bi981803q</t>
  </si>
  <si>
    <t>2-s2.0-0032535643</t>
  </si>
  <si>
    <t>['spiral antenna', 'small asymmetry', 'principal axis', 'present measurements', 'polarization response', 'polarization ellipse', 'ni diodes', 'diode results', 'detector capacitance', 'continuous variation', 'bias voltage', '6 œºm', '160 mv']</t>
  </si>
  <si>
    <t>We present measurements at 10.6 Œºm that demonstrate electronic tuning of the polarization response of asymmetric-spiral infrared antennas connected to Ni-NiO-Ni diodes. Continuous variation of the bias voltage applied to the diode results in a rotation of the principal axis of the polarization ellipse of the spiral antenna. A 90¬∞ tuning range is measured for a bias voltage that varies from -160 to +160 mV. This effect is caused by a small asymmetry of the deposited diode contact or by a variation of the detector capacitance with the applied bias voltage. ¬© 1998 Optical Society of America.</t>
  </si>
  <si>
    <t>1912-1914</t>
  </si>
  <si>
    <t>60022144;60022144;60025858;60025858;60029158</t>
  </si>
  <si>
    <t>7006366203;6603761497;57197895047;7003556999;7004309911</t>
  </si>
  <si>
    <t>Boreman, G. D.;Fumeaux, C.;Herrmann, W.;Kneub√ºhl, F. K.;Rothuizen, H.</t>
  </si>
  <si>
    <t>Switzerland;Switzerland;United States</t>
  </si>
  <si>
    <t>Ruschlikon;Zurich ZH,;Orlando</t>
  </si>
  <si>
    <t>IBM Research - Zurich;ETH Zurich;University of Central Florida</t>
  </si>
  <si>
    <t>60029158;60025858;60022144</t>
  </si>
  <si>
    <t>Boreman G.</t>
  </si>
  <si>
    <t>Tunable polarization response of a planar asymmetric-spiral infrared antenna</t>
  </si>
  <si>
    <t>10.1364/OL.23.001912</t>
  </si>
  <si>
    <t>2-s2.0-0343241219</t>
  </si>
  <si>
    <t>['transition frequency', 'system relaxed', 'stimulated emission', 'state bleaching', 'simulated spectra', 'probe experiments', 'mainly excited', 'largely completed', 'good agreement', 'first 1', 'exciton theory', 'excitation pulses', 'chlorobium tepidum', 'bleaching near', 'b 1998', 'b 1997', 'applied earlier', 'additional negative', '9577 ).', '828 nm', '2 ps', '10 ps', '.; miller', '.; louwe']</t>
  </si>
  <si>
    <t>Absorption difference spectra for the singlet excited states of the Fenna-Matthews-Olson (FMO) complex from the green sulfur bacteria Prosthecochloris aestuarii and Chlorobium tepidum were simulated by exciton theory. The same assumptions and parameters were used as applied earlier (Louwe, R. J. W.; Vrieze, J.; Hoff, A. J.; Aartsma, T. J. J. Phys. Chem. B 1997, 101, 11280. Vulto, S. I. E.; de Baat, M. A.; Louwe, R. J. W.; Permentier, H. P.; Neef, T.; Miller, M.; van Amerongen, H.; Aartsma, T. J. J. Phys. Chem. B 1998, 102, 9577). The difference spectra show a bleaching near the wavelength of excitation, due to ground-state bleaching and stimulated emission. Additional negative and positive bands reflect changes in interaction with other bacteriochlorophylls than the one that is mainly excited at the transition frequency. Simulated spectra were compared with experimental difference spectra obtained by pump-probe experiments in the femto- and picosecond time region with excitation pulses in the spectral range 800-828 nm. In general, good agreement was obtained. Various difference spectra developed during the first 1 to 2 ps, but in all cases the system relaxed to the lowest energy state, which was largely completed in 10 ps.</t>
  </si>
  <si>
    <t>10630-10635</t>
  </si>
  <si>
    <t>60003878;60003878;60003878;60003878;60003878;60003878</t>
  </si>
  <si>
    <t>6602136756;6603765104;6602906613;6508353583;7004456032;7003777767</t>
  </si>
  <si>
    <t>Vulto, Simone I.E.;Neerken, Sieglinde;Louwe, Robert J.W.;De Baat, Michiel A.;Amesz, Jan;Aartsma, Thijs J.</t>
  </si>
  <si>
    <t>Vulto S.I.E.</t>
  </si>
  <si>
    <t>Excited-state structure and dynamics in FMO antenna complexes from photosynthetic green sulfur bacteria</t>
  </si>
  <si>
    <t>10.1021/jp983003v</t>
  </si>
  <si>
    <t>2-s2.0-0001512754</t>
  </si>
  <si>
    <t>['specific ligand', 'receptor cell', 'rapid method', 'protocol could', 'proteins constitute', 'new protocol', 'new group', 'moth pheromone', 'general odorant', 'drosophila suggested', 'chemosensory organs', 'binding proteins']</t>
  </si>
  <si>
    <t>Binding assay | Mamestra brassicae | Odorant-binding proteins | Olfaction</t>
  </si>
  <si>
    <t>A new protocol of binding assay allowed us to functionally characterize two additional odorant-binding proteins in antennae of the moth Mamestra brassicae. These proteins have no N-terminal sequence homology with the moth pheromone-binding proteins and general odorant-binding proteins previously described. One of the proteins designated two MbraAOBP2 is between 60 and 73% similar in N-terminal to several proteins characterized in chemosensory organs of Diptera, Hymenoptera, Lepidoptera, and Phasmids, indicating that these proteins constitute a new group of odorant-binding proteins. A particularly high similarity between MbraAOBP2 and ejaculatory bulb specific protein III of Drosophila suggested that vaccenyl acetate could be a specific ligand for these proteins. As a matter of fact, MbraAOBP2 bound vaccenyl acetate in vitro, but we failed to detect any receptor cell in long and short sensilla trichodea of males. This protocol could be used as a rapid method to identify new odorant-binding proteins in chemosensory organs or tissues.</t>
  </si>
  <si>
    <t>489-494</t>
  </si>
  <si>
    <t>60003274;60019615;60003274;60003274</t>
  </si>
  <si>
    <t>18933974500;6602840003;36008941800;6603379544</t>
  </si>
  <si>
    <t>Bohbot, Jonathan;Sobrio, Franck;Lucas, Philippe;Nagnan-Le Meillour, Patricia</t>
  </si>
  <si>
    <t>Gif-sur-Yvette;Versailles</t>
  </si>
  <si>
    <t>CEA Saclay;Centre de recherche √éle-de-France-Versailles - Grignon</t>
  </si>
  <si>
    <t>60019615;60003274</t>
  </si>
  <si>
    <t>Bohbot J.</t>
  </si>
  <si>
    <t>Functional characterization of a new class of odorant-binding proteins in the moth Mamestra brassicae</t>
  </si>
  <si>
    <t>S0006291X98998060</t>
  </si>
  <si>
    <t>10.1006/bbrc.1998.9806</t>
  </si>
  <si>
    <t>2-s2.0-0032545228</t>
  </si>
  <si>
    <t>['ventral part', 'time courses', 'temporal pattern', 'postsynaptic activities', 'pharmacological experiments', 'ordinary glomeruli', 'optical recordings', 'macroglomerular complex', 'individually demonstrated', 'homologously distributed', 'electrical stimulation', 'consistently observed', 'bombyx mori', 'bicuculline conditions', 'antennal nerve', 'antennal lobe', 'al neurons']</t>
  </si>
  <si>
    <t>Antennal lobe | Electrical stimuli | Macroglomerular complex | Optical recording | Pharmacology | Silkmoth | Spatio-temporal activities | Voltage-sensitive dye</t>
  </si>
  <si>
    <t>Optical recordings with a voltage-sensitive dye showed that the spatio- temporal pattern of depolarizing responses evoked by electrical stimulation of antennal nerve (AN) was non-homologously distributed in the antennal lobe (AL) of the male silkworm moth, Bombyx mori. Time courses of postsynaptic activities and GABAergic inhibitory potentials of AL neurons were individually demonstrated by pharmacological experiments, i.e. Ca2+ free and bicuculline conditions. GABAergic inhibitory potentials began with a ca. 3 ms delay from the beginning of the postsynaptic activities. Intensity of the postsynaptic activities and GABAergic inhibitory potentials were non- homologously distributed in the AL. Relatively strong postsynaptic activities and GABAergic inhibitory potentials were consistently observed in some parts of the macroglomerular complex (MGC) and/or in some ordinary glomeruli (Gs) in the medial and ventral part of the AL.</t>
  </si>
  <si>
    <t>135-138</t>
  </si>
  <si>
    <t>Neuroscience Letters</t>
  </si>
  <si>
    <t>60014256;60014256;60071503;60014256-60015682</t>
  </si>
  <si>
    <t>7005353366;7404191599;57214277625;18133980000</t>
  </si>
  <si>
    <t>Ai, Hiroyuki;Okada, Koutaroh;Hill, Evan S.;Kanzaki, Ryohei</t>
  </si>
  <si>
    <t>Puerto Rico;Japan;Japan</t>
  </si>
  <si>
    <t>San Juan;Kawaguchi;Tsukuba</t>
  </si>
  <si>
    <t>Universidad de Puerto Rico;Japan Science and Technology Agency;University of Tsukuba</t>
  </si>
  <si>
    <t>60071503;60015682;60014256</t>
  </si>
  <si>
    <t>Ai H.</t>
  </si>
  <si>
    <t>Spatio-temporal activities in the antennal lobe analyzed by an optical recording method in the male silkworm moth Bombyx mori</t>
  </si>
  <si>
    <t>S0304394098008635</t>
  </si>
  <si>
    <t>10.1016/S0304-3940(98)00863-5</t>
  </si>
  <si>
    <t>2-s2.0-0032564653</t>
  </si>
  <si>
    <t>['turkestanicus daday', 'species seems', 'second antenna', 'new species', 'new localities', 'frontal appendages']</t>
  </si>
  <si>
    <t>Anostraca | Chirocephalus | Limb structure | Taxonomy | Turkey</t>
  </si>
  <si>
    <t>Chirocephalus ponticus n.sp. (Crustacea: Anostraca) from Turkey is described. The new species is characterized by the form of the second antenna and the frontal appendages of the male. This species seems to be related to C. turkestanicus Daday. Furthermore, analysis of limb structure reveals differences between the three Chirocephalus species previously known from Turkey: C. pophlagonicus, C. vornatscheri and C. diaphanus. New localities for these species are reported.</t>
  </si>
  <si>
    <t>101-111</t>
  </si>
  <si>
    <t>100339680;100339680</t>
  </si>
  <si>
    <t>6602969248;7102712538</t>
  </si>
  <si>
    <t>Beladjal, L.;Mertens, J.</t>
  </si>
  <si>
    <t>Laboratory of Microbial Ecology</t>
  </si>
  <si>
    <t>Beladjal L.</t>
  </si>
  <si>
    <t>Chirocephalus ponticus n.sp.(Crustacea: Anostraca) and its affinities to the other Turkish species of the genus</t>
  </si>
  <si>
    <t>10.1023/A:1003129926752</t>
  </si>
  <si>
    <t>2-s2.0-0032583398</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</si>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</sst>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E23FB-6B96-DE46-872C-E9E937CF0DCB}">
  <dimension ref="A1:AW792"/>
  <sheetViews>
    <sheetView tabSelected="1" topLeftCell="AE1" workbookViewId="0">
      <selection activeCell="AN2" sqref="AN2"/>
    </sheetView>
  </sheetViews>
  <sheetFormatPr baseColWidth="10" defaultRowHeight="16" x14ac:dyDescent="0.2"/>
  <sheetData>
    <row r="1" spans="1:49" s="12" customFormat="1" x14ac:dyDescent="0.2">
      <c r="A1" s="15"/>
      <c r="B1" s="15" t="s">
        <v>9959</v>
      </c>
      <c r="C1" s="15" t="s">
        <v>9958</v>
      </c>
      <c r="D1" s="15" t="s">
        <v>9957</v>
      </c>
      <c r="E1" s="15" t="s">
        <v>9956</v>
      </c>
      <c r="F1" s="15" t="s">
        <v>9955</v>
      </c>
      <c r="G1" s="15" t="s">
        <v>9954</v>
      </c>
      <c r="H1" s="15" t="s">
        <v>9953</v>
      </c>
      <c r="I1" s="15" t="s">
        <v>9952</v>
      </c>
      <c r="J1" s="15" t="s">
        <v>9951</v>
      </c>
      <c r="K1" s="15" t="s">
        <v>9950</v>
      </c>
      <c r="L1" s="15" t="s">
        <v>9949</v>
      </c>
      <c r="M1" s="15" t="s">
        <v>9948</v>
      </c>
      <c r="N1" s="15" t="s">
        <v>9947</v>
      </c>
      <c r="O1" s="15" t="s">
        <v>9946</v>
      </c>
      <c r="P1" s="15" t="s">
        <v>9945</v>
      </c>
      <c r="Q1" s="15" t="s">
        <v>9944</v>
      </c>
      <c r="R1" s="20" t="s">
        <v>9943</v>
      </c>
      <c r="S1" s="15" t="s">
        <v>9942</v>
      </c>
      <c r="T1" s="15" t="s">
        <v>9942</v>
      </c>
      <c r="U1" s="15" t="s">
        <v>9941</v>
      </c>
      <c r="V1" s="20" t="s">
        <v>9940</v>
      </c>
      <c r="W1" s="15" t="s">
        <v>9939</v>
      </c>
      <c r="X1" s="14" t="s">
        <v>9938</v>
      </c>
      <c r="Y1" s="19" t="s">
        <v>9937</v>
      </c>
      <c r="Z1" s="18" t="s">
        <v>9922</v>
      </c>
      <c r="AA1" s="15" t="s">
        <v>9936</v>
      </c>
      <c r="AB1" s="15" t="s">
        <v>9935</v>
      </c>
      <c r="AC1" s="15" t="s">
        <v>9934</v>
      </c>
      <c r="AD1" s="15" t="s">
        <v>9933</v>
      </c>
      <c r="AE1" s="15" t="s">
        <v>9932</v>
      </c>
      <c r="AF1" s="15" t="s">
        <v>9931</v>
      </c>
      <c r="AG1" s="15" t="s">
        <v>9930</v>
      </c>
      <c r="AH1" s="15" t="s">
        <v>9929</v>
      </c>
      <c r="AI1" s="15" t="s">
        <v>9928</v>
      </c>
      <c r="AJ1" s="15" t="s">
        <v>9927</v>
      </c>
      <c r="AK1" s="14" t="s">
        <v>9926</v>
      </c>
      <c r="AL1" s="15" t="s">
        <v>9925</v>
      </c>
      <c r="AM1" s="17" t="s">
        <v>9924</v>
      </c>
      <c r="AN1" s="16" t="s">
        <v>9923</v>
      </c>
      <c r="AO1" s="16" t="s">
        <v>9922</v>
      </c>
      <c r="AP1" s="15" t="s">
        <v>9921</v>
      </c>
      <c r="AQ1" s="15" t="s">
        <v>9920</v>
      </c>
      <c r="AR1" s="15" t="s">
        <v>9919</v>
      </c>
      <c r="AS1" s="15" t="s">
        <v>9918</v>
      </c>
      <c r="AT1" s="14" t="s">
        <v>9917</v>
      </c>
      <c r="AU1" s="13" t="s">
        <v>9916</v>
      </c>
      <c r="AV1" s="13" t="s">
        <v>9915</v>
      </c>
      <c r="AW1" s="13" t="s">
        <v>9914</v>
      </c>
    </row>
    <row r="2" spans="1:49" x14ac:dyDescent="0.2">
      <c r="A2">
        <v>0</v>
      </c>
      <c r="B2" t="s">
        <v>9913</v>
      </c>
      <c r="C2" t="s">
        <v>9912</v>
      </c>
      <c r="F2" t="s">
        <v>9911</v>
      </c>
      <c r="G2" t="s">
        <v>5</v>
      </c>
      <c r="H2" t="s">
        <v>4</v>
      </c>
      <c r="I2" t="s">
        <v>9910</v>
      </c>
      <c r="J2">
        <v>100339680</v>
      </c>
      <c r="K2" t="s">
        <v>9909</v>
      </c>
      <c r="L2" t="s">
        <v>52</v>
      </c>
      <c r="M2" t="s">
        <v>51</v>
      </c>
      <c r="N2">
        <v>2</v>
      </c>
      <c r="O2" t="s">
        <v>9908</v>
      </c>
      <c r="P2" t="s">
        <v>9907</v>
      </c>
      <c r="Q2" t="s">
        <v>9906</v>
      </c>
      <c r="R2" s="7">
        <v>36159</v>
      </c>
      <c r="S2" s="8">
        <f t="shared" ref="S2:S65" si="0">YEAR(R2)</f>
        <v>1998</v>
      </c>
      <c r="T2" s="8">
        <v>1998</v>
      </c>
      <c r="U2" s="8">
        <f t="shared" ref="U2:U65" si="1">2022-T2</f>
        <v>24</v>
      </c>
      <c r="V2" s="7">
        <v>36159</v>
      </c>
      <c r="W2" t="s">
        <v>515</v>
      </c>
      <c r="X2" s="2">
        <v>0.84299999999999997</v>
      </c>
      <c r="Y2" s="6">
        <f t="shared" ref="Y2:Y65" si="2">(X2-$Z$3)/($Z$2-$Z$3)</f>
        <v>2.250340353968127E-2</v>
      </c>
      <c r="Z2">
        <v>37.460999999999999</v>
      </c>
      <c r="AA2">
        <v>188158</v>
      </c>
      <c r="AB2">
        <v>15168</v>
      </c>
      <c r="AD2" t="s">
        <v>2</v>
      </c>
      <c r="AE2">
        <v>359</v>
      </c>
      <c r="AH2" t="s">
        <v>9905</v>
      </c>
      <c r="AI2" t="s">
        <v>9904</v>
      </c>
      <c r="AJ2" t="s">
        <v>9903</v>
      </c>
      <c r="AK2" t="s">
        <v>9902</v>
      </c>
      <c r="AL2">
        <v>12</v>
      </c>
      <c r="AM2" s="5">
        <f t="shared" ref="AM2:AM65" si="3">AL2/U2</f>
        <v>0.5</v>
      </c>
      <c r="AN2" s="4">
        <f t="shared" ref="AN2:AN65" si="4">(AM2-$AO$3)/($AO$2-$AO$3)</f>
        <v>7.572889057175312E-4</v>
      </c>
      <c r="AO2" s="3">
        <v>660.25</v>
      </c>
      <c r="AP2">
        <v>0</v>
      </c>
      <c r="AQ2" t="s">
        <v>9806</v>
      </c>
      <c r="AR2">
        <v>890396</v>
      </c>
      <c r="AS2" t="s">
        <v>9805</v>
      </c>
      <c r="AT2" s="2">
        <v>2.694</v>
      </c>
      <c r="AU2" s="1">
        <f t="shared" ref="AU2:AU65" si="5">(Y2*0.7+AN2*0.3)*100</f>
        <v>1.597956914949215</v>
      </c>
      <c r="AV2" s="1">
        <f t="shared" ref="AV2:AV65" si="6">(Y2*0.5+AN2*0.5)*100</f>
        <v>1.1630346222699401</v>
      </c>
      <c r="AW2" s="1">
        <f t="shared" ref="AW2:AW65" si="7">(Y2*0.3+AN2*0.7)*100</f>
        <v>0.7281123295906653</v>
      </c>
    </row>
    <row r="3" spans="1:49" x14ac:dyDescent="0.2">
      <c r="A3">
        <v>1</v>
      </c>
      <c r="B3" t="s">
        <v>9901</v>
      </c>
      <c r="C3" t="s">
        <v>9900</v>
      </c>
      <c r="D3" t="s">
        <v>9899</v>
      </c>
      <c r="E3">
        <v>9885949</v>
      </c>
      <c r="F3" t="s">
        <v>9898</v>
      </c>
      <c r="G3" t="s">
        <v>5</v>
      </c>
      <c r="H3" t="s">
        <v>4</v>
      </c>
      <c r="I3" t="s">
        <v>9897</v>
      </c>
      <c r="J3" t="s">
        <v>9896</v>
      </c>
      <c r="K3" t="s">
        <v>9895</v>
      </c>
      <c r="L3" t="s">
        <v>9894</v>
      </c>
      <c r="M3" t="s">
        <v>9893</v>
      </c>
      <c r="N3">
        <v>4</v>
      </c>
      <c r="O3" t="s">
        <v>9892</v>
      </c>
      <c r="P3" t="s">
        <v>9891</v>
      </c>
      <c r="Q3" t="s">
        <v>9890</v>
      </c>
      <c r="R3" s="7">
        <v>36153</v>
      </c>
      <c r="S3" s="8">
        <f t="shared" si="0"/>
        <v>1998</v>
      </c>
      <c r="T3" s="8">
        <v>1998</v>
      </c>
      <c r="U3" s="8">
        <f t="shared" si="1"/>
        <v>24</v>
      </c>
      <c r="V3" s="7">
        <v>36153</v>
      </c>
      <c r="W3" t="s">
        <v>9889</v>
      </c>
      <c r="X3" s="2">
        <v>0.94399999999999995</v>
      </c>
      <c r="Y3" s="6">
        <f t="shared" si="2"/>
        <v>2.5199540855823391E-2</v>
      </c>
      <c r="Z3">
        <v>0</v>
      </c>
      <c r="AA3">
        <v>3043940</v>
      </c>
      <c r="AB3">
        <v>18046</v>
      </c>
      <c r="AD3" t="s">
        <v>2</v>
      </c>
      <c r="AE3">
        <v>258</v>
      </c>
      <c r="AF3">
        <v>3</v>
      </c>
      <c r="AH3" t="s">
        <v>9888</v>
      </c>
      <c r="AI3" t="s">
        <v>9887</v>
      </c>
      <c r="AJ3" t="s">
        <v>9886</v>
      </c>
      <c r="AK3" t="s">
        <v>9885</v>
      </c>
      <c r="AL3">
        <v>10</v>
      </c>
      <c r="AM3" s="5">
        <f t="shared" si="3"/>
        <v>0.41666666666666669</v>
      </c>
      <c r="AN3" s="4">
        <f t="shared" si="4"/>
        <v>6.310740880979427E-4</v>
      </c>
      <c r="AO3" s="3">
        <v>0</v>
      </c>
      <c r="AP3">
        <v>0</v>
      </c>
      <c r="AQ3" t="s">
        <v>659</v>
      </c>
      <c r="AR3" t="s">
        <v>1</v>
      </c>
      <c r="AS3" t="s">
        <v>658</v>
      </c>
      <c r="AT3" s="2">
        <v>3.0459999999999998</v>
      </c>
      <c r="AU3" s="1">
        <f t="shared" si="5"/>
        <v>1.7829000825505754</v>
      </c>
      <c r="AV3" s="1">
        <f t="shared" si="6"/>
        <v>1.2915307471960666</v>
      </c>
      <c r="AW3" s="1">
        <f t="shared" si="7"/>
        <v>0.80016141184155765</v>
      </c>
    </row>
    <row r="4" spans="1:49" x14ac:dyDescent="0.2">
      <c r="A4">
        <v>2</v>
      </c>
      <c r="B4" t="s">
        <v>9884</v>
      </c>
      <c r="C4" t="s">
        <v>9883</v>
      </c>
      <c r="D4" t="s">
        <v>9882</v>
      </c>
      <c r="E4">
        <v>9878563</v>
      </c>
      <c r="F4" t="s">
        <v>9881</v>
      </c>
      <c r="G4" t="s">
        <v>5</v>
      </c>
      <c r="H4" t="s">
        <v>4</v>
      </c>
      <c r="I4" t="s">
        <v>9880</v>
      </c>
      <c r="J4" t="s">
        <v>9879</v>
      </c>
      <c r="K4" t="s">
        <v>9878</v>
      </c>
      <c r="L4" t="s">
        <v>9877</v>
      </c>
      <c r="M4" t="s">
        <v>20</v>
      </c>
      <c r="N4">
        <v>4</v>
      </c>
      <c r="O4" t="s">
        <v>9876</v>
      </c>
      <c r="P4" t="s">
        <v>9875</v>
      </c>
      <c r="Q4" t="s">
        <v>9874</v>
      </c>
      <c r="R4" s="7">
        <v>36147</v>
      </c>
      <c r="S4" s="8">
        <f t="shared" si="0"/>
        <v>1998</v>
      </c>
      <c r="T4" s="8">
        <v>1998</v>
      </c>
      <c r="U4" s="8">
        <f t="shared" si="1"/>
        <v>24</v>
      </c>
      <c r="V4" s="7">
        <v>36147</v>
      </c>
      <c r="W4" t="s">
        <v>611</v>
      </c>
      <c r="X4" s="2">
        <v>0.998</v>
      </c>
      <c r="Y4" s="6">
        <f t="shared" si="2"/>
        <v>2.664104001494888E-2</v>
      </c>
      <c r="AA4" t="s">
        <v>610</v>
      </c>
      <c r="AB4">
        <v>16845</v>
      </c>
      <c r="AD4" t="s">
        <v>2</v>
      </c>
      <c r="AE4">
        <v>253</v>
      </c>
      <c r="AF4">
        <v>2</v>
      </c>
      <c r="AH4" t="s">
        <v>9873</v>
      </c>
      <c r="AI4" t="s">
        <v>9872</v>
      </c>
      <c r="AJ4" t="s">
        <v>9871</v>
      </c>
      <c r="AK4" t="s">
        <v>9870</v>
      </c>
      <c r="AL4">
        <v>58</v>
      </c>
      <c r="AM4" s="5">
        <f t="shared" si="3"/>
        <v>2.4166666666666665</v>
      </c>
      <c r="AN4" s="4">
        <f t="shared" si="4"/>
        <v>3.6602297109680675E-3</v>
      </c>
      <c r="AO4" s="3"/>
      <c r="AP4">
        <v>0</v>
      </c>
      <c r="AQ4" t="s">
        <v>535</v>
      </c>
      <c r="AR4" t="s">
        <v>1</v>
      </c>
      <c r="AS4" t="s">
        <v>534</v>
      </c>
      <c r="AT4" s="2" t="s">
        <v>0</v>
      </c>
      <c r="AU4" s="1">
        <f t="shared" si="5"/>
        <v>1.9746796923754635</v>
      </c>
      <c r="AV4" s="1">
        <f t="shared" si="6"/>
        <v>1.5150634862958474</v>
      </c>
      <c r="AW4" s="1">
        <f t="shared" si="7"/>
        <v>1.0554472802162311</v>
      </c>
    </row>
    <row r="5" spans="1:49" x14ac:dyDescent="0.2">
      <c r="A5">
        <v>3</v>
      </c>
      <c r="B5" t="s">
        <v>9869</v>
      </c>
      <c r="C5" t="s">
        <v>9868</v>
      </c>
      <c r="F5" t="s">
        <v>9867</v>
      </c>
      <c r="G5" t="s">
        <v>5</v>
      </c>
      <c r="H5" t="s">
        <v>4</v>
      </c>
      <c r="I5" t="s">
        <v>9866</v>
      </c>
      <c r="J5">
        <v>60003878</v>
      </c>
      <c r="K5" t="s">
        <v>3256</v>
      </c>
      <c r="L5" t="s">
        <v>699</v>
      </c>
      <c r="M5" t="s">
        <v>182</v>
      </c>
      <c r="N5">
        <v>6</v>
      </c>
      <c r="O5" t="s">
        <v>9865</v>
      </c>
      <c r="P5" t="s">
        <v>9864</v>
      </c>
      <c r="Q5" t="s">
        <v>9863</v>
      </c>
      <c r="R5" s="7">
        <v>36146</v>
      </c>
      <c r="S5" s="8">
        <f t="shared" si="0"/>
        <v>1998</v>
      </c>
      <c r="T5" s="8">
        <v>1998</v>
      </c>
      <c r="U5" s="8">
        <f t="shared" si="1"/>
        <v>24</v>
      </c>
      <c r="V5" s="7">
        <v>36146</v>
      </c>
      <c r="W5" t="s">
        <v>38</v>
      </c>
      <c r="X5" s="2">
        <v>0.86399999999999999</v>
      </c>
      <c r="Y5" s="6">
        <f t="shared" si="2"/>
        <v>2.3063986546007848E-2</v>
      </c>
      <c r="AA5">
        <v>15206106</v>
      </c>
      <c r="AB5">
        <v>26970</v>
      </c>
      <c r="AD5" t="s">
        <v>2</v>
      </c>
      <c r="AE5">
        <v>102</v>
      </c>
      <c r="AF5">
        <v>51</v>
      </c>
      <c r="AH5" t="s">
        <v>9862</v>
      </c>
      <c r="AI5" t="s">
        <v>9861</v>
      </c>
      <c r="AK5" t="s">
        <v>9860</v>
      </c>
      <c r="AL5">
        <v>37</v>
      </c>
      <c r="AM5" s="5">
        <f t="shared" si="3"/>
        <v>1.5416666666666667</v>
      </c>
      <c r="AN5" s="4">
        <f t="shared" si="4"/>
        <v>2.3349741259623882E-3</v>
      </c>
      <c r="AO5" s="3"/>
      <c r="AP5">
        <v>0</v>
      </c>
      <c r="AR5" t="s">
        <v>1</v>
      </c>
      <c r="AT5" s="2">
        <v>2.9910000000000001</v>
      </c>
      <c r="AU5" s="1">
        <f t="shared" si="5"/>
        <v>1.6845282819994207</v>
      </c>
      <c r="AV5" s="1">
        <f t="shared" si="6"/>
        <v>1.2699480335985118</v>
      </c>
      <c r="AW5" s="1">
        <f t="shared" si="7"/>
        <v>0.85536778519760248</v>
      </c>
    </row>
    <row r="6" spans="1:49" x14ac:dyDescent="0.2">
      <c r="A6">
        <v>4</v>
      </c>
      <c r="B6" t="s">
        <v>9859</v>
      </c>
      <c r="C6" t="s">
        <v>9858</v>
      </c>
      <c r="F6" t="s">
        <v>9857</v>
      </c>
      <c r="G6" t="s">
        <v>5</v>
      </c>
      <c r="H6" t="s">
        <v>4</v>
      </c>
      <c r="I6" t="s">
        <v>9856</v>
      </c>
      <c r="J6" t="s">
        <v>9855</v>
      </c>
      <c r="K6" t="s">
        <v>9854</v>
      </c>
      <c r="L6" t="s">
        <v>9853</v>
      </c>
      <c r="M6" t="s">
        <v>9852</v>
      </c>
      <c r="N6">
        <v>5</v>
      </c>
      <c r="O6" t="s">
        <v>9851</v>
      </c>
      <c r="P6" t="s">
        <v>9850</v>
      </c>
      <c r="Q6" t="s">
        <v>9849</v>
      </c>
      <c r="R6" s="7">
        <v>36144</v>
      </c>
      <c r="S6" s="8">
        <f t="shared" si="0"/>
        <v>1998</v>
      </c>
      <c r="T6" s="8">
        <v>1998</v>
      </c>
      <c r="U6" s="8">
        <f t="shared" si="1"/>
        <v>24</v>
      </c>
      <c r="V6" s="7">
        <v>36144</v>
      </c>
      <c r="W6" t="s">
        <v>628</v>
      </c>
      <c r="X6" s="2">
        <v>1.524</v>
      </c>
      <c r="Y6" s="6">
        <f t="shared" si="2"/>
        <v>4.0682309601986065E-2</v>
      </c>
      <c r="AA6">
        <v>1469592</v>
      </c>
      <c r="AB6">
        <v>12863</v>
      </c>
      <c r="AD6" t="s">
        <v>2</v>
      </c>
      <c r="AE6">
        <v>23</v>
      </c>
      <c r="AF6">
        <v>24</v>
      </c>
      <c r="AH6" t="s">
        <v>9848</v>
      </c>
      <c r="AI6" t="s">
        <v>9847</v>
      </c>
      <c r="AK6" t="s">
        <v>9846</v>
      </c>
      <c r="AL6">
        <v>14</v>
      </c>
      <c r="AM6" s="5">
        <f t="shared" si="3"/>
        <v>0.58333333333333337</v>
      </c>
      <c r="AN6" s="4">
        <f t="shared" si="4"/>
        <v>8.835037233371198E-4</v>
      </c>
      <c r="AO6" s="3"/>
      <c r="AP6">
        <v>0</v>
      </c>
      <c r="AR6" t="s">
        <v>1</v>
      </c>
      <c r="AT6" s="2">
        <v>3.7759999999999998</v>
      </c>
      <c r="AU6" s="1">
        <f t="shared" si="5"/>
        <v>2.874266783839138</v>
      </c>
      <c r="AV6" s="1">
        <f t="shared" si="6"/>
        <v>2.0782906662661591</v>
      </c>
      <c r="AW6" s="1">
        <f t="shared" si="7"/>
        <v>1.2823145486931804</v>
      </c>
    </row>
    <row r="7" spans="1:49" x14ac:dyDescent="0.2">
      <c r="A7">
        <v>5</v>
      </c>
      <c r="B7" t="s">
        <v>9845</v>
      </c>
      <c r="C7" t="s">
        <v>9844</v>
      </c>
      <c r="E7">
        <v>9860862</v>
      </c>
      <c r="F7" t="s">
        <v>9843</v>
      </c>
      <c r="G7" t="s">
        <v>5</v>
      </c>
      <c r="H7" t="s">
        <v>4</v>
      </c>
      <c r="I7" t="s">
        <v>9842</v>
      </c>
      <c r="J7">
        <v>60027395</v>
      </c>
      <c r="K7" t="s">
        <v>9841</v>
      </c>
      <c r="L7" t="s">
        <v>9840</v>
      </c>
      <c r="M7" t="s">
        <v>12</v>
      </c>
      <c r="N7">
        <v>1</v>
      </c>
      <c r="O7" t="s">
        <v>9839</v>
      </c>
      <c r="P7">
        <v>6508172501</v>
      </c>
      <c r="Q7">
        <v>60027395</v>
      </c>
      <c r="R7" s="7">
        <v>36144</v>
      </c>
      <c r="S7" s="8">
        <f t="shared" si="0"/>
        <v>1998</v>
      </c>
      <c r="T7" s="8">
        <v>1998</v>
      </c>
      <c r="U7" s="8">
        <f t="shared" si="1"/>
        <v>24</v>
      </c>
      <c r="V7" s="7">
        <v>36144</v>
      </c>
      <c r="W7" t="s">
        <v>624</v>
      </c>
      <c r="X7" s="2">
        <v>1.43</v>
      </c>
      <c r="Y7" s="6">
        <f t="shared" si="2"/>
        <v>3.8173033287952803E-2</v>
      </c>
      <c r="AA7">
        <v>62960</v>
      </c>
      <c r="AB7">
        <v>16867</v>
      </c>
      <c r="AD7" t="s">
        <v>2</v>
      </c>
      <c r="AE7">
        <v>37</v>
      </c>
      <c r="AF7">
        <v>50</v>
      </c>
      <c r="AH7" t="s">
        <v>9838</v>
      </c>
      <c r="AI7" t="s">
        <v>9837</v>
      </c>
      <c r="AK7" t="s">
        <v>9836</v>
      </c>
      <c r="AL7">
        <v>29</v>
      </c>
      <c r="AM7" s="5">
        <f t="shared" si="3"/>
        <v>1.2083333333333333</v>
      </c>
      <c r="AN7" s="4">
        <f t="shared" si="4"/>
        <v>1.8301148554840337E-3</v>
      </c>
      <c r="AO7" s="3"/>
      <c r="AP7">
        <v>0</v>
      </c>
      <c r="AR7" t="s">
        <v>1</v>
      </c>
      <c r="AT7" s="2">
        <v>3.1619999999999999</v>
      </c>
      <c r="AU7" s="1">
        <f t="shared" si="5"/>
        <v>2.7270157758212172</v>
      </c>
      <c r="AV7" s="1">
        <f t="shared" si="6"/>
        <v>2.0001574071718418</v>
      </c>
      <c r="AW7" s="1">
        <f t="shared" si="7"/>
        <v>1.2732990385224665</v>
      </c>
    </row>
    <row r="8" spans="1:49" x14ac:dyDescent="0.2">
      <c r="A8">
        <v>6</v>
      </c>
      <c r="B8" t="s">
        <v>9835</v>
      </c>
      <c r="C8" t="s">
        <v>9834</v>
      </c>
      <c r="E8">
        <v>9860850</v>
      </c>
      <c r="F8" t="s">
        <v>9833</v>
      </c>
      <c r="G8" t="s">
        <v>5</v>
      </c>
      <c r="H8" t="s">
        <v>4</v>
      </c>
      <c r="I8" t="s">
        <v>9832</v>
      </c>
      <c r="J8" t="s">
        <v>9831</v>
      </c>
      <c r="K8" t="s">
        <v>9830</v>
      </c>
      <c r="L8" t="s">
        <v>9829</v>
      </c>
      <c r="M8" t="s">
        <v>9828</v>
      </c>
      <c r="N8">
        <v>4</v>
      </c>
      <c r="O8" t="s">
        <v>9827</v>
      </c>
      <c r="P8" t="s">
        <v>9826</v>
      </c>
      <c r="Q8" t="s">
        <v>9825</v>
      </c>
      <c r="R8" s="7">
        <v>36144</v>
      </c>
      <c r="S8" s="8">
        <f t="shared" si="0"/>
        <v>1998</v>
      </c>
      <c r="T8" s="8">
        <v>1998</v>
      </c>
      <c r="U8" s="8">
        <f t="shared" si="1"/>
        <v>24</v>
      </c>
      <c r="V8" s="7">
        <v>36144</v>
      </c>
      <c r="W8" t="s">
        <v>624</v>
      </c>
      <c r="X8" s="2">
        <v>1.43</v>
      </c>
      <c r="Y8" s="6">
        <f t="shared" si="2"/>
        <v>3.8173033287952803E-2</v>
      </c>
      <c r="AA8">
        <v>62960</v>
      </c>
      <c r="AB8">
        <v>16867</v>
      </c>
      <c r="AD8" t="s">
        <v>2</v>
      </c>
      <c r="AE8">
        <v>37</v>
      </c>
      <c r="AF8">
        <v>50</v>
      </c>
      <c r="AH8" t="s">
        <v>9824</v>
      </c>
      <c r="AI8" t="s">
        <v>9823</v>
      </c>
      <c r="AK8" t="s">
        <v>9822</v>
      </c>
      <c r="AL8">
        <v>116</v>
      </c>
      <c r="AM8" s="5">
        <f t="shared" si="3"/>
        <v>4.833333333333333</v>
      </c>
      <c r="AN8" s="4">
        <f t="shared" si="4"/>
        <v>7.320459421936135E-3</v>
      </c>
      <c r="AO8" s="3"/>
      <c r="AP8">
        <v>0</v>
      </c>
      <c r="AR8" t="s">
        <v>1</v>
      </c>
      <c r="AT8" s="2">
        <v>3.1619999999999999</v>
      </c>
      <c r="AU8" s="1">
        <f t="shared" si="5"/>
        <v>2.89172611281478</v>
      </c>
      <c r="AV8" s="1">
        <f t="shared" si="6"/>
        <v>2.2746746354944469</v>
      </c>
      <c r="AW8" s="1">
        <f t="shared" si="7"/>
        <v>1.6576231581741134</v>
      </c>
    </row>
    <row r="9" spans="1:49" x14ac:dyDescent="0.2">
      <c r="A9">
        <v>7</v>
      </c>
      <c r="B9" t="s">
        <v>9821</v>
      </c>
      <c r="C9" t="s">
        <v>9820</v>
      </c>
      <c r="D9" t="s">
        <v>9819</v>
      </c>
      <c r="F9" t="s">
        <v>9818</v>
      </c>
      <c r="G9" t="s">
        <v>5</v>
      </c>
      <c r="H9" t="s">
        <v>4</v>
      </c>
      <c r="I9" t="s">
        <v>9817</v>
      </c>
      <c r="J9" t="s">
        <v>9816</v>
      </c>
      <c r="K9" t="s">
        <v>9815</v>
      </c>
      <c r="L9" t="s">
        <v>9814</v>
      </c>
      <c r="M9" t="s">
        <v>101</v>
      </c>
      <c r="N9">
        <v>2</v>
      </c>
      <c r="O9" t="s">
        <v>9813</v>
      </c>
      <c r="P9" t="s">
        <v>9812</v>
      </c>
      <c r="Q9" t="s">
        <v>9811</v>
      </c>
      <c r="R9" s="7">
        <v>36144</v>
      </c>
      <c r="S9" s="8">
        <f t="shared" si="0"/>
        <v>1998</v>
      </c>
      <c r="T9" s="8">
        <v>1998</v>
      </c>
      <c r="U9" s="8">
        <f t="shared" si="1"/>
        <v>24</v>
      </c>
      <c r="V9" s="7">
        <v>36144</v>
      </c>
      <c r="W9" t="s">
        <v>88</v>
      </c>
      <c r="X9" s="2">
        <v>0.625</v>
      </c>
      <c r="Y9" s="6">
        <f t="shared" si="2"/>
        <v>1.6684018045433919E-2</v>
      </c>
      <c r="AA9">
        <v>304018</v>
      </c>
      <c r="AB9">
        <v>12352</v>
      </c>
      <c r="AD9" t="s">
        <v>2</v>
      </c>
      <c r="AE9">
        <v>158</v>
      </c>
      <c r="AF9" s="9">
        <v>44348</v>
      </c>
      <c r="AH9" t="s">
        <v>9810</v>
      </c>
      <c r="AI9" t="s">
        <v>9809</v>
      </c>
      <c r="AJ9" t="s">
        <v>9808</v>
      </c>
      <c r="AK9" t="s">
        <v>9807</v>
      </c>
      <c r="AL9">
        <v>34</v>
      </c>
      <c r="AM9" s="5">
        <f t="shared" si="3"/>
        <v>1.4166666666666667</v>
      </c>
      <c r="AN9" s="4">
        <f t="shared" si="4"/>
        <v>2.1456518995330051E-3</v>
      </c>
      <c r="AO9" s="3"/>
      <c r="AP9">
        <v>0</v>
      </c>
      <c r="AQ9" t="s">
        <v>9806</v>
      </c>
      <c r="AR9">
        <v>930923</v>
      </c>
      <c r="AS9" t="s">
        <v>9805</v>
      </c>
      <c r="AT9" s="2">
        <v>2.31</v>
      </c>
      <c r="AU9" s="1">
        <f t="shared" si="5"/>
        <v>1.2322508201663644</v>
      </c>
      <c r="AV9" s="1">
        <f t="shared" si="6"/>
        <v>0.94148349724834623</v>
      </c>
      <c r="AW9" s="1">
        <f t="shared" si="7"/>
        <v>0.65071617433032791</v>
      </c>
    </row>
    <row r="10" spans="1:49" x14ac:dyDescent="0.2">
      <c r="A10">
        <v>8</v>
      </c>
      <c r="B10" t="s">
        <v>9804</v>
      </c>
      <c r="C10" t="s">
        <v>9803</v>
      </c>
      <c r="F10" t="s">
        <v>9802</v>
      </c>
      <c r="G10" t="s">
        <v>5</v>
      </c>
      <c r="H10" t="s">
        <v>4</v>
      </c>
      <c r="I10" t="s">
        <v>9801</v>
      </c>
      <c r="J10">
        <v>60001576</v>
      </c>
      <c r="K10" t="s">
        <v>9800</v>
      </c>
      <c r="L10" t="s">
        <v>148</v>
      </c>
      <c r="M10" t="s">
        <v>147</v>
      </c>
      <c r="N10">
        <v>2</v>
      </c>
      <c r="O10" t="s">
        <v>9799</v>
      </c>
      <c r="P10" t="s">
        <v>9798</v>
      </c>
      <c r="Q10" t="s">
        <v>9797</v>
      </c>
      <c r="R10" s="7">
        <v>36140</v>
      </c>
      <c r="S10" s="8">
        <f t="shared" si="0"/>
        <v>1998</v>
      </c>
      <c r="T10" s="8">
        <v>1998</v>
      </c>
      <c r="U10" s="8">
        <f t="shared" si="1"/>
        <v>24</v>
      </c>
      <c r="V10" s="7">
        <v>36140</v>
      </c>
      <c r="W10" t="s">
        <v>3091</v>
      </c>
      <c r="X10" s="2">
        <v>2.0579999999999998</v>
      </c>
      <c r="Y10" s="6">
        <f t="shared" si="2"/>
        <v>5.4937134620004803E-2</v>
      </c>
      <c r="AA10">
        <v>358711</v>
      </c>
      <c r="AB10">
        <v>28218</v>
      </c>
      <c r="AD10" t="s">
        <v>2</v>
      </c>
      <c r="AE10">
        <v>301</v>
      </c>
      <c r="AF10">
        <v>3</v>
      </c>
      <c r="AH10" t="s">
        <v>9796</v>
      </c>
      <c r="AI10" t="s">
        <v>9795</v>
      </c>
      <c r="AJ10" t="s">
        <v>9794</v>
      </c>
      <c r="AK10" t="s">
        <v>9793</v>
      </c>
      <c r="AL10">
        <v>0</v>
      </c>
      <c r="AM10" s="5">
        <f t="shared" si="3"/>
        <v>0</v>
      </c>
      <c r="AN10" s="4">
        <f t="shared" si="4"/>
        <v>0</v>
      </c>
      <c r="AO10" s="3"/>
      <c r="AP10">
        <v>1</v>
      </c>
      <c r="AR10" t="s">
        <v>1</v>
      </c>
      <c r="AT10" s="2" t="s">
        <v>0</v>
      </c>
      <c r="AU10" s="1">
        <f t="shared" si="5"/>
        <v>3.8455994234003357</v>
      </c>
      <c r="AV10" s="1">
        <f t="shared" si="6"/>
        <v>2.7468567310002401</v>
      </c>
      <c r="AW10" s="1">
        <f t="shared" si="7"/>
        <v>1.648114038600144</v>
      </c>
    </row>
    <row r="11" spans="1:49" x14ac:dyDescent="0.2">
      <c r="A11">
        <v>9</v>
      </c>
      <c r="B11" t="s">
        <v>9792</v>
      </c>
      <c r="C11" t="s">
        <v>7803</v>
      </c>
      <c r="F11" t="s">
        <v>7802</v>
      </c>
      <c r="G11" t="s">
        <v>5</v>
      </c>
      <c r="H11" t="s">
        <v>4</v>
      </c>
      <c r="I11" t="s">
        <v>7801</v>
      </c>
      <c r="J11">
        <v>60016561</v>
      </c>
      <c r="K11" t="s">
        <v>703</v>
      </c>
      <c r="L11" t="s">
        <v>702</v>
      </c>
      <c r="M11" t="s">
        <v>182</v>
      </c>
      <c r="N11">
        <v>1</v>
      </c>
      <c r="O11" t="s">
        <v>7800</v>
      </c>
      <c r="P11">
        <v>55451561800</v>
      </c>
      <c r="Q11">
        <v>60016561</v>
      </c>
      <c r="R11" s="7">
        <v>36139</v>
      </c>
      <c r="S11" s="8">
        <f t="shared" si="0"/>
        <v>1998</v>
      </c>
      <c r="T11" s="8">
        <v>1998</v>
      </c>
      <c r="U11" s="8">
        <f t="shared" si="1"/>
        <v>24</v>
      </c>
      <c r="V11" s="7">
        <v>36139</v>
      </c>
      <c r="W11" t="s">
        <v>612</v>
      </c>
      <c r="X11" s="2">
        <v>0.375</v>
      </c>
      <c r="Y11" s="6">
        <f t="shared" si="2"/>
        <v>1.0010410827260351E-2</v>
      </c>
      <c r="AA11">
        <v>135194</v>
      </c>
      <c r="AB11">
        <v>24918</v>
      </c>
      <c r="AD11" t="s">
        <v>2</v>
      </c>
      <c r="AE11">
        <v>34</v>
      </c>
      <c r="AF11">
        <v>25</v>
      </c>
      <c r="AH11">
        <v>2365</v>
      </c>
      <c r="AI11" t="s">
        <v>7798</v>
      </c>
      <c r="AK11" t="s">
        <v>7797</v>
      </c>
      <c r="AL11">
        <v>0</v>
      </c>
      <c r="AM11" s="5">
        <f t="shared" si="3"/>
        <v>0</v>
      </c>
      <c r="AN11" s="4">
        <f t="shared" si="4"/>
        <v>0</v>
      </c>
      <c r="AO11" s="3"/>
      <c r="AP11">
        <v>0</v>
      </c>
      <c r="AR11" t="s">
        <v>1</v>
      </c>
      <c r="AT11" s="2">
        <v>1.3140000000000001</v>
      </c>
      <c r="AU11" s="1">
        <f t="shared" si="5"/>
        <v>0.70072875790822453</v>
      </c>
      <c r="AV11" s="1">
        <f t="shared" si="6"/>
        <v>0.5005205413630176</v>
      </c>
      <c r="AW11" s="1">
        <f t="shared" si="7"/>
        <v>0.30031232481781051</v>
      </c>
    </row>
    <row r="12" spans="1:49" x14ac:dyDescent="0.2">
      <c r="A12">
        <v>10</v>
      </c>
      <c r="B12" t="s">
        <v>9791</v>
      </c>
      <c r="C12" t="s">
        <v>9790</v>
      </c>
      <c r="F12" t="s">
        <v>9789</v>
      </c>
      <c r="G12" t="s">
        <v>5</v>
      </c>
      <c r="H12" t="s">
        <v>4</v>
      </c>
      <c r="I12" t="s">
        <v>9788</v>
      </c>
      <c r="J12">
        <v>60032882</v>
      </c>
      <c r="K12" t="s">
        <v>9787</v>
      </c>
      <c r="L12" t="s">
        <v>702</v>
      </c>
      <c r="M12" t="s">
        <v>182</v>
      </c>
      <c r="N12">
        <v>2</v>
      </c>
      <c r="O12" t="s">
        <v>9786</v>
      </c>
      <c r="P12" t="s">
        <v>9785</v>
      </c>
      <c r="Q12" t="s">
        <v>9784</v>
      </c>
      <c r="R12" s="7">
        <v>36139</v>
      </c>
      <c r="S12" s="8">
        <f t="shared" si="0"/>
        <v>1998</v>
      </c>
      <c r="T12" s="8">
        <v>1998</v>
      </c>
      <c r="U12" s="8">
        <f t="shared" si="1"/>
        <v>24</v>
      </c>
      <c r="V12" s="7">
        <v>36139</v>
      </c>
      <c r="W12" t="s">
        <v>612</v>
      </c>
      <c r="X12" s="2">
        <v>0.375</v>
      </c>
      <c r="Y12" s="6">
        <f t="shared" si="2"/>
        <v>1.0010410827260351E-2</v>
      </c>
      <c r="AA12">
        <v>135194</v>
      </c>
      <c r="AB12">
        <v>24918</v>
      </c>
      <c r="AD12" t="s">
        <v>2</v>
      </c>
      <c r="AE12">
        <v>34</v>
      </c>
      <c r="AF12">
        <v>25</v>
      </c>
      <c r="AH12" t="s">
        <v>9783</v>
      </c>
      <c r="AI12" t="s">
        <v>9782</v>
      </c>
      <c r="AK12" t="s">
        <v>9781</v>
      </c>
      <c r="AL12">
        <v>0</v>
      </c>
      <c r="AM12" s="5">
        <f t="shared" si="3"/>
        <v>0</v>
      </c>
      <c r="AN12" s="4">
        <f t="shared" si="4"/>
        <v>0</v>
      </c>
      <c r="AO12" s="3"/>
      <c r="AP12">
        <v>0</v>
      </c>
      <c r="AR12" t="s">
        <v>1</v>
      </c>
      <c r="AT12" s="2">
        <v>1.3140000000000001</v>
      </c>
      <c r="AU12" s="1">
        <f t="shared" si="5"/>
        <v>0.70072875790822453</v>
      </c>
      <c r="AV12" s="1">
        <f t="shared" si="6"/>
        <v>0.5005205413630176</v>
      </c>
      <c r="AW12" s="1">
        <f t="shared" si="7"/>
        <v>0.30031232481781051</v>
      </c>
    </row>
    <row r="13" spans="1:49" x14ac:dyDescent="0.2">
      <c r="A13">
        <v>11</v>
      </c>
      <c r="B13" t="s">
        <v>9780</v>
      </c>
      <c r="C13" t="s">
        <v>9779</v>
      </c>
      <c r="F13" t="s">
        <v>9778</v>
      </c>
      <c r="G13" t="s">
        <v>5</v>
      </c>
      <c r="H13" t="s">
        <v>4</v>
      </c>
      <c r="I13" t="s">
        <v>320</v>
      </c>
      <c r="J13">
        <v>60005811</v>
      </c>
      <c r="K13" t="s">
        <v>271</v>
      </c>
      <c r="L13" t="s">
        <v>40</v>
      </c>
      <c r="M13" t="s">
        <v>37</v>
      </c>
      <c r="N13">
        <v>2</v>
      </c>
      <c r="O13" t="s">
        <v>9777</v>
      </c>
      <c r="P13" t="s">
        <v>9776</v>
      </c>
      <c r="Q13" t="s">
        <v>9775</v>
      </c>
      <c r="R13" s="7">
        <v>36139</v>
      </c>
      <c r="S13" s="8">
        <f t="shared" si="0"/>
        <v>1998</v>
      </c>
      <c r="T13" s="8">
        <v>1998</v>
      </c>
      <c r="U13" s="8">
        <f t="shared" si="1"/>
        <v>24</v>
      </c>
      <c r="V13" s="7">
        <v>36139</v>
      </c>
      <c r="W13" t="s">
        <v>612</v>
      </c>
      <c r="X13" s="2">
        <v>0.375</v>
      </c>
      <c r="Y13" s="6">
        <f t="shared" si="2"/>
        <v>1.0010410827260351E-2</v>
      </c>
      <c r="AA13">
        <v>135194</v>
      </c>
      <c r="AB13">
        <v>24918</v>
      </c>
      <c r="AD13" t="s">
        <v>2</v>
      </c>
      <c r="AE13">
        <v>34</v>
      </c>
      <c r="AF13">
        <v>25</v>
      </c>
      <c r="AH13" t="s">
        <v>9774</v>
      </c>
      <c r="AI13" t="s">
        <v>9773</v>
      </c>
      <c r="AK13" t="s">
        <v>9772</v>
      </c>
      <c r="AL13">
        <v>16</v>
      </c>
      <c r="AM13" s="5">
        <f t="shared" si="3"/>
        <v>0.66666666666666663</v>
      </c>
      <c r="AN13" s="4">
        <f t="shared" si="4"/>
        <v>1.0097185409567082E-3</v>
      </c>
      <c r="AO13" s="3"/>
      <c r="AP13">
        <v>0</v>
      </c>
      <c r="AR13" t="s">
        <v>1</v>
      </c>
      <c r="AT13" s="2">
        <v>1.3140000000000001</v>
      </c>
      <c r="AU13" s="1">
        <f t="shared" si="5"/>
        <v>0.73102031413692581</v>
      </c>
      <c r="AV13" s="1">
        <f t="shared" si="6"/>
        <v>0.55100646841085299</v>
      </c>
      <c r="AW13" s="1">
        <f t="shared" si="7"/>
        <v>0.37099262268478006</v>
      </c>
    </row>
    <row r="14" spans="1:49" x14ac:dyDescent="0.2">
      <c r="A14">
        <v>12</v>
      </c>
      <c r="B14" t="s">
        <v>9771</v>
      </c>
      <c r="C14" t="s">
        <v>9770</v>
      </c>
      <c r="F14" t="s">
        <v>9769</v>
      </c>
      <c r="G14" t="s">
        <v>5</v>
      </c>
      <c r="H14" t="s">
        <v>4</v>
      </c>
      <c r="I14" t="s">
        <v>682</v>
      </c>
      <c r="J14" t="s">
        <v>681</v>
      </c>
      <c r="K14" t="s">
        <v>680</v>
      </c>
      <c r="L14" t="s">
        <v>679</v>
      </c>
      <c r="M14" t="s">
        <v>678</v>
      </c>
      <c r="N14">
        <v>3</v>
      </c>
      <c r="O14" t="s">
        <v>9768</v>
      </c>
      <c r="P14" t="s">
        <v>9767</v>
      </c>
      <c r="Q14" t="s">
        <v>701</v>
      </c>
      <c r="R14" s="7">
        <v>36139</v>
      </c>
      <c r="S14" s="8">
        <f t="shared" si="0"/>
        <v>1998</v>
      </c>
      <c r="T14" s="8">
        <v>1998</v>
      </c>
      <c r="U14" s="8">
        <f t="shared" si="1"/>
        <v>24</v>
      </c>
      <c r="V14" s="7">
        <v>36139</v>
      </c>
      <c r="W14" t="s">
        <v>612</v>
      </c>
      <c r="X14" s="2">
        <v>0.375</v>
      </c>
      <c r="Y14" s="6">
        <f t="shared" si="2"/>
        <v>1.0010410827260351E-2</v>
      </c>
      <c r="AA14">
        <v>135194</v>
      </c>
      <c r="AB14">
        <v>24918</v>
      </c>
      <c r="AD14" t="s">
        <v>2</v>
      </c>
      <c r="AE14">
        <v>34</v>
      </c>
      <c r="AF14">
        <v>25</v>
      </c>
      <c r="AH14" t="s">
        <v>9766</v>
      </c>
      <c r="AI14" t="s">
        <v>9765</v>
      </c>
      <c r="AK14" t="s">
        <v>9764</v>
      </c>
      <c r="AL14">
        <v>49</v>
      </c>
      <c r="AM14" s="5">
        <f t="shared" si="3"/>
        <v>2.0416666666666665</v>
      </c>
      <c r="AN14" s="4">
        <f t="shared" si="4"/>
        <v>3.0922630316799191E-3</v>
      </c>
      <c r="AO14" s="3"/>
      <c r="AP14">
        <v>0</v>
      </c>
      <c r="AR14" t="s">
        <v>1</v>
      </c>
      <c r="AT14" s="2">
        <v>1.3140000000000001</v>
      </c>
      <c r="AU14" s="1">
        <f t="shared" si="5"/>
        <v>0.79349664885862214</v>
      </c>
      <c r="AV14" s="1">
        <f t="shared" si="6"/>
        <v>0.65513369294701351</v>
      </c>
      <c r="AW14" s="1">
        <f t="shared" si="7"/>
        <v>0.51677073703540488</v>
      </c>
    </row>
    <row r="15" spans="1:49" x14ac:dyDescent="0.2">
      <c r="A15">
        <v>13</v>
      </c>
      <c r="B15" t="s">
        <v>9763</v>
      </c>
      <c r="C15" t="s">
        <v>9762</v>
      </c>
      <c r="F15" t="s">
        <v>9761</v>
      </c>
      <c r="G15" t="s">
        <v>5</v>
      </c>
      <c r="H15" t="s">
        <v>4</v>
      </c>
      <c r="I15" t="s">
        <v>9760</v>
      </c>
      <c r="J15">
        <v>60018735</v>
      </c>
      <c r="K15" t="s">
        <v>378</v>
      </c>
      <c r="L15" t="s">
        <v>104</v>
      </c>
      <c r="M15" t="s">
        <v>12</v>
      </c>
      <c r="N15">
        <v>3</v>
      </c>
      <c r="O15" t="s">
        <v>9759</v>
      </c>
      <c r="P15" t="s">
        <v>9758</v>
      </c>
      <c r="Q15" t="s">
        <v>9757</v>
      </c>
      <c r="R15" s="7">
        <v>36139</v>
      </c>
      <c r="S15" s="8">
        <f t="shared" si="0"/>
        <v>1998</v>
      </c>
      <c r="T15" s="8">
        <v>1998</v>
      </c>
      <c r="U15" s="8">
        <f t="shared" si="1"/>
        <v>24</v>
      </c>
      <c r="V15" s="7">
        <v>36139</v>
      </c>
      <c r="W15" t="s">
        <v>612</v>
      </c>
      <c r="X15" s="2">
        <v>0.375</v>
      </c>
      <c r="Y15" s="6">
        <f t="shared" si="2"/>
        <v>1.0010410827260351E-2</v>
      </c>
      <c r="AA15">
        <v>135194</v>
      </c>
      <c r="AB15">
        <v>24918</v>
      </c>
      <c r="AD15" t="s">
        <v>2</v>
      </c>
      <c r="AE15">
        <v>34</v>
      </c>
      <c r="AF15">
        <v>25</v>
      </c>
      <c r="AH15" t="s">
        <v>9756</v>
      </c>
      <c r="AI15" t="s">
        <v>9755</v>
      </c>
      <c r="AK15" t="s">
        <v>9754</v>
      </c>
      <c r="AL15">
        <v>12</v>
      </c>
      <c r="AM15" s="5">
        <f t="shared" si="3"/>
        <v>0.5</v>
      </c>
      <c r="AN15" s="4">
        <f t="shared" si="4"/>
        <v>7.572889057175312E-4</v>
      </c>
      <c r="AO15" s="3"/>
      <c r="AP15">
        <v>0</v>
      </c>
      <c r="AR15" t="s">
        <v>1</v>
      </c>
      <c r="AT15" s="2">
        <v>1.3140000000000001</v>
      </c>
      <c r="AU15" s="1">
        <f t="shared" si="5"/>
        <v>0.72344742507975057</v>
      </c>
      <c r="AV15" s="1">
        <f t="shared" si="6"/>
        <v>0.53838498664889411</v>
      </c>
      <c r="AW15" s="1">
        <f t="shared" si="7"/>
        <v>0.35332254821803771</v>
      </c>
    </row>
    <row r="16" spans="1:49" x14ac:dyDescent="0.2">
      <c r="A16">
        <v>14</v>
      </c>
      <c r="B16" t="s">
        <v>9753</v>
      </c>
      <c r="C16" t="s">
        <v>9752</v>
      </c>
      <c r="F16" t="s">
        <v>9751</v>
      </c>
      <c r="G16" t="s">
        <v>5</v>
      </c>
      <c r="H16" t="s">
        <v>4</v>
      </c>
      <c r="I16" t="s">
        <v>9750</v>
      </c>
      <c r="J16">
        <v>60027090</v>
      </c>
      <c r="K16" t="s">
        <v>250</v>
      </c>
      <c r="L16" t="s">
        <v>249</v>
      </c>
      <c r="M16" t="s">
        <v>9</v>
      </c>
      <c r="N16">
        <v>2</v>
      </c>
      <c r="O16" t="s">
        <v>9749</v>
      </c>
      <c r="P16" t="s">
        <v>9748</v>
      </c>
      <c r="Q16" t="s">
        <v>9747</v>
      </c>
      <c r="R16" s="7">
        <v>36139</v>
      </c>
      <c r="S16" s="8">
        <f t="shared" si="0"/>
        <v>1998</v>
      </c>
      <c r="T16" s="8">
        <v>1998</v>
      </c>
      <c r="U16" s="8">
        <f t="shared" si="1"/>
        <v>24</v>
      </c>
      <c r="V16" s="7">
        <v>36139</v>
      </c>
      <c r="W16" t="s">
        <v>612</v>
      </c>
      <c r="X16" s="2">
        <v>0.375</v>
      </c>
      <c r="Y16" s="6">
        <f t="shared" si="2"/>
        <v>1.0010410827260351E-2</v>
      </c>
      <c r="AA16">
        <v>135194</v>
      </c>
      <c r="AB16">
        <v>24918</v>
      </c>
      <c r="AD16" t="s">
        <v>2</v>
      </c>
      <c r="AE16">
        <v>34</v>
      </c>
      <c r="AF16">
        <v>25</v>
      </c>
      <c r="AH16" t="s">
        <v>9746</v>
      </c>
      <c r="AI16" t="s">
        <v>9745</v>
      </c>
      <c r="AK16" t="s">
        <v>9744</v>
      </c>
      <c r="AL16">
        <v>45</v>
      </c>
      <c r="AM16" s="5">
        <f t="shared" si="3"/>
        <v>1.875</v>
      </c>
      <c r="AN16" s="4">
        <f t="shared" si="4"/>
        <v>2.8398333964407422E-3</v>
      </c>
      <c r="AO16" s="3"/>
      <c r="AP16">
        <v>0</v>
      </c>
      <c r="AR16" t="s">
        <v>1</v>
      </c>
      <c r="AT16" s="2">
        <v>1.3140000000000001</v>
      </c>
      <c r="AU16" s="1">
        <f t="shared" si="5"/>
        <v>0.7859237598014468</v>
      </c>
      <c r="AV16" s="1">
        <f t="shared" si="6"/>
        <v>0.64251221118505464</v>
      </c>
      <c r="AW16" s="1">
        <f t="shared" si="7"/>
        <v>0.49910066256866248</v>
      </c>
    </row>
    <row r="17" spans="1:49" x14ac:dyDescent="0.2">
      <c r="A17">
        <v>15</v>
      </c>
      <c r="B17" t="s">
        <v>9743</v>
      </c>
      <c r="C17" t="s">
        <v>9742</v>
      </c>
      <c r="F17" t="s">
        <v>577</v>
      </c>
      <c r="G17" t="s">
        <v>5</v>
      </c>
      <c r="H17" t="s">
        <v>4</v>
      </c>
      <c r="I17" t="s">
        <v>436</v>
      </c>
      <c r="J17">
        <v>60003771</v>
      </c>
      <c r="K17" t="s">
        <v>435</v>
      </c>
      <c r="L17" t="s">
        <v>434</v>
      </c>
      <c r="M17" t="s">
        <v>13</v>
      </c>
      <c r="N17">
        <v>3</v>
      </c>
      <c r="O17" t="s">
        <v>433</v>
      </c>
      <c r="P17" t="s">
        <v>432</v>
      </c>
      <c r="Q17" t="s">
        <v>431</v>
      </c>
      <c r="R17" s="7">
        <v>36134</v>
      </c>
      <c r="S17" s="8">
        <f t="shared" si="0"/>
        <v>1998</v>
      </c>
      <c r="T17" s="8">
        <v>1998</v>
      </c>
      <c r="U17" s="8">
        <f t="shared" si="1"/>
        <v>24</v>
      </c>
      <c r="V17" s="7">
        <v>36134</v>
      </c>
      <c r="W17" t="s">
        <v>126</v>
      </c>
      <c r="X17" s="2">
        <v>0.30399999999999999</v>
      </c>
      <c r="Y17" s="6">
        <f t="shared" si="2"/>
        <v>8.115106377299057E-3</v>
      </c>
      <c r="AA17">
        <v>8952477</v>
      </c>
      <c r="AB17">
        <v>12250</v>
      </c>
      <c r="AD17" t="s">
        <v>2</v>
      </c>
      <c r="AE17">
        <v>19</v>
      </c>
      <c r="AF17">
        <v>5</v>
      </c>
      <c r="AH17" t="s">
        <v>576</v>
      </c>
      <c r="AI17" t="s">
        <v>9741</v>
      </c>
      <c r="AK17" t="s">
        <v>575</v>
      </c>
      <c r="AL17">
        <v>5</v>
      </c>
      <c r="AM17" s="5">
        <f t="shared" si="3"/>
        <v>0.20833333333333334</v>
      </c>
      <c r="AN17" s="4">
        <f t="shared" si="4"/>
        <v>3.1553704404897135E-4</v>
      </c>
      <c r="AO17" s="3"/>
      <c r="AP17">
        <v>0</v>
      </c>
      <c r="AR17" t="s">
        <v>1</v>
      </c>
      <c r="AT17" s="2" t="s">
        <v>0</v>
      </c>
      <c r="AU17" s="1">
        <f t="shared" si="5"/>
        <v>0.57752355773240305</v>
      </c>
      <c r="AV17" s="1">
        <f t="shared" si="6"/>
        <v>0.42153217106740137</v>
      </c>
      <c r="AW17" s="1">
        <f t="shared" si="7"/>
        <v>0.2655407844023997</v>
      </c>
    </row>
    <row r="18" spans="1:49" x14ac:dyDescent="0.2">
      <c r="A18">
        <v>16</v>
      </c>
      <c r="B18" t="s">
        <v>9740</v>
      </c>
      <c r="C18" t="s">
        <v>9739</v>
      </c>
      <c r="E18">
        <v>9870354</v>
      </c>
      <c r="F18" t="s">
        <v>9738</v>
      </c>
      <c r="G18" t="s">
        <v>5</v>
      </c>
      <c r="H18" t="s">
        <v>4</v>
      </c>
      <c r="I18" t="s">
        <v>9737</v>
      </c>
      <c r="J18" t="s">
        <v>9736</v>
      </c>
      <c r="K18" t="s">
        <v>9735</v>
      </c>
      <c r="L18" t="s">
        <v>9734</v>
      </c>
      <c r="M18" t="s">
        <v>9733</v>
      </c>
      <c r="N18">
        <v>3</v>
      </c>
      <c r="O18" t="s">
        <v>9732</v>
      </c>
      <c r="P18" t="s">
        <v>9731</v>
      </c>
      <c r="Q18" t="s">
        <v>9730</v>
      </c>
      <c r="R18" s="7">
        <v>36131</v>
      </c>
      <c r="S18" s="8">
        <f t="shared" si="0"/>
        <v>1998</v>
      </c>
      <c r="T18" s="8">
        <v>1998</v>
      </c>
      <c r="U18" s="8">
        <f t="shared" si="1"/>
        <v>24</v>
      </c>
      <c r="V18" s="7">
        <v>1998</v>
      </c>
      <c r="W18" t="s">
        <v>8596</v>
      </c>
      <c r="X18" s="2">
        <v>0.73699999999999999</v>
      </c>
      <c r="Y18" s="6">
        <f t="shared" si="2"/>
        <v>1.9673794079175678E-2</v>
      </c>
      <c r="AA18">
        <v>2820080</v>
      </c>
      <c r="AB18">
        <v>17513</v>
      </c>
      <c r="AD18" t="s">
        <v>2</v>
      </c>
      <c r="AE18">
        <v>15</v>
      </c>
      <c r="AF18">
        <v>8</v>
      </c>
      <c r="AH18" t="s">
        <v>9729</v>
      </c>
      <c r="AI18" t="s">
        <v>9728</v>
      </c>
      <c r="AJ18" t="s">
        <v>9727</v>
      </c>
      <c r="AK18" t="s">
        <v>9726</v>
      </c>
      <c r="AL18">
        <v>34</v>
      </c>
      <c r="AM18" s="5">
        <f t="shared" si="3"/>
        <v>1.4166666666666667</v>
      </c>
      <c r="AN18" s="4">
        <f t="shared" si="4"/>
        <v>2.1456518995330051E-3</v>
      </c>
      <c r="AO18" s="3"/>
      <c r="AP18">
        <v>0</v>
      </c>
      <c r="AR18" t="s">
        <v>1</v>
      </c>
      <c r="AT18" s="2">
        <v>2.9159999999999999</v>
      </c>
      <c r="AU18" s="1">
        <f t="shared" si="5"/>
        <v>1.4415351425282874</v>
      </c>
      <c r="AV18" s="1">
        <f t="shared" si="6"/>
        <v>1.0909722989354342</v>
      </c>
      <c r="AW18" s="1">
        <f t="shared" si="7"/>
        <v>0.74040945534258074</v>
      </c>
    </row>
    <row r="19" spans="1:49" x14ac:dyDescent="0.2">
      <c r="A19">
        <v>17</v>
      </c>
      <c r="B19" t="s">
        <v>9725</v>
      </c>
      <c r="C19" t="s">
        <v>9724</v>
      </c>
      <c r="E19">
        <v>9849620</v>
      </c>
      <c r="F19" t="s">
        <v>9723</v>
      </c>
      <c r="G19" t="s">
        <v>5</v>
      </c>
      <c r="H19" t="s">
        <v>4</v>
      </c>
      <c r="I19" t="s">
        <v>9722</v>
      </c>
      <c r="J19" t="s">
        <v>9721</v>
      </c>
      <c r="K19" t="s">
        <v>9720</v>
      </c>
      <c r="L19" t="s">
        <v>9719</v>
      </c>
      <c r="M19" t="s">
        <v>9718</v>
      </c>
      <c r="N19">
        <v>5</v>
      </c>
      <c r="O19" t="s">
        <v>9717</v>
      </c>
      <c r="P19" t="s">
        <v>9716</v>
      </c>
      <c r="Q19" t="s">
        <v>9715</v>
      </c>
      <c r="R19" s="7">
        <v>36131</v>
      </c>
      <c r="S19" s="8">
        <f t="shared" si="0"/>
        <v>1998</v>
      </c>
      <c r="T19" s="8">
        <v>1998</v>
      </c>
      <c r="U19" s="8">
        <f t="shared" si="1"/>
        <v>24</v>
      </c>
      <c r="V19" s="7">
        <v>1998</v>
      </c>
      <c r="W19" t="s">
        <v>9714</v>
      </c>
      <c r="X19" s="2">
        <v>2.9279999999999999</v>
      </c>
      <c r="Y19" s="6">
        <f t="shared" si="2"/>
        <v>7.8161287739248825E-2</v>
      </c>
      <c r="AA19" t="s">
        <v>9713</v>
      </c>
      <c r="AB19">
        <v>13903</v>
      </c>
      <c r="AD19" t="s">
        <v>2</v>
      </c>
      <c r="AE19">
        <v>54</v>
      </c>
      <c r="AF19">
        <v>11</v>
      </c>
      <c r="AH19" t="s">
        <v>9712</v>
      </c>
      <c r="AI19" t="s">
        <v>9711</v>
      </c>
      <c r="AJ19" t="s">
        <v>9710</v>
      </c>
      <c r="AK19" t="s">
        <v>9709</v>
      </c>
      <c r="AL19">
        <v>6</v>
      </c>
      <c r="AM19" s="5">
        <f t="shared" si="3"/>
        <v>0.25</v>
      </c>
      <c r="AN19" s="4">
        <f t="shared" si="4"/>
        <v>3.786444528587656E-4</v>
      </c>
      <c r="AO19" s="3"/>
      <c r="AP19">
        <v>0</v>
      </c>
      <c r="AR19" t="s">
        <v>1</v>
      </c>
      <c r="AT19" s="2">
        <v>9.2609999999999992</v>
      </c>
      <c r="AU19" s="1">
        <f t="shared" si="5"/>
        <v>5.4826494753331803</v>
      </c>
      <c r="AV19" s="1">
        <f t="shared" si="6"/>
        <v>3.9269966096053794</v>
      </c>
      <c r="AW19" s="1">
        <f t="shared" si="7"/>
        <v>2.3713437438775782</v>
      </c>
    </row>
    <row r="20" spans="1:49" x14ac:dyDescent="0.2">
      <c r="A20">
        <v>18</v>
      </c>
      <c r="B20" t="s">
        <v>9708</v>
      </c>
      <c r="E20">
        <v>9753671</v>
      </c>
      <c r="F20" t="s">
        <v>9707</v>
      </c>
      <c r="G20" t="s">
        <v>5</v>
      </c>
      <c r="H20" t="s">
        <v>4</v>
      </c>
      <c r="I20" t="s">
        <v>9706</v>
      </c>
      <c r="J20" t="s">
        <v>9705</v>
      </c>
      <c r="K20" t="s">
        <v>9704</v>
      </c>
      <c r="L20" t="s">
        <v>9703</v>
      </c>
      <c r="M20" t="s">
        <v>9702</v>
      </c>
      <c r="N20">
        <v>4</v>
      </c>
      <c r="O20" t="s">
        <v>9701</v>
      </c>
      <c r="P20" t="s">
        <v>9700</v>
      </c>
      <c r="Q20" t="s">
        <v>9699</v>
      </c>
      <c r="R20" s="7">
        <v>36131</v>
      </c>
      <c r="S20" s="8">
        <f t="shared" si="0"/>
        <v>1998</v>
      </c>
      <c r="T20" s="8">
        <v>1998</v>
      </c>
      <c r="U20" s="8">
        <f t="shared" si="1"/>
        <v>24</v>
      </c>
      <c r="V20" s="7">
        <v>1998</v>
      </c>
      <c r="W20" t="s">
        <v>9698</v>
      </c>
      <c r="X20" s="2">
        <v>0.15</v>
      </c>
      <c r="Y20" s="6">
        <f t="shared" si="2"/>
        <v>4.0041643309041402E-3</v>
      </c>
      <c r="AA20">
        <v>9501991</v>
      </c>
      <c r="AB20">
        <v>14531</v>
      </c>
      <c r="AD20" t="s">
        <v>2</v>
      </c>
      <c r="AE20">
        <v>125</v>
      </c>
      <c r="AF20">
        <v>21</v>
      </c>
      <c r="AH20" t="s">
        <v>9697</v>
      </c>
      <c r="AI20" t="s">
        <v>9696</v>
      </c>
      <c r="AJ20" t="s">
        <v>9695</v>
      </c>
      <c r="AK20" t="s">
        <v>9694</v>
      </c>
      <c r="AL20">
        <v>49</v>
      </c>
      <c r="AM20" s="5">
        <f t="shared" si="3"/>
        <v>2.0416666666666665</v>
      </c>
      <c r="AN20" s="4">
        <f t="shared" si="4"/>
        <v>3.0922630316799191E-3</v>
      </c>
      <c r="AO20" s="3"/>
      <c r="AP20">
        <v>0</v>
      </c>
      <c r="AR20" t="s">
        <v>1</v>
      </c>
      <c r="AT20" s="2">
        <v>6.8680000000000003</v>
      </c>
      <c r="AU20" s="1">
        <f t="shared" si="5"/>
        <v>0.37305939411368738</v>
      </c>
      <c r="AV20" s="1">
        <f t="shared" si="6"/>
        <v>0.35482136812920295</v>
      </c>
      <c r="AW20" s="1">
        <f t="shared" si="7"/>
        <v>0.33658334214471852</v>
      </c>
    </row>
    <row r="21" spans="1:49" x14ac:dyDescent="0.2">
      <c r="A21">
        <v>19</v>
      </c>
      <c r="B21" t="s">
        <v>9693</v>
      </c>
      <c r="F21" t="s">
        <v>9692</v>
      </c>
      <c r="G21" t="s">
        <v>5</v>
      </c>
      <c r="H21" t="s">
        <v>4</v>
      </c>
      <c r="I21" t="s">
        <v>9691</v>
      </c>
      <c r="N21">
        <v>2</v>
      </c>
      <c r="O21" t="s">
        <v>9690</v>
      </c>
      <c r="P21" t="s">
        <v>9689</v>
      </c>
      <c r="Q21" t="s">
        <v>207</v>
      </c>
      <c r="R21" s="7">
        <v>36130</v>
      </c>
      <c r="S21" s="8">
        <f t="shared" si="0"/>
        <v>1998</v>
      </c>
      <c r="T21" s="8">
        <v>1998</v>
      </c>
      <c r="U21" s="8">
        <f t="shared" si="1"/>
        <v>24</v>
      </c>
      <c r="V21" s="7">
        <v>36130</v>
      </c>
      <c r="W21" t="s">
        <v>543</v>
      </c>
      <c r="X21" s="2" t="s">
        <v>0</v>
      </c>
      <c r="Y21" s="6" t="e">
        <f t="shared" si="2"/>
        <v>#VALUE!</v>
      </c>
      <c r="AA21">
        <v>13654675</v>
      </c>
      <c r="AB21">
        <v>58615</v>
      </c>
      <c r="AD21" t="s">
        <v>2</v>
      </c>
      <c r="AE21">
        <v>104</v>
      </c>
      <c r="AF21">
        <v>1752</v>
      </c>
      <c r="AH21" t="s">
        <v>9688</v>
      </c>
      <c r="AI21" t="s">
        <v>9687</v>
      </c>
      <c r="AK21" t="s">
        <v>9686</v>
      </c>
      <c r="AL21">
        <v>1</v>
      </c>
      <c r="AM21" s="5">
        <f t="shared" si="3"/>
        <v>4.1666666666666664E-2</v>
      </c>
      <c r="AN21" s="4">
        <f t="shared" si="4"/>
        <v>6.3107408809794262E-5</v>
      </c>
      <c r="AO21" s="3"/>
      <c r="AP21">
        <v>0</v>
      </c>
      <c r="AR21" t="s">
        <v>1</v>
      </c>
      <c r="AT21" s="2" t="s">
        <v>0</v>
      </c>
      <c r="AU21" s="1" t="e">
        <f t="shared" si="5"/>
        <v>#VALUE!</v>
      </c>
      <c r="AV21" s="1" t="e">
        <f t="shared" si="6"/>
        <v>#VALUE!</v>
      </c>
      <c r="AW21" s="1" t="e">
        <f t="shared" si="7"/>
        <v>#VALUE!</v>
      </c>
    </row>
    <row r="22" spans="1:49" x14ac:dyDescent="0.2">
      <c r="A22">
        <v>20</v>
      </c>
      <c r="B22" t="s">
        <v>9685</v>
      </c>
      <c r="F22" t="s">
        <v>9684</v>
      </c>
      <c r="G22" t="s">
        <v>5</v>
      </c>
      <c r="H22" t="s">
        <v>4</v>
      </c>
      <c r="I22" t="s">
        <v>9683</v>
      </c>
      <c r="J22">
        <v>60070212</v>
      </c>
      <c r="K22" t="s">
        <v>1540</v>
      </c>
      <c r="L22" t="s">
        <v>1539</v>
      </c>
      <c r="M22" t="s">
        <v>65</v>
      </c>
      <c r="N22">
        <v>2</v>
      </c>
      <c r="O22" t="s">
        <v>9682</v>
      </c>
      <c r="P22" t="s">
        <v>9681</v>
      </c>
      <c r="Q22" t="s">
        <v>9680</v>
      </c>
      <c r="R22" s="7">
        <v>36130</v>
      </c>
      <c r="S22" s="8">
        <f t="shared" si="0"/>
        <v>1998</v>
      </c>
      <c r="T22" s="8">
        <v>1998</v>
      </c>
      <c r="U22" s="8">
        <f t="shared" si="1"/>
        <v>24</v>
      </c>
      <c r="V22" s="7">
        <v>36130</v>
      </c>
      <c r="W22" t="s">
        <v>1535</v>
      </c>
      <c r="X22" s="2">
        <v>0.112</v>
      </c>
      <c r="Y22" s="6">
        <f t="shared" si="2"/>
        <v>2.9897760337417581E-3</v>
      </c>
      <c r="AA22">
        <v>3678393</v>
      </c>
      <c r="AB22">
        <v>4800153103</v>
      </c>
      <c r="AD22" t="s">
        <v>2</v>
      </c>
      <c r="AE22">
        <v>27</v>
      </c>
      <c r="AF22">
        <v>6</v>
      </c>
      <c r="AH22" t="s">
        <v>9679</v>
      </c>
      <c r="AI22" t="s">
        <v>9678</v>
      </c>
      <c r="AK22" t="s">
        <v>9677</v>
      </c>
      <c r="AL22">
        <v>7</v>
      </c>
      <c r="AM22" s="5">
        <f t="shared" si="3"/>
        <v>0.29166666666666669</v>
      </c>
      <c r="AN22" s="4">
        <f t="shared" si="4"/>
        <v>4.417518616685599E-4</v>
      </c>
      <c r="AO22" s="3"/>
      <c r="AP22">
        <v>0</v>
      </c>
      <c r="AR22" t="s">
        <v>1</v>
      </c>
      <c r="AT22" s="2" t="s">
        <v>0</v>
      </c>
      <c r="AU22" s="1">
        <f t="shared" si="5"/>
        <v>0.22253687821197984</v>
      </c>
      <c r="AV22" s="1">
        <f t="shared" si="6"/>
        <v>0.17157639477051589</v>
      </c>
      <c r="AW22" s="1">
        <f t="shared" si="7"/>
        <v>0.12061591132905194</v>
      </c>
    </row>
    <row r="23" spans="1:49" x14ac:dyDescent="0.2">
      <c r="A23">
        <v>21</v>
      </c>
      <c r="B23" t="s">
        <v>9676</v>
      </c>
      <c r="C23" t="s">
        <v>9675</v>
      </c>
      <c r="F23" t="s">
        <v>9674</v>
      </c>
      <c r="G23" t="s">
        <v>5</v>
      </c>
      <c r="H23" t="s">
        <v>4</v>
      </c>
      <c r="I23" t="s">
        <v>9673</v>
      </c>
      <c r="J23">
        <v>60000264</v>
      </c>
      <c r="K23" t="s">
        <v>332</v>
      </c>
      <c r="L23" t="s">
        <v>331</v>
      </c>
      <c r="M23" t="s">
        <v>12</v>
      </c>
      <c r="N23">
        <v>4</v>
      </c>
      <c r="O23" t="s">
        <v>9672</v>
      </c>
      <c r="P23" t="s">
        <v>9671</v>
      </c>
      <c r="Q23" t="s">
        <v>330</v>
      </c>
      <c r="R23" s="7">
        <v>36130</v>
      </c>
      <c r="S23" s="8">
        <f t="shared" si="0"/>
        <v>1998</v>
      </c>
      <c r="T23" s="8">
        <v>1998</v>
      </c>
      <c r="U23" s="8">
        <f t="shared" si="1"/>
        <v>24</v>
      </c>
      <c r="V23" s="7">
        <v>1998</v>
      </c>
      <c r="W23" t="s">
        <v>505</v>
      </c>
      <c r="X23" s="2">
        <v>0.58299999999999996</v>
      </c>
      <c r="Y23" s="6">
        <f t="shared" si="2"/>
        <v>1.5562852032780758E-2</v>
      </c>
      <c r="AA23">
        <v>7342101</v>
      </c>
      <c r="AB23">
        <v>28596</v>
      </c>
      <c r="AD23" t="s">
        <v>2</v>
      </c>
      <c r="AE23">
        <v>16</v>
      </c>
      <c r="AF23">
        <v>3</v>
      </c>
      <c r="AH23" t="s">
        <v>9670</v>
      </c>
      <c r="AI23" t="s">
        <v>9669</v>
      </c>
      <c r="AK23" t="s">
        <v>9668</v>
      </c>
      <c r="AL23">
        <v>23</v>
      </c>
      <c r="AM23" s="5">
        <f t="shared" si="3"/>
        <v>0.95833333333333337</v>
      </c>
      <c r="AN23" s="4">
        <f t="shared" si="4"/>
        <v>1.4514704026252683E-3</v>
      </c>
      <c r="AO23" s="3"/>
      <c r="AP23">
        <v>0</v>
      </c>
      <c r="AR23" t="s">
        <v>1</v>
      </c>
      <c r="AT23" s="2" t="s">
        <v>0</v>
      </c>
      <c r="AU23" s="1">
        <f t="shared" si="5"/>
        <v>1.1329437543734111</v>
      </c>
      <c r="AV23" s="1">
        <f t="shared" si="6"/>
        <v>0.85071612177030131</v>
      </c>
      <c r="AW23" s="1">
        <f t="shared" si="7"/>
        <v>0.56848848916719141</v>
      </c>
    </row>
    <row r="24" spans="1:49" x14ac:dyDescent="0.2">
      <c r="A24">
        <v>22</v>
      </c>
      <c r="B24" t="s">
        <v>9667</v>
      </c>
      <c r="C24" t="s">
        <v>9666</v>
      </c>
      <c r="F24" t="s">
        <v>9665</v>
      </c>
      <c r="G24" t="s">
        <v>5</v>
      </c>
      <c r="H24" t="s">
        <v>4</v>
      </c>
      <c r="I24" t="s">
        <v>9664</v>
      </c>
      <c r="J24" t="s">
        <v>475</v>
      </c>
      <c r="K24" t="s">
        <v>474</v>
      </c>
      <c r="L24" t="s">
        <v>473</v>
      </c>
      <c r="M24" t="s">
        <v>6</v>
      </c>
      <c r="N24">
        <v>3</v>
      </c>
      <c r="O24" t="s">
        <v>9663</v>
      </c>
      <c r="P24" t="s">
        <v>9662</v>
      </c>
      <c r="Q24" t="s">
        <v>472</v>
      </c>
      <c r="R24" s="7">
        <v>36130</v>
      </c>
      <c r="S24" s="8">
        <f t="shared" si="0"/>
        <v>1998</v>
      </c>
      <c r="T24" s="8">
        <v>1998</v>
      </c>
      <c r="U24" s="8">
        <f t="shared" si="1"/>
        <v>24</v>
      </c>
      <c r="V24" s="7">
        <v>1998</v>
      </c>
      <c r="W24" t="s">
        <v>505</v>
      </c>
      <c r="X24" s="2">
        <v>0.58299999999999996</v>
      </c>
      <c r="Y24" s="6">
        <f t="shared" si="2"/>
        <v>1.5562852032780758E-2</v>
      </c>
      <c r="AA24">
        <v>7342101</v>
      </c>
      <c r="AB24">
        <v>28596</v>
      </c>
      <c r="AD24" t="s">
        <v>2</v>
      </c>
      <c r="AE24">
        <v>16</v>
      </c>
      <c r="AF24">
        <v>3</v>
      </c>
      <c r="AH24" t="s">
        <v>9661</v>
      </c>
      <c r="AI24" t="s">
        <v>9660</v>
      </c>
      <c r="AK24" t="s">
        <v>9659</v>
      </c>
      <c r="AL24">
        <v>2</v>
      </c>
      <c r="AM24" s="5">
        <f t="shared" si="3"/>
        <v>8.3333333333333329E-2</v>
      </c>
      <c r="AN24" s="4">
        <f t="shared" si="4"/>
        <v>1.2621481761958852E-4</v>
      </c>
      <c r="AO24" s="3"/>
      <c r="AP24">
        <v>0</v>
      </c>
      <c r="AR24" t="s">
        <v>1</v>
      </c>
      <c r="AT24" s="2" t="s">
        <v>0</v>
      </c>
      <c r="AU24" s="1">
        <f t="shared" si="5"/>
        <v>1.0931860868232406</v>
      </c>
      <c r="AV24" s="1">
        <f t="shared" si="6"/>
        <v>0.7844533425200173</v>
      </c>
      <c r="AW24" s="1">
        <f t="shared" si="7"/>
        <v>0.47572059821679386</v>
      </c>
    </row>
    <row r="25" spans="1:49" x14ac:dyDescent="0.2">
      <c r="A25">
        <v>23</v>
      </c>
      <c r="B25" t="s">
        <v>9658</v>
      </c>
      <c r="C25" t="s">
        <v>9657</v>
      </c>
      <c r="D25" t="s">
        <v>9656</v>
      </c>
      <c r="F25" t="s">
        <v>9655</v>
      </c>
      <c r="G25" t="s">
        <v>5</v>
      </c>
      <c r="H25" t="s">
        <v>4</v>
      </c>
      <c r="I25" t="s">
        <v>9654</v>
      </c>
      <c r="J25">
        <v>60011774</v>
      </c>
      <c r="K25" t="s">
        <v>676</v>
      </c>
      <c r="L25" t="s">
        <v>448</v>
      </c>
      <c r="M25" t="s">
        <v>106</v>
      </c>
      <c r="N25">
        <v>4</v>
      </c>
      <c r="O25" t="s">
        <v>9653</v>
      </c>
      <c r="P25" t="s">
        <v>9652</v>
      </c>
      <c r="Q25" t="s">
        <v>675</v>
      </c>
      <c r="R25" s="7">
        <v>36130</v>
      </c>
      <c r="S25" s="8">
        <f t="shared" si="0"/>
        <v>1998</v>
      </c>
      <c r="T25" s="8">
        <v>1998</v>
      </c>
      <c r="U25" s="8">
        <f t="shared" si="1"/>
        <v>24</v>
      </c>
      <c r="V25" s="7">
        <v>1998</v>
      </c>
      <c r="W25" t="s">
        <v>9651</v>
      </c>
      <c r="X25" s="2">
        <v>0.57399999999999995</v>
      </c>
      <c r="Y25" s="6">
        <f t="shared" si="2"/>
        <v>1.5322602172926509E-2</v>
      </c>
      <c r="AA25">
        <v>213640</v>
      </c>
      <c r="AB25">
        <v>28115</v>
      </c>
      <c r="AD25" t="s">
        <v>2</v>
      </c>
      <c r="AE25">
        <v>67</v>
      </c>
      <c r="AF25">
        <v>8</v>
      </c>
      <c r="AH25" t="s">
        <v>9650</v>
      </c>
      <c r="AI25" t="s">
        <v>9649</v>
      </c>
      <c r="AK25" t="s">
        <v>9648</v>
      </c>
      <c r="AL25">
        <v>9</v>
      </c>
      <c r="AM25" s="5">
        <f t="shared" si="3"/>
        <v>0.375</v>
      </c>
      <c r="AN25" s="4">
        <f t="shared" si="4"/>
        <v>5.6796667928814845E-4</v>
      </c>
      <c r="AO25" s="3"/>
      <c r="AP25">
        <v>0</v>
      </c>
      <c r="AR25" t="s">
        <v>9647</v>
      </c>
      <c r="AT25" s="2">
        <v>1.532</v>
      </c>
      <c r="AU25" s="1">
        <f t="shared" si="5"/>
        <v>1.0896211524835002</v>
      </c>
      <c r="AV25" s="1">
        <f t="shared" si="6"/>
        <v>0.79452844261073285</v>
      </c>
      <c r="AW25" s="1">
        <f t="shared" si="7"/>
        <v>0.49943573273796571</v>
      </c>
    </row>
    <row r="26" spans="1:49" x14ac:dyDescent="0.2">
      <c r="A26">
        <v>24</v>
      </c>
      <c r="B26" t="s">
        <v>9646</v>
      </c>
      <c r="F26" t="s">
        <v>9645</v>
      </c>
      <c r="G26" t="s">
        <v>5</v>
      </c>
      <c r="H26" t="s">
        <v>4</v>
      </c>
      <c r="I26" t="s">
        <v>9644</v>
      </c>
      <c r="J26">
        <v>60023857</v>
      </c>
      <c r="K26" t="s">
        <v>9643</v>
      </c>
      <c r="L26" t="s">
        <v>9642</v>
      </c>
      <c r="M26" t="s">
        <v>304</v>
      </c>
      <c r="N26">
        <v>2</v>
      </c>
      <c r="O26" t="s">
        <v>9641</v>
      </c>
      <c r="P26" t="s">
        <v>9640</v>
      </c>
      <c r="Q26" t="s">
        <v>9639</v>
      </c>
      <c r="R26" s="7">
        <v>36130</v>
      </c>
      <c r="S26" s="8">
        <f t="shared" si="0"/>
        <v>1998</v>
      </c>
      <c r="T26" s="8">
        <v>1998</v>
      </c>
      <c r="U26" s="8">
        <f t="shared" si="1"/>
        <v>24</v>
      </c>
      <c r="V26" s="7">
        <v>1998</v>
      </c>
      <c r="W26" t="s">
        <v>9638</v>
      </c>
      <c r="X26" s="2" t="s">
        <v>0</v>
      </c>
      <c r="Y26" s="6" t="e">
        <f t="shared" si="2"/>
        <v>#VALUE!</v>
      </c>
      <c r="AA26">
        <v>15167399</v>
      </c>
      <c r="AB26">
        <v>4700152267</v>
      </c>
      <c r="AD26" t="s">
        <v>2</v>
      </c>
      <c r="AE26">
        <v>1</v>
      </c>
      <c r="AF26">
        <v>2</v>
      </c>
      <c r="AH26" s="10">
        <v>45962</v>
      </c>
      <c r="AI26" t="s">
        <v>9637</v>
      </c>
      <c r="AK26" t="s">
        <v>9636</v>
      </c>
      <c r="AL26">
        <v>4</v>
      </c>
      <c r="AM26" s="5">
        <f t="shared" si="3"/>
        <v>0.16666666666666666</v>
      </c>
      <c r="AN26" s="4">
        <f t="shared" si="4"/>
        <v>2.5242963523917705E-4</v>
      </c>
      <c r="AO26" s="3"/>
      <c r="AP26">
        <v>0</v>
      </c>
      <c r="AR26" t="s">
        <v>1</v>
      </c>
      <c r="AT26" s="2" t="s">
        <v>0</v>
      </c>
      <c r="AU26" s="1" t="e">
        <f t="shared" si="5"/>
        <v>#VALUE!</v>
      </c>
      <c r="AV26" s="1" t="e">
        <f t="shared" si="6"/>
        <v>#VALUE!</v>
      </c>
      <c r="AW26" s="1" t="e">
        <f t="shared" si="7"/>
        <v>#VALUE!</v>
      </c>
    </row>
    <row r="27" spans="1:49" x14ac:dyDescent="0.2">
      <c r="A27">
        <v>25</v>
      </c>
      <c r="B27" t="s">
        <v>9635</v>
      </c>
      <c r="F27" t="s">
        <v>9634</v>
      </c>
      <c r="G27" t="s">
        <v>5</v>
      </c>
      <c r="H27" t="s">
        <v>4</v>
      </c>
      <c r="I27" t="s">
        <v>9633</v>
      </c>
      <c r="J27" t="s">
        <v>9632</v>
      </c>
      <c r="K27" t="s">
        <v>9631</v>
      </c>
      <c r="L27" t="s">
        <v>9630</v>
      </c>
      <c r="M27" t="s">
        <v>150</v>
      </c>
      <c r="N27">
        <v>2</v>
      </c>
      <c r="O27" t="s">
        <v>9629</v>
      </c>
      <c r="P27" t="s">
        <v>9628</v>
      </c>
      <c r="Q27" t="s">
        <v>9627</v>
      </c>
      <c r="R27" s="7">
        <v>36130</v>
      </c>
      <c r="S27" s="8">
        <f t="shared" si="0"/>
        <v>1998</v>
      </c>
      <c r="T27" s="8">
        <v>1998</v>
      </c>
      <c r="U27" s="8">
        <f t="shared" si="1"/>
        <v>24</v>
      </c>
      <c r="V27" s="7">
        <v>1998</v>
      </c>
      <c r="W27" t="s">
        <v>9626</v>
      </c>
      <c r="X27" s="2">
        <v>0.53100000000000003</v>
      </c>
      <c r="Y27" s="6">
        <f t="shared" si="2"/>
        <v>1.4174741731400658E-2</v>
      </c>
      <c r="AA27">
        <v>12809551</v>
      </c>
      <c r="AB27">
        <v>23211</v>
      </c>
      <c r="AD27" t="s">
        <v>2</v>
      </c>
      <c r="AE27">
        <v>20</v>
      </c>
      <c r="AF27">
        <v>4</v>
      </c>
      <c r="AH27" t="s">
        <v>9625</v>
      </c>
      <c r="AI27" t="s">
        <v>9624</v>
      </c>
      <c r="AJ27" t="s">
        <v>9623</v>
      </c>
      <c r="AK27" t="s">
        <v>9622</v>
      </c>
      <c r="AL27">
        <v>21</v>
      </c>
      <c r="AM27" s="5">
        <f t="shared" si="3"/>
        <v>0.875</v>
      </c>
      <c r="AN27" s="4">
        <f t="shared" si="4"/>
        <v>1.3252555850056798E-3</v>
      </c>
      <c r="AO27" s="3"/>
      <c r="AP27">
        <v>0</v>
      </c>
      <c r="AR27" t="s">
        <v>1</v>
      </c>
      <c r="AT27" s="2">
        <v>1.0940000000000001</v>
      </c>
      <c r="AU27" s="1">
        <f t="shared" si="5"/>
        <v>1.0319895887482162</v>
      </c>
      <c r="AV27" s="1">
        <f t="shared" si="6"/>
        <v>0.77499986582031688</v>
      </c>
      <c r="AW27" s="1">
        <f t="shared" si="7"/>
        <v>0.51801014289241731</v>
      </c>
    </row>
    <row r="28" spans="1:49" x14ac:dyDescent="0.2">
      <c r="A28">
        <v>26</v>
      </c>
      <c r="B28" t="s">
        <v>9621</v>
      </c>
      <c r="C28" t="s">
        <v>9620</v>
      </c>
      <c r="F28" t="s">
        <v>9619</v>
      </c>
      <c r="G28" t="s">
        <v>5</v>
      </c>
      <c r="H28" t="s">
        <v>4</v>
      </c>
      <c r="I28" t="s">
        <v>9618</v>
      </c>
      <c r="J28">
        <v>60025278</v>
      </c>
      <c r="K28" t="s">
        <v>393</v>
      </c>
      <c r="L28" t="s">
        <v>132</v>
      </c>
      <c r="M28" t="s">
        <v>82</v>
      </c>
      <c r="N28">
        <v>1</v>
      </c>
      <c r="O28" t="s">
        <v>9617</v>
      </c>
      <c r="P28">
        <v>57196146103</v>
      </c>
      <c r="Q28">
        <v>60025278</v>
      </c>
      <c r="R28" s="7">
        <v>36130</v>
      </c>
      <c r="S28" s="8">
        <f t="shared" si="0"/>
        <v>1998</v>
      </c>
      <c r="T28" s="8">
        <v>1998</v>
      </c>
      <c r="U28" s="8">
        <f t="shared" si="1"/>
        <v>24</v>
      </c>
      <c r="V28" s="7">
        <v>36130</v>
      </c>
      <c r="W28" t="s">
        <v>1593</v>
      </c>
      <c r="X28" s="2">
        <v>0.39600000000000002</v>
      </c>
      <c r="Y28" s="6">
        <f t="shared" si="2"/>
        <v>1.0570993833586931E-2</v>
      </c>
      <c r="AA28">
        <v>8858985</v>
      </c>
      <c r="AB28">
        <v>25993</v>
      </c>
      <c r="AD28" t="s">
        <v>2</v>
      </c>
      <c r="AE28">
        <v>13</v>
      </c>
      <c r="AF28">
        <v>12</v>
      </c>
      <c r="AH28" s="9">
        <v>44350</v>
      </c>
      <c r="AI28" t="s">
        <v>9616</v>
      </c>
      <c r="AK28" t="s">
        <v>9615</v>
      </c>
      <c r="AL28">
        <v>1</v>
      </c>
      <c r="AM28" s="5">
        <f t="shared" si="3"/>
        <v>4.1666666666666664E-2</v>
      </c>
      <c r="AN28" s="4">
        <f t="shared" si="4"/>
        <v>6.3107408809794262E-5</v>
      </c>
      <c r="AO28" s="3"/>
      <c r="AP28">
        <v>0</v>
      </c>
      <c r="AR28" t="s">
        <v>1</v>
      </c>
      <c r="AT28" s="2" t="s">
        <v>0</v>
      </c>
      <c r="AU28" s="1">
        <f t="shared" si="5"/>
        <v>0.74186279061537896</v>
      </c>
      <c r="AV28" s="1">
        <f t="shared" si="6"/>
        <v>0.53170506211983626</v>
      </c>
      <c r="AW28" s="1">
        <f t="shared" si="7"/>
        <v>0.3215473336242935</v>
      </c>
    </row>
    <row r="29" spans="1:49" x14ac:dyDescent="0.2">
      <c r="A29">
        <v>27</v>
      </c>
      <c r="B29" t="s">
        <v>9614</v>
      </c>
      <c r="F29" t="s">
        <v>9613</v>
      </c>
      <c r="G29" t="s">
        <v>5</v>
      </c>
      <c r="H29" t="s">
        <v>4</v>
      </c>
      <c r="I29" t="s">
        <v>9612</v>
      </c>
      <c r="J29">
        <v>105776181</v>
      </c>
      <c r="K29" t="s">
        <v>9611</v>
      </c>
      <c r="L29" t="s">
        <v>9610</v>
      </c>
      <c r="M29" t="s">
        <v>82</v>
      </c>
      <c r="N29">
        <v>1</v>
      </c>
      <c r="O29" t="s">
        <v>9609</v>
      </c>
      <c r="P29">
        <v>15040659700</v>
      </c>
      <c r="Q29">
        <v>105776181</v>
      </c>
      <c r="R29" s="7">
        <v>36130</v>
      </c>
      <c r="S29" s="8">
        <f t="shared" si="0"/>
        <v>1998</v>
      </c>
      <c r="T29" s="8">
        <v>1998</v>
      </c>
      <c r="U29" s="8">
        <f t="shared" si="1"/>
        <v>24</v>
      </c>
      <c r="V29" s="7">
        <v>1998</v>
      </c>
      <c r="W29" t="s">
        <v>9608</v>
      </c>
      <c r="X29" s="2">
        <v>0.71899999999999997</v>
      </c>
      <c r="Y29" s="6">
        <f t="shared" si="2"/>
        <v>1.9193294359467178E-2</v>
      </c>
      <c r="AA29">
        <v>10009361</v>
      </c>
      <c r="AB29">
        <v>13831</v>
      </c>
      <c r="AD29" t="s">
        <v>2</v>
      </c>
      <c r="AE29">
        <v>11</v>
      </c>
      <c r="AF29">
        <v>2</v>
      </c>
      <c r="AH29" t="s">
        <v>9607</v>
      </c>
      <c r="AI29" t="s">
        <v>9606</v>
      </c>
      <c r="AJ29" t="s">
        <v>9605</v>
      </c>
      <c r="AK29" t="s">
        <v>9604</v>
      </c>
      <c r="AL29">
        <v>0</v>
      </c>
      <c r="AM29" s="5">
        <f t="shared" si="3"/>
        <v>0</v>
      </c>
      <c r="AN29" s="4">
        <f t="shared" si="4"/>
        <v>0</v>
      </c>
      <c r="AO29" s="3"/>
      <c r="AP29">
        <v>0</v>
      </c>
      <c r="AR29" t="s">
        <v>1</v>
      </c>
      <c r="AT29" s="2">
        <v>2.7690000000000001</v>
      </c>
      <c r="AU29" s="1">
        <f t="shared" si="5"/>
        <v>1.3435306051627023</v>
      </c>
      <c r="AV29" s="1">
        <f t="shared" si="6"/>
        <v>0.95966471797335884</v>
      </c>
      <c r="AW29" s="1">
        <f t="shared" si="7"/>
        <v>0.57579883078401528</v>
      </c>
    </row>
    <row r="30" spans="1:49" x14ac:dyDescent="0.2">
      <c r="A30">
        <v>28</v>
      </c>
      <c r="B30" t="s">
        <v>9603</v>
      </c>
      <c r="F30" t="s">
        <v>9602</v>
      </c>
      <c r="G30" t="s">
        <v>5</v>
      </c>
      <c r="H30" t="s">
        <v>4</v>
      </c>
      <c r="I30" t="s">
        <v>9601</v>
      </c>
      <c r="J30">
        <v>60018945</v>
      </c>
      <c r="K30" t="s">
        <v>9600</v>
      </c>
      <c r="L30" t="s">
        <v>28</v>
      </c>
      <c r="M30" t="s">
        <v>27</v>
      </c>
      <c r="N30">
        <v>1</v>
      </c>
      <c r="O30" t="s">
        <v>9599</v>
      </c>
      <c r="P30">
        <v>7006762950</v>
      </c>
      <c r="Q30">
        <v>60018945</v>
      </c>
      <c r="R30" s="7">
        <v>36130</v>
      </c>
      <c r="S30" s="8">
        <f t="shared" si="0"/>
        <v>1998</v>
      </c>
      <c r="T30" s="8">
        <v>1998</v>
      </c>
      <c r="U30" s="8">
        <f t="shared" si="1"/>
        <v>24</v>
      </c>
      <c r="V30" s="7">
        <v>1998</v>
      </c>
      <c r="W30" t="s">
        <v>9598</v>
      </c>
      <c r="X30" s="2" t="s">
        <v>0</v>
      </c>
      <c r="Y30" s="6" t="e">
        <f t="shared" si="2"/>
        <v>#VALUE!</v>
      </c>
      <c r="AA30">
        <v>138711</v>
      </c>
      <c r="AB30">
        <v>36672</v>
      </c>
      <c r="AD30" t="s">
        <v>2</v>
      </c>
      <c r="AE30">
        <v>28</v>
      </c>
      <c r="AF30">
        <v>4</v>
      </c>
      <c r="AH30" t="s">
        <v>9597</v>
      </c>
      <c r="AI30" t="s">
        <v>9596</v>
      </c>
      <c r="AK30" t="s">
        <v>9595</v>
      </c>
      <c r="AL30">
        <v>4</v>
      </c>
      <c r="AM30" s="5">
        <f t="shared" si="3"/>
        <v>0.16666666666666666</v>
      </c>
      <c r="AN30" s="4">
        <f t="shared" si="4"/>
        <v>2.5242963523917705E-4</v>
      </c>
      <c r="AO30" s="3"/>
      <c r="AP30">
        <v>0</v>
      </c>
      <c r="AR30" t="s">
        <v>1</v>
      </c>
      <c r="AT30" s="2" t="s">
        <v>0</v>
      </c>
      <c r="AU30" s="1" t="e">
        <f t="shared" si="5"/>
        <v>#VALUE!</v>
      </c>
      <c r="AV30" s="1" t="e">
        <f t="shared" si="6"/>
        <v>#VALUE!</v>
      </c>
      <c r="AW30" s="1" t="e">
        <f t="shared" si="7"/>
        <v>#VALUE!</v>
      </c>
    </row>
    <row r="31" spans="1:49" x14ac:dyDescent="0.2">
      <c r="A31">
        <v>29</v>
      </c>
      <c r="B31" t="s">
        <v>9594</v>
      </c>
      <c r="F31" t="s">
        <v>9593</v>
      </c>
      <c r="G31" t="s">
        <v>5</v>
      </c>
      <c r="H31" t="s">
        <v>4</v>
      </c>
      <c r="I31" t="s">
        <v>9592</v>
      </c>
      <c r="N31">
        <v>5</v>
      </c>
      <c r="O31" t="s">
        <v>9591</v>
      </c>
      <c r="P31" t="s">
        <v>9590</v>
      </c>
      <c r="Q31" t="s">
        <v>481</v>
      </c>
      <c r="R31" s="7">
        <v>36130</v>
      </c>
      <c r="S31" s="8">
        <f t="shared" si="0"/>
        <v>1998</v>
      </c>
      <c r="T31" s="8">
        <v>1998</v>
      </c>
      <c r="U31" s="8">
        <f t="shared" si="1"/>
        <v>24</v>
      </c>
      <c r="V31" s="7">
        <v>1998</v>
      </c>
      <c r="W31" t="s">
        <v>9589</v>
      </c>
      <c r="X31" s="2">
        <v>1.3859999999999999</v>
      </c>
      <c r="Y31" s="6">
        <f t="shared" si="2"/>
        <v>3.6998478417554256E-2</v>
      </c>
      <c r="AA31" t="s">
        <v>9588</v>
      </c>
      <c r="AB31">
        <v>25949</v>
      </c>
      <c r="AD31" t="s">
        <v>2</v>
      </c>
      <c r="AE31">
        <v>26</v>
      </c>
      <c r="AF31">
        <v>8</v>
      </c>
      <c r="AH31">
        <v>730</v>
      </c>
      <c r="AI31" t="s">
        <v>9587</v>
      </c>
      <c r="AK31" t="s">
        <v>9586</v>
      </c>
      <c r="AL31">
        <v>0</v>
      </c>
      <c r="AM31" s="5">
        <f t="shared" si="3"/>
        <v>0</v>
      </c>
      <c r="AN31" s="4">
        <f t="shared" si="4"/>
        <v>0</v>
      </c>
      <c r="AO31" s="3"/>
      <c r="AP31">
        <v>0</v>
      </c>
      <c r="AR31" t="s">
        <v>1</v>
      </c>
      <c r="AT31" s="2">
        <v>3.0840000000000001</v>
      </c>
      <c r="AU31" s="1">
        <f t="shared" si="5"/>
        <v>2.5898934892287979</v>
      </c>
      <c r="AV31" s="1">
        <f t="shared" si="6"/>
        <v>1.8499239208777127</v>
      </c>
      <c r="AW31" s="1">
        <f t="shared" si="7"/>
        <v>1.1099543525266276</v>
      </c>
    </row>
    <row r="32" spans="1:49" x14ac:dyDescent="0.2">
      <c r="A32">
        <v>30</v>
      </c>
      <c r="B32" t="s">
        <v>9585</v>
      </c>
      <c r="F32" t="s">
        <v>9584</v>
      </c>
      <c r="G32" t="s">
        <v>5</v>
      </c>
      <c r="H32" t="s">
        <v>4</v>
      </c>
      <c r="I32" t="s">
        <v>9583</v>
      </c>
      <c r="J32">
        <v>60009037</v>
      </c>
      <c r="K32" t="s">
        <v>396</v>
      </c>
      <c r="L32" t="s">
        <v>74</v>
      </c>
      <c r="M32" t="s">
        <v>9</v>
      </c>
      <c r="N32">
        <v>3</v>
      </c>
      <c r="O32" t="s">
        <v>9582</v>
      </c>
      <c r="P32" t="s">
        <v>9581</v>
      </c>
      <c r="Q32" t="s">
        <v>9516</v>
      </c>
      <c r="R32" s="7">
        <v>36130</v>
      </c>
      <c r="S32" s="8">
        <f t="shared" si="0"/>
        <v>1998</v>
      </c>
      <c r="T32" s="8">
        <v>1998</v>
      </c>
      <c r="U32" s="8">
        <f t="shared" si="1"/>
        <v>24</v>
      </c>
      <c r="V32" s="7">
        <v>1998</v>
      </c>
      <c r="W32" t="s">
        <v>9580</v>
      </c>
      <c r="X32" s="2" t="s">
        <v>0</v>
      </c>
      <c r="Y32" s="6" t="e">
        <f t="shared" si="2"/>
        <v>#VALUE!</v>
      </c>
      <c r="AA32">
        <v>8886512</v>
      </c>
      <c r="AB32">
        <v>56525</v>
      </c>
      <c r="AD32" t="s">
        <v>2</v>
      </c>
      <c r="AE32">
        <v>37</v>
      </c>
      <c r="AF32" s="9">
        <v>44228</v>
      </c>
      <c r="AH32" t="s">
        <v>9579</v>
      </c>
      <c r="AI32" t="s">
        <v>9578</v>
      </c>
      <c r="AJ32" t="s">
        <v>9577</v>
      </c>
      <c r="AK32" t="s">
        <v>9576</v>
      </c>
      <c r="AL32">
        <v>0</v>
      </c>
      <c r="AM32" s="5">
        <f t="shared" si="3"/>
        <v>0</v>
      </c>
      <c r="AN32" s="4">
        <f t="shared" si="4"/>
        <v>0</v>
      </c>
      <c r="AO32" s="3"/>
      <c r="AP32">
        <v>0</v>
      </c>
      <c r="AR32" t="s">
        <v>1</v>
      </c>
      <c r="AT32" s="2" t="s">
        <v>0</v>
      </c>
      <c r="AU32" s="1" t="e">
        <f t="shared" si="5"/>
        <v>#VALUE!</v>
      </c>
      <c r="AV32" s="1" t="e">
        <f t="shared" si="6"/>
        <v>#VALUE!</v>
      </c>
      <c r="AW32" s="1" t="e">
        <f t="shared" si="7"/>
        <v>#VALUE!</v>
      </c>
    </row>
    <row r="33" spans="1:49" x14ac:dyDescent="0.2">
      <c r="A33">
        <v>31</v>
      </c>
      <c r="B33" t="s">
        <v>9575</v>
      </c>
      <c r="C33" t="s">
        <v>9574</v>
      </c>
      <c r="F33" t="s">
        <v>9573</v>
      </c>
      <c r="G33" t="s">
        <v>5</v>
      </c>
      <c r="H33" t="s">
        <v>4</v>
      </c>
      <c r="I33" t="s">
        <v>9572</v>
      </c>
      <c r="J33" t="s">
        <v>9571</v>
      </c>
      <c r="K33" t="s">
        <v>9570</v>
      </c>
      <c r="L33" t="s">
        <v>9569</v>
      </c>
      <c r="M33" t="s">
        <v>9568</v>
      </c>
      <c r="N33">
        <v>6</v>
      </c>
      <c r="O33" t="s">
        <v>9567</v>
      </c>
      <c r="P33" t="s">
        <v>9566</v>
      </c>
      <c r="Q33" t="s">
        <v>9565</v>
      </c>
      <c r="R33" s="7">
        <v>36130</v>
      </c>
      <c r="S33" s="8">
        <f t="shared" si="0"/>
        <v>1998</v>
      </c>
      <c r="T33" s="8">
        <v>1998</v>
      </c>
      <c r="U33" s="8">
        <f t="shared" si="1"/>
        <v>24</v>
      </c>
      <c r="V33" s="7">
        <v>1998</v>
      </c>
      <c r="W33" t="s">
        <v>558</v>
      </c>
      <c r="X33" s="2">
        <v>0.62</v>
      </c>
      <c r="Y33" s="6">
        <f t="shared" si="2"/>
        <v>1.6550545901070447E-2</v>
      </c>
      <c r="AA33">
        <v>189464</v>
      </c>
      <c r="AB33">
        <v>17364</v>
      </c>
      <c r="AD33" t="s">
        <v>2</v>
      </c>
      <c r="AE33">
        <v>34</v>
      </c>
      <c r="AF33" t="s">
        <v>7</v>
      </c>
      <c r="AH33" t="s">
        <v>9564</v>
      </c>
      <c r="AI33" t="s">
        <v>9563</v>
      </c>
      <c r="AJ33" t="s">
        <v>9562</v>
      </c>
      <c r="AK33" t="s">
        <v>9561</v>
      </c>
      <c r="AL33">
        <v>1</v>
      </c>
      <c r="AM33" s="5">
        <f t="shared" si="3"/>
        <v>4.1666666666666664E-2</v>
      </c>
      <c r="AN33" s="4">
        <f t="shared" si="4"/>
        <v>6.3107408809794262E-5</v>
      </c>
      <c r="AO33" s="3"/>
      <c r="AP33">
        <v>0</v>
      </c>
      <c r="AR33" t="s">
        <v>1</v>
      </c>
      <c r="AT33" s="2">
        <v>1.7</v>
      </c>
      <c r="AU33" s="1">
        <f t="shared" si="5"/>
        <v>1.1604314353392251</v>
      </c>
      <c r="AV33" s="1">
        <f t="shared" si="6"/>
        <v>0.83068266549401215</v>
      </c>
      <c r="AW33" s="1">
        <f t="shared" si="7"/>
        <v>0.50093389564879898</v>
      </c>
    </row>
    <row r="34" spans="1:49" x14ac:dyDescent="0.2">
      <c r="A34">
        <v>32</v>
      </c>
      <c r="B34" t="s">
        <v>9560</v>
      </c>
      <c r="D34" t="s">
        <v>9559</v>
      </c>
      <c r="F34" t="s">
        <v>9558</v>
      </c>
      <c r="G34" t="s">
        <v>5</v>
      </c>
      <c r="H34" t="s">
        <v>4</v>
      </c>
      <c r="I34" t="s">
        <v>849</v>
      </c>
      <c r="J34" t="s">
        <v>9557</v>
      </c>
      <c r="K34" t="s">
        <v>9556</v>
      </c>
      <c r="L34" t="s">
        <v>9555</v>
      </c>
      <c r="M34" t="s">
        <v>424</v>
      </c>
      <c r="N34">
        <v>2</v>
      </c>
      <c r="O34" t="s">
        <v>9554</v>
      </c>
      <c r="P34" t="s">
        <v>846</v>
      </c>
      <c r="Q34" t="s">
        <v>9553</v>
      </c>
      <c r="R34" s="7">
        <v>36130</v>
      </c>
      <c r="S34" s="8">
        <f t="shared" si="0"/>
        <v>1998</v>
      </c>
      <c r="T34" s="8">
        <v>1998</v>
      </c>
      <c r="U34" s="8">
        <f t="shared" si="1"/>
        <v>24</v>
      </c>
      <c r="V34" s="7">
        <v>1998</v>
      </c>
      <c r="W34" t="s">
        <v>649</v>
      </c>
      <c r="X34" s="2">
        <v>1.6519999999999999</v>
      </c>
      <c r="Y34" s="6">
        <f t="shared" si="2"/>
        <v>4.409919649769093E-2</v>
      </c>
      <c r="AA34" t="s">
        <v>648</v>
      </c>
      <c r="AB34">
        <v>17337</v>
      </c>
      <c r="AD34" t="s">
        <v>2</v>
      </c>
      <c r="AE34">
        <v>46</v>
      </c>
      <c r="AF34">
        <v>7</v>
      </c>
      <c r="AH34">
        <v>963969</v>
      </c>
      <c r="AI34" t="s">
        <v>9552</v>
      </c>
      <c r="AJ34" t="s">
        <v>9551</v>
      </c>
      <c r="AK34" t="s">
        <v>9550</v>
      </c>
      <c r="AL34">
        <v>2</v>
      </c>
      <c r="AM34" s="5">
        <f t="shared" si="3"/>
        <v>8.3333333333333329E-2</v>
      </c>
      <c r="AN34" s="4">
        <f t="shared" si="4"/>
        <v>1.2621481761958852E-4</v>
      </c>
      <c r="AO34" s="3"/>
      <c r="AP34">
        <v>0</v>
      </c>
      <c r="AR34" t="s">
        <v>1</v>
      </c>
      <c r="AT34" s="2" t="s">
        <v>0</v>
      </c>
      <c r="AU34" s="1">
        <f t="shared" si="5"/>
        <v>3.0907301993669525</v>
      </c>
      <c r="AV34" s="1">
        <f t="shared" si="6"/>
        <v>2.2112705657655258</v>
      </c>
      <c r="AW34" s="1">
        <f t="shared" si="7"/>
        <v>1.331810932164099</v>
      </c>
    </row>
    <row r="35" spans="1:49" x14ac:dyDescent="0.2">
      <c r="A35">
        <v>33</v>
      </c>
      <c r="B35" t="s">
        <v>9549</v>
      </c>
      <c r="D35" t="s">
        <v>9548</v>
      </c>
      <c r="F35" t="s">
        <v>9547</v>
      </c>
      <c r="G35" t="s">
        <v>5</v>
      </c>
      <c r="H35" t="s">
        <v>4</v>
      </c>
      <c r="I35" t="s">
        <v>869</v>
      </c>
      <c r="J35" t="s">
        <v>9434</v>
      </c>
      <c r="K35" t="s">
        <v>9433</v>
      </c>
      <c r="L35" t="s">
        <v>9432</v>
      </c>
      <c r="M35" t="s">
        <v>9431</v>
      </c>
      <c r="N35">
        <v>5</v>
      </c>
      <c r="O35" t="s">
        <v>9546</v>
      </c>
      <c r="P35" t="s">
        <v>866</v>
      </c>
      <c r="Q35" t="s">
        <v>9545</v>
      </c>
      <c r="R35" s="7">
        <v>36130</v>
      </c>
      <c r="S35" s="8">
        <f t="shared" si="0"/>
        <v>1998</v>
      </c>
      <c r="T35" s="8">
        <v>1998</v>
      </c>
      <c r="U35" s="8">
        <f t="shared" si="1"/>
        <v>24</v>
      </c>
      <c r="V35" s="7">
        <v>1998</v>
      </c>
      <c r="W35" t="s">
        <v>649</v>
      </c>
      <c r="X35" s="2">
        <v>1.6519999999999999</v>
      </c>
      <c r="Y35" s="6">
        <f t="shared" si="2"/>
        <v>4.409919649769093E-2</v>
      </c>
      <c r="AA35" t="s">
        <v>648</v>
      </c>
      <c r="AB35">
        <v>17337</v>
      </c>
      <c r="AD35" t="s">
        <v>2</v>
      </c>
      <c r="AE35">
        <v>46</v>
      </c>
      <c r="AF35">
        <v>7</v>
      </c>
      <c r="AH35">
        <v>10471055</v>
      </c>
      <c r="AI35" t="s">
        <v>9544</v>
      </c>
      <c r="AJ35" t="s">
        <v>9427</v>
      </c>
      <c r="AK35" t="s">
        <v>9543</v>
      </c>
      <c r="AL35">
        <v>1</v>
      </c>
      <c r="AM35" s="5">
        <f t="shared" si="3"/>
        <v>4.1666666666666664E-2</v>
      </c>
      <c r="AN35" s="4">
        <f t="shared" si="4"/>
        <v>6.3107408809794262E-5</v>
      </c>
      <c r="AO35" s="3"/>
      <c r="AP35">
        <v>0</v>
      </c>
      <c r="AR35" t="s">
        <v>1</v>
      </c>
      <c r="AT35" s="2" t="s">
        <v>0</v>
      </c>
      <c r="AU35" s="1">
        <f t="shared" si="5"/>
        <v>3.0888369771026589</v>
      </c>
      <c r="AV35" s="1">
        <f t="shared" si="6"/>
        <v>2.208115195325036</v>
      </c>
      <c r="AW35" s="1">
        <f t="shared" si="7"/>
        <v>1.3273934135474135</v>
      </c>
    </row>
    <row r="36" spans="1:49" x14ac:dyDescent="0.2">
      <c r="A36">
        <v>34</v>
      </c>
      <c r="B36" t="s">
        <v>9542</v>
      </c>
      <c r="D36" t="s">
        <v>9541</v>
      </c>
      <c r="F36" t="s">
        <v>9540</v>
      </c>
      <c r="G36" t="s">
        <v>5</v>
      </c>
      <c r="H36" t="s">
        <v>4</v>
      </c>
      <c r="I36" t="s">
        <v>971</v>
      </c>
      <c r="J36">
        <v>60013372</v>
      </c>
      <c r="K36" t="s">
        <v>691</v>
      </c>
      <c r="L36" t="s">
        <v>690</v>
      </c>
      <c r="M36" t="s">
        <v>9</v>
      </c>
      <c r="N36">
        <v>4</v>
      </c>
      <c r="O36" t="s">
        <v>9539</v>
      </c>
      <c r="P36" t="s">
        <v>969</v>
      </c>
      <c r="Q36" t="s">
        <v>968</v>
      </c>
      <c r="R36" s="7">
        <v>36130</v>
      </c>
      <c r="S36" s="8">
        <f t="shared" si="0"/>
        <v>1998</v>
      </c>
      <c r="T36" s="8">
        <v>1998</v>
      </c>
      <c r="U36" s="8">
        <f t="shared" si="1"/>
        <v>24</v>
      </c>
      <c r="V36" s="7">
        <v>1998</v>
      </c>
      <c r="W36" t="s">
        <v>649</v>
      </c>
      <c r="X36" s="2">
        <v>1.6519999999999999</v>
      </c>
      <c r="Y36" s="6">
        <f t="shared" si="2"/>
        <v>4.409919649769093E-2</v>
      </c>
      <c r="AA36" t="s">
        <v>648</v>
      </c>
      <c r="AB36">
        <v>17337</v>
      </c>
      <c r="AD36" t="s">
        <v>2</v>
      </c>
      <c r="AE36">
        <v>46</v>
      </c>
      <c r="AF36">
        <v>7</v>
      </c>
      <c r="AH36">
        <v>953962</v>
      </c>
      <c r="AI36" t="s">
        <v>9538</v>
      </c>
      <c r="AJ36" t="s">
        <v>9537</v>
      </c>
      <c r="AK36" t="s">
        <v>9536</v>
      </c>
      <c r="AL36">
        <v>5</v>
      </c>
      <c r="AM36" s="5">
        <f t="shared" si="3"/>
        <v>0.20833333333333334</v>
      </c>
      <c r="AN36" s="4">
        <f t="shared" si="4"/>
        <v>3.1553704404897135E-4</v>
      </c>
      <c r="AO36" s="3"/>
      <c r="AP36">
        <v>0</v>
      </c>
      <c r="AR36" t="s">
        <v>1</v>
      </c>
      <c r="AT36" s="2" t="s">
        <v>0</v>
      </c>
      <c r="AU36" s="1">
        <f t="shared" si="5"/>
        <v>3.096409866159834</v>
      </c>
      <c r="AV36" s="1">
        <f t="shared" si="6"/>
        <v>2.220736677086995</v>
      </c>
      <c r="AW36" s="1">
        <f t="shared" si="7"/>
        <v>1.3450634880141559</v>
      </c>
    </row>
    <row r="37" spans="1:49" x14ac:dyDescent="0.2">
      <c r="A37">
        <v>35</v>
      </c>
      <c r="B37" t="s">
        <v>9535</v>
      </c>
      <c r="C37" t="s">
        <v>9534</v>
      </c>
      <c r="F37" t="s">
        <v>9533</v>
      </c>
      <c r="G37" t="s">
        <v>5</v>
      </c>
      <c r="H37" t="s">
        <v>4</v>
      </c>
      <c r="I37" t="s">
        <v>9532</v>
      </c>
      <c r="J37">
        <v>60012630</v>
      </c>
      <c r="K37" t="s">
        <v>9531</v>
      </c>
      <c r="L37" t="s">
        <v>477</v>
      </c>
      <c r="M37" t="s">
        <v>195</v>
      </c>
      <c r="N37">
        <v>3</v>
      </c>
      <c r="O37" t="s">
        <v>9530</v>
      </c>
      <c r="P37" t="s">
        <v>9529</v>
      </c>
      <c r="Q37" t="s">
        <v>9528</v>
      </c>
      <c r="R37" s="7">
        <v>36130</v>
      </c>
      <c r="S37" s="8">
        <f t="shared" si="0"/>
        <v>1998</v>
      </c>
      <c r="T37" s="8">
        <v>1998</v>
      </c>
      <c r="U37" s="8">
        <f t="shared" si="1"/>
        <v>24</v>
      </c>
      <c r="V37" s="7">
        <v>1998</v>
      </c>
      <c r="W37" t="s">
        <v>558</v>
      </c>
      <c r="X37" s="2">
        <v>0.62</v>
      </c>
      <c r="Y37" s="6">
        <f t="shared" si="2"/>
        <v>1.6550545901070447E-2</v>
      </c>
      <c r="AA37">
        <v>189464</v>
      </c>
      <c r="AB37">
        <v>17364</v>
      </c>
      <c r="AD37" t="s">
        <v>2</v>
      </c>
      <c r="AE37">
        <v>34</v>
      </c>
      <c r="AF37" t="s">
        <v>7</v>
      </c>
      <c r="AH37" t="s">
        <v>9527</v>
      </c>
      <c r="AI37" t="s">
        <v>9526</v>
      </c>
      <c r="AJ37" t="s">
        <v>9525</v>
      </c>
      <c r="AK37" t="s">
        <v>9524</v>
      </c>
      <c r="AL37">
        <v>0</v>
      </c>
      <c r="AM37" s="5">
        <f t="shared" si="3"/>
        <v>0</v>
      </c>
      <c r="AN37" s="4">
        <f t="shared" si="4"/>
        <v>0</v>
      </c>
      <c r="AO37" s="3"/>
      <c r="AP37">
        <v>0</v>
      </c>
      <c r="AR37" t="s">
        <v>1</v>
      </c>
      <c r="AT37" s="2">
        <v>1.7</v>
      </c>
      <c r="AU37" s="1">
        <f t="shared" si="5"/>
        <v>1.1585382130749313</v>
      </c>
      <c r="AV37" s="1">
        <f t="shared" si="6"/>
        <v>0.8275272950535224</v>
      </c>
      <c r="AW37" s="1">
        <f t="shared" si="7"/>
        <v>0.49651637703211338</v>
      </c>
    </row>
    <row r="38" spans="1:49" x14ac:dyDescent="0.2">
      <c r="A38">
        <v>36</v>
      </c>
      <c r="B38" t="s">
        <v>9523</v>
      </c>
      <c r="C38" t="s">
        <v>9522</v>
      </c>
      <c r="D38" t="s">
        <v>9521</v>
      </c>
      <c r="F38" t="s">
        <v>9520</v>
      </c>
      <c r="G38" t="s">
        <v>5</v>
      </c>
      <c r="H38" t="s">
        <v>4</v>
      </c>
      <c r="I38" t="s">
        <v>9519</v>
      </c>
      <c r="J38">
        <v>60009037</v>
      </c>
      <c r="K38" t="s">
        <v>396</v>
      </c>
      <c r="L38" t="s">
        <v>74</v>
      </c>
      <c r="M38" t="s">
        <v>9</v>
      </c>
      <c r="N38">
        <v>3</v>
      </c>
      <c r="O38" t="s">
        <v>9518</v>
      </c>
      <c r="P38" t="s">
        <v>9517</v>
      </c>
      <c r="Q38" t="s">
        <v>9516</v>
      </c>
      <c r="R38" s="7">
        <v>36130</v>
      </c>
      <c r="S38" s="8">
        <f t="shared" si="0"/>
        <v>1998</v>
      </c>
      <c r="T38" s="8">
        <v>1998</v>
      </c>
      <c r="U38" s="8">
        <f t="shared" si="1"/>
        <v>24</v>
      </c>
      <c r="V38" s="7">
        <v>1998</v>
      </c>
      <c r="W38" t="s">
        <v>649</v>
      </c>
      <c r="X38" s="2">
        <v>1.6519999999999999</v>
      </c>
      <c r="Y38" s="6">
        <f t="shared" si="2"/>
        <v>4.409919649769093E-2</v>
      </c>
      <c r="AA38" t="s">
        <v>648</v>
      </c>
      <c r="AB38">
        <v>17337</v>
      </c>
      <c r="AD38" t="s">
        <v>2</v>
      </c>
      <c r="AE38">
        <v>46</v>
      </c>
      <c r="AF38">
        <v>12</v>
      </c>
      <c r="AH38" t="s">
        <v>9515</v>
      </c>
      <c r="AI38" t="s">
        <v>9514</v>
      </c>
      <c r="AJ38" t="s">
        <v>9513</v>
      </c>
      <c r="AK38" t="s">
        <v>9512</v>
      </c>
      <c r="AL38">
        <v>9</v>
      </c>
      <c r="AM38" s="5">
        <f t="shared" si="3"/>
        <v>0.375</v>
      </c>
      <c r="AN38" s="4">
        <f t="shared" si="4"/>
        <v>5.6796667928814845E-4</v>
      </c>
      <c r="AO38" s="3"/>
      <c r="AP38">
        <v>0</v>
      </c>
      <c r="AQ38" t="s">
        <v>350</v>
      </c>
      <c r="AR38" t="s">
        <v>1</v>
      </c>
      <c r="AS38" t="s">
        <v>349</v>
      </c>
      <c r="AT38" s="2" t="s">
        <v>0</v>
      </c>
      <c r="AU38" s="1">
        <f t="shared" si="5"/>
        <v>3.1039827552170092</v>
      </c>
      <c r="AV38" s="1">
        <f t="shared" si="6"/>
        <v>2.2333581588489539</v>
      </c>
      <c r="AW38" s="1">
        <f t="shared" si="7"/>
        <v>1.3627335624808981</v>
      </c>
    </row>
    <row r="39" spans="1:49" x14ac:dyDescent="0.2">
      <c r="A39">
        <v>37</v>
      </c>
      <c r="B39" t="s">
        <v>9511</v>
      </c>
      <c r="C39" t="s">
        <v>9510</v>
      </c>
      <c r="F39" t="s">
        <v>9509</v>
      </c>
      <c r="G39" t="s">
        <v>5</v>
      </c>
      <c r="H39" t="s">
        <v>4</v>
      </c>
      <c r="I39" t="s">
        <v>9508</v>
      </c>
      <c r="J39">
        <v>60024989</v>
      </c>
      <c r="K39" t="s">
        <v>306</v>
      </c>
      <c r="L39" t="s">
        <v>305</v>
      </c>
      <c r="M39" t="s">
        <v>304</v>
      </c>
      <c r="N39">
        <v>5</v>
      </c>
      <c r="O39" t="s">
        <v>9507</v>
      </c>
      <c r="P39" t="s">
        <v>9506</v>
      </c>
      <c r="Q39" t="s">
        <v>9505</v>
      </c>
      <c r="R39" s="7">
        <v>36130</v>
      </c>
      <c r="S39" s="8">
        <f t="shared" si="0"/>
        <v>1998</v>
      </c>
      <c r="T39" s="8">
        <v>1998</v>
      </c>
      <c r="U39" s="8">
        <f t="shared" si="1"/>
        <v>24</v>
      </c>
      <c r="V39" s="7">
        <v>1998</v>
      </c>
      <c r="W39" t="s">
        <v>558</v>
      </c>
      <c r="X39" s="2">
        <v>0.62</v>
      </c>
      <c r="Y39" s="6">
        <f t="shared" si="2"/>
        <v>1.6550545901070447E-2</v>
      </c>
      <c r="AA39">
        <v>189464</v>
      </c>
      <c r="AB39">
        <v>17364</v>
      </c>
      <c r="AD39" t="s">
        <v>2</v>
      </c>
      <c r="AE39">
        <v>34</v>
      </c>
      <c r="AF39" t="s">
        <v>7</v>
      </c>
      <c r="AH39" t="s">
        <v>9504</v>
      </c>
      <c r="AI39" t="s">
        <v>9503</v>
      </c>
      <c r="AJ39" t="s">
        <v>9502</v>
      </c>
      <c r="AK39" t="s">
        <v>9501</v>
      </c>
      <c r="AL39">
        <v>2</v>
      </c>
      <c r="AM39" s="5">
        <f t="shared" si="3"/>
        <v>8.3333333333333329E-2</v>
      </c>
      <c r="AN39" s="4">
        <f t="shared" si="4"/>
        <v>1.2621481761958852E-4</v>
      </c>
      <c r="AO39" s="3"/>
      <c r="AP39">
        <v>0</v>
      </c>
      <c r="AR39" t="s">
        <v>9500</v>
      </c>
      <c r="AT39" s="2">
        <v>1.7</v>
      </c>
      <c r="AU39" s="1">
        <f t="shared" si="5"/>
        <v>1.1623246576035189</v>
      </c>
      <c r="AV39" s="1">
        <f t="shared" si="6"/>
        <v>0.8338380359345019</v>
      </c>
      <c r="AW39" s="1">
        <f t="shared" si="7"/>
        <v>0.50535141426548458</v>
      </c>
    </row>
    <row r="40" spans="1:49" x14ac:dyDescent="0.2">
      <c r="A40">
        <v>38</v>
      </c>
      <c r="B40" t="s">
        <v>9499</v>
      </c>
      <c r="C40" t="s">
        <v>9498</v>
      </c>
      <c r="F40" t="s">
        <v>9497</v>
      </c>
      <c r="G40" t="s">
        <v>5</v>
      </c>
      <c r="H40" t="s">
        <v>4</v>
      </c>
      <c r="I40" t="s">
        <v>9496</v>
      </c>
      <c r="J40">
        <v>60011604</v>
      </c>
      <c r="K40" t="s">
        <v>3639</v>
      </c>
      <c r="L40" t="s">
        <v>480</v>
      </c>
      <c r="M40" t="s">
        <v>37</v>
      </c>
      <c r="N40">
        <v>1</v>
      </c>
      <c r="O40" t="s">
        <v>9495</v>
      </c>
      <c r="P40">
        <v>7801658365</v>
      </c>
      <c r="Q40">
        <v>60011604</v>
      </c>
      <c r="R40" s="7">
        <v>36130</v>
      </c>
      <c r="S40" s="8">
        <f t="shared" si="0"/>
        <v>1998</v>
      </c>
      <c r="T40" s="8">
        <v>1998</v>
      </c>
      <c r="U40" s="8">
        <f t="shared" si="1"/>
        <v>24</v>
      </c>
      <c r="V40" s="7">
        <v>1998</v>
      </c>
      <c r="W40" t="s">
        <v>558</v>
      </c>
      <c r="X40" s="2">
        <v>0.62</v>
      </c>
      <c r="Y40" s="6">
        <f t="shared" si="2"/>
        <v>1.6550545901070447E-2</v>
      </c>
      <c r="AA40">
        <v>189464</v>
      </c>
      <c r="AB40">
        <v>17364</v>
      </c>
      <c r="AD40" t="s">
        <v>2</v>
      </c>
      <c r="AE40">
        <v>34</v>
      </c>
      <c r="AF40" t="s">
        <v>7</v>
      </c>
      <c r="AH40" t="s">
        <v>9494</v>
      </c>
      <c r="AI40" t="s">
        <v>9493</v>
      </c>
      <c r="AK40" t="s">
        <v>9492</v>
      </c>
      <c r="AL40">
        <v>0</v>
      </c>
      <c r="AM40" s="5">
        <f t="shared" si="3"/>
        <v>0</v>
      </c>
      <c r="AN40" s="4">
        <f t="shared" si="4"/>
        <v>0</v>
      </c>
      <c r="AO40" s="3"/>
      <c r="AP40">
        <v>0</v>
      </c>
      <c r="AR40" t="s">
        <v>1</v>
      </c>
      <c r="AT40" s="2">
        <v>1.7</v>
      </c>
      <c r="AU40" s="1">
        <f t="shared" si="5"/>
        <v>1.1585382130749313</v>
      </c>
      <c r="AV40" s="1">
        <f t="shared" si="6"/>
        <v>0.8275272950535224</v>
      </c>
      <c r="AW40" s="1">
        <f t="shared" si="7"/>
        <v>0.49651637703211338</v>
      </c>
    </row>
    <row r="41" spans="1:49" x14ac:dyDescent="0.2">
      <c r="A41">
        <v>39</v>
      </c>
      <c r="B41" t="s">
        <v>9491</v>
      </c>
      <c r="D41" t="s">
        <v>9490</v>
      </c>
      <c r="F41" t="s">
        <v>9489</v>
      </c>
      <c r="G41" t="s">
        <v>5</v>
      </c>
      <c r="H41" t="s">
        <v>4</v>
      </c>
      <c r="I41" t="s">
        <v>879</v>
      </c>
      <c r="J41" t="s">
        <v>9434</v>
      </c>
      <c r="K41" t="s">
        <v>9433</v>
      </c>
      <c r="L41" t="s">
        <v>9432</v>
      </c>
      <c r="M41" t="s">
        <v>9431</v>
      </c>
      <c r="N41">
        <v>5</v>
      </c>
      <c r="O41" t="s">
        <v>9488</v>
      </c>
      <c r="P41" t="s">
        <v>877</v>
      </c>
      <c r="Q41" t="s">
        <v>9487</v>
      </c>
      <c r="R41" s="7">
        <v>36130</v>
      </c>
      <c r="S41" s="8">
        <f t="shared" si="0"/>
        <v>1998</v>
      </c>
      <c r="T41" s="8">
        <v>1998</v>
      </c>
      <c r="U41" s="8">
        <f t="shared" si="1"/>
        <v>24</v>
      </c>
      <c r="V41" s="7">
        <v>1998</v>
      </c>
      <c r="W41" t="s">
        <v>649</v>
      </c>
      <c r="X41" s="2">
        <v>1.6519999999999999</v>
      </c>
      <c r="Y41" s="6">
        <f t="shared" si="2"/>
        <v>4.409919649769093E-2</v>
      </c>
      <c r="AA41" t="s">
        <v>648</v>
      </c>
      <c r="AB41">
        <v>17337</v>
      </c>
      <c r="AD41" t="s">
        <v>2</v>
      </c>
      <c r="AE41">
        <v>46</v>
      </c>
      <c r="AF41">
        <v>7</v>
      </c>
      <c r="AH41">
        <v>10421046</v>
      </c>
      <c r="AI41" t="s">
        <v>9486</v>
      </c>
      <c r="AJ41" t="s">
        <v>9427</v>
      </c>
      <c r="AK41" t="s">
        <v>9485</v>
      </c>
      <c r="AL41">
        <v>4</v>
      </c>
      <c r="AM41" s="5">
        <f t="shared" si="3"/>
        <v>0.16666666666666666</v>
      </c>
      <c r="AN41" s="4">
        <f t="shared" si="4"/>
        <v>2.5242963523917705E-4</v>
      </c>
      <c r="AO41" s="3"/>
      <c r="AP41">
        <v>0</v>
      </c>
      <c r="AR41" t="s">
        <v>1</v>
      </c>
      <c r="AT41" s="2" t="s">
        <v>0</v>
      </c>
      <c r="AU41" s="1">
        <f t="shared" si="5"/>
        <v>3.0945166438955405</v>
      </c>
      <c r="AV41" s="1">
        <f t="shared" si="6"/>
        <v>2.2175813066465055</v>
      </c>
      <c r="AW41" s="1">
        <f t="shared" si="7"/>
        <v>1.3406459693974702</v>
      </c>
    </row>
    <row r="42" spans="1:49" x14ac:dyDescent="0.2">
      <c r="A42">
        <v>40</v>
      </c>
      <c r="B42" t="s">
        <v>9484</v>
      </c>
      <c r="D42" t="s">
        <v>9483</v>
      </c>
      <c r="F42" t="s">
        <v>857</v>
      </c>
      <c r="G42" t="s">
        <v>5</v>
      </c>
      <c r="H42" t="s">
        <v>4</v>
      </c>
      <c r="I42" t="s">
        <v>856</v>
      </c>
      <c r="N42">
        <v>1</v>
      </c>
      <c r="O42" t="s">
        <v>413</v>
      </c>
      <c r="P42">
        <v>57214714998</v>
      </c>
      <c r="R42" s="7">
        <v>36130</v>
      </c>
      <c r="S42" s="8">
        <f t="shared" si="0"/>
        <v>1998</v>
      </c>
      <c r="T42" s="8">
        <v>1998</v>
      </c>
      <c r="U42" s="8">
        <f t="shared" si="1"/>
        <v>24</v>
      </c>
      <c r="V42" s="7">
        <v>1998</v>
      </c>
      <c r="W42" t="s">
        <v>649</v>
      </c>
      <c r="X42" s="2">
        <v>1.6519999999999999</v>
      </c>
      <c r="Y42" s="6">
        <f t="shared" si="2"/>
        <v>4.409919649769093E-2</v>
      </c>
      <c r="AA42" t="s">
        <v>648</v>
      </c>
      <c r="AB42">
        <v>17337</v>
      </c>
      <c r="AD42" t="s">
        <v>2</v>
      </c>
      <c r="AE42">
        <v>46</v>
      </c>
      <c r="AF42">
        <v>7</v>
      </c>
      <c r="AH42">
        <v>10281031</v>
      </c>
      <c r="AI42" t="s">
        <v>9482</v>
      </c>
      <c r="AJ42" t="s">
        <v>5771</v>
      </c>
      <c r="AK42" t="s">
        <v>853</v>
      </c>
      <c r="AL42">
        <v>0</v>
      </c>
      <c r="AM42" s="5">
        <f t="shared" si="3"/>
        <v>0</v>
      </c>
      <c r="AN42" s="4">
        <f t="shared" si="4"/>
        <v>0</v>
      </c>
      <c r="AO42" s="3"/>
      <c r="AP42">
        <v>0</v>
      </c>
      <c r="AR42" t="s">
        <v>1</v>
      </c>
      <c r="AT42" s="2" t="s">
        <v>0</v>
      </c>
      <c r="AU42" s="1">
        <f t="shared" si="5"/>
        <v>3.0869437548383649</v>
      </c>
      <c r="AV42" s="1">
        <f t="shared" si="6"/>
        <v>2.2049598248845466</v>
      </c>
      <c r="AW42" s="1">
        <f t="shared" si="7"/>
        <v>1.3229758949307278</v>
      </c>
    </row>
    <row r="43" spans="1:49" x14ac:dyDescent="0.2">
      <c r="A43">
        <v>41</v>
      </c>
      <c r="B43" t="s">
        <v>9481</v>
      </c>
      <c r="D43" t="s">
        <v>9480</v>
      </c>
      <c r="F43" t="s">
        <v>935</v>
      </c>
      <c r="G43" t="s">
        <v>5</v>
      </c>
      <c r="H43" t="s">
        <v>4</v>
      </c>
      <c r="I43" t="s">
        <v>934</v>
      </c>
      <c r="J43">
        <v>60015710</v>
      </c>
      <c r="K43" t="s">
        <v>6618</v>
      </c>
      <c r="L43" t="s">
        <v>6617</v>
      </c>
      <c r="M43" t="s">
        <v>9</v>
      </c>
      <c r="N43">
        <v>3</v>
      </c>
      <c r="O43" t="s">
        <v>932</v>
      </c>
      <c r="P43" t="s">
        <v>931</v>
      </c>
      <c r="Q43" t="s">
        <v>9479</v>
      </c>
      <c r="R43" s="7">
        <v>36130</v>
      </c>
      <c r="S43" s="8">
        <f t="shared" si="0"/>
        <v>1998</v>
      </c>
      <c r="T43" s="8">
        <v>1998</v>
      </c>
      <c r="U43" s="8">
        <f t="shared" si="1"/>
        <v>24</v>
      </c>
      <c r="V43" s="7">
        <v>1998</v>
      </c>
      <c r="W43" t="s">
        <v>649</v>
      </c>
      <c r="X43" s="2">
        <v>1.6519999999999999</v>
      </c>
      <c r="Y43" s="6">
        <f t="shared" si="2"/>
        <v>4.409919649769093E-2</v>
      </c>
      <c r="AA43" t="s">
        <v>648</v>
      </c>
      <c r="AB43">
        <v>17337</v>
      </c>
      <c r="AD43" t="s">
        <v>2</v>
      </c>
      <c r="AE43">
        <v>46</v>
      </c>
      <c r="AF43">
        <v>7</v>
      </c>
      <c r="AH43">
        <v>11141115</v>
      </c>
      <c r="AI43" t="s">
        <v>9478</v>
      </c>
      <c r="AJ43" t="s">
        <v>9477</v>
      </c>
      <c r="AK43" t="s">
        <v>927</v>
      </c>
      <c r="AL43">
        <v>3</v>
      </c>
      <c r="AM43" s="5">
        <f t="shared" si="3"/>
        <v>0.125</v>
      </c>
      <c r="AN43" s="4">
        <f t="shared" si="4"/>
        <v>1.893222264293828E-4</v>
      </c>
      <c r="AO43" s="3"/>
      <c r="AP43">
        <v>0</v>
      </c>
      <c r="AR43" t="s">
        <v>1</v>
      </c>
      <c r="AT43" s="2" t="s">
        <v>0</v>
      </c>
      <c r="AU43" s="1">
        <f t="shared" si="5"/>
        <v>3.0926234216312465</v>
      </c>
      <c r="AV43" s="1">
        <f t="shared" si="6"/>
        <v>2.2144259362060157</v>
      </c>
      <c r="AW43" s="1">
        <f t="shared" si="7"/>
        <v>1.3362284507807847</v>
      </c>
    </row>
    <row r="44" spans="1:49" x14ac:dyDescent="0.2">
      <c r="A44">
        <v>42</v>
      </c>
      <c r="B44" t="s">
        <v>9476</v>
      </c>
      <c r="D44" t="s">
        <v>9475</v>
      </c>
      <c r="F44" t="s">
        <v>898</v>
      </c>
      <c r="G44" t="s">
        <v>5</v>
      </c>
      <c r="H44" t="s">
        <v>4</v>
      </c>
      <c r="I44" t="s">
        <v>897</v>
      </c>
      <c r="J44">
        <v>60019354</v>
      </c>
      <c r="K44" t="s">
        <v>896</v>
      </c>
      <c r="L44" t="s">
        <v>895</v>
      </c>
      <c r="M44" t="s">
        <v>541</v>
      </c>
      <c r="N44">
        <v>1</v>
      </c>
      <c r="O44" t="s">
        <v>9474</v>
      </c>
      <c r="P44">
        <v>7201481830</v>
      </c>
      <c r="Q44">
        <v>60019354</v>
      </c>
      <c r="R44" s="7">
        <v>36130</v>
      </c>
      <c r="S44" s="8">
        <f t="shared" si="0"/>
        <v>1998</v>
      </c>
      <c r="T44" s="8">
        <v>1998</v>
      </c>
      <c r="U44" s="8">
        <f t="shared" si="1"/>
        <v>24</v>
      </c>
      <c r="V44" s="7">
        <v>1998</v>
      </c>
      <c r="W44" t="s">
        <v>649</v>
      </c>
      <c r="X44" s="2">
        <v>1.6519999999999999</v>
      </c>
      <c r="Y44" s="6">
        <f t="shared" si="2"/>
        <v>4.409919649769093E-2</v>
      </c>
      <c r="AA44" t="s">
        <v>648</v>
      </c>
      <c r="AB44">
        <v>17337</v>
      </c>
      <c r="AD44" t="s">
        <v>2</v>
      </c>
      <c r="AE44">
        <v>46</v>
      </c>
      <c r="AF44">
        <v>7</v>
      </c>
      <c r="AH44">
        <v>982990</v>
      </c>
      <c r="AI44" t="s">
        <v>9473</v>
      </c>
      <c r="AJ44" t="s">
        <v>9472</v>
      </c>
      <c r="AK44" t="s">
        <v>9471</v>
      </c>
      <c r="AL44">
        <v>10</v>
      </c>
      <c r="AM44" s="5">
        <f t="shared" si="3"/>
        <v>0.41666666666666669</v>
      </c>
      <c r="AN44" s="4">
        <f t="shared" si="4"/>
        <v>6.310740880979427E-4</v>
      </c>
      <c r="AO44" s="3"/>
      <c r="AP44">
        <v>0</v>
      </c>
      <c r="AR44" t="s">
        <v>1</v>
      </c>
      <c r="AT44" s="2" t="s">
        <v>0</v>
      </c>
      <c r="AU44" s="1">
        <f t="shared" si="5"/>
        <v>3.1058759774813036</v>
      </c>
      <c r="AV44" s="1">
        <f t="shared" si="6"/>
        <v>2.2365135292894434</v>
      </c>
      <c r="AW44" s="1">
        <f t="shared" si="7"/>
        <v>1.3671510810975838</v>
      </c>
    </row>
    <row r="45" spans="1:49" x14ac:dyDescent="0.2">
      <c r="A45">
        <v>43</v>
      </c>
      <c r="B45" t="s">
        <v>9470</v>
      </c>
      <c r="C45" t="s">
        <v>9469</v>
      </c>
      <c r="F45" t="s">
        <v>9468</v>
      </c>
      <c r="G45" t="s">
        <v>5</v>
      </c>
      <c r="H45" t="s">
        <v>4</v>
      </c>
      <c r="I45" t="s">
        <v>9467</v>
      </c>
      <c r="J45">
        <v>60005510</v>
      </c>
      <c r="K45" t="s">
        <v>620</v>
      </c>
      <c r="L45" t="s">
        <v>160</v>
      </c>
      <c r="M45" t="s">
        <v>159</v>
      </c>
      <c r="N45">
        <v>1</v>
      </c>
      <c r="O45" t="s">
        <v>9466</v>
      </c>
      <c r="P45">
        <v>7405481054</v>
      </c>
      <c r="Q45">
        <v>60005510</v>
      </c>
      <c r="R45" s="7">
        <v>36130</v>
      </c>
      <c r="S45" s="8">
        <f t="shared" si="0"/>
        <v>1998</v>
      </c>
      <c r="T45" s="8">
        <v>1998</v>
      </c>
      <c r="U45" s="8">
        <f t="shared" si="1"/>
        <v>24</v>
      </c>
      <c r="V45" s="7">
        <v>1998</v>
      </c>
      <c r="W45" t="s">
        <v>558</v>
      </c>
      <c r="X45" s="2">
        <v>0.62</v>
      </c>
      <c r="Y45" s="6">
        <f t="shared" si="2"/>
        <v>1.6550545901070447E-2</v>
      </c>
      <c r="AA45">
        <v>189464</v>
      </c>
      <c r="AB45">
        <v>17364</v>
      </c>
      <c r="AD45" t="s">
        <v>2</v>
      </c>
      <c r="AE45">
        <v>34</v>
      </c>
      <c r="AF45" t="s">
        <v>7</v>
      </c>
      <c r="AH45" t="s">
        <v>9465</v>
      </c>
      <c r="AI45" t="s">
        <v>9464</v>
      </c>
      <c r="AJ45" t="s">
        <v>9463</v>
      </c>
      <c r="AK45" t="s">
        <v>9462</v>
      </c>
      <c r="AL45">
        <v>1</v>
      </c>
      <c r="AM45" s="5">
        <f t="shared" si="3"/>
        <v>4.1666666666666664E-2</v>
      </c>
      <c r="AN45" s="4">
        <f t="shared" si="4"/>
        <v>6.3107408809794262E-5</v>
      </c>
      <c r="AO45" s="3"/>
      <c r="AP45">
        <v>0</v>
      </c>
      <c r="AR45" t="s">
        <v>1</v>
      </c>
      <c r="AT45" s="2">
        <v>1.7</v>
      </c>
      <c r="AU45" s="1">
        <f t="shared" si="5"/>
        <v>1.1604314353392251</v>
      </c>
      <c r="AV45" s="1">
        <f t="shared" si="6"/>
        <v>0.83068266549401215</v>
      </c>
      <c r="AW45" s="1">
        <f t="shared" si="7"/>
        <v>0.50093389564879898</v>
      </c>
    </row>
    <row r="46" spans="1:49" x14ac:dyDescent="0.2">
      <c r="A46">
        <v>44</v>
      </c>
      <c r="B46" t="s">
        <v>9461</v>
      </c>
      <c r="C46" t="s">
        <v>650</v>
      </c>
      <c r="D46" t="s">
        <v>9460</v>
      </c>
      <c r="F46" t="s">
        <v>9459</v>
      </c>
      <c r="G46" t="s">
        <v>5</v>
      </c>
      <c r="H46" t="s">
        <v>4</v>
      </c>
      <c r="I46" t="s">
        <v>9458</v>
      </c>
      <c r="J46">
        <v>60028442</v>
      </c>
      <c r="K46" t="s">
        <v>482</v>
      </c>
      <c r="L46" t="s">
        <v>441</v>
      </c>
      <c r="M46" t="s">
        <v>147</v>
      </c>
      <c r="N46">
        <v>6</v>
      </c>
      <c r="O46" t="s">
        <v>9457</v>
      </c>
      <c r="P46" t="s">
        <v>9456</v>
      </c>
      <c r="Q46" t="s">
        <v>9455</v>
      </c>
      <c r="R46" s="7">
        <v>36130</v>
      </c>
      <c r="S46" s="8">
        <f t="shared" si="0"/>
        <v>1998</v>
      </c>
      <c r="T46" s="8">
        <v>1998</v>
      </c>
      <c r="U46" s="8">
        <f t="shared" si="1"/>
        <v>24</v>
      </c>
      <c r="V46" s="7">
        <v>1998</v>
      </c>
      <c r="W46" t="s">
        <v>649</v>
      </c>
      <c r="X46" s="2">
        <v>1.6519999999999999</v>
      </c>
      <c r="Y46" s="6">
        <f t="shared" si="2"/>
        <v>4.409919649769093E-2</v>
      </c>
      <c r="AA46" t="s">
        <v>648</v>
      </c>
      <c r="AB46">
        <v>17337</v>
      </c>
      <c r="AD46" t="s">
        <v>2</v>
      </c>
      <c r="AE46">
        <v>46</v>
      </c>
      <c r="AF46">
        <v>2</v>
      </c>
      <c r="AH46" t="s">
        <v>647</v>
      </c>
      <c r="AI46" t="s">
        <v>9454</v>
      </c>
      <c r="AJ46" t="s">
        <v>9453</v>
      </c>
      <c r="AK46" t="s">
        <v>646</v>
      </c>
      <c r="AL46">
        <v>4</v>
      </c>
      <c r="AM46" s="5">
        <f t="shared" si="3"/>
        <v>0.16666666666666666</v>
      </c>
      <c r="AN46" s="4">
        <f t="shared" si="4"/>
        <v>2.5242963523917705E-4</v>
      </c>
      <c r="AO46" s="3"/>
      <c r="AP46">
        <v>0</v>
      </c>
      <c r="AR46" t="s">
        <v>1</v>
      </c>
      <c r="AT46" s="2" t="s">
        <v>0</v>
      </c>
      <c r="AU46" s="1">
        <f t="shared" si="5"/>
        <v>3.0945166438955405</v>
      </c>
      <c r="AV46" s="1">
        <f t="shared" si="6"/>
        <v>2.2175813066465055</v>
      </c>
      <c r="AW46" s="1">
        <f t="shared" si="7"/>
        <v>1.3406459693974702</v>
      </c>
    </row>
    <row r="47" spans="1:49" x14ac:dyDescent="0.2">
      <c r="A47">
        <v>45</v>
      </c>
      <c r="B47" t="s">
        <v>9452</v>
      </c>
      <c r="D47" t="s">
        <v>9451</v>
      </c>
      <c r="F47" t="s">
        <v>9450</v>
      </c>
      <c r="G47" t="s">
        <v>5</v>
      </c>
      <c r="H47" t="s">
        <v>4</v>
      </c>
      <c r="I47" t="s">
        <v>54</v>
      </c>
      <c r="J47">
        <v>60017161</v>
      </c>
      <c r="K47" t="s">
        <v>161</v>
      </c>
      <c r="L47" t="s">
        <v>160</v>
      </c>
      <c r="M47" t="s">
        <v>159</v>
      </c>
      <c r="N47">
        <v>4</v>
      </c>
      <c r="O47" t="s">
        <v>9449</v>
      </c>
      <c r="P47" t="s">
        <v>905</v>
      </c>
      <c r="Q47" t="s">
        <v>503</v>
      </c>
      <c r="R47" s="7">
        <v>36130</v>
      </c>
      <c r="S47" s="8">
        <f t="shared" si="0"/>
        <v>1998</v>
      </c>
      <c r="T47" s="8">
        <v>1998</v>
      </c>
      <c r="U47" s="8">
        <f t="shared" si="1"/>
        <v>24</v>
      </c>
      <c r="V47" s="7">
        <v>1998</v>
      </c>
      <c r="W47" t="s">
        <v>649</v>
      </c>
      <c r="X47" s="2">
        <v>1.6519999999999999</v>
      </c>
      <c r="Y47" s="6">
        <f t="shared" si="2"/>
        <v>4.409919649769093E-2</v>
      </c>
      <c r="AA47" t="s">
        <v>648</v>
      </c>
      <c r="AB47">
        <v>17337</v>
      </c>
      <c r="AD47" t="s">
        <v>2</v>
      </c>
      <c r="AE47">
        <v>46</v>
      </c>
      <c r="AF47">
        <v>7</v>
      </c>
      <c r="AH47">
        <v>10981111</v>
      </c>
      <c r="AI47" t="s">
        <v>9448</v>
      </c>
      <c r="AJ47" t="s">
        <v>9447</v>
      </c>
      <c r="AK47" t="s">
        <v>9446</v>
      </c>
      <c r="AL47">
        <v>16</v>
      </c>
      <c r="AM47" s="5">
        <f t="shared" si="3"/>
        <v>0.66666666666666663</v>
      </c>
      <c r="AN47" s="4">
        <f t="shared" si="4"/>
        <v>1.0097185409567082E-3</v>
      </c>
      <c r="AO47" s="3"/>
      <c r="AP47">
        <v>0</v>
      </c>
      <c r="AR47" t="s">
        <v>1</v>
      </c>
      <c r="AT47" s="2" t="s">
        <v>0</v>
      </c>
      <c r="AU47" s="1">
        <f t="shared" si="5"/>
        <v>3.1172353110670663</v>
      </c>
      <c r="AV47" s="1">
        <f t="shared" si="6"/>
        <v>2.2554457519323821</v>
      </c>
      <c r="AW47" s="1">
        <f t="shared" si="7"/>
        <v>1.3936561927976974</v>
      </c>
    </row>
    <row r="48" spans="1:49" x14ac:dyDescent="0.2">
      <c r="A48">
        <v>46</v>
      </c>
      <c r="B48" t="s">
        <v>9445</v>
      </c>
      <c r="C48" t="s">
        <v>9444</v>
      </c>
      <c r="F48" t="s">
        <v>9443</v>
      </c>
      <c r="G48" t="s">
        <v>5</v>
      </c>
      <c r="H48" t="s">
        <v>4</v>
      </c>
      <c r="I48" t="s">
        <v>176</v>
      </c>
      <c r="J48">
        <v>60005510</v>
      </c>
      <c r="K48" t="s">
        <v>620</v>
      </c>
      <c r="L48" t="s">
        <v>160</v>
      </c>
      <c r="M48" t="s">
        <v>159</v>
      </c>
      <c r="N48">
        <v>1</v>
      </c>
      <c r="O48" t="s">
        <v>9442</v>
      </c>
      <c r="P48">
        <v>34868367300</v>
      </c>
      <c r="Q48">
        <v>60005510</v>
      </c>
      <c r="R48" s="7">
        <v>36130</v>
      </c>
      <c r="S48" s="8">
        <f t="shared" si="0"/>
        <v>1998</v>
      </c>
      <c r="T48" s="8">
        <v>1998</v>
      </c>
      <c r="U48" s="8">
        <f t="shared" si="1"/>
        <v>24</v>
      </c>
      <c r="V48" s="7">
        <v>1998</v>
      </c>
      <c r="W48" t="s">
        <v>558</v>
      </c>
      <c r="X48" s="2">
        <v>0.62</v>
      </c>
      <c r="Y48" s="6">
        <f t="shared" si="2"/>
        <v>1.6550545901070447E-2</v>
      </c>
      <c r="AA48">
        <v>189464</v>
      </c>
      <c r="AB48">
        <v>17364</v>
      </c>
      <c r="AD48" t="s">
        <v>2</v>
      </c>
      <c r="AE48">
        <v>34</v>
      </c>
      <c r="AF48" t="s">
        <v>7</v>
      </c>
      <c r="AH48" t="s">
        <v>9441</v>
      </c>
      <c r="AI48" t="s">
        <v>9440</v>
      </c>
      <c r="AJ48" t="s">
        <v>9439</v>
      </c>
      <c r="AK48" t="s">
        <v>9438</v>
      </c>
      <c r="AL48">
        <v>22</v>
      </c>
      <c r="AM48" s="5">
        <f t="shared" si="3"/>
        <v>0.91666666666666663</v>
      </c>
      <c r="AN48" s="4">
        <f t="shared" si="4"/>
        <v>1.3883629938154739E-3</v>
      </c>
      <c r="AO48" s="3"/>
      <c r="AP48">
        <v>0</v>
      </c>
      <c r="AR48" t="s">
        <v>1</v>
      </c>
      <c r="AT48" s="2">
        <v>1.7</v>
      </c>
      <c r="AU48" s="1">
        <f t="shared" si="5"/>
        <v>1.2001891028893954</v>
      </c>
      <c r="AV48" s="1">
        <f t="shared" si="6"/>
        <v>0.89694544474429616</v>
      </c>
      <c r="AW48" s="1">
        <f t="shared" si="7"/>
        <v>0.59370178659919659</v>
      </c>
    </row>
    <row r="49" spans="1:49" x14ac:dyDescent="0.2">
      <c r="A49">
        <v>47</v>
      </c>
      <c r="B49" t="s">
        <v>9437</v>
      </c>
      <c r="D49" t="s">
        <v>9436</v>
      </c>
      <c r="F49" t="s">
        <v>9435</v>
      </c>
      <c r="G49" t="s">
        <v>5</v>
      </c>
      <c r="H49" t="s">
        <v>4</v>
      </c>
      <c r="I49" t="s">
        <v>915</v>
      </c>
      <c r="J49" t="s">
        <v>9434</v>
      </c>
      <c r="K49" t="s">
        <v>9433</v>
      </c>
      <c r="L49" t="s">
        <v>9432</v>
      </c>
      <c r="M49" t="s">
        <v>9431</v>
      </c>
      <c r="N49">
        <v>5</v>
      </c>
      <c r="O49" t="s">
        <v>9430</v>
      </c>
      <c r="P49" t="s">
        <v>913</v>
      </c>
      <c r="Q49" t="s">
        <v>9429</v>
      </c>
      <c r="R49" s="7">
        <v>36130</v>
      </c>
      <c r="S49" s="8">
        <f t="shared" si="0"/>
        <v>1998</v>
      </c>
      <c r="T49" s="8">
        <v>1998</v>
      </c>
      <c r="U49" s="8">
        <f t="shared" si="1"/>
        <v>24</v>
      </c>
      <c r="V49" s="7">
        <v>1998</v>
      </c>
      <c r="W49" t="s">
        <v>649</v>
      </c>
      <c r="X49" s="2">
        <v>1.6519999999999999</v>
      </c>
      <c r="Y49" s="6">
        <f t="shared" si="2"/>
        <v>4.409919649769093E-2</v>
      </c>
      <c r="AA49" t="s">
        <v>648</v>
      </c>
      <c r="AB49">
        <v>17337</v>
      </c>
      <c r="AD49" t="s">
        <v>2</v>
      </c>
      <c r="AE49">
        <v>46</v>
      </c>
      <c r="AF49">
        <v>7</v>
      </c>
      <c r="AH49">
        <v>10321041</v>
      </c>
      <c r="AI49" t="s">
        <v>9428</v>
      </c>
      <c r="AJ49" t="s">
        <v>9427</v>
      </c>
      <c r="AK49" t="s">
        <v>9426</v>
      </c>
      <c r="AL49">
        <v>7</v>
      </c>
      <c r="AM49" s="5">
        <f t="shared" si="3"/>
        <v>0.29166666666666669</v>
      </c>
      <c r="AN49" s="4">
        <f t="shared" si="4"/>
        <v>4.417518616685599E-4</v>
      </c>
      <c r="AO49" s="3"/>
      <c r="AP49">
        <v>0</v>
      </c>
      <c r="AR49" t="s">
        <v>1</v>
      </c>
      <c r="AT49" s="2" t="s">
        <v>0</v>
      </c>
      <c r="AU49" s="1">
        <f t="shared" si="5"/>
        <v>3.1001963106884216</v>
      </c>
      <c r="AV49" s="1">
        <f t="shared" si="6"/>
        <v>2.2270474179679747</v>
      </c>
      <c r="AW49" s="1">
        <f t="shared" si="7"/>
        <v>1.3538985252475271</v>
      </c>
    </row>
    <row r="50" spans="1:49" x14ac:dyDescent="0.2">
      <c r="A50">
        <v>48</v>
      </c>
      <c r="B50" t="s">
        <v>9425</v>
      </c>
      <c r="D50" t="s">
        <v>9424</v>
      </c>
      <c r="F50" t="s">
        <v>9423</v>
      </c>
      <c r="G50" t="s">
        <v>5</v>
      </c>
      <c r="H50" t="s">
        <v>4</v>
      </c>
      <c r="I50" t="s">
        <v>9422</v>
      </c>
      <c r="J50">
        <v>60021918</v>
      </c>
      <c r="K50" t="s">
        <v>632</v>
      </c>
      <c r="L50" t="s">
        <v>631</v>
      </c>
      <c r="M50" t="s">
        <v>9</v>
      </c>
      <c r="N50">
        <v>2</v>
      </c>
      <c r="O50" t="s">
        <v>9421</v>
      </c>
      <c r="P50" t="s">
        <v>9420</v>
      </c>
      <c r="Q50" t="s">
        <v>630</v>
      </c>
      <c r="R50" s="7">
        <v>36130</v>
      </c>
      <c r="S50" s="8">
        <f t="shared" si="0"/>
        <v>1998</v>
      </c>
      <c r="T50" s="8">
        <v>1998</v>
      </c>
      <c r="U50" s="8">
        <f t="shared" si="1"/>
        <v>24</v>
      </c>
      <c r="V50" s="7">
        <v>1998</v>
      </c>
      <c r="W50" t="s">
        <v>2191</v>
      </c>
      <c r="X50" s="2">
        <v>1.6379999999999999</v>
      </c>
      <c r="Y50" s="6">
        <f t="shared" si="2"/>
        <v>4.3725474493473214E-2</v>
      </c>
      <c r="AA50" t="s">
        <v>2190</v>
      </c>
      <c r="AB50">
        <v>17391</v>
      </c>
      <c r="AD50" t="s">
        <v>2</v>
      </c>
      <c r="AE50">
        <v>46</v>
      </c>
      <c r="AF50">
        <v>2</v>
      </c>
      <c r="AH50">
        <v>540</v>
      </c>
      <c r="AI50" t="s">
        <v>9419</v>
      </c>
      <c r="AK50" t="s">
        <v>9418</v>
      </c>
      <c r="AL50">
        <v>0</v>
      </c>
      <c r="AM50" s="5">
        <f t="shared" si="3"/>
        <v>0</v>
      </c>
      <c r="AN50" s="4">
        <f t="shared" si="4"/>
        <v>0</v>
      </c>
      <c r="AO50" s="3"/>
      <c r="AP50">
        <v>0</v>
      </c>
      <c r="AR50" t="s">
        <v>1</v>
      </c>
      <c r="AT50" s="2">
        <v>4.931</v>
      </c>
      <c r="AU50" s="1">
        <f t="shared" si="5"/>
        <v>3.0607832145431249</v>
      </c>
      <c r="AV50" s="1">
        <f t="shared" si="6"/>
        <v>2.1862737246736605</v>
      </c>
      <c r="AW50" s="1">
        <f t="shared" si="7"/>
        <v>1.3117642348041965</v>
      </c>
    </row>
    <row r="51" spans="1:49" x14ac:dyDescent="0.2">
      <c r="A51">
        <v>49</v>
      </c>
      <c r="B51" t="s">
        <v>9417</v>
      </c>
      <c r="C51" t="s">
        <v>9416</v>
      </c>
      <c r="D51" t="s">
        <v>9415</v>
      </c>
      <c r="F51" t="s">
        <v>3534</v>
      </c>
      <c r="G51" t="s">
        <v>5</v>
      </c>
      <c r="H51" t="s">
        <v>4</v>
      </c>
      <c r="I51" t="s">
        <v>3533</v>
      </c>
      <c r="J51">
        <v>60015481</v>
      </c>
      <c r="K51" t="s">
        <v>3532</v>
      </c>
      <c r="L51" t="s">
        <v>3531</v>
      </c>
      <c r="M51" t="s">
        <v>9</v>
      </c>
      <c r="N51">
        <v>1</v>
      </c>
      <c r="O51" t="s">
        <v>9414</v>
      </c>
      <c r="P51">
        <v>36100496000</v>
      </c>
      <c r="Q51">
        <v>60015481</v>
      </c>
      <c r="R51" s="7">
        <v>36130</v>
      </c>
      <c r="S51" s="8">
        <f t="shared" si="0"/>
        <v>1998</v>
      </c>
      <c r="T51" s="8">
        <v>1998</v>
      </c>
      <c r="U51" s="8">
        <f t="shared" si="1"/>
        <v>24</v>
      </c>
      <c r="V51" s="7">
        <v>1998</v>
      </c>
      <c r="W51" t="s">
        <v>2191</v>
      </c>
      <c r="X51" s="2">
        <v>1.6379999999999999</v>
      </c>
      <c r="Y51" s="6">
        <f t="shared" si="2"/>
        <v>4.3725474493473214E-2</v>
      </c>
      <c r="AA51" t="s">
        <v>2190</v>
      </c>
      <c r="AB51">
        <v>17391</v>
      </c>
      <c r="AD51" t="s">
        <v>2</v>
      </c>
      <c r="AE51">
        <v>46</v>
      </c>
      <c r="AF51">
        <v>11</v>
      </c>
      <c r="AH51" t="s">
        <v>9413</v>
      </c>
      <c r="AI51" t="s">
        <v>9412</v>
      </c>
      <c r="AK51" t="s">
        <v>9411</v>
      </c>
      <c r="AL51">
        <v>11</v>
      </c>
      <c r="AM51" s="5">
        <f t="shared" si="3"/>
        <v>0.45833333333333331</v>
      </c>
      <c r="AN51" s="4">
        <f t="shared" si="4"/>
        <v>6.9418149690773695E-4</v>
      </c>
      <c r="AO51" s="3"/>
      <c r="AP51">
        <v>0</v>
      </c>
      <c r="AR51" t="s">
        <v>1</v>
      </c>
      <c r="AT51" s="2">
        <v>4.931</v>
      </c>
      <c r="AU51" s="1">
        <f t="shared" si="5"/>
        <v>3.0816086594503571</v>
      </c>
      <c r="AV51" s="1">
        <f t="shared" si="6"/>
        <v>2.2209827995190476</v>
      </c>
      <c r="AW51" s="1">
        <f t="shared" si="7"/>
        <v>1.360356939587738</v>
      </c>
    </row>
    <row r="52" spans="1:49" x14ac:dyDescent="0.2">
      <c r="A52">
        <v>50</v>
      </c>
      <c r="B52" t="s">
        <v>9410</v>
      </c>
      <c r="D52" t="s">
        <v>9409</v>
      </c>
      <c r="F52" t="s">
        <v>9408</v>
      </c>
      <c r="G52" t="s">
        <v>5</v>
      </c>
      <c r="H52" t="s">
        <v>4</v>
      </c>
      <c r="I52" t="s">
        <v>9407</v>
      </c>
      <c r="J52">
        <v>100672276</v>
      </c>
      <c r="K52" t="s">
        <v>9406</v>
      </c>
      <c r="L52" t="s">
        <v>9405</v>
      </c>
      <c r="M52" t="s">
        <v>106</v>
      </c>
      <c r="N52">
        <v>3</v>
      </c>
      <c r="O52" t="s">
        <v>9404</v>
      </c>
      <c r="P52" t="s">
        <v>9403</v>
      </c>
      <c r="Q52" t="s">
        <v>9402</v>
      </c>
      <c r="R52" s="7">
        <v>36130</v>
      </c>
      <c r="S52" s="8">
        <f t="shared" si="0"/>
        <v>1998</v>
      </c>
      <c r="T52" s="8">
        <v>1998</v>
      </c>
      <c r="U52" s="8">
        <f t="shared" si="1"/>
        <v>24</v>
      </c>
      <c r="V52" s="7">
        <v>1998</v>
      </c>
      <c r="W52" t="s">
        <v>2191</v>
      </c>
      <c r="X52" s="2">
        <v>1.6379999999999999</v>
      </c>
      <c r="Y52" s="6">
        <f t="shared" si="2"/>
        <v>4.3725474493473214E-2</v>
      </c>
      <c r="AA52" t="s">
        <v>2190</v>
      </c>
      <c r="AB52">
        <v>17391</v>
      </c>
      <c r="AD52" t="s">
        <v>2</v>
      </c>
      <c r="AE52">
        <v>46</v>
      </c>
      <c r="AF52">
        <v>8</v>
      </c>
      <c r="AH52">
        <v>2275</v>
      </c>
      <c r="AI52" t="s">
        <v>9401</v>
      </c>
      <c r="AK52" t="s">
        <v>9400</v>
      </c>
      <c r="AL52">
        <v>0</v>
      </c>
      <c r="AM52" s="5">
        <f t="shared" si="3"/>
        <v>0</v>
      </c>
      <c r="AN52" s="4">
        <f t="shared" si="4"/>
        <v>0</v>
      </c>
      <c r="AO52" s="3"/>
      <c r="AP52">
        <v>0</v>
      </c>
      <c r="AR52" t="s">
        <v>1</v>
      </c>
      <c r="AT52" s="2">
        <v>4.931</v>
      </c>
      <c r="AU52" s="1">
        <f t="shared" si="5"/>
        <v>3.0607832145431249</v>
      </c>
      <c r="AV52" s="1">
        <f t="shared" si="6"/>
        <v>2.1862737246736605</v>
      </c>
      <c r="AW52" s="1">
        <f t="shared" si="7"/>
        <v>1.3117642348041965</v>
      </c>
    </row>
    <row r="53" spans="1:49" x14ac:dyDescent="0.2">
      <c r="A53">
        <v>51</v>
      </c>
      <c r="B53" t="s">
        <v>9399</v>
      </c>
      <c r="D53" t="s">
        <v>9398</v>
      </c>
      <c r="F53" t="s">
        <v>9397</v>
      </c>
      <c r="G53" t="s">
        <v>5</v>
      </c>
      <c r="H53" t="s">
        <v>4</v>
      </c>
      <c r="I53" t="s">
        <v>9396</v>
      </c>
      <c r="J53">
        <v>60009254</v>
      </c>
      <c r="K53" t="s">
        <v>9395</v>
      </c>
      <c r="L53" t="s">
        <v>9394</v>
      </c>
      <c r="M53" t="s">
        <v>9</v>
      </c>
      <c r="N53">
        <v>2</v>
      </c>
      <c r="O53" t="s">
        <v>9393</v>
      </c>
      <c r="P53" t="s">
        <v>9392</v>
      </c>
      <c r="Q53" t="s">
        <v>9391</v>
      </c>
      <c r="R53" s="7">
        <v>36130</v>
      </c>
      <c r="S53" s="8">
        <f t="shared" si="0"/>
        <v>1998</v>
      </c>
      <c r="T53" s="8">
        <v>1998</v>
      </c>
      <c r="U53" s="8">
        <f t="shared" si="1"/>
        <v>24</v>
      </c>
      <c r="V53" s="7">
        <v>1998</v>
      </c>
      <c r="W53" t="s">
        <v>2191</v>
      </c>
      <c r="X53" s="2">
        <v>1.6379999999999999</v>
      </c>
      <c r="Y53" s="6">
        <f t="shared" si="2"/>
        <v>4.3725474493473214E-2</v>
      </c>
      <c r="AA53" t="s">
        <v>2190</v>
      </c>
      <c r="AB53">
        <v>17391</v>
      </c>
      <c r="AD53" t="s">
        <v>2</v>
      </c>
      <c r="AE53">
        <v>46</v>
      </c>
      <c r="AF53">
        <v>3</v>
      </c>
      <c r="AH53">
        <v>819</v>
      </c>
      <c r="AI53" t="s">
        <v>9390</v>
      </c>
      <c r="AK53" t="s">
        <v>9389</v>
      </c>
      <c r="AL53">
        <v>0</v>
      </c>
      <c r="AM53" s="5">
        <f t="shared" si="3"/>
        <v>0</v>
      </c>
      <c r="AN53" s="4">
        <f t="shared" si="4"/>
        <v>0</v>
      </c>
      <c r="AO53" s="3"/>
      <c r="AP53">
        <v>0</v>
      </c>
      <c r="AR53" t="s">
        <v>1</v>
      </c>
      <c r="AT53" s="2">
        <v>4.931</v>
      </c>
      <c r="AU53" s="1">
        <f t="shared" si="5"/>
        <v>3.0607832145431249</v>
      </c>
      <c r="AV53" s="1">
        <f t="shared" si="6"/>
        <v>2.1862737246736605</v>
      </c>
      <c r="AW53" s="1">
        <f t="shared" si="7"/>
        <v>1.3117642348041965</v>
      </c>
    </row>
    <row r="54" spans="1:49" x14ac:dyDescent="0.2">
      <c r="A54">
        <v>52</v>
      </c>
      <c r="B54" t="s">
        <v>9388</v>
      </c>
      <c r="D54" t="s">
        <v>9379</v>
      </c>
      <c r="F54" t="s">
        <v>9387</v>
      </c>
      <c r="G54" t="s">
        <v>5</v>
      </c>
      <c r="H54" t="s">
        <v>4</v>
      </c>
      <c r="I54" t="s">
        <v>9386</v>
      </c>
      <c r="J54">
        <v>60032350</v>
      </c>
      <c r="K54" t="s">
        <v>547</v>
      </c>
      <c r="L54" t="s">
        <v>477</v>
      </c>
      <c r="M54" t="s">
        <v>195</v>
      </c>
      <c r="N54">
        <v>3</v>
      </c>
      <c r="O54" t="s">
        <v>9385</v>
      </c>
      <c r="P54" t="s">
        <v>9384</v>
      </c>
      <c r="Q54" t="s">
        <v>9383</v>
      </c>
      <c r="R54" s="7">
        <v>36130</v>
      </c>
      <c r="S54" s="8">
        <f t="shared" si="0"/>
        <v>1998</v>
      </c>
      <c r="T54" s="8">
        <v>1998</v>
      </c>
      <c r="U54" s="8">
        <f t="shared" si="1"/>
        <v>24</v>
      </c>
      <c r="V54" s="7">
        <v>1998</v>
      </c>
      <c r="W54" t="s">
        <v>2191</v>
      </c>
      <c r="X54" s="2">
        <v>1.6379999999999999</v>
      </c>
      <c r="Y54" s="6">
        <f t="shared" si="2"/>
        <v>4.3725474493473214E-2</v>
      </c>
      <c r="AA54" t="s">
        <v>2190</v>
      </c>
      <c r="AB54">
        <v>17391</v>
      </c>
      <c r="AD54" t="s">
        <v>2</v>
      </c>
      <c r="AE54">
        <v>46</v>
      </c>
      <c r="AF54">
        <v>7</v>
      </c>
      <c r="AH54">
        <v>2072</v>
      </c>
      <c r="AI54" t="s">
        <v>9382</v>
      </c>
      <c r="AK54" t="s">
        <v>9381</v>
      </c>
      <c r="AL54">
        <v>1</v>
      </c>
      <c r="AM54" s="5">
        <f t="shared" si="3"/>
        <v>4.1666666666666664E-2</v>
      </c>
      <c r="AN54" s="4">
        <f t="shared" si="4"/>
        <v>6.3107408809794262E-5</v>
      </c>
      <c r="AO54" s="3"/>
      <c r="AP54">
        <v>0</v>
      </c>
      <c r="AR54" t="s">
        <v>1</v>
      </c>
      <c r="AT54" s="2">
        <v>4.931</v>
      </c>
      <c r="AU54" s="1">
        <f t="shared" si="5"/>
        <v>3.0626764368074189</v>
      </c>
      <c r="AV54" s="1">
        <f t="shared" si="6"/>
        <v>2.1894290951141504</v>
      </c>
      <c r="AW54" s="1">
        <f t="shared" si="7"/>
        <v>1.316181753420882</v>
      </c>
    </row>
    <row r="55" spans="1:49" x14ac:dyDescent="0.2">
      <c r="A55">
        <v>53</v>
      </c>
      <c r="B55" t="s">
        <v>9380</v>
      </c>
      <c r="D55" t="s">
        <v>9379</v>
      </c>
      <c r="F55" t="s">
        <v>9378</v>
      </c>
      <c r="G55" t="s">
        <v>5</v>
      </c>
      <c r="H55" t="s">
        <v>4</v>
      </c>
      <c r="I55" t="s">
        <v>9377</v>
      </c>
      <c r="J55">
        <v>100316048</v>
      </c>
      <c r="K55" t="s">
        <v>9376</v>
      </c>
      <c r="L55" t="s">
        <v>9375</v>
      </c>
      <c r="M55" t="s">
        <v>9</v>
      </c>
      <c r="N55">
        <v>3</v>
      </c>
      <c r="O55" t="s">
        <v>9374</v>
      </c>
      <c r="P55" t="s">
        <v>9373</v>
      </c>
      <c r="Q55" t="s">
        <v>9372</v>
      </c>
      <c r="R55" s="7">
        <v>36130</v>
      </c>
      <c r="S55" s="8">
        <f t="shared" si="0"/>
        <v>1998</v>
      </c>
      <c r="T55" s="8">
        <v>1998</v>
      </c>
      <c r="U55" s="8">
        <f t="shared" si="1"/>
        <v>24</v>
      </c>
      <c r="V55" s="7">
        <v>1998</v>
      </c>
      <c r="W55" t="s">
        <v>2191</v>
      </c>
      <c r="X55" s="2">
        <v>1.6379999999999999</v>
      </c>
      <c r="Y55" s="6">
        <f t="shared" si="2"/>
        <v>4.3725474493473214E-2</v>
      </c>
      <c r="AA55" t="s">
        <v>2190</v>
      </c>
      <c r="AB55">
        <v>17391</v>
      </c>
      <c r="AD55" t="s">
        <v>2</v>
      </c>
      <c r="AE55">
        <v>46</v>
      </c>
      <c r="AF55">
        <v>7</v>
      </c>
      <c r="AH55">
        <v>2073</v>
      </c>
      <c r="AI55" t="s">
        <v>9371</v>
      </c>
      <c r="AK55" t="s">
        <v>9370</v>
      </c>
      <c r="AL55">
        <v>0</v>
      </c>
      <c r="AM55" s="5">
        <f t="shared" si="3"/>
        <v>0</v>
      </c>
      <c r="AN55" s="4">
        <f t="shared" si="4"/>
        <v>0</v>
      </c>
      <c r="AO55" s="3"/>
      <c r="AP55">
        <v>0</v>
      </c>
      <c r="AR55" t="s">
        <v>1</v>
      </c>
      <c r="AT55" s="2">
        <v>4.931</v>
      </c>
      <c r="AU55" s="1">
        <f t="shared" si="5"/>
        <v>3.0607832145431249</v>
      </c>
      <c r="AV55" s="1">
        <f t="shared" si="6"/>
        <v>2.1862737246736605</v>
      </c>
      <c r="AW55" s="1">
        <f t="shared" si="7"/>
        <v>1.3117642348041965</v>
      </c>
    </row>
    <row r="56" spans="1:49" x14ac:dyDescent="0.2">
      <c r="A56">
        <v>54</v>
      </c>
      <c r="B56" t="s">
        <v>9369</v>
      </c>
      <c r="C56" t="s">
        <v>9368</v>
      </c>
      <c r="D56" t="s">
        <v>9367</v>
      </c>
      <c r="F56" t="s">
        <v>9366</v>
      </c>
      <c r="G56" t="s">
        <v>5</v>
      </c>
      <c r="H56" t="s">
        <v>4</v>
      </c>
      <c r="I56" t="s">
        <v>9365</v>
      </c>
      <c r="J56" t="s">
        <v>9364</v>
      </c>
      <c r="K56" t="s">
        <v>9363</v>
      </c>
      <c r="L56" t="s">
        <v>9362</v>
      </c>
      <c r="M56" t="s">
        <v>101</v>
      </c>
      <c r="N56">
        <v>2</v>
      </c>
      <c r="O56" t="s">
        <v>9361</v>
      </c>
      <c r="P56" t="s">
        <v>9360</v>
      </c>
      <c r="Q56" t="s">
        <v>9359</v>
      </c>
      <c r="R56" s="7">
        <v>36130</v>
      </c>
      <c r="S56" s="8">
        <f t="shared" si="0"/>
        <v>1998</v>
      </c>
      <c r="T56" s="8">
        <v>1998</v>
      </c>
      <c r="U56" s="8">
        <f t="shared" si="1"/>
        <v>24</v>
      </c>
      <c r="V56" s="7">
        <v>1998</v>
      </c>
      <c r="W56" t="s">
        <v>256</v>
      </c>
      <c r="X56" s="2">
        <v>1.468</v>
      </c>
      <c r="Y56" s="6">
        <f t="shared" si="2"/>
        <v>3.9187421585115186E-2</v>
      </c>
      <c r="AA56">
        <v>906778</v>
      </c>
      <c r="AB56">
        <v>18931</v>
      </c>
      <c r="AD56" t="s">
        <v>2</v>
      </c>
      <c r="AE56">
        <v>46</v>
      </c>
      <c r="AF56">
        <v>3</v>
      </c>
      <c r="AH56" t="s">
        <v>9358</v>
      </c>
      <c r="AI56" t="s">
        <v>9357</v>
      </c>
      <c r="AJ56" t="s">
        <v>9356</v>
      </c>
      <c r="AK56" t="s">
        <v>9355</v>
      </c>
      <c r="AL56">
        <v>1152</v>
      </c>
      <c r="AM56" s="5">
        <f t="shared" si="3"/>
        <v>48</v>
      </c>
      <c r="AN56" s="4">
        <f t="shared" si="4"/>
        <v>7.2699734948883002E-2</v>
      </c>
      <c r="AO56" s="3"/>
      <c r="AP56">
        <v>0</v>
      </c>
      <c r="AR56" t="s">
        <v>1</v>
      </c>
      <c r="AT56" s="2">
        <v>5.0830000000000002</v>
      </c>
      <c r="AU56" s="1">
        <f t="shared" si="5"/>
        <v>4.9241115594245528</v>
      </c>
      <c r="AV56" s="1">
        <f t="shared" si="6"/>
        <v>5.5943578266999099</v>
      </c>
      <c r="AW56" s="1">
        <f t="shared" si="7"/>
        <v>6.2646040939752652</v>
      </c>
    </row>
    <row r="57" spans="1:49" x14ac:dyDescent="0.2">
      <c r="A57">
        <v>55</v>
      </c>
      <c r="B57" t="s">
        <v>9354</v>
      </c>
      <c r="C57" t="s">
        <v>9353</v>
      </c>
      <c r="D57" t="s">
        <v>9352</v>
      </c>
      <c r="F57" t="s">
        <v>9351</v>
      </c>
      <c r="G57" t="s">
        <v>5</v>
      </c>
      <c r="H57" t="s">
        <v>4</v>
      </c>
      <c r="I57" t="s">
        <v>365</v>
      </c>
      <c r="J57">
        <v>60025555</v>
      </c>
      <c r="K57" t="s">
        <v>173</v>
      </c>
      <c r="L57" t="s">
        <v>104</v>
      </c>
      <c r="M57" t="s">
        <v>12</v>
      </c>
      <c r="N57">
        <v>2</v>
      </c>
      <c r="O57" t="s">
        <v>9350</v>
      </c>
      <c r="P57" t="s">
        <v>9349</v>
      </c>
      <c r="Q57" t="s">
        <v>387</v>
      </c>
      <c r="R57" s="7">
        <v>36130</v>
      </c>
      <c r="S57" s="8">
        <f t="shared" si="0"/>
        <v>1998</v>
      </c>
      <c r="T57" s="8">
        <v>1998</v>
      </c>
      <c r="U57" s="8">
        <f t="shared" si="1"/>
        <v>24</v>
      </c>
      <c r="V57" s="7">
        <v>1998</v>
      </c>
      <c r="W57" t="s">
        <v>4001</v>
      </c>
      <c r="X57" s="2">
        <v>1.365</v>
      </c>
      <c r="Y57" s="6">
        <f t="shared" si="2"/>
        <v>3.6437895411227675E-2</v>
      </c>
      <c r="AA57">
        <v>189545</v>
      </c>
      <c r="AB57">
        <v>17393</v>
      </c>
      <c r="AD57" t="s">
        <v>2</v>
      </c>
      <c r="AE57">
        <v>47</v>
      </c>
      <c r="AF57">
        <v>2</v>
      </c>
      <c r="AH57" t="s">
        <v>9348</v>
      </c>
      <c r="AI57" t="s">
        <v>9347</v>
      </c>
      <c r="AJ57" t="s">
        <v>9346</v>
      </c>
      <c r="AK57" t="s">
        <v>9345</v>
      </c>
      <c r="AL57">
        <v>4</v>
      </c>
      <c r="AM57" s="5">
        <f t="shared" si="3"/>
        <v>0.16666666666666666</v>
      </c>
      <c r="AN57" s="4">
        <f t="shared" si="4"/>
        <v>2.5242963523917705E-4</v>
      </c>
      <c r="AO57" s="3"/>
      <c r="AP57">
        <v>0</v>
      </c>
      <c r="AR57" t="s">
        <v>1</v>
      </c>
      <c r="AT57" s="2" t="s">
        <v>0</v>
      </c>
      <c r="AU57" s="1">
        <f t="shared" si="5"/>
        <v>2.5582255678431123</v>
      </c>
      <c r="AV57" s="1">
        <f t="shared" si="6"/>
        <v>1.8345162523233427</v>
      </c>
      <c r="AW57" s="1">
        <f t="shared" si="7"/>
        <v>1.1108069368035725</v>
      </c>
    </row>
    <row r="58" spans="1:49" x14ac:dyDescent="0.2">
      <c r="A58">
        <v>56</v>
      </c>
      <c r="B58" t="s">
        <v>9344</v>
      </c>
      <c r="C58" t="s">
        <v>9343</v>
      </c>
      <c r="D58" t="s">
        <v>9342</v>
      </c>
      <c r="F58" t="s">
        <v>9341</v>
      </c>
      <c r="G58" t="s">
        <v>5</v>
      </c>
      <c r="H58" t="s">
        <v>4</v>
      </c>
      <c r="I58" t="s">
        <v>9340</v>
      </c>
      <c r="J58" t="s">
        <v>9335</v>
      </c>
      <c r="K58" t="s">
        <v>9339</v>
      </c>
      <c r="L58" t="s">
        <v>9338</v>
      </c>
      <c r="M58" t="s">
        <v>3615</v>
      </c>
      <c r="N58">
        <v>3</v>
      </c>
      <c r="O58" t="s">
        <v>9337</v>
      </c>
      <c r="P58" t="s">
        <v>9336</v>
      </c>
      <c r="Q58" t="s">
        <v>9335</v>
      </c>
      <c r="R58" s="7">
        <v>36130</v>
      </c>
      <c r="S58" s="8">
        <f t="shared" si="0"/>
        <v>1998</v>
      </c>
      <c r="T58" s="8">
        <v>1998</v>
      </c>
      <c r="U58" s="8">
        <f t="shared" si="1"/>
        <v>24</v>
      </c>
      <c r="V58" s="7">
        <v>1998</v>
      </c>
      <c r="W58" t="s">
        <v>4001</v>
      </c>
      <c r="X58" s="2">
        <v>1.365</v>
      </c>
      <c r="Y58" s="6">
        <f t="shared" si="2"/>
        <v>3.6437895411227675E-2</v>
      </c>
      <c r="AA58">
        <v>189545</v>
      </c>
      <c r="AB58">
        <v>17393</v>
      </c>
      <c r="AD58" t="s">
        <v>2</v>
      </c>
      <c r="AE58">
        <v>47</v>
      </c>
      <c r="AF58">
        <v>1</v>
      </c>
      <c r="AH58" s="10">
        <v>43739</v>
      </c>
      <c r="AI58" t="s">
        <v>9334</v>
      </c>
      <c r="AK58" t="s">
        <v>9333</v>
      </c>
      <c r="AL58">
        <v>71</v>
      </c>
      <c r="AM58" s="5">
        <f t="shared" si="3"/>
        <v>2.9583333333333335</v>
      </c>
      <c r="AN58" s="4">
        <f t="shared" si="4"/>
        <v>4.4806260254953937E-3</v>
      </c>
      <c r="AO58" s="3"/>
      <c r="AP58">
        <v>0</v>
      </c>
      <c r="AR58" t="s">
        <v>1</v>
      </c>
      <c r="AT58" s="2" t="s">
        <v>0</v>
      </c>
      <c r="AU58" s="1">
        <f t="shared" si="5"/>
        <v>2.685071459550799</v>
      </c>
      <c r="AV58" s="1">
        <f t="shared" si="6"/>
        <v>2.0459260718361532</v>
      </c>
      <c r="AW58" s="1">
        <f t="shared" si="7"/>
        <v>1.4067806841215078</v>
      </c>
    </row>
    <row r="59" spans="1:49" x14ac:dyDescent="0.2">
      <c r="A59">
        <v>57</v>
      </c>
      <c r="B59" t="s">
        <v>9332</v>
      </c>
      <c r="C59" t="s">
        <v>9331</v>
      </c>
      <c r="D59" t="s">
        <v>9330</v>
      </c>
      <c r="F59" t="s">
        <v>9329</v>
      </c>
      <c r="G59" t="s">
        <v>5</v>
      </c>
      <c r="H59" t="s">
        <v>4</v>
      </c>
      <c r="I59" t="s">
        <v>9328</v>
      </c>
      <c r="J59">
        <v>60019722</v>
      </c>
      <c r="K59" t="s">
        <v>5661</v>
      </c>
      <c r="L59" t="s">
        <v>40</v>
      </c>
      <c r="M59" t="s">
        <v>37</v>
      </c>
      <c r="N59">
        <v>2</v>
      </c>
      <c r="O59" t="s">
        <v>9327</v>
      </c>
      <c r="P59" t="s">
        <v>9326</v>
      </c>
      <c r="Q59" t="s">
        <v>5718</v>
      </c>
      <c r="R59" s="7">
        <v>36130</v>
      </c>
      <c r="S59" s="8">
        <f t="shared" si="0"/>
        <v>1998</v>
      </c>
      <c r="T59" s="8">
        <v>1998</v>
      </c>
      <c r="U59" s="8">
        <f t="shared" si="1"/>
        <v>24</v>
      </c>
      <c r="V59" s="7">
        <v>1998</v>
      </c>
      <c r="W59" t="s">
        <v>303</v>
      </c>
      <c r="X59" s="2">
        <v>1.3720000000000001</v>
      </c>
      <c r="Y59" s="6">
        <f t="shared" si="2"/>
        <v>3.662475641333654E-2</v>
      </c>
      <c r="AA59">
        <v>189480</v>
      </c>
      <c r="AB59">
        <v>17366</v>
      </c>
      <c r="AD59" t="s">
        <v>2</v>
      </c>
      <c r="AE59">
        <v>46</v>
      </c>
      <c r="AF59" t="s">
        <v>4160</v>
      </c>
      <c r="AH59" t="s">
        <v>9325</v>
      </c>
      <c r="AI59" t="s">
        <v>9324</v>
      </c>
      <c r="AJ59" t="s">
        <v>9323</v>
      </c>
      <c r="AK59" t="s">
        <v>9322</v>
      </c>
      <c r="AL59">
        <v>1</v>
      </c>
      <c r="AM59" s="5">
        <f t="shared" si="3"/>
        <v>4.1666666666666664E-2</v>
      </c>
      <c r="AN59" s="4">
        <f t="shared" si="4"/>
        <v>6.3107408809794262E-5</v>
      </c>
      <c r="AO59" s="3"/>
      <c r="AP59">
        <v>0</v>
      </c>
      <c r="AR59" t="s">
        <v>1</v>
      </c>
      <c r="AT59" s="2" t="s">
        <v>0</v>
      </c>
      <c r="AU59" s="1">
        <f t="shared" si="5"/>
        <v>2.5656261711978514</v>
      </c>
      <c r="AV59" s="1">
        <f t="shared" si="6"/>
        <v>1.8343931911073166</v>
      </c>
      <c r="AW59" s="1">
        <f t="shared" si="7"/>
        <v>1.103160211016782</v>
      </c>
    </row>
    <row r="60" spans="1:49" x14ac:dyDescent="0.2">
      <c r="A60">
        <v>58</v>
      </c>
      <c r="B60" t="s">
        <v>9321</v>
      </c>
      <c r="F60" t="s">
        <v>9320</v>
      </c>
      <c r="G60" t="s">
        <v>5</v>
      </c>
      <c r="H60" t="s">
        <v>4</v>
      </c>
      <c r="I60" t="s">
        <v>9319</v>
      </c>
      <c r="J60">
        <v>60010080</v>
      </c>
      <c r="K60" t="s">
        <v>9318</v>
      </c>
      <c r="L60" t="s">
        <v>333</v>
      </c>
      <c r="M60" t="s">
        <v>82</v>
      </c>
      <c r="N60">
        <v>2</v>
      </c>
      <c r="O60" t="s">
        <v>9317</v>
      </c>
      <c r="P60" t="s">
        <v>9316</v>
      </c>
      <c r="Q60" t="s">
        <v>9315</v>
      </c>
      <c r="R60" s="7">
        <v>36130</v>
      </c>
      <c r="S60" s="8">
        <f t="shared" si="0"/>
        <v>1998</v>
      </c>
      <c r="T60" s="8">
        <v>1998</v>
      </c>
      <c r="U60" s="8">
        <f t="shared" si="1"/>
        <v>24</v>
      </c>
      <c r="V60" s="7">
        <v>1998</v>
      </c>
      <c r="W60" t="s">
        <v>9308</v>
      </c>
      <c r="X60" s="2">
        <v>0.20599999999999999</v>
      </c>
      <c r="Y60" s="6">
        <f t="shared" si="2"/>
        <v>5.4990523477750197E-3</v>
      </c>
      <c r="AA60">
        <v>10019014</v>
      </c>
      <c r="AB60">
        <v>29725</v>
      </c>
      <c r="AD60" t="s">
        <v>2</v>
      </c>
      <c r="AE60">
        <v>17</v>
      </c>
      <c r="AF60">
        <v>6</v>
      </c>
      <c r="AH60">
        <v>458</v>
      </c>
      <c r="AI60" t="s">
        <v>9314</v>
      </c>
      <c r="AJ60" t="s">
        <v>9313</v>
      </c>
      <c r="AK60" t="s">
        <v>9312</v>
      </c>
      <c r="AL60">
        <v>0</v>
      </c>
      <c r="AM60" s="5">
        <f t="shared" si="3"/>
        <v>0</v>
      </c>
      <c r="AN60" s="4">
        <f t="shared" si="4"/>
        <v>0</v>
      </c>
      <c r="AO60" s="3"/>
      <c r="AP60">
        <v>0</v>
      </c>
      <c r="AR60" t="s">
        <v>1</v>
      </c>
      <c r="AT60" s="2" t="s">
        <v>0</v>
      </c>
      <c r="AU60" s="1">
        <f t="shared" si="5"/>
        <v>0.38493366434425136</v>
      </c>
      <c r="AV60" s="1">
        <f t="shared" si="6"/>
        <v>0.27495261738875099</v>
      </c>
      <c r="AW60" s="1">
        <f t="shared" si="7"/>
        <v>0.16497157043325059</v>
      </c>
    </row>
    <row r="61" spans="1:49" x14ac:dyDescent="0.2">
      <c r="A61">
        <v>59</v>
      </c>
      <c r="B61" t="s">
        <v>9311</v>
      </c>
      <c r="F61" t="s">
        <v>9310</v>
      </c>
      <c r="G61" t="s">
        <v>5</v>
      </c>
      <c r="H61" t="s">
        <v>4</v>
      </c>
      <c r="I61" t="s">
        <v>412</v>
      </c>
      <c r="J61">
        <v>60005244</v>
      </c>
      <c r="K61" t="s">
        <v>334</v>
      </c>
      <c r="L61" t="s">
        <v>333</v>
      </c>
      <c r="M61" t="s">
        <v>82</v>
      </c>
      <c r="N61">
        <v>3</v>
      </c>
      <c r="O61" t="s">
        <v>9309</v>
      </c>
      <c r="P61" t="s">
        <v>411</v>
      </c>
      <c r="Q61" t="s">
        <v>410</v>
      </c>
      <c r="R61" s="7">
        <v>36130</v>
      </c>
      <c r="S61" s="8">
        <f t="shared" si="0"/>
        <v>1998</v>
      </c>
      <c r="T61" s="8">
        <v>1998</v>
      </c>
      <c r="U61" s="8">
        <f t="shared" si="1"/>
        <v>24</v>
      </c>
      <c r="V61" s="7">
        <v>1998</v>
      </c>
      <c r="W61" t="s">
        <v>9308</v>
      </c>
      <c r="X61" s="2">
        <v>0.20599999999999999</v>
      </c>
      <c r="Y61" s="6">
        <f t="shared" si="2"/>
        <v>5.4990523477750197E-3</v>
      </c>
      <c r="AA61">
        <v>10019014</v>
      </c>
      <c r="AB61">
        <v>29725</v>
      </c>
      <c r="AD61" t="s">
        <v>2</v>
      </c>
      <c r="AE61">
        <v>17</v>
      </c>
      <c r="AF61">
        <v>4</v>
      </c>
      <c r="AH61">
        <v>270</v>
      </c>
      <c r="AI61" t="s">
        <v>9307</v>
      </c>
      <c r="AJ61" t="s">
        <v>9306</v>
      </c>
      <c r="AK61" t="s">
        <v>9305</v>
      </c>
      <c r="AL61">
        <v>0</v>
      </c>
      <c r="AM61" s="5">
        <f t="shared" si="3"/>
        <v>0</v>
      </c>
      <c r="AN61" s="4">
        <f t="shared" si="4"/>
        <v>0</v>
      </c>
      <c r="AO61" s="3"/>
      <c r="AP61">
        <v>0</v>
      </c>
      <c r="AR61" t="s">
        <v>1</v>
      </c>
      <c r="AT61" s="2" t="s">
        <v>0</v>
      </c>
      <c r="AU61" s="1">
        <f t="shared" si="5"/>
        <v>0.38493366434425136</v>
      </c>
      <c r="AV61" s="1">
        <f t="shared" si="6"/>
        <v>0.27495261738875099</v>
      </c>
      <c r="AW61" s="1">
        <f t="shared" si="7"/>
        <v>0.16497157043325059</v>
      </c>
    </row>
    <row r="62" spans="1:49" x14ac:dyDescent="0.2">
      <c r="A62">
        <v>60</v>
      </c>
      <c r="B62" t="s">
        <v>9304</v>
      </c>
      <c r="C62" t="s">
        <v>9303</v>
      </c>
      <c r="D62" t="s">
        <v>9302</v>
      </c>
      <c r="F62" t="s">
        <v>9301</v>
      </c>
      <c r="G62" t="s">
        <v>5</v>
      </c>
      <c r="H62" t="s">
        <v>4</v>
      </c>
      <c r="I62" t="s">
        <v>9300</v>
      </c>
      <c r="J62">
        <v>100510990</v>
      </c>
      <c r="K62" t="s">
        <v>9299</v>
      </c>
      <c r="L62" t="s">
        <v>9298</v>
      </c>
      <c r="M62" t="s">
        <v>9</v>
      </c>
      <c r="N62">
        <v>4</v>
      </c>
      <c r="O62" t="s">
        <v>9297</v>
      </c>
      <c r="P62" t="s">
        <v>9296</v>
      </c>
      <c r="Q62" t="s">
        <v>9295</v>
      </c>
      <c r="R62" s="7">
        <v>36130</v>
      </c>
      <c r="S62" s="8">
        <f t="shared" si="0"/>
        <v>1998</v>
      </c>
      <c r="T62" s="8">
        <v>1998</v>
      </c>
      <c r="U62" s="8">
        <f t="shared" si="1"/>
        <v>24</v>
      </c>
      <c r="V62" s="7">
        <v>1998</v>
      </c>
      <c r="W62" t="s">
        <v>649</v>
      </c>
      <c r="X62" s="2">
        <v>1.6519999999999999</v>
      </c>
      <c r="Y62" s="6">
        <f t="shared" si="2"/>
        <v>4.409919649769093E-2</v>
      </c>
      <c r="AA62" t="s">
        <v>648</v>
      </c>
      <c r="AB62">
        <v>17337</v>
      </c>
      <c r="AD62" t="s">
        <v>2</v>
      </c>
      <c r="AE62">
        <v>46</v>
      </c>
      <c r="AF62">
        <v>12</v>
      </c>
      <c r="AH62" t="s">
        <v>9294</v>
      </c>
      <c r="AI62" t="s">
        <v>9293</v>
      </c>
      <c r="AJ62" t="s">
        <v>9292</v>
      </c>
      <c r="AK62" t="s">
        <v>9291</v>
      </c>
      <c r="AL62">
        <v>21</v>
      </c>
      <c r="AM62" s="5">
        <f t="shared" si="3"/>
        <v>0.875</v>
      </c>
      <c r="AN62" s="4">
        <f t="shared" si="4"/>
        <v>1.3252555850056798E-3</v>
      </c>
      <c r="AO62" s="3"/>
      <c r="AP62">
        <v>0</v>
      </c>
      <c r="AQ62" t="s">
        <v>374</v>
      </c>
      <c r="AR62" t="s">
        <v>9290</v>
      </c>
      <c r="AS62" t="s">
        <v>373</v>
      </c>
      <c r="AT62" s="2" t="s">
        <v>0</v>
      </c>
      <c r="AU62" s="1">
        <f t="shared" si="5"/>
        <v>3.1267014223885359</v>
      </c>
      <c r="AV62" s="1">
        <f t="shared" si="6"/>
        <v>2.2712226041348305</v>
      </c>
      <c r="AW62" s="1">
        <f t="shared" si="7"/>
        <v>1.4157437858811253</v>
      </c>
    </row>
    <row r="63" spans="1:49" x14ac:dyDescent="0.2">
      <c r="A63">
        <v>61</v>
      </c>
      <c r="B63" t="s">
        <v>9289</v>
      </c>
      <c r="C63" t="s">
        <v>9288</v>
      </c>
      <c r="F63" t="s">
        <v>9287</v>
      </c>
      <c r="G63" t="s">
        <v>5</v>
      </c>
      <c r="H63" t="s">
        <v>4</v>
      </c>
      <c r="I63" t="s">
        <v>9286</v>
      </c>
      <c r="J63" t="s">
        <v>9285</v>
      </c>
      <c r="K63" t="s">
        <v>9284</v>
      </c>
      <c r="L63" t="s">
        <v>9283</v>
      </c>
      <c r="M63" t="s">
        <v>9282</v>
      </c>
      <c r="N63">
        <v>4</v>
      </c>
      <c r="O63" t="s">
        <v>9281</v>
      </c>
      <c r="P63" t="s">
        <v>9280</v>
      </c>
      <c r="Q63" t="s">
        <v>9279</v>
      </c>
      <c r="R63" s="7">
        <v>36130</v>
      </c>
      <c r="S63" s="8">
        <f t="shared" si="0"/>
        <v>1998</v>
      </c>
      <c r="T63" s="8">
        <v>1998</v>
      </c>
      <c r="U63" s="8">
        <f t="shared" si="1"/>
        <v>24</v>
      </c>
      <c r="V63" s="7">
        <v>1998</v>
      </c>
      <c r="W63" t="s">
        <v>9278</v>
      </c>
      <c r="X63" s="2">
        <v>0.48499999999999999</v>
      </c>
      <c r="Y63" s="6">
        <f t="shared" si="2"/>
        <v>1.294679800325672E-2</v>
      </c>
      <c r="AA63">
        <v>9478396</v>
      </c>
      <c r="AB63">
        <v>27027</v>
      </c>
      <c r="AC63">
        <v>14320630</v>
      </c>
      <c r="AD63" t="s">
        <v>2</v>
      </c>
      <c r="AE63">
        <v>66</v>
      </c>
      <c r="AF63" t="s">
        <v>9277</v>
      </c>
      <c r="AI63" t="s">
        <v>9276</v>
      </c>
      <c r="AK63" t="s">
        <v>9275</v>
      </c>
      <c r="AL63">
        <v>9</v>
      </c>
      <c r="AM63" s="5">
        <f t="shared" si="3"/>
        <v>0.375</v>
      </c>
      <c r="AN63" s="4">
        <f t="shared" si="4"/>
        <v>5.6796667928814845E-4</v>
      </c>
      <c r="AO63" s="3"/>
      <c r="AP63">
        <v>0</v>
      </c>
      <c r="AR63" t="s">
        <v>1</v>
      </c>
      <c r="AT63" s="2" t="s">
        <v>0</v>
      </c>
      <c r="AU63" s="1">
        <f t="shared" si="5"/>
        <v>0.92331486060661483</v>
      </c>
      <c r="AV63" s="1">
        <f t="shared" si="6"/>
        <v>0.67573823412724343</v>
      </c>
      <c r="AW63" s="1">
        <f t="shared" si="7"/>
        <v>0.42816160764787203</v>
      </c>
    </row>
    <row r="64" spans="1:49" x14ac:dyDescent="0.2">
      <c r="A64">
        <v>62</v>
      </c>
      <c r="B64" t="s">
        <v>9274</v>
      </c>
      <c r="C64" t="s">
        <v>9273</v>
      </c>
      <c r="D64" t="s">
        <v>9272</v>
      </c>
      <c r="F64" t="s">
        <v>9271</v>
      </c>
      <c r="G64" t="s">
        <v>5</v>
      </c>
      <c r="H64" t="s">
        <v>4</v>
      </c>
      <c r="I64" t="s">
        <v>652</v>
      </c>
      <c r="J64">
        <v>60014982</v>
      </c>
      <c r="K64" t="s">
        <v>722</v>
      </c>
      <c r="L64" t="s">
        <v>721</v>
      </c>
      <c r="M64" t="s">
        <v>128</v>
      </c>
      <c r="N64">
        <v>2</v>
      </c>
      <c r="O64" t="s">
        <v>9270</v>
      </c>
      <c r="P64" t="s">
        <v>6176</v>
      </c>
      <c r="Q64" t="s">
        <v>720</v>
      </c>
      <c r="R64" s="7">
        <v>36130</v>
      </c>
      <c r="S64" s="8">
        <f t="shared" si="0"/>
        <v>1998</v>
      </c>
      <c r="T64" s="8">
        <v>1998</v>
      </c>
      <c r="U64" s="8">
        <f t="shared" si="1"/>
        <v>24</v>
      </c>
      <c r="V64" s="7">
        <v>1998</v>
      </c>
      <c r="W64" t="s">
        <v>303</v>
      </c>
      <c r="X64" s="2">
        <v>1.3720000000000001</v>
      </c>
      <c r="Y64" s="6">
        <f t="shared" si="2"/>
        <v>3.662475641333654E-2</v>
      </c>
      <c r="AA64">
        <v>189480</v>
      </c>
      <c r="AB64">
        <v>17366</v>
      </c>
      <c r="AD64" t="s">
        <v>2</v>
      </c>
      <c r="AE64">
        <v>46</v>
      </c>
      <c r="AF64" t="s">
        <v>4170</v>
      </c>
      <c r="AH64" t="s">
        <v>9269</v>
      </c>
      <c r="AI64" t="s">
        <v>9268</v>
      </c>
      <c r="AJ64" t="s">
        <v>9267</v>
      </c>
      <c r="AK64" t="s">
        <v>9266</v>
      </c>
      <c r="AL64">
        <v>21</v>
      </c>
      <c r="AM64" s="5">
        <f t="shared" si="3"/>
        <v>0.875</v>
      </c>
      <c r="AN64" s="4">
        <f t="shared" si="4"/>
        <v>1.3252555850056798E-3</v>
      </c>
      <c r="AO64" s="3"/>
      <c r="AP64">
        <v>0</v>
      </c>
      <c r="AQ64" t="s">
        <v>114</v>
      </c>
      <c r="AR64" t="s">
        <v>6171</v>
      </c>
      <c r="AS64" t="s">
        <v>113</v>
      </c>
      <c r="AT64" s="2" t="s">
        <v>0</v>
      </c>
      <c r="AU64" s="1">
        <f t="shared" si="5"/>
        <v>2.6034906164837279</v>
      </c>
      <c r="AV64" s="1">
        <f t="shared" si="6"/>
        <v>1.8975005999171111</v>
      </c>
      <c r="AW64" s="1">
        <f t="shared" si="7"/>
        <v>1.1915105833504938</v>
      </c>
    </row>
    <row r="65" spans="1:49" x14ac:dyDescent="0.2">
      <c r="A65">
        <v>63</v>
      </c>
      <c r="B65" t="s">
        <v>9265</v>
      </c>
      <c r="F65" t="s">
        <v>9264</v>
      </c>
      <c r="G65" t="s">
        <v>5</v>
      </c>
      <c r="H65" t="s">
        <v>4</v>
      </c>
      <c r="I65" t="s">
        <v>9263</v>
      </c>
      <c r="J65" t="s">
        <v>9262</v>
      </c>
      <c r="K65" t="s">
        <v>9261</v>
      </c>
      <c r="L65" t="s">
        <v>9260</v>
      </c>
      <c r="M65" t="s">
        <v>737</v>
      </c>
      <c r="N65">
        <v>8</v>
      </c>
      <c r="O65" t="s">
        <v>9259</v>
      </c>
      <c r="P65" t="s">
        <v>9258</v>
      </c>
      <c r="Q65" t="s">
        <v>9257</v>
      </c>
      <c r="R65" s="7">
        <v>36130</v>
      </c>
      <c r="S65" s="8">
        <f t="shared" si="0"/>
        <v>1998</v>
      </c>
      <c r="T65" s="8">
        <v>1998</v>
      </c>
      <c r="U65" s="8">
        <f t="shared" si="1"/>
        <v>24</v>
      </c>
      <c r="V65" s="7">
        <v>1998</v>
      </c>
      <c r="W65" t="s">
        <v>9256</v>
      </c>
      <c r="X65" s="2">
        <v>0.317</v>
      </c>
      <c r="Y65" s="6">
        <f t="shared" si="2"/>
        <v>8.4621339526440836E-3</v>
      </c>
      <c r="AA65">
        <v>380946</v>
      </c>
      <c r="AB65">
        <v>28246</v>
      </c>
      <c r="AD65" t="s">
        <v>2</v>
      </c>
      <c r="AE65">
        <v>32</v>
      </c>
      <c r="AF65">
        <v>1</v>
      </c>
      <c r="AH65" t="s">
        <v>9255</v>
      </c>
      <c r="AI65" t="s">
        <v>9254</v>
      </c>
      <c r="AK65" t="s">
        <v>9253</v>
      </c>
      <c r="AL65">
        <v>5</v>
      </c>
      <c r="AM65" s="5">
        <f t="shared" si="3"/>
        <v>0.20833333333333334</v>
      </c>
      <c r="AN65" s="4">
        <f t="shared" si="4"/>
        <v>3.1553704404897135E-4</v>
      </c>
      <c r="AO65" s="3"/>
      <c r="AP65">
        <v>0</v>
      </c>
      <c r="AR65" t="s">
        <v>1</v>
      </c>
      <c r="AT65" s="2">
        <v>0.70599999999999996</v>
      </c>
      <c r="AU65" s="1">
        <f t="shared" si="5"/>
        <v>0.60181548800655493</v>
      </c>
      <c r="AV65" s="1">
        <f t="shared" si="6"/>
        <v>0.43888354983465278</v>
      </c>
      <c r="AW65" s="1">
        <f t="shared" si="7"/>
        <v>0.27595161166275051</v>
      </c>
    </row>
    <row r="66" spans="1:49" x14ac:dyDescent="0.2">
      <c r="A66">
        <v>64</v>
      </c>
      <c r="B66" t="s">
        <v>9252</v>
      </c>
      <c r="F66" t="s">
        <v>9251</v>
      </c>
      <c r="G66" t="s">
        <v>5</v>
      </c>
      <c r="H66" t="s">
        <v>4</v>
      </c>
      <c r="I66" t="s">
        <v>9250</v>
      </c>
      <c r="J66">
        <v>60031116</v>
      </c>
      <c r="K66" t="s">
        <v>9249</v>
      </c>
      <c r="L66" t="s">
        <v>9248</v>
      </c>
      <c r="M66" t="s">
        <v>106</v>
      </c>
      <c r="N66">
        <v>2</v>
      </c>
      <c r="O66" t="s">
        <v>9247</v>
      </c>
      <c r="P66" t="s">
        <v>9246</v>
      </c>
      <c r="Q66" t="s">
        <v>9245</v>
      </c>
      <c r="R66" s="7">
        <v>36130</v>
      </c>
      <c r="S66" s="8">
        <f t="shared" ref="S66:S129" si="8">YEAR(R66)</f>
        <v>1998</v>
      </c>
      <c r="T66" s="8">
        <v>1998</v>
      </c>
      <c r="U66" s="8">
        <f t="shared" ref="U66:U129" si="9">2022-T66</f>
        <v>24</v>
      </c>
      <c r="V66" s="7">
        <v>1998</v>
      </c>
      <c r="W66" t="s">
        <v>9244</v>
      </c>
      <c r="X66" s="2">
        <v>0.32500000000000001</v>
      </c>
      <c r="Y66" s="6">
        <f t="shared" ref="Y66:Y129" si="10">(X66-$Z$3)/($Z$2-$Z$3)</f>
        <v>8.6756893836256385E-3</v>
      </c>
      <c r="AA66">
        <v>204412</v>
      </c>
      <c r="AB66">
        <v>15467</v>
      </c>
      <c r="AD66" t="s">
        <v>2</v>
      </c>
      <c r="AE66">
        <v>41</v>
      </c>
      <c r="AF66">
        <v>4</v>
      </c>
      <c r="AH66" t="s">
        <v>9243</v>
      </c>
      <c r="AI66" t="s">
        <v>9242</v>
      </c>
      <c r="AK66" t="s">
        <v>9241</v>
      </c>
      <c r="AL66">
        <v>0</v>
      </c>
      <c r="AM66" s="5">
        <f t="shared" ref="AM66:AM129" si="11">AL66/U66</f>
        <v>0</v>
      </c>
      <c r="AN66" s="4">
        <f t="shared" ref="AN66:AN129" si="12">(AM66-$AO$3)/($AO$2-$AO$3)</f>
        <v>0</v>
      </c>
      <c r="AO66" s="3"/>
      <c r="AP66">
        <v>0</v>
      </c>
      <c r="AR66" t="s">
        <v>1</v>
      </c>
      <c r="AT66" s="2" t="s">
        <v>0</v>
      </c>
      <c r="AU66" s="1">
        <f t="shared" ref="AU66:AU129" si="13">(Y66*0.7+AN66*0.3)*100</f>
        <v>0.60729825685379468</v>
      </c>
      <c r="AV66" s="1">
        <f t="shared" ref="AV66:AV129" si="14">(Y66*0.5+AN66*0.5)*100</f>
        <v>0.43378446918128194</v>
      </c>
      <c r="AW66" s="1">
        <f t="shared" ref="AW66:AW129" si="15">(Y66*0.3+AN66*0.7)*100</f>
        <v>0.26027068150876914</v>
      </c>
    </row>
    <row r="67" spans="1:49" x14ac:dyDescent="0.2">
      <c r="A67">
        <v>65</v>
      </c>
      <c r="B67" t="s">
        <v>9240</v>
      </c>
      <c r="F67" t="s">
        <v>9239</v>
      </c>
      <c r="G67" t="s">
        <v>5</v>
      </c>
      <c r="H67" t="s">
        <v>4</v>
      </c>
      <c r="I67" t="s">
        <v>9238</v>
      </c>
      <c r="J67">
        <v>60010785</v>
      </c>
      <c r="K67" t="s">
        <v>9237</v>
      </c>
      <c r="L67" t="s">
        <v>9236</v>
      </c>
      <c r="M67" t="s">
        <v>13</v>
      </c>
      <c r="N67">
        <v>1</v>
      </c>
      <c r="O67" t="s">
        <v>9235</v>
      </c>
      <c r="P67">
        <v>7402333759</v>
      </c>
      <c r="Q67">
        <v>60010785</v>
      </c>
      <c r="R67" s="7">
        <v>36130</v>
      </c>
      <c r="S67" s="8">
        <f t="shared" si="8"/>
        <v>1998</v>
      </c>
      <c r="T67" s="8">
        <v>1998</v>
      </c>
      <c r="U67" s="8">
        <f t="shared" si="9"/>
        <v>24</v>
      </c>
      <c r="V67" s="7">
        <v>1998</v>
      </c>
      <c r="W67" t="s">
        <v>4520</v>
      </c>
      <c r="X67" s="2">
        <v>0.1</v>
      </c>
      <c r="Y67" s="6">
        <f t="shared" si="10"/>
        <v>2.6694428872694269E-3</v>
      </c>
      <c r="AA67">
        <v>9633308</v>
      </c>
      <c r="AB67">
        <v>17917</v>
      </c>
      <c r="AD67" t="s">
        <v>2</v>
      </c>
      <c r="AF67">
        <v>254</v>
      </c>
      <c r="AL67">
        <v>0</v>
      </c>
      <c r="AM67" s="5">
        <f t="shared" si="11"/>
        <v>0</v>
      </c>
      <c r="AN67" s="4">
        <f t="shared" si="12"/>
        <v>0</v>
      </c>
      <c r="AO67" s="3"/>
      <c r="AP67">
        <v>0</v>
      </c>
      <c r="AR67" t="s">
        <v>1</v>
      </c>
      <c r="AT67" s="2" t="s">
        <v>0</v>
      </c>
      <c r="AU67" s="1">
        <f t="shared" si="13"/>
        <v>0.18686100210885986</v>
      </c>
      <c r="AV67" s="1">
        <f t="shared" si="14"/>
        <v>0.13347214436347135</v>
      </c>
      <c r="AW67" s="1">
        <f t="shared" si="15"/>
        <v>8.0083286618082811E-2</v>
      </c>
    </row>
    <row r="68" spans="1:49" x14ac:dyDescent="0.2">
      <c r="A68">
        <v>66</v>
      </c>
      <c r="B68" t="s">
        <v>9234</v>
      </c>
      <c r="F68" t="s">
        <v>9233</v>
      </c>
      <c r="G68" t="s">
        <v>5</v>
      </c>
      <c r="H68" t="s">
        <v>4</v>
      </c>
      <c r="I68" t="s">
        <v>9232</v>
      </c>
      <c r="N68">
        <v>3</v>
      </c>
      <c r="O68" t="s">
        <v>9231</v>
      </c>
      <c r="P68" t="s">
        <v>9230</v>
      </c>
      <c r="Q68" t="s">
        <v>99</v>
      </c>
      <c r="R68" s="7">
        <v>36130</v>
      </c>
      <c r="S68" s="8">
        <f t="shared" si="8"/>
        <v>1998</v>
      </c>
      <c r="T68" s="8">
        <v>1998</v>
      </c>
      <c r="U68" s="8">
        <f t="shared" si="9"/>
        <v>24</v>
      </c>
      <c r="V68" s="7">
        <v>1998</v>
      </c>
      <c r="W68" t="s">
        <v>8985</v>
      </c>
      <c r="X68" s="2">
        <v>0.29499999999999998</v>
      </c>
      <c r="Y68" s="6">
        <f t="shared" si="10"/>
        <v>7.8748565174448087E-3</v>
      </c>
      <c r="AA68">
        <v>10642269</v>
      </c>
      <c r="AB68">
        <v>19554</v>
      </c>
      <c r="AD68" t="s">
        <v>2</v>
      </c>
      <c r="AE68">
        <v>43</v>
      </c>
      <c r="AF68">
        <v>5</v>
      </c>
      <c r="AH68" t="s">
        <v>9229</v>
      </c>
      <c r="AI68" t="s">
        <v>9228</v>
      </c>
      <c r="AK68" t="s">
        <v>9227</v>
      </c>
      <c r="AL68">
        <v>2</v>
      </c>
      <c r="AM68" s="5">
        <f t="shared" si="11"/>
        <v>8.3333333333333329E-2</v>
      </c>
      <c r="AN68" s="4">
        <f t="shared" si="12"/>
        <v>1.2621481761958852E-4</v>
      </c>
      <c r="AO68" s="3"/>
      <c r="AP68">
        <v>0</v>
      </c>
      <c r="AR68" t="s">
        <v>1</v>
      </c>
      <c r="AT68" s="2" t="s">
        <v>0</v>
      </c>
      <c r="AU68" s="1">
        <f t="shared" si="13"/>
        <v>0.5550264007497242</v>
      </c>
      <c r="AV68" s="1">
        <f t="shared" si="14"/>
        <v>0.40005356675321985</v>
      </c>
      <c r="AW68" s="1">
        <f t="shared" si="15"/>
        <v>0.24508073275671546</v>
      </c>
    </row>
    <row r="69" spans="1:49" x14ac:dyDescent="0.2">
      <c r="A69">
        <v>67</v>
      </c>
      <c r="B69" t="s">
        <v>9226</v>
      </c>
      <c r="F69" t="s">
        <v>9225</v>
      </c>
      <c r="G69" t="s">
        <v>5</v>
      </c>
      <c r="H69" t="s">
        <v>4</v>
      </c>
      <c r="I69" t="s">
        <v>9006</v>
      </c>
      <c r="J69">
        <v>60068504</v>
      </c>
      <c r="K69" t="s">
        <v>9005</v>
      </c>
      <c r="L69" t="s">
        <v>167</v>
      </c>
      <c r="M69" t="s">
        <v>166</v>
      </c>
      <c r="N69">
        <v>1</v>
      </c>
      <c r="O69" t="s">
        <v>9004</v>
      </c>
      <c r="P69">
        <v>7003684032</v>
      </c>
      <c r="Q69">
        <v>60068504</v>
      </c>
      <c r="R69" s="7">
        <v>36130</v>
      </c>
      <c r="S69" s="8">
        <f t="shared" si="8"/>
        <v>1998</v>
      </c>
      <c r="T69" s="8">
        <v>1998</v>
      </c>
      <c r="U69" s="8">
        <f t="shared" si="9"/>
        <v>24</v>
      </c>
      <c r="V69" s="7">
        <v>1998</v>
      </c>
      <c r="W69" t="s">
        <v>8985</v>
      </c>
      <c r="X69" s="2">
        <v>0.29499999999999998</v>
      </c>
      <c r="Y69" s="6">
        <f t="shared" si="10"/>
        <v>7.8748565174448087E-3</v>
      </c>
      <c r="AA69">
        <v>10642269</v>
      </c>
      <c r="AB69">
        <v>19554</v>
      </c>
      <c r="AD69" t="s">
        <v>2</v>
      </c>
      <c r="AE69">
        <v>43</v>
      </c>
      <c r="AF69">
        <v>2</v>
      </c>
      <c r="AH69" t="s">
        <v>9224</v>
      </c>
      <c r="AI69" t="s">
        <v>9223</v>
      </c>
      <c r="AK69" t="s">
        <v>9222</v>
      </c>
      <c r="AL69">
        <v>0</v>
      </c>
      <c r="AM69" s="5">
        <f t="shared" si="11"/>
        <v>0</v>
      </c>
      <c r="AN69" s="4">
        <f t="shared" si="12"/>
        <v>0</v>
      </c>
      <c r="AO69" s="3"/>
      <c r="AP69">
        <v>0</v>
      </c>
      <c r="AR69" t="s">
        <v>1</v>
      </c>
      <c r="AT69" s="2" t="s">
        <v>0</v>
      </c>
      <c r="AU69" s="1">
        <f t="shared" si="13"/>
        <v>0.55123995622113653</v>
      </c>
      <c r="AV69" s="1">
        <f t="shared" si="14"/>
        <v>0.39374282587224041</v>
      </c>
      <c r="AW69" s="1">
        <f t="shared" si="15"/>
        <v>0.23624569552334423</v>
      </c>
    </row>
    <row r="70" spans="1:49" x14ac:dyDescent="0.2">
      <c r="A70">
        <v>68</v>
      </c>
      <c r="B70" t="s">
        <v>9221</v>
      </c>
      <c r="F70" t="s">
        <v>9220</v>
      </c>
      <c r="G70" t="s">
        <v>5</v>
      </c>
      <c r="H70" t="s">
        <v>4</v>
      </c>
      <c r="I70" t="s">
        <v>9219</v>
      </c>
      <c r="N70">
        <v>3</v>
      </c>
      <c r="O70" t="s">
        <v>9218</v>
      </c>
      <c r="P70" t="s">
        <v>9217</v>
      </c>
      <c r="Q70" t="s">
        <v>99</v>
      </c>
      <c r="R70" s="7">
        <v>36130</v>
      </c>
      <c r="S70" s="8">
        <f t="shared" si="8"/>
        <v>1998</v>
      </c>
      <c r="T70" s="8">
        <v>1998</v>
      </c>
      <c r="U70" s="8">
        <f t="shared" si="9"/>
        <v>24</v>
      </c>
      <c r="V70" s="7">
        <v>1998</v>
      </c>
      <c r="W70" t="s">
        <v>8985</v>
      </c>
      <c r="X70" s="2">
        <v>0.29499999999999998</v>
      </c>
      <c r="Y70" s="6">
        <f t="shared" si="10"/>
        <v>7.8748565174448087E-3</v>
      </c>
      <c r="AA70">
        <v>10642269</v>
      </c>
      <c r="AB70">
        <v>19554</v>
      </c>
      <c r="AD70" t="s">
        <v>2</v>
      </c>
      <c r="AE70">
        <v>43</v>
      </c>
      <c r="AF70">
        <v>5</v>
      </c>
      <c r="AH70" t="s">
        <v>9216</v>
      </c>
      <c r="AI70" t="s">
        <v>9215</v>
      </c>
      <c r="AK70" t="s">
        <v>9214</v>
      </c>
      <c r="AL70">
        <v>1</v>
      </c>
      <c r="AM70" s="5">
        <f t="shared" si="11"/>
        <v>4.1666666666666664E-2</v>
      </c>
      <c r="AN70" s="4">
        <f t="shared" si="12"/>
        <v>6.3107408809794262E-5</v>
      </c>
      <c r="AO70" s="3"/>
      <c r="AP70">
        <v>0</v>
      </c>
      <c r="AR70" t="s">
        <v>1</v>
      </c>
      <c r="AT70" s="2" t="s">
        <v>0</v>
      </c>
      <c r="AU70" s="1">
        <f t="shared" si="13"/>
        <v>0.55313317848543031</v>
      </c>
      <c r="AV70" s="1">
        <f t="shared" si="14"/>
        <v>0.39689819631273016</v>
      </c>
      <c r="AW70" s="1">
        <f t="shared" si="15"/>
        <v>0.24066321414002984</v>
      </c>
    </row>
    <row r="71" spans="1:49" x14ac:dyDescent="0.2">
      <c r="A71">
        <v>69</v>
      </c>
      <c r="B71" t="s">
        <v>9213</v>
      </c>
      <c r="F71" t="s">
        <v>9212</v>
      </c>
      <c r="G71" t="s">
        <v>5</v>
      </c>
      <c r="H71" t="s">
        <v>4</v>
      </c>
      <c r="I71" t="s">
        <v>9211</v>
      </c>
      <c r="J71" t="s">
        <v>9210</v>
      </c>
      <c r="K71" t="s">
        <v>9209</v>
      </c>
      <c r="L71" t="s">
        <v>9208</v>
      </c>
      <c r="M71" t="s">
        <v>150</v>
      </c>
      <c r="N71">
        <v>2</v>
      </c>
      <c r="O71" t="s">
        <v>9207</v>
      </c>
      <c r="P71" t="s">
        <v>9206</v>
      </c>
      <c r="Q71" t="s">
        <v>9205</v>
      </c>
      <c r="R71" s="7">
        <v>36130</v>
      </c>
      <c r="S71" s="8">
        <f t="shared" si="8"/>
        <v>1998</v>
      </c>
      <c r="T71" s="8">
        <v>1998</v>
      </c>
      <c r="U71" s="8">
        <f t="shared" si="9"/>
        <v>24</v>
      </c>
      <c r="V71" s="7">
        <v>1998</v>
      </c>
      <c r="W71" t="s">
        <v>4520</v>
      </c>
      <c r="X71" s="2">
        <v>0.1</v>
      </c>
      <c r="Y71" s="6">
        <f t="shared" si="10"/>
        <v>2.6694428872694269E-3</v>
      </c>
      <c r="AA71">
        <v>9633308</v>
      </c>
      <c r="AB71">
        <v>17917</v>
      </c>
      <c r="AD71" t="s">
        <v>2</v>
      </c>
      <c r="AF71">
        <v>459</v>
      </c>
      <c r="AL71">
        <v>9</v>
      </c>
      <c r="AM71" s="5">
        <f t="shared" si="11"/>
        <v>0.375</v>
      </c>
      <c r="AN71" s="4">
        <f t="shared" si="12"/>
        <v>5.6796667928814845E-4</v>
      </c>
      <c r="AO71" s="3"/>
      <c r="AP71">
        <v>0</v>
      </c>
      <c r="AR71" t="s">
        <v>1</v>
      </c>
      <c r="AT71" s="2" t="s">
        <v>0</v>
      </c>
      <c r="AU71" s="1">
        <f t="shared" si="13"/>
        <v>0.20390000248750431</v>
      </c>
      <c r="AV71" s="1">
        <f t="shared" si="14"/>
        <v>0.16187047832787876</v>
      </c>
      <c r="AW71" s="1">
        <f t="shared" si="15"/>
        <v>0.11984095416825319</v>
      </c>
    </row>
    <row r="72" spans="1:49" x14ac:dyDescent="0.2">
      <c r="A72">
        <v>70</v>
      </c>
      <c r="B72" t="s">
        <v>9204</v>
      </c>
      <c r="F72" t="s">
        <v>9203</v>
      </c>
      <c r="G72" t="s">
        <v>5</v>
      </c>
      <c r="H72" t="s">
        <v>4</v>
      </c>
      <c r="I72" t="s">
        <v>125</v>
      </c>
      <c r="J72">
        <v>60029738</v>
      </c>
      <c r="K72" t="s">
        <v>124</v>
      </c>
      <c r="L72" t="s">
        <v>123</v>
      </c>
      <c r="M72" t="s">
        <v>13</v>
      </c>
      <c r="N72">
        <v>2</v>
      </c>
      <c r="O72" t="s">
        <v>122</v>
      </c>
      <c r="P72" t="s">
        <v>121</v>
      </c>
      <c r="Q72" t="s">
        <v>120</v>
      </c>
      <c r="R72" s="7">
        <v>36130</v>
      </c>
      <c r="S72" s="8">
        <f t="shared" si="8"/>
        <v>1998</v>
      </c>
      <c r="T72" s="8">
        <v>1998</v>
      </c>
      <c r="U72" s="8">
        <f t="shared" si="9"/>
        <v>24</v>
      </c>
      <c r="V72" s="7">
        <v>1998</v>
      </c>
      <c r="W72" t="s">
        <v>4520</v>
      </c>
      <c r="X72" s="2">
        <v>0.1</v>
      </c>
      <c r="Y72" s="6">
        <f t="shared" si="10"/>
        <v>2.6694428872694269E-3</v>
      </c>
      <c r="AA72">
        <v>9633308</v>
      </c>
      <c r="AB72">
        <v>17917</v>
      </c>
      <c r="AD72" t="s">
        <v>2</v>
      </c>
      <c r="AF72">
        <v>206</v>
      </c>
      <c r="AI72" t="s">
        <v>9202</v>
      </c>
      <c r="AK72" t="s">
        <v>9201</v>
      </c>
      <c r="AL72">
        <v>1</v>
      </c>
      <c r="AM72" s="5">
        <f t="shared" si="11"/>
        <v>4.1666666666666664E-2</v>
      </c>
      <c r="AN72" s="4">
        <f t="shared" si="12"/>
        <v>6.3107408809794262E-5</v>
      </c>
      <c r="AO72" s="3"/>
      <c r="AP72">
        <v>0</v>
      </c>
      <c r="AR72" t="s">
        <v>1</v>
      </c>
      <c r="AT72" s="2" t="s">
        <v>0</v>
      </c>
      <c r="AU72" s="1">
        <f t="shared" si="13"/>
        <v>0.1887542243731537</v>
      </c>
      <c r="AV72" s="1">
        <f t="shared" si="14"/>
        <v>0.13662751480396107</v>
      </c>
      <c r="AW72" s="1">
        <f t="shared" si="15"/>
        <v>8.4500805234768397E-2</v>
      </c>
    </row>
    <row r="73" spans="1:49" x14ac:dyDescent="0.2">
      <c r="A73">
        <v>71</v>
      </c>
      <c r="B73" t="s">
        <v>9200</v>
      </c>
      <c r="F73" t="s">
        <v>9199</v>
      </c>
      <c r="G73" t="s">
        <v>5</v>
      </c>
      <c r="H73" t="s">
        <v>4</v>
      </c>
      <c r="I73" t="s">
        <v>9198</v>
      </c>
      <c r="N73">
        <v>1</v>
      </c>
      <c r="O73" t="s">
        <v>9197</v>
      </c>
      <c r="P73">
        <v>6701845940</v>
      </c>
      <c r="R73" s="7">
        <v>36130</v>
      </c>
      <c r="S73" s="8">
        <f t="shared" si="8"/>
        <v>1998</v>
      </c>
      <c r="T73" s="8">
        <v>1998</v>
      </c>
      <c r="U73" s="8">
        <f t="shared" si="9"/>
        <v>24</v>
      </c>
      <c r="V73" s="7">
        <v>1998</v>
      </c>
      <c r="W73" t="s">
        <v>8985</v>
      </c>
      <c r="X73" s="2">
        <v>0.29499999999999998</v>
      </c>
      <c r="Y73" s="6">
        <f t="shared" si="10"/>
        <v>7.8748565174448087E-3</v>
      </c>
      <c r="AA73">
        <v>10642269</v>
      </c>
      <c r="AB73">
        <v>19554</v>
      </c>
      <c r="AD73" t="s">
        <v>2</v>
      </c>
      <c r="AE73">
        <v>43</v>
      </c>
      <c r="AF73">
        <v>2</v>
      </c>
      <c r="AH73" t="s">
        <v>9196</v>
      </c>
      <c r="AI73" t="s">
        <v>9195</v>
      </c>
      <c r="AK73" t="s">
        <v>9194</v>
      </c>
      <c r="AL73">
        <v>0</v>
      </c>
      <c r="AM73" s="5">
        <f t="shared" si="11"/>
        <v>0</v>
      </c>
      <c r="AN73" s="4">
        <f t="shared" si="12"/>
        <v>0</v>
      </c>
      <c r="AO73" s="3"/>
      <c r="AP73">
        <v>0</v>
      </c>
      <c r="AR73" t="s">
        <v>1</v>
      </c>
      <c r="AT73" s="2" t="s">
        <v>0</v>
      </c>
      <c r="AU73" s="1">
        <f t="shared" si="13"/>
        <v>0.55123995622113653</v>
      </c>
      <c r="AV73" s="1">
        <f t="shared" si="14"/>
        <v>0.39374282587224041</v>
      </c>
      <c r="AW73" s="1">
        <f t="shared" si="15"/>
        <v>0.23624569552334423</v>
      </c>
    </row>
    <row r="74" spans="1:49" x14ac:dyDescent="0.2">
      <c r="A74">
        <v>72</v>
      </c>
      <c r="B74" t="s">
        <v>9193</v>
      </c>
      <c r="F74" t="s">
        <v>9192</v>
      </c>
      <c r="G74" t="s">
        <v>5</v>
      </c>
      <c r="H74" t="s">
        <v>4</v>
      </c>
      <c r="I74" t="s">
        <v>9191</v>
      </c>
      <c r="N74">
        <v>1</v>
      </c>
      <c r="O74" t="s">
        <v>9190</v>
      </c>
      <c r="P74">
        <v>57219263098</v>
      </c>
      <c r="R74" s="7">
        <v>36130</v>
      </c>
      <c r="S74" s="8">
        <f t="shared" si="8"/>
        <v>1998</v>
      </c>
      <c r="T74" s="8">
        <v>1998</v>
      </c>
      <c r="U74" s="8">
        <f t="shared" si="9"/>
        <v>24</v>
      </c>
      <c r="V74" s="7">
        <v>1998</v>
      </c>
      <c r="W74" t="s">
        <v>8985</v>
      </c>
      <c r="X74" s="2">
        <v>0.29499999999999998</v>
      </c>
      <c r="Y74" s="6">
        <f t="shared" si="10"/>
        <v>7.8748565174448087E-3</v>
      </c>
      <c r="AA74">
        <v>10642269</v>
      </c>
      <c r="AB74">
        <v>19554</v>
      </c>
      <c r="AD74" t="s">
        <v>2</v>
      </c>
      <c r="AE74">
        <v>43</v>
      </c>
      <c r="AF74">
        <v>11</v>
      </c>
      <c r="AH74" t="s">
        <v>6767</v>
      </c>
      <c r="AI74" t="s">
        <v>9189</v>
      </c>
      <c r="AK74" t="s">
        <v>9188</v>
      </c>
      <c r="AL74">
        <v>1</v>
      </c>
      <c r="AM74" s="5">
        <f t="shared" si="11"/>
        <v>4.1666666666666664E-2</v>
      </c>
      <c r="AN74" s="4">
        <f t="shared" si="12"/>
        <v>6.3107408809794262E-5</v>
      </c>
      <c r="AO74" s="3"/>
      <c r="AP74">
        <v>0</v>
      </c>
      <c r="AR74" t="s">
        <v>1</v>
      </c>
      <c r="AT74" s="2" t="s">
        <v>0</v>
      </c>
      <c r="AU74" s="1">
        <f t="shared" si="13"/>
        <v>0.55313317848543031</v>
      </c>
      <c r="AV74" s="1">
        <f t="shared" si="14"/>
        <v>0.39689819631273016</v>
      </c>
      <c r="AW74" s="1">
        <f t="shared" si="15"/>
        <v>0.24066321414002984</v>
      </c>
    </row>
    <row r="75" spans="1:49" x14ac:dyDescent="0.2">
      <c r="A75">
        <v>73</v>
      </c>
      <c r="B75" t="s">
        <v>9187</v>
      </c>
      <c r="F75" t="s">
        <v>9186</v>
      </c>
      <c r="G75" t="s">
        <v>5</v>
      </c>
      <c r="H75" t="s">
        <v>4</v>
      </c>
      <c r="I75" t="s">
        <v>9185</v>
      </c>
      <c r="N75">
        <v>1</v>
      </c>
      <c r="O75" t="s">
        <v>9184</v>
      </c>
      <c r="P75">
        <v>6603761523</v>
      </c>
      <c r="R75" s="7">
        <v>36130</v>
      </c>
      <c r="S75" s="8">
        <f t="shared" si="8"/>
        <v>1998</v>
      </c>
      <c r="T75" s="8">
        <v>1998</v>
      </c>
      <c r="U75" s="8">
        <f t="shared" si="9"/>
        <v>24</v>
      </c>
      <c r="V75" s="7">
        <v>1998</v>
      </c>
      <c r="W75" t="s">
        <v>8985</v>
      </c>
      <c r="X75" s="2">
        <v>0.29499999999999998</v>
      </c>
      <c r="Y75" s="6">
        <f t="shared" si="10"/>
        <v>7.8748565174448087E-3</v>
      </c>
      <c r="AA75">
        <v>10642269</v>
      </c>
      <c r="AB75">
        <v>19554</v>
      </c>
      <c r="AD75" t="s">
        <v>2</v>
      </c>
      <c r="AE75">
        <v>43</v>
      </c>
      <c r="AF75">
        <v>8</v>
      </c>
      <c r="AH75" t="s">
        <v>9183</v>
      </c>
      <c r="AI75" t="s">
        <v>9182</v>
      </c>
      <c r="AK75" t="s">
        <v>9181</v>
      </c>
      <c r="AL75">
        <v>0</v>
      </c>
      <c r="AM75" s="5">
        <f t="shared" si="11"/>
        <v>0</v>
      </c>
      <c r="AN75" s="4">
        <f t="shared" si="12"/>
        <v>0</v>
      </c>
      <c r="AO75" s="3"/>
      <c r="AP75">
        <v>0</v>
      </c>
      <c r="AR75" t="s">
        <v>1</v>
      </c>
      <c r="AT75" s="2" t="s">
        <v>0</v>
      </c>
      <c r="AU75" s="1">
        <f t="shared" si="13"/>
        <v>0.55123995622113653</v>
      </c>
      <c r="AV75" s="1">
        <f t="shared" si="14"/>
        <v>0.39374282587224041</v>
      </c>
      <c r="AW75" s="1">
        <f t="shared" si="15"/>
        <v>0.23624569552334423</v>
      </c>
    </row>
    <row r="76" spans="1:49" x14ac:dyDescent="0.2">
      <c r="A76">
        <v>74</v>
      </c>
      <c r="B76" t="s">
        <v>9180</v>
      </c>
      <c r="F76" t="s">
        <v>9179</v>
      </c>
      <c r="G76" t="s">
        <v>5</v>
      </c>
      <c r="H76" t="s">
        <v>4</v>
      </c>
      <c r="I76" t="s">
        <v>9178</v>
      </c>
      <c r="J76">
        <v>60030813</v>
      </c>
      <c r="K76" t="s">
        <v>4548</v>
      </c>
      <c r="L76" t="s">
        <v>4515</v>
      </c>
      <c r="M76" t="s">
        <v>15</v>
      </c>
      <c r="N76">
        <v>2</v>
      </c>
      <c r="O76" t="s">
        <v>9177</v>
      </c>
      <c r="P76" t="s">
        <v>9176</v>
      </c>
      <c r="Q76" t="s">
        <v>9175</v>
      </c>
      <c r="R76" s="7">
        <v>36130</v>
      </c>
      <c r="S76" s="8">
        <f t="shared" si="8"/>
        <v>1998</v>
      </c>
      <c r="T76" s="8">
        <v>1998</v>
      </c>
      <c r="U76" s="8">
        <f t="shared" si="9"/>
        <v>24</v>
      </c>
      <c r="V76" s="7">
        <v>1998</v>
      </c>
      <c r="W76" t="s">
        <v>4520</v>
      </c>
      <c r="X76" s="2">
        <v>0.1</v>
      </c>
      <c r="Y76" s="6">
        <f t="shared" si="10"/>
        <v>2.6694428872694269E-3</v>
      </c>
      <c r="AA76">
        <v>9633308</v>
      </c>
      <c r="AB76">
        <v>17917</v>
      </c>
      <c r="AD76" t="s">
        <v>2</v>
      </c>
      <c r="AF76">
        <v>481</v>
      </c>
      <c r="AI76" t="s">
        <v>9174</v>
      </c>
      <c r="AK76" t="s">
        <v>9173</v>
      </c>
      <c r="AL76">
        <v>0</v>
      </c>
      <c r="AM76" s="5">
        <f t="shared" si="11"/>
        <v>0</v>
      </c>
      <c r="AN76" s="4">
        <f t="shared" si="12"/>
        <v>0</v>
      </c>
      <c r="AO76" s="3"/>
      <c r="AP76">
        <v>0</v>
      </c>
      <c r="AR76" t="s">
        <v>1</v>
      </c>
      <c r="AT76" s="2" t="s">
        <v>0</v>
      </c>
      <c r="AU76" s="1">
        <f t="shared" si="13"/>
        <v>0.18686100210885986</v>
      </c>
      <c r="AV76" s="1">
        <f t="shared" si="14"/>
        <v>0.13347214436347135</v>
      </c>
      <c r="AW76" s="1">
        <f t="shared" si="15"/>
        <v>8.0083286618082811E-2</v>
      </c>
    </row>
    <row r="77" spans="1:49" x14ac:dyDescent="0.2">
      <c r="A77">
        <v>75</v>
      </c>
      <c r="B77" t="s">
        <v>9172</v>
      </c>
      <c r="F77" t="s">
        <v>9171</v>
      </c>
      <c r="G77" t="s">
        <v>5</v>
      </c>
      <c r="H77" t="s">
        <v>4</v>
      </c>
      <c r="I77" t="s">
        <v>9170</v>
      </c>
      <c r="J77">
        <v>60002286</v>
      </c>
      <c r="K77" t="s">
        <v>9169</v>
      </c>
      <c r="L77" t="s">
        <v>699</v>
      </c>
      <c r="M77" t="s">
        <v>182</v>
      </c>
      <c r="N77">
        <v>1</v>
      </c>
      <c r="O77" t="s">
        <v>9168</v>
      </c>
      <c r="P77">
        <v>6602576421</v>
      </c>
      <c r="Q77">
        <v>60002286</v>
      </c>
      <c r="R77" s="7">
        <v>36130</v>
      </c>
      <c r="S77" s="8">
        <f t="shared" si="8"/>
        <v>1998</v>
      </c>
      <c r="T77" s="8">
        <v>1998</v>
      </c>
      <c r="U77" s="8">
        <f t="shared" si="9"/>
        <v>24</v>
      </c>
      <c r="V77" s="7">
        <v>1998</v>
      </c>
      <c r="W77" t="s">
        <v>4520</v>
      </c>
      <c r="X77" s="2">
        <v>0.1</v>
      </c>
      <c r="Y77" s="6">
        <f t="shared" si="10"/>
        <v>2.6694428872694269E-3</v>
      </c>
      <c r="AA77">
        <v>9633308</v>
      </c>
      <c r="AB77">
        <v>17917</v>
      </c>
      <c r="AD77" t="s">
        <v>2</v>
      </c>
      <c r="AF77">
        <v>481</v>
      </c>
      <c r="AI77" t="s">
        <v>9167</v>
      </c>
      <c r="AK77" t="s">
        <v>9166</v>
      </c>
      <c r="AL77">
        <v>0</v>
      </c>
      <c r="AM77" s="5">
        <f t="shared" si="11"/>
        <v>0</v>
      </c>
      <c r="AN77" s="4">
        <f t="shared" si="12"/>
        <v>0</v>
      </c>
      <c r="AO77" s="3"/>
      <c r="AP77">
        <v>0</v>
      </c>
      <c r="AR77" t="s">
        <v>1</v>
      </c>
      <c r="AT77" s="2" t="s">
        <v>0</v>
      </c>
      <c r="AU77" s="1">
        <f t="shared" si="13"/>
        <v>0.18686100210885986</v>
      </c>
      <c r="AV77" s="1">
        <f t="shared" si="14"/>
        <v>0.13347214436347135</v>
      </c>
      <c r="AW77" s="1">
        <f t="shared" si="15"/>
        <v>8.0083286618082811E-2</v>
      </c>
    </row>
    <row r="78" spans="1:49" x14ac:dyDescent="0.2">
      <c r="A78">
        <v>76</v>
      </c>
      <c r="B78" t="s">
        <v>9165</v>
      </c>
      <c r="F78" t="s">
        <v>9164</v>
      </c>
      <c r="G78" t="s">
        <v>5</v>
      </c>
      <c r="H78" t="s">
        <v>4</v>
      </c>
      <c r="I78" t="s">
        <v>9163</v>
      </c>
      <c r="N78">
        <v>3</v>
      </c>
      <c r="O78" t="s">
        <v>9162</v>
      </c>
      <c r="P78" t="s">
        <v>9154</v>
      </c>
      <c r="Q78" t="s">
        <v>99</v>
      </c>
      <c r="R78" s="7">
        <v>36130</v>
      </c>
      <c r="S78" s="8">
        <f t="shared" si="8"/>
        <v>1998</v>
      </c>
      <c r="T78" s="8">
        <v>1998</v>
      </c>
      <c r="U78" s="8">
        <f t="shared" si="9"/>
        <v>24</v>
      </c>
      <c r="V78" s="7">
        <v>1998</v>
      </c>
      <c r="W78" t="s">
        <v>8985</v>
      </c>
      <c r="X78" s="2">
        <v>0.29499999999999998</v>
      </c>
      <c r="Y78" s="6">
        <f t="shared" si="10"/>
        <v>7.8748565174448087E-3</v>
      </c>
      <c r="AA78">
        <v>10642269</v>
      </c>
      <c r="AB78">
        <v>19554</v>
      </c>
      <c r="AD78" t="s">
        <v>2</v>
      </c>
      <c r="AE78">
        <v>43</v>
      </c>
      <c r="AF78">
        <v>12</v>
      </c>
      <c r="AH78" t="s">
        <v>9161</v>
      </c>
      <c r="AI78" t="s">
        <v>9160</v>
      </c>
      <c r="AK78" t="s">
        <v>9159</v>
      </c>
      <c r="AL78">
        <v>0</v>
      </c>
      <c r="AM78" s="5">
        <f t="shared" si="11"/>
        <v>0</v>
      </c>
      <c r="AN78" s="4">
        <f t="shared" si="12"/>
        <v>0</v>
      </c>
      <c r="AO78" s="3"/>
      <c r="AP78">
        <v>0</v>
      </c>
      <c r="AR78" t="s">
        <v>1</v>
      </c>
      <c r="AT78" s="2" t="s">
        <v>0</v>
      </c>
      <c r="AU78" s="1">
        <f t="shared" si="13"/>
        <v>0.55123995622113653</v>
      </c>
      <c r="AV78" s="1">
        <f t="shared" si="14"/>
        <v>0.39374282587224041</v>
      </c>
      <c r="AW78" s="1">
        <f t="shared" si="15"/>
        <v>0.23624569552334423</v>
      </c>
    </row>
    <row r="79" spans="1:49" x14ac:dyDescent="0.2">
      <c r="A79">
        <v>77</v>
      </c>
      <c r="B79" t="s">
        <v>9158</v>
      </c>
      <c r="F79" t="s">
        <v>9157</v>
      </c>
      <c r="G79" t="s">
        <v>5</v>
      </c>
      <c r="H79" t="s">
        <v>4</v>
      </c>
      <c r="I79" t="s">
        <v>9156</v>
      </c>
      <c r="N79">
        <v>3</v>
      </c>
      <c r="O79" t="s">
        <v>9155</v>
      </c>
      <c r="P79" t="s">
        <v>9154</v>
      </c>
      <c r="Q79" t="s">
        <v>99</v>
      </c>
      <c r="R79" s="7">
        <v>36130</v>
      </c>
      <c r="S79" s="8">
        <f t="shared" si="8"/>
        <v>1998</v>
      </c>
      <c r="T79" s="8">
        <v>1998</v>
      </c>
      <c r="U79" s="8">
        <f t="shared" si="9"/>
        <v>24</v>
      </c>
      <c r="V79" s="7">
        <v>1998</v>
      </c>
      <c r="W79" t="s">
        <v>8985</v>
      </c>
      <c r="X79" s="2">
        <v>0.29499999999999998</v>
      </c>
      <c r="Y79" s="6">
        <f t="shared" si="10"/>
        <v>7.8748565174448087E-3</v>
      </c>
      <c r="AA79">
        <v>10642269</v>
      </c>
      <c r="AB79">
        <v>19554</v>
      </c>
      <c r="AD79" t="s">
        <v>2</v>
      </c>
      <c r="AE79">
        <v>43</v>
      </c>
      <c r="AF79">
        <v>11</v>
      </c>
      <c r="AH79" t="s">
        <v>9153</v>
      </c>
      <c r="AI79" t="s">
        <v>9152</v>
      </c>
      <c r="AK79" t="s">
        <v>9151</v>
      </c>
      <c r="AL79">
        <v>1</v>
      </c>
      <c r="AM79" s="5">
        <f t="shared" si="11"/>
        <v>4.1666666666666664E-2</v>
      </c>
      <c r="AN79" s="4">
        <f t="shared" si="12"/>
        <v>6.3107408809794262E-5</v>
      </c>
      <c r="AO79" s="3"/>
      <c r="AP79">
        <v>0</v>
      </c>
      <c r="AR79" t="s">
        <v>1</v>
      </c>
      <c r="AT79" s="2" t="s">
        <v>0</v>
      </c>
      <c r="AU79" s="1">
        <f t="shared" si="13"/>
        <v>0.55313317848543031</v>
      </c>
      <c r="AV79" s="1">
        <f t="shared" si="14"/>
        <v>0.39689819631273016</v>
      </c>
      <c r="AW79" s="1">
        <f t="shared" si="15"/>
        <v>0.24066321414002984</v>
      </c>
    </row>
    <row r="80" spans="1:49" x14ac:dyDescent="0.2">
      <c r="A80">
        <v>78</v>
      </c>
      <c r="B80" t="s">
        <v>9150</v>
      </c>
      <c r="F80" t="s">
        <v>9149</v>
      </c>
      <c r="G80" t="s">
        <v>5</v>
      </c>
      <c r="H80" t="s">
        <v>4</v>
      </c>
      <c r="I80" t="s">
        <v>9148</v>
      </c>
      <c r="N80">
        <v>2</v>
      </c>
      <c r="O80" t="s">
        <v>9147</v>
      </c>
      <c r="P80" t="s">
        <v>9146</v>
      </c>
      <c r="Q80" t="s">
        <v>207</v>
      </c>
      <c r="R80" s="7">
        <v>36130</v>
      </c>
      <c r="S80" s="8">
        <f t="shared" si="8"/>
        <v>1998</v>
      </c>
      <c r="T80" s="8">
        <v>1998</v>
      </c>
      <c r="U80" s="8">
        <f t="shared" si="9"/>
        <v>24</v>
      </c>
      <c r="V80" s="7">
        <v>1998</v>
      </c>
      <c r="W80" t="s">
        <v>4520</v>
      </c>
      <c r="X80" s="2">
        <v>0.1</v>
      </c>
      <c r="Y80" s="6">
        <f t="shared" si="10"/>
        <v>2.6694428872694269E-3</v>
      </c>
      <c r="AA80">
        <v>9633308</v>
      </c>
      <c r="AB80">
        <v>17917</v>
      </c>
      <c r="AD80" t="s">
        <v>2</v>
      </c>
      <c r="AF80">
        <v>254</v>
      </c>
      <c r="AL80">
        <v>0</v>
      </c>
      <c r="AM80" s="5">
        <f t="shared" si="11"/>
        <v>0</v>
      </c>
      <c r="AN80" s="4">
        <f t="shared" si="12"/>
        <v>0</v>
      </c>
      <c r="AO80" s="3"/>
      <c r="AP80">
        <v>0</v>
      </c>
      <c r="AR80" t="s">
        <v>1</v>
      </c>
      <c r="AT80" s="2" t="s">
        <v>0</v>
      </c>
      <c r="AU80" s="1">
        <f t="shared" si="13"/>
        <v>0.18686100210885986</v>
      </c>
      <c r="AV80" s="1">
        <f t="shared" si="14"/>
        <v>0.13347214436347135</v>
      </c>
      <c r="AW80" s="1">
        <f t="shared" si="15"/>
        <v>8.0083286618082811E-2</v>
      </c>
    </row>
    <row r="81" spans="1:49" x14ac:dyDescent="0.2">
      <c r="A81">
        <v>79</v>
      </c>
      <c r="B81" t="s">
        <v>9145</v>
      </c>
      <c r="F81" t="s">
        <v>9144</v>
      </c>
      <c r="G81" t="s">
        <v>5</v>
      </c>
      <c r="H81" t="s">
        <v>4</v>
      </c>
      <c r="I81" t="s">
        <v>9143</v>
      </c>
      <c r="N81">
        <v>1</v>
      </c>
      <c r="O81" t="s">
        <v>9142</v>
      </c>
      <c r="P81">
        <v>6603869177</v>
      </c>
      <c r="R81" s="7">
        <v>36130</v>
      </c>
      <c r="S81" s="8">
        <f t="shared" si="8"/>
        <v>1998</v>
      </c>
      <c r="T81" s="8">
        <v>1998</v>
      </c>
      <c r="U81" s="8">
        <f t="shared" si="9"/>
        <v>24</v>
      </c>
      <c r="V81" s="7">
        <v>1998</v>
      </c>
      <c r="W81" t="s">
        <v>8985</v>
      </c>
      <c r="X81" s="2">
        <v>0.29499999999999998</v>
      </c>
      <c r="Y81" s="6">
        <f t="shared" si="10"/>
        <v>7.8748565174448087E-3</v>
      </c>
      <c r="AA81">
        <v>10642269</v>
      </c>
      <c r="AB81">
        <v>19554</v>
      </c>
      <c r="AD81" t="s">
        <v>2</v>
      </c>
      <c r="AE81">
        <v>43</v>
      </c>
      <c r="AF81">
        <v>4</v>
      </c>
      <c r="AH81" t="s">
        <v>9141</v>
      </c>
      <c r="AI81" t="s">
        <v>9140</v>
      </c>
      <c r="AK81" t="s">
        <v>9139</v>
      </c>
      <c r="AL81">
        <v>0</v>
      </c>
      <c r="AM81" s="5">
        <f t="shared" si="11"/>
        <v>0</v>
      </c>
      <c r="AN81" s="4">
        <f t="shared" si="12"/>
        <v>0</v>
      </c>
      <c r="AO81" s="3"/>
      <c r="AP81">
        <v>0</v>
      </c>
      <c r="AR81" t="s">
        <v>1</v>
      </c>
      <c r="AT81" s="2" t="s">
        <v>0</v>
      </c>
      <c r="AU81" s="1">
        <f t="shared" si="13"/>
        <v>0.55123995622113653</v>
      </c>
      <c r="AV81" s="1">
        <f t="shared" si="14"/>
        <v>0.39374282587224041</v>
      </c>
      <c r="AW81" s="1">
        <f t="shared" si="15"/>
        <v>0.23624569552334423</v>
      </c>
    </row>
    <row r="82" spans="1:49" x14ac:dyDescent="0.2">
      <c r="A82">
        <v>80</v>
      </c>
      <c r="B82" t="s">
        <v>9138</v>
      </c>
      <c r="F82" t="s">
        <v>9137</v>
      </c>
      <c r="G82" t="s">
        <v>5</v>
      </c>
      <c r="H82" t="s">
        <v>4</v>
      </c>
      <c r="I82" t="s">
        <v>2482</v>
      </c>
      <c r="N82">
        <v>2</v>
      </c>
      <c r="O82" t="s">
        <v>9136</v>
      </c>
      <c r="P82" t="s">
        <v>9135</v>
      </c>
      <c r="Q82" t="s">
        <v>207</v>
      </c>
      <c r="R82" s="7">
        <v>36130</v>
      </c>
      <c r="S82" s="8">
        <f t="shared" si="8"/>
        <v>1998</v>
      </c>
      <c r="T82" s="8">
        <v>1998</v>
      </c>
      <c r="U82" s="8">
        <f t="shared" si="9"/>
        <v>24</v>
      </c>
      <c r="V82" s="7">
        <v>1998</v>
      </c>
      <c r="W82" t="s">
        <v>4520</v>
      </c>
      <c r="X82" s="2">
        <v>0.1</v>
      </c>
      <c r="Y82" s="6">
        <f t="shared" si="10"/>
        <v>2.6694428872694269E-3</v>
      </c>
      <c r="AA82">
        <v>9633308</v>
      </c>
      <c r="AB82">
        <v>17917</v>
      </c>
      <c r="AD82" t="s">
        <v>2</v>
      </c>
      <c r="AF82">
        <v>442</v>
      </c>
      <c r="AL82">
        <v>0</v>
      </c>
      <c r="AM82" s="5">
        <f t="shared" si="11"/>
        <v>0</v>
      </c>
      <c r="AN82" s="4">
        <f t="shared" si="12"/>
        <v>0</v>
      </c>
      <c r="AO82" s="3"/>
      <c r="AP82">
        <v>0</v>
      </c>
      <c r="AR82" t="s">
        <v>1</v>
      </c>
      <c r="AT82" s="2" t="s">
        <v>0</v>
      </c>
      <c r="AU82" s="1">
        <f t="shared" si="13"/>
        <v>0.18686100210885986</v>
      </c>
      <c r="AV82" s="1">
        <f t="shared" si="14"/>
        <v>0.13347214436347135</v>
      </c>
      <c r="AW82" s="1">
        <f t="shared" si="15"/>
        <v>8.0083286618082811E-2</v>
      </c>
    </row>
    <row r="83" spans="1:49" x14ac:dyDescent="0.2">
      <c r="A83">
        <v>81</v>
      </c>
      <c r="B83" t="s">
        <v>9134</v>
      </c>
      <c r="F83" t="s">
        <v>9133</v>
      </c>
      <c r="G83" t="s">
        <v>5</v>
      </c>
      <c r="H83" t="s">
        <v>4</v>
      </c>
      <c r="I83" t="s">
        <v>9132</v>
      </c>
      <c r="J83">
        <v>60008673</v>
      </c>
      <c r="K83" t="s">
        <v>449</v>
      </c>
      <c r="L83" t="s">
        <v>448</v>
      </c>
      <c r="M83" t="s">
        <v>106</v>
      </c>
      <c r="N83">
        <v>2</v>
      </c>
      <c r="O83" t="s">
        <v>9131</v>
      </c>
      <c r="P83" t="s">
        <v>9130</v>
      </c>
      <c r="Q83" t="s">
        <v>574</v>
      </c>
      <c r="R83" s="7">
        <v>36130</v>
      </c>
      <c r="S83" s="8">
        <f t="shared" si="8"/>
        <v>1998</v>
      </c>
      <c r="T83" s="8">
        <v>1998</v>
      </c>
      <c r="U83" s="8">
        <f t="shared" si="9"/>
        <v>24</v>
      </c>
      <c r="V83" s="7">
        <v>1998</v>
      </c>
      <c r="W83" t="s">
        <v>8985</v>
      </c>
      <c r="X83" s="2">
        <v>0.29499999999999998</v>
      </c>
      <c r="Y83" s="6">
        <f t="shared" si="10"/>
        <v>7.8748565174448087E-3</v>
      </c>
      <c r="AA83">
        <v>10642269</v>
      </c>
      <c r="AB83">
        <v>19554</v>
      </c>
      <c r="AD83" t="s">
        <v>2</v>
      </c>
      <c r="AE83">
        <v>43</v>
      </c>
      <c r="AF83">
        <v>7</v>
      </c>
      <c r="AH83" t="s">
        <v>9129</v>
      </c>
      <c r="AI83" t="s">
        <v>9128</v>
      </c>
      <c r="AK83" t="s">
        <v>9127</v>
      </c>
      <c r="AL83">
        <v>0</v>
      </c>
      <c r="AM83" s="5">
        <f t="shared" si="11"/>
        <v>0</v>
      </c>
      <c r="AN83" s="4">
        <f t="shared" si="12"/>
        <v>0</v>
      </c>
      <c r="AO83" s="3"/>
      <c r="AP83">
        <v>0</v>
      </c>
      <c r="AR83" t="s">
        <v>1</v>
      </c>
      <c r="AT83" s="2" t="s">
        <v>0</v>
      </c>
      <c r="AU83" s="1">
        <f t="shared" si="13"/>
        <v>0.55123995622113653</v>
      </c>
      <c r="AV83" s="1">
        <f t="shared" si="14"/>
        <v>0.39374282587224041</v>
      </c>
      <c r="AW83" s="1">
        <f t="shared" si="15"/>
        <v>0.23624569552334423</v>
      </c>
    </row>
    <row r="84" spans="1:49" x14ac:dyDescent="0.2">
      <c r="A84">
        <v>82</v>
      </c>
      <c r="B84" t="s">
        <v>9126</v>
      </c>
      <c r="F84" t="s">
        <v>9125</v>
      </c>
      <c r="G84" t="s">
        <v>5</v>
      </c>
      <c r="H84" t="s">
        <v>4</v>
      </c>
      <c r="I84" t="s">
        <v>734</v>
      </c>
      <c r="J84">
        <v>60110398</v>
      </c>
      <c r="K84" t="s">
        <v>733</v>
      </c>
      <c r="L84" t="s">
        <v>260</v>
      </c>
      <c r="M84" t="s">
        <v>13</v>
      </c>
      <c r="N84">
        <v>1</v>
      </c>
      <c r="O84" t="s">
        <v>9124</v>
      </c>
      <c r="P84">
        <v>8065486600</v>
      </c>
      <c r="Q84">
        <v>60110398</v>
      </c>
      <c r="R84" s="7">
        <v>36130</v>
      </c>
      <c r="S84" s="8">
        <f t="shared" si="8"/>
        <v>1998</v>
      </c>
      <c r="T84" s="8">
        <v>1998</v>
      </c>
      <c r="U84" s="8">
        <f t="shared" si="9"/>
        <v>24</v>
      </c>
      <c r="V84" s="7">
        <v>1998</v>
      </c>
      <c r="W84" t="s">
        <v>4520</v>
      </c>
      <c r="X84" s="2">
        <v>0.1</v>
      </c>
      <c r="Y84" s="6">
        <f t="shared" si="10"/>
        <v>2.6694428872694269E-3</v>
      </c>
      <c r="AA84">
        <v>9633308</v>
      </c>
      <c r="AB84">
        <v>17917</v>
      </c>
      <c r="AD84" t="s">
        <v>2</v>
      </c>
      <c r="AF84">
        <v>219</v>
      </c>
      <c r="AL84">
        <v>4</v>
      </c>
      <c r="AM84" s="5">
        <f t="shared" si="11"/>
        <v>0.16666666666666666</v>
      </c>
      <c r="AN84" s="4">
        <f t="shared" si="12"/>
        <v>2.5242963523917705E-4</v>
      </c>
      <c r="AO84" s="3"/>
      <c r="AP84">
        <v>0</v>
      </c>
      <c r="AR84" t="s">
        <v>1</v>
      </c>
      <c r="AT84" s="2" t="s">
        <v>0</v>
      </c>
      <c r="AU84" s="1">
        <f t="shared" si="13"/>
        <v>0.19443389116603516</v>
      </c>
      <c r="AV84" s="1">
        <f t="shared" si="14"/>
        <v>0.1460936261254302</v>
      </c>
      <c r="AW84" s="1">
        <f t="shared" si="15"/>
        <v>9.7753361084825199E-2</v>
      </c>
    </row>
    <row r="85" spans="1:49" x14ac:dyDescent="0.2">
      <c r="A85">
        <v>83</v>
      </c>
      <c r="B85" t="s">
        <v>9123</v>
      </c>
      <c r="F85" t="s">
        <v>9122</v>
      </c>
      <c r="G85" t="s">
        <v>5</v>
      </c>
      <c r="H85" t="s">
        <v>4</v>
      </c>
      <c r="I85" t="s">
        <v>9121</v>
      </c>
      <c r="N85">
        <v>1</v>
      </c>
      <c r="O85" t="s">
        <v>9120</v>
      </c>
      <c r="P85">
        <v>7003559849</v>
      </c>
      <c r="R85" s="7">
        <v>36130</v>
      </c>
      <c r="S85" s="8">
        <f t="shared" si="8"/>
        <v>1998</v>
      </c>
      <c r="T85" s="8">
        <v>1998</v>
      </c>
      <c r="U85" s="8">
        <f t="shared" si="9"/>
        <v>24</v>
      </c>
      <c r="V85" s="7">
        <v>1998</v>
      </c>
      <c r="W85" t="s">
        <v>8985</v>
      </c>
      <c r="X85" s="2">
        <v>0.29499999999999998</v>
      </c>
      <c r="Y85" s="6">
        <f t="shared" si="10"/>
        <v>7.8748565174448087E-3</v>
      </c>
      <c r="AA85">
        <v>10642269</v>
      </c>
      <c r="AB85">
        <v>19554</v>
      </c>
      <c r="AD85" t="s">
        <v>2</v>
      </c>
      <c r="AE85">
        <v>43</v>
      </c>
      <c r="AF85">
        <v>12</v>
      </c>
      <c r="AH85" t="s">
        <v>9119</v>
      </c>
      <c r="AI85" t="s">
        <v>9118</v>
      </c>
      <c r="AK85" t="s">
        <v>9117</v>
      </c>
      <c r="AL85">
        <v>0</v>
      </c>
      <c r="AM85" s="5">
        <f t="shared" si="11"/>
        <v>0</v>
      </c>
      <c r="AN85" s="4">
        <f t="shared" si="12"/>
        <v>0</v>
      </c>
      <c r="AO85" s="3"/>
      <c r="AP85">
        <v>0</v>
      </c>
      <c r="AR85" t="s">
        <v>1</v>
      </c>
      <c r="AT85" s="2" t="s">
        <v>0</v>
      </c>
      <c r="AU85" s="1">
        <f t="shared" si="13"/>
        <v>0.55123995622113653</v>
      </c>
      <c r="AV85" s="1">
        <f t="shared" si="14"/>
        <v>0.39374282587224041</v>
      </c>
      <c r="AW85" s="1">
        <f t="shared" si="15"/>
        <v>0.23624569552334423</v>
      </c>
    </row>
    <row r="86" spans="1:49" x14ac:dyDescent="0.2">
      <c r="A86">
        <v>84</v>
      </c>
      <c r="B86" t="s">
        <v>9116</v>
      </c>
      <c r="F86" t="s">
        <v>9115</v>
      </c>
      <c r="G86" t="s">
        <v>5</v>
      </c>
      <c r="H86" t="s">
        <v>4</v>
      </c>
      <c r="I86" t="s">
        <v>9114</v>
      </c>
      <c r="N86">
        <v>3</v>
      </c>
      <c r="O86" t="s">
        <v>9113</v>
      </c>
      <c r="P86" t="s">
        <v>9112</v>
      </c>
      <c r="Q86" t="s">
        <v>99</v>
      </c>
      <c r="R86" s="7">
        <v>36130</v>
      </c>
      <c r="S86" s="8">
        <f t="shared" si="8"/>
        <v>1998</v>
      </c>
      <c r="T86" s="8">
        <v>1998</v>
      </c>
      <c r="U86" s="8">
        <f t="shared" si="9"/>
        <v>24</v>
      </c>
      <c r="V86" s="7">
        <v>1998</v>
      </c>
      <c r="W86" t="s">
        <v>8985</v>
      </c>
      <c r="X86" s="2">
        <v>0.29499999999999998</v>
      </c>
      <c r="Y86" s="6">
        <f t="shared" si="10"/>
        <v>7.8748565174448087E-3</v>
      </c>
      <c r="AA86">
        <v>10642269</v>
      </c>
      <c r="AB86">
        <v>19554</v>
      </c>
      <c r="AD86" t="s">
        <v>2</v>
      </c>
      <c r="AE86">
        <v>43</v>
      </c>
      <c r="AF86">
        <v>12</v>
      </c>
      <c r="AH86" t="s">
        <v>9111</v>
      </c>
      <c r="AI86" t="s">
        <v>9110</v>
      </c>
      <c r="AK86" t="s">
        <v>9109</v>
      </c>
      <c r="AL86">
        <v>0</v>
      </c>
      <c r="AM86" s="5">
        <f t="shared" si="11"/>
        <v>0</v>
      </c>
      <c r="AN86" s="4">
        <f t="shared" si="12"/>
        <v>0</v>
      </c>
      <c r="AO86" s="3"/>
      <c r="AP86">
        <v>0</v>
      </c>
      <c r="AR86" t="s">
        <v>1</v>
      </c>
      <c r="AT86" s="2" t="s">
        <v>0</v>
      </c>
      <c r="AU86" s="1">
        <f t="shared" si="13"/>
        <v>0.55123995622113653</v>
      </c>
      <c r="AV86" s="1">
        <f t="shared" si="14"/>
        <v>0.39374282587224041</v>
      </c>
      <c r="AW86" s="1">
        <f t="shared" si="15"/>
        <v>0.23624569552334423</v>
      </c>
    </row>
    <row r="87" spans="1:49" x14ac:dyDescent="0.2">
      <c r="A87">
        <v>85</v>
      </c>
      <c r="B87" t="s">
        <v>9108</v>
      </c>
      <c r="F87" t="s">
        <v>9107</v>
      </c>
      <c r="G87" t="s">
        <v>5</v>
      </c>
      <c r="H87" t="s">
        <v>4</v>
      </c>
      <c r="I87" t="s">
        <v>9106</v>
      </c>
      <c r="J87" t="s">
        <v>9101</v>
      </c>
      <c r="K87" t="s">
        <v>9105</v>
      </c>
      <c r="L87" t="s">
        <v>9104</v>
      </c>
      <c r="M87" t="s">
        <v>71</v>
      </c>
      <c r="N87">
        <v>2</v>
      </c>
      <c r="O87" t="s">
        <v>9103</v>
      </c>
      <c r="P87" t="s">
        <v>9102</v>
      </c>
      <c r="Q87" t="s">
        <v>9101</v>
      </c>
      <c r="R87" s="7">
        <v>36130</v>
      </c>
      <c r="S87" s="8">
        <f t="shared" si="8"/>
        <v>1998</v>
      </c>
      <c r="T87" s="8">
        <v>1998</v>
      </c>
      <c r="U87" s="8">
        <f t="shared" si="9"/>
        <v>24</v>
      </c>
      <c r="V87" s="7">
        <v>1998</v>
      </c>
      <c r="W87" t="s">
        <v>8985</v>
      </c>
      <c r="X87" s="2">
        <v>0.29499999999999998</v>
      </c>
      <c r="Y87" s="6">
        <f t="shared" si="10"/>
        <v>7.8748565174448087E-3</v>
      </c>
      <c r="AA87">
        <v>10642269</v>
      </c>
      <c r="AB87">
        <v>19554</v>
      </c>
      <c r="AD87" t="s">
        <v>2</v>
      </c>
      <c r="AE87">
        <v>43</v>
      </c>
      <c r="AF87">
        <v>7</v>
      </c>
      <c r="AH87" t="s">
        <v>9100</v>
      </c>
      <c r="AI87" t="s">
        <v>9099</v>
      </c>
      <c r="AK87" t="s">
        <v>9098</v>
      </c>
      <c r="AL87">
        <v>2</v>
      </c>
      <c r="AM87" s="5">
        <f t="shared" si="11"/>
        <v>8.3333333333333329E-2</v>
      </c>
      <c r="AN87" s="4">
        <f t="shared" si="12"/>
        <v>1.2621481761958852E-4</v>
      </c>
      <c r="AO87" s="3"/>
      <c r="AP87">
        <v>0</v>
      </c>
      <c r="AR87" t="s">
        <v>1</v>
      </c>
      <c r="AT87" s="2" t="s">
        <v>0</v>
      </c>
      <c r="AU87" s="1">
        <f t="shared" si="13"/>
        <v>0.5550264007497242</v>
      </c>
      <c r="AV87" s="1">
        <f t="shared" si="14"/>
        <v>0.40005356675321985</v>
      </c>
      <c r="AW87" s="1">
        <f t="shared" si="15"/>
        <v>0.24508073275671546</v>
      </c>
    </row>
    <row r="88" spans="1:49" x14ac:dyDescent="0.2">
      <c r="A88">
        <v>86</v>
      </c>
      <c r="B88" t="s">
        <v>9097</v>
      </c>
      <c r="F88" t="s">
        <v>9096</v>
      </c>
      <c r="G88" t="s">
        <v>5</v>
      </c>
      <c r="H88" t="s">
        <v>4</v>
      </c>
      <c r="I88" t="s">
        <v>9095</v>
      </c>
      <c r="N88">
        <v>2</v>
      </c>
      <c r="O88" t="s">
        <v>9094</v>
      </c>
      <c r="P88" t="s">
        <v>9093</v>
      </c>
      <c r="Q88" t="s">
        <v>207</v>
      </c>
      <c r="R88" s="7">
        <v>36130</v>
      </c>
      <c r="S88" s="8">
        <f t="shared" si="8"/>
        <v>1998</v>
      </c>
      <c r="T88" s="8">
        <v>1998</v>
      </c>
      <c r="U88" s="8">
        <f t="shared" si="9"/>
        <v>24</v>
      </c>
      <c r="V88" s="7">
        <v>1998</v>
      </c>
      <c r="W88" t="s">
        <v>4520</v>
      </c>
      <c r="X88" s="2">
        <v>0.1</v>
      </c>
      <c r="Y88" s="6">
        <f t="shared" si="10"/>
        <v>2.6694428872694269E-3</v>
      </c>
      <c r="AA88">
        <v>9633308</v>
      </c>
      <c r="AB88">
        <v>17917</v>
      </c>
      <c r="AD88" t="s">
        <v>2</v>
      </c>
      <c r="AF88">
        <v>254</v>
      </c>
      <c r="AL88">
        <v>0</v>
      </c>
      <c r="AM88" s="5">
        <f t="shared" si="11"/>
        <v>0</v>
      </c>
      <c r="AN88" s="4">
        <f t="shared" si="12"/>
        <v>0</v>
      </c>
      <c r="AO88" s="3"/>
      <c r="AP88">
        <v>0</v>
      </c>
      <c r="AR88" t="s">
        <v>1</v>
      </c>
      <c r="AT88" s="2" t="s">
        <v>0</v>
      </c>
      <c r="AU88" s="1">
        <f t="shared" si="13"/>
        <v>0.18686100210885986</v>
      </c>
      <c r="AV88" s="1">
        <f t="shared" si="14"/>
        <v>0.13347214436347135</v>
      </c>
      <c r="AW88" s="1">
        <f t="shared" si="15"/>
        <v>8.0083286618082811E-2</v>
      </c>
    </row>
    <row r="89" spans="1:49" x14ac:dyDescent="0.2">
      <c r="A89">
        <v>87</v>
      </c>
      <c r="B89" t="s">
        <v>9092</v>
      </c>
      <c r="F89" t="s">
        <v>9091</v>
      </c>
      <c r="G89" t="s">
        <v>5</v>
      </c>
      <c r="H89" t="s">
        <v>4</v>
      </c>
      <c r="I89" t="s">
        <v>9090</v>
      </c>
      <c r="N89">
        <v>3</v>
      </c>
      <c r="O89" t="s">
        <v>9089</v>
      </c>
      <c r="P89" t="s">
        <v>9088</v>
      </c>
      <c r="Q89" t="s">
        <v>99</v>
      </c>
      <c r="R89" s="7">
        <v>36130</v>
      </c>
      <c r="S89" s="8">
        <f t="shared" si="8"/>
        <v>1998</v>
      </c>
      <c r="T89" s="8">
        <v>1998</v>
      </c>
      <c r="U89" s="8">
        <f t="shared" si="9"/>
        <v>24</v>
      </c>
      <c r="V89" s="7">
        <v>1998</v>
      </c>
      <c r="W89" t="s">
        <v>8985</v>
      </c>
      <c r="X89" s="2">
        <v>0.29499999999999998</v>
      </c>
      <c r="Y89" s="6">
        <f t="shared" si="10"/>
        <v>7.8748565174448087E-3</v>
      </c>
      <c r="AA89">
        <v>10642269</v>
      </c>
      <c r="AB89">
        <v>19554</v>
      </c>
      <c r="AD89" t="s">
        <v>2</v>
      </c>
      <c r="AE89">
        <v>43</v>
      </c>
      <c r="AF89">
        <v>12</v>
      </c>
      <c r="AH89" t="s">
        <v>9087</v>
      </c>
      <c r="AI89" t="s">
        <v>9086</v>
      </c>
      <c r="AK89" t="s">
        <v>9085</v>
      </c>
      <c r="AL89">
        <v>0</v>
      </c>
      <c r="AM89" s="5">
        <f t="shared" si="11"/>
        <v>0</v>
      </c>
      <c r="AN89" s="4">
        <f t="shared" si="12"/>
        <v>0</v>
      </c>
      <c r="AO89" s="3"/>
      <c r="AP89">
        <v>0</v>
      </c>
      <c r="AR89" t="s">
        <v>1</v>
      </c>
      <c r="AT89" s="2" t="s">
        <v>0</v>
      </c>
      <c r="AU89" s="1">
        <f t="shared" si="13"/>
        <v>0.55123995622113653</v>
      </c>
      <c r="AV89" s="1">
        <f t="shared" si="14"/>
        <v>0.39374282587224041</v>
      </c>
      <c r="AW89" s="1">
        <f t="shared" si="15"/>
        <v>0.23624569552334423</v>
      </c>
    </row>
    <row r="90" spans="1:49" x14ac:dyDescent="0.2">
      <c r="A90">
        <v>88</v>
      </c>
      <c r="B90" t="s">
        <v>9084</v>
      </c>
      <c r="F90" t="s">
        <v>9083</v>
      </c>
      <c r="G90" t="s">
        <v>5</v>
      </c>
      <c r="H90" t="s">
        <v>4</v>
      </c>
      <c r="I90" t="s">
        <v>9082</v>
      </c>
      <c r="J90">
        <v>100473079</v>
      </c>
      <c r="K90" t="s">
        <v>9081</v>
      </c>
      <c r="L90" t="s">
        <v>9080</v>
      </c>
      <c r="M90" t="s">
        <v>9</v>
      </c>
      <c r="N90">
        <v>2</v>
      </c>
      <c r="O90" t="s">
        <v>9079</v>
      </c>
      <c r="P90" t="s">
        <v>9078</v>
      </c>
      <c r="Q90" t="s">
        <v>9077</v>
      </c>
      <c r="R90" s="7">
        <v>36130</v>
      </c>
      <c r="S90" s="8">
        <f t="shared" si="8"/>
        <v>1998</v>
      </c>
      <c r="T90" s="8">
        <v>1998</v>
      </c>
      <c r="U90" s="8">
        <f t="shared" si="9"/>
        <v>24</v>
      </c>
      <c r="V90" s="7">
        <v>1998</v>
      </c>
      <c r="W90" t="s">
        <v>4520</v>
      </c>
      <c r="X90" s="2">
        <v>0.1</v>
      </c>
      <c r="Y90" s="6">
        <f t="shared" si="10"/>
        <v>2.6694428872694269E-3</v>
      </c>
      <c r="AA90">
        <v>9633308</v>
      </c>
      <c r="AB90">
        <v>17917</v>
      </c>
      <c r="AD90" t="s">
        <v>2</v>
      </c>
      <c r="AF90">
        <v>254</v>
      </c>
      <c r="AI90" t="s">
        <v>9076</v>
      </c>
      <c r="AK90" t="s">
        <v>9075</v>
      </c>
      <c r="AL90">
        <v>0</v>
      </c>
      <c r="AM90" s="5">
        <f t="shared" si="11"/>
        <v>0</v>
      </c>
      <c r="AN90" s="4">
        <f t="shared" si="12"/>
        <v>0</v>
      </c>
      <c r="AO90" s="3"/>
      <c r="AP90">
        <v>0</v>
      </c>
      <c r="AR90" t="s">
        <v>1</v>
      </c>
      <c r="AT90" s="2" t="s">
        <v>0</v>
      </c>
      <c r="AU90" s="1">
        <f t="shared" si="13"/>
        <v>0.18686100210885986</v>
      </c>
      <c r="AV90" s="1">
        <f t="shared" si="14"/>
        <v>0.13347214436347135</v>
      </c>
      <c r="AW90" s="1">
        <f t="shared" si="15"/>
        <v>8.0083286618082811E-2</v>
      </c>
    </row>
    <row r="91" spans="1:49" x14ac:dyDescent="0.2">
      <c r="A91">
        <v>89</v>
      </c>
      <c r="B91" t="s">
        <v>9074</v>
      </c>
      <c r="F91" t="s">
        <v>9073</v>
      </c>
      <c r="G91" t="s">
        <v>5</v>
      </c>
      <c r="H91" t="s">
        <v>4</v>
      </c>
      <c r="I91" t="s">
        <v>9072</v>
      </c>
      <c r="J91">
        <v>60075757</v>
      </c>
      <c r="K91" t="s">
        <v>9071</v>
      </c>
      <c r="L91" t="s">
        <v>480</v>
      </c>
      <c r="M91" t="s">
        <v>37</v>
      </c>
      <c r="N91">
        <v>2</v>
      </c>
      <c r="O91" t="s">
        <v>9070</v>
      </c>
      <c r="P91" t="s">
        <v>9069</v>
      </c>
      <c r="Q91" t="s">
        <v>9068</v>
      </c>
      <c r="R91" s="7">
        <v>36130</v>
      </c>
      <c r="S91" s="8">
        <f t="shared" si="8"/>
        <v>1998</v>
      </c>
      <c r="T91" s="8">
        <v>1998</v>
      </c>
      <c r="U91" s="8">
        <f t="shared" si="9"/>
        <v>24</v>
      </c>
      <c r="V91" s="7">
        <v>1998</v>
      </c>
      <c r="W91" t="s">
        <v>4520</v>
      </c>
      <c r="X91" s="2">
        <v>0.1</v>
      </c>
      <c r="Y91" s="6">
        <f t="shared" si="10"/>
        <v>2.6694428872694269E-3</v>
      </c>
      <c r="AA91">
        <v>9633308</v>
      </c>
      <c r="AB91">
        <v>17917</v>
      </c>
      <c r="AD91" t="s">
        <v>2</v>
      </c>
      <c r="AF91">
        <v>231</v>
      </c>
      <c r="AI91" t="s">
        <v>9067</v>
      </c>
      <c r="AK91" t="s">
        <v>9066</v>
      </c>
      <c r="AL91">
        <v>2</v>
      </c>
      <c r="AM91" s="5">
        <f t="shared" si="11"/>
        <v>8.3333333333333329E-2</v>
      </c>
      <c r="AN91" s="4">
        <f t="shared" si="12"/>
        <v>1.2621481761958852E-4</v>
      </c>
      <c r="AO91" s="3"/>
      <c r="AP91">
        <v>0</v>
      </c>
      <c r="AR91" t="s">
        <v>1</v>
      </c>
      <c r="AT91" s="2" t="s">
        <v>0</v>
      </c>
      <c r="AU91" s="1">
        <f t="shared" si="13"/>
        <v>0.19064744663744754</v>
      </c>
      <c r="AV91" s="1">
        <f t="shared" si="14"/>
        <v>0.13978288524445079</v>
      </c>
      <c r="AW91" s="1">
        <f t="shared" si="15"/>
        <v>8.8918323851453998E-2</v>
      </c>
    </row>
    <row r="92" spans="1:49" x14ac:dyDescent="0.2">
      <c r="A92">
        <v>90</v>
      </c>
      <c r="B92" t="s">
        <v>9065</v>
      </c>
      <c r="F92" t="s">
        <v>9064</v>
      </c>
      <c r="G92" t="s">
        <v>5</v>
      </c>
      <c r="H92" t="s">
        <v>4</v>
      </c>
      <c r="I92" t="s">
        <v>9063</v>
      </c>
      <c r="N92">
        <v>2</v>
      </c>
      <c r="O92" t="s">
        <v>9062</v>
      </c>
      <c r="P92" t="s">
        <v>9061</v>
      </c>
      <c r="Q92" t="s">
        <v>207</v>
      </c>
      <c r="R92" s="7">
        <v>36130</v>
      </c>
      <c r="S92" s="8">
        <f t="shared" si="8"/>
        <v>1998</v>
      </c>
      <c r="T92" s="8">
        <v>1998</v>
      </c>
      <c r="U92" s="8">
        <f t="shared" si="9"/>
        <v>24</v>
      </c>
      <c r="V92" s="7">
        <v>1998</v>
      </c>
      <c r="W92" t="s">
        <v>8985</v>
      </c>
      <c r="X92" s="2">
        <v>0.29499999999999998</v>
      </c>
      <c r="Y92" s="6">
        <f t="shared" si="10"/>
        <v>7.8748565174448087E-3</v>
      </c>
      <c r="AA92">
        <v>10642269</v>
      </c>
      <c r="AB92">
        <v>19554</v>
      </c>
      <c r="AD92" t="s">
        <v>2</v>
      </c>
      <c r="AE92">
        <v>43</v>
      </c>
      <c r="AF92">
        <v>6</v>
      </c>
      <c r="AH92" t="s">
        <v>9060</v>
      </c>
      <c r="AI92" t="s">
        <v>9059</v>
      </c>
      <c r="AK92" t="s">
        <v>9058</v>
      </c>
      <c r="AL92">
        <v>0</v>
      </c>
      <c r="AM92" s="5">
        <f t="shared" si="11"/>
        <v>0</v>
      </c>
      <c r="AN92" s="4">
        <f t="shared" si="12"/>
        <v>0</v>
      </c>
      <c r="AO92" s="3"/>
      <c r="AP92">
        <v>0</v>
      </c>
      <c r="AR92" t="s">
        <v>1</v>
      </c>
      <c r="AT92" s="2" t="s">
        <v>0</v>
      </c>
      <c r="AU92" s="1">
        <f t="shared" si="13"/>
        <v>0.55123995622113653</v>
      </c>
      <c r="AV92" s="1">
        <f t="shared" si="14"/>
        <v>0.39374282587224041</v>
      </c>
      <c r="AW92" s="1">
        <f t="shared" si="15"/>
        <v>0.23624569552334423</v>
      </c>
    </row>
    <row r="93" spans="1:49" x14ac:dyDescent="0.2">
      <c r="A93">
        <v>91</v>
      </c>
      <c r="B93" t="s">
        <v>9057</v>
      </c>
      <c r="F93" t="s">
        <v>9056</v>
      </c>
      <c r="G93" t="s">
        <v>5</v>
      </c>
      <c r="H93" t="s">
        <v>4</v>
      </c>
      <c r="I93" t="s">
        <v>9055</v>
      </c>
      <c r="N93">
        <v>1</v>
      </c>
      <c r="O93" t="s">
        <v>9054</v>
      </c>
      <c r="P93">
        <v>6603572144</v>
      </c>
      <c r="R93" s="7">
        <v>36130</v>
      </c>
      <c r="S93" s="8">
        <f t="shared" si="8"/>
        <v>1998</v>
      </c>
      <c r="T93" s="8">
        <v>1998</v>
      </c>
      <c r="U93" s="8">
        <f t="shared" si="9"/>
        <v>24</v>
      </c>
      <c r="V93" s="7">
        <v>1998</v>
      </c>
      <c r="W93" t="s">
        <v>8985</v>
      </c>
      <c r="X93" s="2">
        <v>0.29499999999999998</v>
      </c>
      <c r="Y93" s="6">
        <f t="shared" si="10"/>
        <v>7.8748565174448087E-3</v>
      </c>
      <c r="AA93">
        <v>10642269</v>
      </c>
      <c r="AB93">
        <v>19554</v>
      </c>
      <c r="AD93" t="s">
        <v>2</v>
      </c>
      <c r="AE93">
        <v>43</v>
      </c>
      <c r="AF93">
        <v>3</v>
      </c>
      <c r="AH93" t="s">
        <v>9053</v>
      </c>
      <c r="AI93" t="s">
        <v>9052</v>
      </c>
      <c r="AK93" t="s">
        <v>9051</v>
      </c>
      <c r="AL93">
        <v>1</v>
      </c>
      <c r="AM93" s="5">
        <f t="shared" si="11"/>
        <v>4.1666666666666664E-2</v>
      </c>
      <c r="AN93" s="4">
        <f t="shared" si="12"/>
        <v>6.3107408809794262E-5</v>
      </c>
      <c r="AO93" s="3"/>
      <c r="AP93">
        <v>0</v>
      </c>
      <c r="AR93" t="s">
        <v>1</v>
      </c>
      <c r="AT93" s="2" t="s">
        <v>0</v>
      </c>
      <c r="AU93" s="1">
        <f t="shared" si="13"/>
        <v>0.55313317848543031</v>
      </c>
      <c r="AV93" s="1">
        <f t="shared" si="14"/>
        <v>0.39689819631273016</v>
      </c>
      <c r="AW93" s="1">
        <f t="shared" si="15"/>
        <v>0.24066321414002984</v>
      </c>
    </row>
    <row r="94" spans="1:49" x14ac:dyDescent="0.2">
      <c r="A94">
        <v>92</v>
      </c>
      <c r="B94" t="s">
        <v>9050</v>
      </c>
      <c r="F94" t="s">
        <v>9049</v>
      </c>
      <c r="G94" t="s">
        <v>5</v>
      </c>
      <c r="H94" t="s">
        <v>4</v>
      </c>
      <c r="I94" t="s">
        <v>9048</v>
      </c>
      <c r="N94">
        <v>2</v>
      </c>
      <c r="O94" t="s">
        <v>9047</v>
      </c>
      <c r="P94" t="s">
        <v>9046</v>
      </c>
      <c r="Q94" t="s">
        <v>207</v>
      </c>
      <c r="R94" s="7">
        <v>36130</v>
      </c>
      <c r="S94" s="8">
        <f t="shared" si="8"/>
        <v>1998</v>
      </c>
      <c r="T94" s="8">
        <v>1998</v>
      </c>
      <c r="U94" s="8">
        <f t="shared" si="9"/>
        <v>24</v>
      </c>
      <c r="V94" s="7">
        <v>1998</v>
      </c>
      <c r="W94" t="s">
        <v>8985</v>
      </c>
      <c r="X94" s="2">
        <v>0.29499999999999998</v>
      </c>
      <c r="Y94" s="6">
        <f t="shared" si="10"/>
        <v>7.8748565174448087E-3</v>
      </c>
      <c r="AA94">
        <v>10642269</v>
      </c>
      <c r="AB94">
        <v>19554</v>
      </c>
      <c r="AD94" t="s">
        <v>2</v>
      </c>
      <c r="AE94">
        <v>43</v>
      </c>
      <c r="AF94">
        <v>10</v>
      </c>
      <c r="AH94" t="s">
        <v>9045</v>
      </c>
      <c r="AI94" t="s">
        <v>9044</v>
      </c>
      <c r="AK94" t="s">
        <v>9043</v>
      </c>
      <c r="AL94">
        <v>0</v>
      </c>
      <c r="AM94" s="5">
        <f t="shared" si="11"/>
        <v>0</v>
      </c>
      <c r="AN94" s="4">
        <f t="shared" si="12"/>
        <v>0</v>
      </c>
      <c r="AO94" s="3"/>
      <c r="AP94">
        <v>0</v>
      </c>
      <c r="AR94" t="s">
        <v>1</v>
      </c>
      <c r="AT94" s="2" t="s">
        <v>0</v>
      </c>
      <c r="AU94" s="1">
        <f t="shared" si="13"/>
        <v>0.55123995622113653</v>
      </c>
      <c r="AV94" s="1">
        <f t="shared" si="14"/>
        <v>0.39374282587224041</v>
      </c>
      <c r="AW94" s="1">
        <f t="shared" si="15"/>
        <v>0.23624569552334423</v>
      </c>
    </row>
    <row r="95" spans="1:49" x14ac:dyDescent="0.2">
      <c r="A95">
        <v>93</v>
      </c>
      <c r="B95" t="s">
        <v>9042</v>
      </c>
      <c r="F95" t="s">
        <v>9041</v>
      </c>
      <c r="G95" t="s">
        <v>5</v>
      </c>
      <c r="H95" t="s">
        <v>4</v>
      </c>
      <c r="I95" t="s">
        <v>9040</v>
      </c>
      <c r="N95">
        <v>1</v>
      </c>
      <c r="O95" t="s">
        <v>9039</v>
      </c>
      <c r="P95">
        <v>7004753376</v>
      </c>
      <c r="R95" s="7">
        <v>36130</v>
      </c>
      <c r="S95" s="8">
        <f t="shared" si="8"/>
        <v>1998</v>
      </c>
      <c r="T95" s="8">
        <v>1998</v>
      </c>
      <c r="U95" s="8">
        <f t="shared" si="9"/>
        <v>24</v>
      </c>
      <c r="V95" s="7">
        <v>1998</v>
      </c>
      <c r="W95" t="s">
        <v>8985</v>
      </c>
      <c r="X95" s="2">
        <v>0.29499999999999998</v>
      </c>
      <c r="Y95" s="6">
        <f t="shared" si="10"/>
        <v>7.8748565174448087E-3</v>
      </c>
      <c r="AA95">
        <v>10642269</v>
      </c>
      <c r="AB95">
        <v>19554</v>
      </c>
      <c r="AD95" t="s">
        <v>2</v>
      </c>
      <c r="AE95">
        <v>43</v>
      </c>
      <c r="AF95">
        <v>7</v>
      </c>
      <c r="AH95" t="s">
        <v>9038</v>
      </c>
      <c r="AI95" t="s">
        <v>9037</v>
      </c>
      <c r="AK95" t="s">
        <v>9036</v>
      </c>
      <c r="AL95">
        <v>0</v>
      </c>
      <c r="AM95" s="5">
        <f t="shared" si="11"/>
        <v>0</v>
      </c>
      <c r="AN95" s="4">
        <f t="shared" si="12"/>
        <v>0</v>
      </c>
      <c r="AO95" s="3"/>
      <c r="AP95">
        <v>0</v>
      </c>
      <c r="AR95" t="s">
        <v>1</v>
      </c>
      <c r="AT95" s="2" t="s">
        <v>0</v>
      </c>
      <c r="AU95" s="1">
        <f t="shared" si="13"/>
        <v>0.55123995622113653</v>
      </c>
      <c r="AV95" s="1">
        <f t="shared" si="14"/>
        <v>0.39374282587224041</v>
      </c>
      <c r="AW95" s="1">
        <f t="shared" si="15"/>
        <v>0.23624569552334423</v>
      </c>
    </row>
    <row r="96" spans="1:49" x14ac:dyDescent="0.2">
      <c r="A96">
        <v>94</v>
      </c>
      <c r="B96" t="s">
        <v>9035</v>
      </c>
      <c r="F96" t="s">
        <v>9034</v>
      </c>
      <c r="G96" t="s">
        <v>5</v>
      </c>
      <c r="H96" t="s">
        <v>4</v>
      </c>
      <c r="I96" t="s">
        <v>9033</v>
      </c>
      <c r="J96">
        <v>60022109</v>
      </c>
      <c r="K96" t="s">
        <v>735</v>
      </c>
      <c r="L96" t="s">
        <v>14</v>
      </c>
      <c r="M96" t="s">
        <v>13</v>
      </c>
      <c r="N96">
        <v>1</v>
      </c>
      <c r="O96" t="s">
        <v>9032</v>
      </c>
      <c r="P96">
        <v>7005244140</v>
      </c>
      <c r="Q96">
        <v>60022109</v>
      </c>
      <c r="R96" s="7">
        <v>36130</v>
      </c>
      <c r="S96" s="8">
        <f t="shared" si="8"/>
        <v>1998</v>
      </c>
      <c r="T96" s="8">
        <v>1998</v>
      </c>
      <c r="U96" s="8">
        <f t="shared" si="9"/>
        <v>24</v>
      </c>
      <c r="V96" s="7">
        <v>1998</v>
      </c>
      <c r="W96" t="s">
        <v>4520</v>
      </c>
      <c r="X96" s="2">
        <v>0.1</v>
      </c>
      <c r="Y96" s="6">
        <f t="shared" si="10"/>
        <v>2.6694428872694269E-3</v>
      </c>
      <c r="AA96">
        <v>9633308</v>
      </c>
      <c r="AB96">
        <v>17917</v>
      </c>
      <c r="AD96" t="s">
        <v>2</v>
      </c>
      <c r="AF96">
        <v>254</v>
      </c>
      <c r="AL96">
        <v>0</v>
      </c>
      <c r="AM96" s="5">
        <f t="shared" si="11"/>
        <v>0</v>
      </c>
      <c r="AN96" s="4">
        <f t="shared" si="12"/>
        <v>0</v>
      </c>
      <c r="AO96" s="3"/>
      <c r="AP96">
        <v>0</v>
      </c>
      <c r="AR96" t="s">
        <v>1</v>
      </c>
      <c r="AT96" s="2" t="s">
        <v>0</v>
      </c>
      <c r="AU96" s="1">
        <f t="shared" si="13"/>
        <v>0.18686100210885986</v>
      </c>
      <c r="AV96" s="1">
        <f t="shared" si="14"/>
        <v>0.13347214436347135</v>
      </c>
      <c r="AW96" s="1">
        <f t="shared" si="15"/>
        <v>8.0083286618082811E-2</v>
      </c>
    </row>
    <row r="97" spans="1:49" x14ac:dyDescent="0.2">
      <c r="A97">
        <v>95</v>
      </c>
      <c r="B97" t="s">
        <v>9031</v>
      </c>
      <c r="F97" t="s">
        <v>9030</v>
      </c>
      <c r="G97" t="s">
        <v>5</v>
      </c>
      <c r="H97" t="s">
        <v>4</v>
      </c>
      <c r="I97" t="s">
        <v>9029</v>
      </c>
      <c r="J97">
        <v>101217640</v>
      </c>
      <c r="K97" t="s">
        <v>9028</v>
      </c>
      <c r="L97" t="s">
        <v>225</v>
      </c>
      <c r="M97" t="s">
        <v>106</v>
      </c>
      <c r="N97">
        <v>1</v>
      </c>
      <c r="O97" t="s">
        <v>9027</v>
      </c>
      <c r="P97">
        <v>6701371017</v>
      </c>
      <c r="Q97">
        <v>101217640</v>
      </c>
      <c r="R97" s="7">
        <v>36130</v>
      </c>
      <c r="S97" s="8">
        <f t="shared" si="8"/>
        <v>1998</v>
      </c>
      <c r="T97" s="8">
        <v>1998</v>
      </c>
      <c r="U97" s="8">
        <f t="shared" si="9"/>
        <v>24</v>
      </c>
      <c r="V97" s="7">
        <v>1998</v>
      </c>
      <c r="W97" t="s">
        <v>8985</v>
      </c>
      <c r="X97" s="2">
        <v>0.29499999999999998</v>
      </c>
      <c r="Y97" s="6">
        <f t="shared" si="10"/>
        <v>7.8748565174448087E-3</v>
      </c>
      <c r="AA97">
        <v>10642269</v>
      </c>
      <c r="AB97">
        <v>19554</v>
      </c>
      <c r="AD97" t="s">
        <v>2</v>
      </c>
      <c r="AE97">
        <v>43</v>
      </c>
      <c r="AF97">
        <v>4</v>
      </c>
      <c r="AH97" t="s">
        <v>9026</v>
      </c>
      <c r="AI97" t="s">
        <v>9025</v>
      </c>
      <c r="AK97" t="s">
        <v>9024</v>
      </c>
      <c r="AL97">
        <v>0</v>
      </c>
      <c r="AM97" s="5">
        <f t="shared" si="11"/>
        <v>0</v>
      </c>
      <c r="AN97" s="4">
        <f t="shared" si="12"/>
        <v>0</v>
      </c>
      <c r="AO97" s="3"/>
      <c r="AP97">
        <v>0</v>
      </c>
      <c r="AR97" t="s">
        <v>1</v>
      </c>
      <c r="AT97" s="2" t="s">
        <v>0</v>
      </c>
      <c r="AU97" s="1">
        <f t="shared" si="13"/>
        <v>0.55123995622113653</v>
      </c>
      <c r="AV97" s="1">
        <f t="shared" si="14"/>
        <v>0.39374282587224041</v>
      </c>
      <c r="AW97" s="1">
        <f t="shared" si="15"/>
        <v>0.23624569552334423</v>
      </c>
    </row>
    <row r="98" spans="1:49" x14ac:dyDescent="0.2">
      <c r="A98">
        <v>96</v>
      </c>
      <c r="B98" t="s">
        <v>9023</v>
      </c>
      <c r="F98" t="s">
        <v>9022</v>
      </c>
      <c r="G98" t="s">
        <v>5</v>
      </c>
      <c r="H98" t="s">
        <v>4</v>
      </c>
      <c r="I98" t="s">
        <v>9021</v>
      </c>
      <c r="J98">
        <v>60031342</v>
      </c>
      <c r="K98" t="s">
        <v>9020</v>
      </c>
      <c r="M98" t="s">
        <v>13</v>
      </c>
      <c r="N98">
        <v>3</v>
      </c>
      <c r="O98" t="s">
        <v>9019</v>
      </c>
      <c r="P98" t="s">
        <v>9018</v>
      </c>
      <c r="Q98" t="s">
        <v>9017</v>
      </c>
      <c r="R98" s="7">
        <v>36130</v>
      </c>
      <c r="S98" s="8">
        <f t="shared" si="8"/>
        <v>1998</v>
      </c>
      <c r="T98" s="8">
        <v>1998</v>
      </c>
      <c r="U98" s="8">
        <f t="shared" si="9"/>
        <v>24</v>
      </c>
      <c r="V98" s="7">
        <v>1998</v>
      </c>
      <c r="W98" t="s">
        <v>4520</v>
      </c>
      <c r="X98" s="2">
        <v>0.1</v>
      </c>
      <c r="Y98" s="6">
        <f t="shared" si="10"/>
        <v>2.6694428872694269E-3</v>
      </c>
      <c r="AA98">
        <v>9633308</v>
      </c>
      <c r="AB98">
        <v>17917</v>
      </c>
      <c r="AD98" t="s">
        <v>2</v>
      </c>
      <c r="AF98">
        <v>481</v>
      </c>
      <c r="AL98">
        <v>0</v>
      </c>
      <c r="AM98" s="5">
        <f t="shared" si="11"/>
        <v>0</v>
      </c>
      <c r="AN98" s="4">
        <f t="shared" si="12"/>
        <v>0</v>
      </c>
      <c r="AO98" s="3"/>
      <c r="AP98">
        <v>0</v>
      </c>
      <c r="AR98" t="s">
        <v>1</v>
      </c>
      <c r="AT98" s="2" t="s">
        <v>0</v>
      </c>
      <c r="AU98" s="1">
        <f t="shared" si="13"/>
        <v>0.18686100210885986</v>
      </c>
      <c r="AV98" s="1">
        <f t="shared" si="14"/>
        <v>0.13347214436347135</v>
      </c>
      <c r="AW98" s="1">
        <f t="shared" si="15"/>
        <v>8.0083286618082811E-2</v>
      </c>
    </row>
    <row r="99" spans="1:49" x14ac:dyDescent="0.2">
      <c r="A99">
        <v>97</v>
      </c>
      <c r="B99" t="s">
        <v>9016</v>
      </c>
      <c r="F99" t="s">
        <v>9015</v>
      </c>
      <c r="G99" t="s">
        <v>5</v>
      </c>
      <c r="H99" t="s">
        <v>4</v>
      </c>
      <c r="I99" t="s">
        <v>9014</v>
      </c>
      <c r="N99">
        <v>3</v>
      </c>
      <c r="O99" t="s">
        <v>9013</v>
      </c>
      <c r="P99" t="s">
        <v>9012</v>
      </c>
      <c r="Q99" t="s">
        <v>99</v>
      </c>
      <c r="R99" s="7">
        <v>36130</v>
      </c>
      <c r="S99" s="8">
        <f t="shared" si="8"/>
        <v>1998</v>
      </c>
      <c r="T99" s="8">
        <v>1998</v>
      </c>
      <c r="U99" s="8">
        <f t="shared" si="9"/>
        <v>24</v>
      </c>
      <c r="V99" s="7">
        <v>1998</v>
      </c>
      <c r="W99" t="s">
        <v>8985</v>
      </c>
      <c r="X99" s="2">
        <v>0.29499999999999998</v>
      </c>
      <c r="Y99" s="6">
        <f t="shared" si="10"/>
        <v>7.8748565174448087E-3</v>
      </c>
      <c r="AA99">
        <v>10642269</v>
      </c>
      <c r="AB99">
        <v>19554</v>
      </c>
      <c r="AD99" t="s">
        <v>2</v>
      </c>
      <c r="AE99">
        <v>43</v>
      </c>
      <c r="AF99">
        <v>1</v>
      </c>
      <c r="AH99" t="s">
        <v>9011</v>
      </c>
      <c r="AI99" t="s">
        <v>9010</v>
      </c>
      <c r="AK99" t="s">
        <v>9009</v>
      </c>
      <c r="AL99">
        <v>0</v>
      </c>
      <c r="AM99" s="5">
        <f t="shared" si="11"/>
        <v>0</v>
      </c>
      <c r="AN99" s="4">
        <f t="shared" si="12"/>
        <v>0</v>
      </c>
      <c r="AO99" s="3"/>
      <c r="AP99">
        <v>0</v>
      </c>
      <c r="AR99" t="s">
        <v>1</v>
      </c>
      <c r="AT99" s="2" t="s">
        <v>0</v>
      </c>
      <c r="AU99" s="1">
        <f t="shared" si="13"/>
        <v>0.55123995622113653</v>
      </c>
      <c r="AV99" s="1">
        <f t="shared" si="14"/>
        <v>0.39374282587224041</v>
      </c>
      <c r="AW99" s="1">
        <f t="shared" si="15"/>
        <v>0.23624569552334423</v>
      </c>
    </row>
    <row r="100" spans="1:49" x14ac:dyDescent="0.2">
      <c r="A100">
        <v>98</v>
      </c>
      <c r="B100" t="s">
        <v>9008</v>
      </c>
      <c r="F100" t="s">
        <v>9007</v>
      </c>
      <c r="G100" t="s">
        <v>5</v>
      </c>
      <c r="H100" t="s">
        <v>4</v>
      </c>
      <c r="I100" t="s">
        <v>9006</v>
      </c>
      <c r="J100">
        <v>60068504</v>
      </c>
      <c r="K100" t="s">
        <v>9005</v>
      </c>
      <c r="L100" t="s">
        <v>167</v>
      </c>
      <c r="M100" t="s">
        <v>166</v>
      </c>
      <c r="N100">
        <v>1</v>
      </c>
      <c r="O100" t="s">
        <v>9004</v>
      </c>
      <c r="P100">
        <v>7003684032</v>
      </c>
      <c r="Q100">
        <v>60068504</v>
      </c>
      <c r="R100" s="7">
        <v>36130</v>
      </c>
      <c r="S100" s="8">
        <f t="shared" si="8"/>
        <v>1998</v>
      </c>
      <c r="T100" s="8">
        <v>1998</v>
      </c>
      <c r="U100" s="8">
        <f t="shared" si="9"/>
        <v>24</v>
      </c>
      <c r="V100" s="7">
        <v>1998</v>
      </c>
      <c r="W100" t="s">
        <v>8985</v>
      </c>
      <c r="X100" s="2">
        <v>0.29499999999999998</v>
      </c>
      <c r="Y100" s="6">
        <f t="shared" si="10"/>
        <v>7.8748565174448087E-3</v>
      </c>
      <c r="AA100">
        <v>10642269</v>
      </c>
      <c r="AB100">
        <v>19554</v>
      </c>
      <c r="AD100" t="s">
        <v>2</v>
      </c>
      <c r="AE100">
        <v>43</v>
      </c>
      <c r="AF100">
        <v>2</v>
      </c>
      <c r="AH100" t="s">
        <v>9003</v>
      </c>
      <c r="AI100" t="s">
        <v>9002</v>
      </c>
      <c r="AK100" t="s">
        <v>9001</v>
      </c>
      <c r="AL100">
        <v>0</v>
      </c>
      <c r="AM100" s="5">
        <f t="shared" si="11"/>
        <v>0</v>
      </c>
      <c r="AN100" s="4">
        <f t="shared" si="12"/>
        <v>0</v>
      </c>
      <c r="AO100" s="3"/>
      <c r="AP100">
        <v>0</v>
      </c>
      <c r="AR100" t="s">
        <v>1</v>
      </c>
      <c r="AT100" s="2" t="s">
        <v>0</v>
      </c>
      <c r="AU100" s="1">
        <f t="shared" si="13"/>
        <v>0.55123995622113653</v>
      </c>
      <c r="AV100" s="1">
        <f t="shared" si="14"/>
        <v>0.39374282587224041</v>
      </c>
      <c r="AW100" s="1">
        <f t="shared" si="15"/>
        <v>0.23624569552334423</v>
      </c>
    </row>
    <row r="101" spans="1:49" x14ac:dyDescent="0.2">
      <c r="A101">
        <v>99</v>
      </c>
      <c r="B101" t="s">
        <v>9000</v>
      </c>
      <c r="F101" t="s">
        <v>8999</v>
      </c>
      <c r="G101" t="s">
        <v>5</v>
      </c>
      <c r="H101" t="s">
        <v>4</v>
      </c>
      <c r="I101" t="s">
        <v>8998</v>
      </c>
      <c r="J101">
        <v>100628252</v>
      </c>
      <c r="K101" t="s">
        <v>8997</v>
      </c>
      <c r="L101" t="s">
        <v>8996</v>
      </c>
      <c r="M101" t="s">
        <v>9</v>
      </c>
      <c r="N101">
        <v>2</v>
      </c>
      <c r="O101" t="s">
        <v>8995</v>
      </c>
      <c r="P101" t="s">
        <v>8994</v>
      </c>
      <c r="Q101" t="s">
        <v>8993</v>
      </c>
      <c r="R101" s="7">
        <v>36130</v>
      </c>
      <c r="S101" s="8">
        <f t="shared" si="8"/>
        <v>1998</v>
      </c>
      <c r="T101" s="8">
        <v>1998</v>
      </c>
      <c r="U101" s="8">
        <f t="shared" si="9"/>
        <v>24</v>
      </c>
      <c r="V101" s="7">
        <v>1998</v>
      </c>
      <c r="W101" t="s">
        <v>4520</v>
      </c>
      <c r="X101" s="2">
        <v>0.1</v>
      </c>
      <c r="Y101" s="6">
        <f t="shared" si="10"/>
        <v>2.6694428872694269E-3</v>
      </c>
      <c r="AA101">
        <v>9633308</v>
      </c>
      <c r="AB101">
        <v>17917</v>
      </c>
      <c r="AD101" t="s">
        <v>2</v>
      </c>
      <c r="AF101">
        <v>452</v>
      </c>
      <c r="AI101" t="s">
        <v>8992</v>
      </c>
      <c r="AK101" t="s">
        <v>8991</v>
      </c>
      <c r="AL101">
        <v>0</v>
      </c>
      <c r="AM101" s="5">
        <f t="shared" si="11"/>
        <v>0</v>
      </c>
      <c r="AN101" s="4">
        <f t="shared" si="12"/>
        <v>0</v>
      </c>
      <c r="AO101" s="3"/>
      <c r="AP101">
        <v>0</v>
      </c>
      <c r="AR101" t="s">
        <v>1</v>
      </c>
      <c r="AT101" s="2" t="s">
        <v>0</v>
      </c>
      <c r="AU101" s="1">
        <f t="shared" si="13"/>
        <v>0.18686100210885986</v>
      </c>
      <c r="AV101" s="1">
        <f t="shared" si="14"/>
        <v>0.13347214436347135</v>
      </c>
      <c r="AW101" s="1">
        <f t="shared" si="15"/>
        <v>8.0083286618082811E-2</v>
      </c>
    </row>
    <row r="102" spans="1:49" x14ac:dyDescent="0.2">
      <c r="A102">
        <v>100</v>
      </c>
      <c r="B102" t="s">
        <v>8990</v>
      </c>
      <c r="F102" t="s">
        <v>8989</v>
      </c>
      <c r="G102" t="s">
        <v>5</v>
      </c>
      <c r="H102" t="s">
        <v>4</v>
      </c>
      <c r="I102" t="s">
        <v>8988</v>
      </c>
      <c r="N102">
        <v>4</v>
      </c>
      <c r="O102" t="s">
        <v>8987</v>
      </c>
      <c r="P102" t="s">
        <v>8986</v>
      </c>
      <c r="Q102" t="s">
        <v>175</v>
      </c>
      <c r="R102" s="7">
        <v>36130</v>
      </c>
      <c r="S102" s="8">
        <f t="shared" si="8"/>
        <v>1998</v>
      </c>
      <c r="T102" s="8">
        <v>1998</v>
      </c>
      <c r="U102" s="8">
        <f t="shared" si="9"/>
        <v>24</v>
      </c>
      <c r="V102" s="7">
        <v>1998</v>
      </c>
      <c r="W102" t="s">
        <v>8985</v>
      </c>
      <c r="X102" s="2">
        <v>0.29499999999999998</v>
      </c>
      <c r="Y102" s="6">
        <f t="shared" si="10"/>
        <v>7.8748565174448087E-3</v>
      </c>
      <c r="AA102">
        <v>10642269</v>
      </c>
      <c r="AB102">
        <v>19554</v>
      </c>
      <c r="AD102" t="s">
        <v>2</v>
      </c>
      <c r="AE102">
        <v>43</v>
      </c>
      <c r="AF102">
        <v>5</v>
      </c>
      <c r="AH102" t="s">
        <v>8984</v>
      </c>
      <c r="AI102" t="s">
        <v>8983</v>
      </c>
      <c r="AK102" t="s">
        <v>8982</v>
      </c>
      <c r="AL102">
        <v>0</v>
      </c>
      <c r="AM102" s="5">
        <f t="shared" si="11"/>
        <v>0</v>
      </c>
      <c r="AN102" s="4">
        <f t="shared" si="12"/>
        <v>0</v>
      </c>
      <c r="AO102" s="3"/>
      <c r="AP102">
        <v>0</v>
      </c>
      <c r="AR102" t="s">
        <v>1</v>
      </c>
      <c r="AT102" s="2" t="s">
        <v>0</v>
      </c>
      <c r="AU102" s="1">
        <f t="shared" si="13"/>
        <v>0.55123995622113653</v>
      </c>
      <c r="AV102" s="1">
        <f t="shared" si="14"/>
        <v>0.39374282587224041</v>
      </c>
      <c r="AW102" s="1">
        <f t="shared" si="15"/>
        <v>0.23624569552334423</v>
      </c>
    </row>
    <row r="103" spans="1:49" x14ac:dyDescent="0.2">
      <c r="A103">
        <v>101</v>
      </c>
      <c r="B103" t="s">
        <v>8981</v>
      </c>
      <c r="F103" t="s">
        <v>8980</v>
      </c>
      <c r="G103" t="s">
        <v>5</v>
      </c>
      <c r="H103" t="s">
        <v>4</v>
      </c>
      <c r="I103" t="s">
        <v>8979</v>
      </c>
      <c r="N103">
        <v>1</v>
      </c>
      <c r="O103" t="s">
        <v>8978</v>
      </c>
      <c r="P103">
        <v>7801429458</v>
      </c>
      <c r="R103" s="7">
        <v>36130</v>
      </c>
      <c r="S103" s="8">
        <f t="shared" si="8"/>
        <v>1998</v>
      </c>
      <c r="T103" s="8">
        <v>1998</v>
      </c>
      <c r="U103" s="8">
        <f t="shared" si="9"/>
        <v>24</v>
      </c>
      <c r="V103" s="7">
        <v>1998</v>
      </c>
      <c r="W103" t="s">
        <v>4520</v>
      </c>
      <c r="X103" s="2">
        <v>0.1</v>
      </c>
      <c r="Y103" s="6">
        <f t="shared" si="10"/>
        <v>2.6694428872694269E-3</v>
      </c>
      <c r="AA103">
        <v>9633308</v>
      </c>
      <c r="AB103">
        <v>17917</v>
      </c>
      <c r="AD103" t="s">
        <v>2</v>
      </c>
      <c r="AF103">
        <v>206</v>
      </c>
      <c r="AL103">
        <v>0</v>
      </c>
      <c r="AM103" s="5">
        <f t="shared" si="11"/>
        <v>0</v>
      </c>
      <c r="AN103" s="4">
        <f t="shared" si="12"/>
        <v>0</v>
      </c>
      <c r="AO103" s="3"/>
      <c r="AP103">
        <v>0</v>
      </c>
      <c r="AR103" t="s">
        <v>1</v>
      </c>
      <c r="AT103" s="2" t="s">
        <v>0</v>
      </c>
      <c r="AU103" s="1">
        <f t="shared" si="13"/>
        <v>0.18686100210885986</v>
      </c>
      <c r="AV103" s="1">
        <f t="shared" si="14"/>
        <v>0.13347214436347135</v>
      </c>
      <c r="AW103" s="1">
        <f t="shared" si="15"/>
        <v>8.0083286618082811E-2</v>
      </c>
    </row>
    <row r="104" spans="1:49" x14ac:dyDescent="0.2">
      <c r="A104">
        <v>102</v>
      </c>
      <c r="B104" t="s">
        <v>8977</v>
      </c>
      <c r="F104" t="s">
        <v>8976</v>
      </c>
      <c r="G104" t="s">
        <v>5</v>
      </c>
      <c r="H104" t="s">
        <v>4</v>
      </c>
      <c r="I104" t="s">
        <v>8970</v>
      </c>
      <c r="J104">
        <v>60007728</v>
      </c>
      <c r="K104" t="s">
        <v>8969</v>
      </c>
      <c r="L104" t="s">
        <v>8968</v>
      </c>
      <c r="M104" t="s">
        <v>106</v>
      </c>
      <c r="N104">
        <v>1</v>
      </c>
      <c r="O104" t="s">
        <v>8967</v>
      </c>
      <c r="P104">
        <v>7101863908</v>
      </c>
      <c r="Q104">
        <v>60007728</v>
      </c>
      <c r="R104" s="7">
        <v>36130</v>
      </c>
      <c r="S104" s="8">
        <f t="shared" si="8"/>
        <v>1998</v>
      </c>
      <c r="T104" s="8">
        <v>1998</v>
      </c>
      <c r="U104" s="8">
        <f t="shared" si="9"/>
        <v>24</v>
      </c>
      <c r="V104" s="7">
        <v>1998</v>
      </c>
      <c r="W104" t="s">
        <v>8966</v>
      </c>
      <c r="X104" s="2">
        <v>0.26200000000000001</v>
      </c>
      <c r="Y104" s="6">
        <f t="shared" si="10"/>
        <v>6.9939403646458991E-3</v>
      </c>
      <c r="AA104">
        <v>181439</v>
      </c>
      <c r="AB104">
        <v>26902</v>
      </c>
      <c r="AD104" t="s">
        <v>2</v>
      </c>
      <c r="AE104">
        <v>32</v>
      </c>
      <c r="AF104">
        <v>5</v>
      </c>
      <c r="AH104" t="s">
        <v>8975</v>
      </c>
      <c r="AI104" t="s">
        <v>8974</v>
      </c>
      <c r="AK104" t="s">
        <v>8973</v>
      </c>
      <c r="AL104">
        <v>3</v>
      </c>
      <c r="AM104" s="5">
        <f t="shared" si="11"/>
        <v>0.125</v>
      </c>
      <c r="AN104" s="4">
        <f t="shared" si="12"/>
        <v>1.893222264293828E-4</v>
      </c>
      <c r="AO104" s="3"/>
      <c r="AP104">
        <v>0</v>
      </c>
      <c r="AR104" t="s">
        <v>1</v>
      </c>
      <c r="AT104" s="2">
        <v>0.76200000000000001</v>
      </c>
      <c r="AU104" s="1">
        <f t="shared" si="13"/>
        <v>0.49525549231809446</v>
      </c>
      <c r="AV104" s="1">
        <f t="shared" si="14"/>
        <v>0.35916312955376406</v>
      </c>
      <c r="AW104" s="1">
        <f t="shared" si="15"/>
        <v>0.22307076678943377</v>
      </c>
    </row>
    <row r="105" spans="1:49" x14ac:dyDescent="0.2">
      <c r="A105">
        <v>103</v>
      </c>
      <c r="B105" t="s">
        <v>8972</v>
      </c>
      <c r="F105" t="s">
        <v>8971</v>
      </c>
      <c r="G105" t="s">
        <v>5</v>
      </c>
      <c r="H105" t="s">
        <v>4</v>
      </c>
      <c r="I105" t="s">
        <v>8970</v>
      </c>
      <c r="J105">
        <v>60007728</v>
      </c>
      <c r="K105" t="s">
        <v>8969</v>
      </c>
      <c r="L105" t="s">
        <v>8968</v>
      </c>
      <c r="M105" t="s">
        <v>106</v>
      </c>
      <c r="N105">
        <v>1</v>
      </c>
      <c r="O105" t="s">
        <v>8967</v>
      </c>
      <c r="P105">
        <v>7101863908</v>
      </c>
      <c r="Q105">
        <v>60007728</v>
      </c>
      <c r="R105" s="7">
        <v>36130</v>
      </c>
      <c r="S105" s="8">
        <f t="shared" si="8"/>
        <v>1998</v>
      </c>
      <c r="T105" s="8">
        <v>1998</v>
      </c>
      <c r="U105" s="8">
        <f t="shared" si="9"/>
        <v>24</v>
      </c>
      <c r="V105" s="7">
        <v>1998</v>
      </c>
      <c r="W105" t="s">
        <v>8966</v>
      </c>
      <c r="X105" s="2">
        <v>0.26200000000000001</v>
      </c>
      <c r="Y105" s="6">
        <f t="shared" si="10"/>
        <v>6.9939403646458991E-3</v>
      </c>
      <c r="AA105">
        <v>181439</v>
      </c>
      <c r="AB105">
        <v>26902</v>
      </c>
      <c r="AD105" t="s">
        <v>2</v>
      </c>
      <c r="AE105">
        <v>32</v>
      </c>
      <c r="AF105">
        <v>4</v>
      </c>
      <c r="AH105" t="s">
        <v>8965</v>
      </c>
      <c r="AI105" t="s">
        <v>8964</v>
      </c>
      <c r="AK105" t="s">
        <v>8963</v>
      </c>
      <c r="AL105">
        <v>2</v>
      </c>
      <c r="AM105" s="5">
        <f t="shared" si="11"/>
        <v>8.3333333333333329E-2</v>
      </c>
      <c r="AN105" s="4">
        <f t="shared" si="12"/>
        <v>1.2621481761958852E-4</v>
      </c>
      <c r="AO105" s="3"/>
      <c r="AP105">
        <v>0</v>
      </c>
      <c r="AR105" t="s">
        <v>1</v>
      </c>
      <c r="AT105" s="2">
        <v>0.76200000000000001</v>
      </c>
      <c r="AU105" s="1">
        <f t="shared" si="13"/>
        <v>0.49336227005380057</v>
      </c>
      <c r="AV105" s="1">
        <f t="shared" si="14"/>
        <v>0.35600775911327437</v>
      </c>
      <c r="AW105" s="1">
        <f t="shared" si="15"/>
        <v>0.21865324817274817</v>
      </c>
    </row>
    <row r="106" spans="1:49" x14ac:dyDescent="0.2">
      <c r="A106">
        <v>104</v>
      </c>
      <c r="B106" t="s">
        <v>8962</v>
      </c>
      <c r="C106" t="s">
        <v>8961</v>
      </c>
      <c r="D106" t="s">
        <v>8960</v>
      </c>
      <c r="F106" t="s">
        <v>8959</v>
      </c>
      <c r="G106" t="s">
        <v>5</v>
      </c>
      <c r="H106" t="s">
        <v>4</v>
      </c>
      <c r="I106" t="s">
        <v>8958</v>
      </c>
      <c r="J106">
        <v>60014655</v>
      </c>
      <c r="K106" t="s">
        <v>5230</v>
      </c>
      <c r="L106" t="s">
        <v>5229</v>
      </c>
      <c r="M106" t="s">
        <v>147</v>
      </c>
      <c r="N106">
        <v>3</v>
      </c>
      <c r="O106" t="s">
        <v>8957</v>
      </c>
      <c r="P106" t="s">
        <v>8956</v>
      </c>
      <c r="Q106" t="s">
        <v>5226</v>
      </c>
      <c r="R106" s="7">
        <v>36130</v>
      </c>
      <c r="S106" s="8">
        <f t="shared" si="8"/>
        <v>1998</v>
      </c>
      <c r="T106" s="8">
        <v>1998</v>
      </c>
      <c r="U106" s="8">
        <f t="shared" si="9"/>
        <v>24</v>
      </c>
      <c r="V106" s="7">
        <v>1998</v>
      </c>
      <c r="W106" t="s">
        <v>282</v>
      </c>
      <c r="X106" s="2">
        <v>0.65500000000000003</v>
      </c>
      <c r="Y106" s="6">
        <f t="shared" si="10"/>
        <v>1.7484850911614749E-2</v>
      </c>
      <c r="AA106">
        <v>189375</v>
      </c>
      <c r="AB106">
        <v>26051</v>
      </c>
      <c r="AD106" t="s">
        <v>2</v>
      </c>
      <c r="AE106">
        <v>40</v>
      </c>
      <c r="AF106">
        <v>2</v>
      </c>
      <c r="AH106" t="s">
        <v>8955</v>
      </c>
      <c r="AI106" t="s">
        <v>8954</v>
      </c>
      <c r="AJ106" t="s">
        <v>8953</v>
      </c>
      <c r="AK106" t="s">
        <v>8952</v>
      </c>
      <c r="AL106">
        <v>8</v>
      </c>
      <c r="AM106" s="5">
        <f t="shared" si="11"/>
        <v>0.33333333333333331</v>
      </c>
      <c r="AN106" s="4">
        <f t="shared" si="12"/>
        <v>5.048592704783541E-4</v>
      </c>
      <c r="AO106" s="3"/>
      <c r="AP106">
        <v>0</v>
      </c>
      <c r="AQ106" t="s">
        <v>5221</v>
      </c>
      <c r="AR106" t="s">
        <v>8951</v>
      </c>
      <c r="AS106" t="s">
        <v>5219</v>
      </c>
      <c r="AT106" s="2" t="s">
        <v>0</v>
      </c>
      <c r="AU106" s="1">
        <f t="shared" si="13"/>
        <v>1.2390853419273828</v>
      </c>
      <c r="AV106" s="1">
        <f t="shared" si="14"/>
        <v>0.89948550910465519</v>
      </c>
      <c r="AW106" s="1">
        <f t="shared" si="15"/>
        <v>0.5598856762819272</v>
      </c>
    </row>
    <row r="107" spans="1:49" x14ac:dyDescent="0.2">
      <c r="A107">
        <v>105</v>
      </c>
      <c r="B107" t="s">
        <v>8950</v>
      </c>
      <c r="F107" t="s">
        <v>8949</v>
      </c>
      <c r="G107" t="s">
        <v>5</v>
      </c>
      <c r="H107" t="s">
        <v>4</v>
      </c>
      <c r="I107" t="s">
        <v>8948</v>
      </c>
      <c r="J107">
        <v>60008673</v>
      </c>
      <c r="K107" t="s">
        <v>449</v>
      </c>
      <c r="L107" t="s">
        <v>448</v>
      </c>
      <c r="M107" t="s">
        <v>106</v>
      </c>
      <c r="N107">
        <v>8</v>
      </c>
      <c r="O107" t="s">
        <v>8947</v>
      </c>
      <c r="P107" t="s">
        <v>8946</v>
      </c>
      <c r="Q107" t="s">
        <v>8945</v>
      </c>
      <c r="R107" s="7">
        <v>36130</v>
      </c>
      <c r="S107" s="8">
        <f t="shared" si="8"/>
        <v>1998</v>
      </c>
      <c r="T107" s="8">
        <v>1998</v>
      </c>
      <c r="U107" s="8">
        <f t="shared" si="9"/>
        <v>24</v>
      </c>
      <c r="V107" s="7">
        <v>1998</v>
      </c>
      <c r="W107" t="s">
        <v>8916</v>
      </c>
      <c r="X107" s="2">
        <v>0.34399999999999997</v>
      </c>
      <c r="Y107" s="6">
        <f t="shared" si="10"/>
        <v>9.1828835322068283E-3</v>
      </c>
      <c r="AA107">
        <v>167932</v>
      </c>
      <c r="AB107">
        <v>27943</v>
      </c>
      <c r="AD107" t="s">
        <v>2</v>
      </c>
      <c r="AE107">
        <v>38</v>
      </c>
      <c r="AF107">
        <v>4</v>
      </c>
      <c r="AH107" t="s">
        <v>788</v>
      </c>
      <c r="AI107" t="s">
        <v>8944</v>
      </c>
      <c r="AK107" t="s">
        <v>8943</v>
      </c>
      <c r="AL107">
        <v>0</v>
      </c>
      <c r="AM107" s="5">
        <f t="shared" si="11"/>
        <v>0</v>
      </c>
      <c r="AN107" s="4">
        <f t="shared" si="12"/>
        <v>0</v>
      </c>
      <c r="AO107" s="3"/>
      <c r="AP107">
        <v>0</v>
      </c>
      <c r="AR107" t="s">
        <v>1</v>
      </c>
      <c r="AT107" s="2">
        <v>0.70099999999999996</v>
      </c>
      <c r="AU107" s="1">
        <f t="shared" si="13"/>
        <v>0.64280184725447786</v>
      </c>
      <c r="AV107" s="1">
        <f t="shared" si="14"/>
        <v>0.4591441766103414</v>
      </c>
      <c r="AW107" s="1">
        <f t="shared" si="15"/>
        <v>0.27548650596620483</v>
      </c>
    </row>
    <row r="108" spans="1:49" x14ac:dyDescent="0.2">
      <c r="A108">
        <v>106</v>
      </c>
      <c r="B108" t="s">
        <v>8942</v>
      </c>
      <c r="F108" t="s">
        <v>8941</v>
      </c>
      <c r="G108" t="s">
        <v>5</v>
      </c>
      <c r="H108" t="s">
        <v>4</v>
      </c>
      <c r="I108" t="s">
        <v>622</v>
      </c>
      <c r="J108">
        <v>60011476</v>
      </c>
      <c r="K108" t="s">
        <v>363</v>
      </c>
      <c r="L108" t="s">
        <v>362</v>
      </c>
      <c r="M108" t="s">
        <v>147</v>
      </c>
      <c r="N108">
        <v>2</v>
      </c>
      <c r="O108" t="s">
        <v>8940</v>
      </c>
      <c r="P108" t="s">
        <v>621</v>
      </c>
      <c r="Q108" t="s">
        <v>361</v>
      </c>
      <c r="R108" s="7">
        <v>36130</v>
      </c>
      <c r="S108" s="8">
        <f t="shared" si="8"/>
        <v>1998</v>
      </c>
      <c r="T108" s="8">
        <v>1998</v>
      </c>
      <c r="U108" s="8">
        <f t="shared" si="9"/>
        <v>24</v>
      </c>
      <c r="V108" s="7">
        <v>1998</v>
      </c>
      <c r="W108" t="s">
        <v>4520</v>
      </c>
      <c r="X108" s="2">
        <v>0.1</v>
      </c>
      <c r="Y108" s="6">
        <f t="shared" si="10"/>
        <v>2.6694428872694269E-3</v>
      </c>
      <c r="AA108">
        <v>9633308</v>
      </c>
      <c r="AB108">
        <v>17917</v>
      </c>
      <c r="AD108" t="s">
        <v>2</v>
      </c>
      <c r="AF108">
        <v>406</v>
      </c>
      <c r="AH108" t="s">
        <v>8939</v>
      </c>
      <c r="AI108" t="s">
        <v>8938</v>
      </c>
      <c r="AK108" t="s">
        <v>8937</v>
      </c>
      <c r="AL108">
        <v>1</v>
      </c>
      <c r="AM108" s="5">
        <f t="shared" si="11"/>
        <v>4.1666666666666664E-2</v>
      </c>
      <c r="AN108" s="4">
        <f t="shared" si="12"/>
        <v>6.3107408809794262E-5</v>
      </c>
      <c r="AO108" s="3"/>
      <c r="AP108">
        <v>0</v>
      </c>
      <c r="AR108" t="s">
        <v>1</v>
      </c>
      <c r="AT108" s="2" t="s">
        <v>0</v>
      </c>
      <c r="AU108" s="1">
        <f t="shared" si="13"/>
        <v>0.1887542243731537</v>
      </c>
      <c r="AV108" s="1">
        <f t="shared" si="14"/>
        <v>0.13662751480396107</v>
      </c>
      <c r="AW108" s="1">
        <f t="shared" si="15"/>
        <v>8.4500805234768397E-2</v>
      </c>
    </row>
    <row r="109" spans="1:49" x14ac:dyDescent="0.2">
      <c r="A109">
        <v>107</v>
      </c>
      <c r="B109" t="s">
        <v>8936</v>
      </c>
      <c r="F109" t="s">
        <v>8935</v>
      </c>
      <c r="G109" t="s">
        <v>5</v>
      </c>
      <c r="H109" t="s">
        <v>4</v>
      </c>
      <c r="I109" t="s">
        <v>8934</v>
      </c>
      <c r="J109" t="s">
        <v>8933</v>
      </c>
      <c r="K109" t="s">
        <v>8932</v>
      </c>
      <c r="L109" t="s">
        <v>8931</v>
      </c>
      <c r="M109" t="s">
        <v>71</v>
      </c>
      <c r="N109">
        <v>5</v>
      </c>
      <c r="O109" t="s">
        <v>8930</v>
      </c>
      <c r="P109" t="s">
        <v>8929</v>
      </c>
      <c r="Q109" t="s">
        <v>8928</v>
      </c>
      <c r="R109" s="7">
        <v>36130</v>
      </c>
      <c r="S109" s="8">
        <f t="shared" si="8"/>
        <v>1998</v>
      </c>
      <c r="T109" s="8">
        <v>1998</v>
      </c>
      <c r="U109" s="8">
        <f t="shared" si="9"/>
        <v>24</v>
      </c>
      <c r="V109" s="7">
        <v>1998</v>
      </c>
      <c r="W109" t="s">
        <v>8916</v>
      </c>
      <c r="X109" s="2">
        <v>0.34399999999999997</v>
      </c>
      <c r="Y109" s="6">
        <f t="shared" si="10"/>
        <v>9.1828835322068283E-3</v>
      </c>
      <c r="AA109">
        <v>167932</v>
      </c>
      <c r="AB109">
        <v>27943</v>
      </c>
      <c r="AD109" t="s">
        <v>2</v>
      </c>
      <c r="AE109">
        <v>38</v>
      </c>
      <c r="AF109">
        <v>3</v>
      </c>
      <c r="AH109" t="s">
        <v>8927</v>
      </c>
      <c r="AI109" t="s">
        <v>8926</v>
      </c>
      <c r="AK109" t="s">
        <v>8925</v>
      </c>
      <c r="AL109">
        <v>1</v>
      </c>
      <c r="AM109" s="5">
        <f t="shared" si="11"/>
        <v>4.1666666666666664E-2</v>
      </c>
      <c r="AN109" s="4">
        <f t="shared" si="12"/>
        <v>6.3107408809794262E-5</v>
      </c>
      <c r="AO109" s="3"/>
      <c r="AP109">
        <v>0</v>
      </c>
      <c r="AR109" t="s">
        <v>1</v>
      </c>
      <c r="AT109" s="2">
        <v>0.70099999999999996</v>
      </c>
      <c r="AU109" s="1">
        <f t="shared" si="13"/>
        <v>0.64469506951877176</v>
      </c>
      <c r="AV109" s="1">
        <f t="shared" si="14"/>
        <v>0.46229954705083115</v>
      </c>
      <c r="AW109" s="1">
        <f t="shared" si="15"/>
        <v>0.27990402458289043</v>
      </c>
    </row>
    <row r="110" spans="1:49" x14ac:dyDescent="0.2">
      <c r="A110">
        <v>108</v>
      </c>
      <c r="B110" t="s">
        <v>8924</v>
      </c>
      <c r="F110" t="s">
        <v>8923</v>
      </c>
      <c r="G110" t="s">
        <v>5</v>
      </c>
      <c r="H110" t="s">
        <v>4</v>
      </c>
      <c r="I110" t="s">
        <v>8922</v>
      </c>
      <c r="J110">
        <v>60025383</v>
      </c>
      <c r="K110" t="s">
        <v>8921</v>
      </c>
      <c r="L110" t="s">
        <v>8920</v>
      </c>
      <c r="M110" t="s">
        <v>106</v>
      </c>
      <c r="N110">
        <v>3</v>
      </c>
      <c r="O110" t="s">
        <v>8919</v>
      </c>
      <c r="P110" t="s">
        <v>8918</v>
      </c>
      <c r="Q110" t="s">
        <v>8917</v>
      </c>
      <c r="R110" s="7">
        <v>36130</v>
      </c>
      <c r="S110" s="8">
        <f t="shared" si="8"/>
        <v>1998</v>
      </c>
      <c r="T110" s="8">
        <v>1998</v>
      </c>
      <c r="U110" s="8">
        <f t="shared" si="9"/>
        <v>24</v>
      </c>
      <c r="V110" s="7">
        <v>1998</v>
      </c>
      <c r="W110" t="s">
        <v>8916</v>
      </c>
      <c r="X110" s="2">
        <v>0.34399999999999997</v>
      </c>
      <c r="Y110" s="6">
        <f t="shared" si="10"/>
        <v>9.1828835322068283E-3</v>
      </c>
      <c r="AA110">
        <v>167932</v>
      </c>
      <c r="AB110">
        <v>27943</v>
      </c>
      <c r="AD110" t="s">
        <v>2</v>
      </c>
      <c r="AE110">
        <v>38</v>
      </c>
      <c r="AF110">
        <v>6</v>
      </c>
      <c r="AH110" t="s">
        <v>8915</v>
      </c>
      <c r="AI110" t="s">
        <v>8914</v>
      </c>
      <c r="AK110" t="s">
        <v>8913</v>
      </c>
      <c r="AL110">
        <v>0</v>
      </c>
      <c r="AM110" s="5">
        <f t="shared" si="11"/>
        <v>0</v>
      </c>
      <c r="AN110" s="4">
        <f t="shared" si="12"/>
        <v>0</v>
      </c>
      <c r="AO110" s="3"/>
      <c r="AP110">
        <v>0</v>
      </c>
      <c r="AR110" t="s">
        <v>1</v>
      </c>
      <c r="AT110" s="2">
        <v>0.70099999999999996</v>
      </c>
      <c r="AU110" s="1">
        <f t="shared" si="13"/>
        <v>0.64280184725447786</v>
      </c>
      <c r="AV110" s="1">
        <f t="shared" si="14"/>
        <v>0.4591441766103414</v>
      </c>
      <c r="AW110" s="1">
        <f t="shared" si="15"/>
        <v>0.27548650596620483</v>
      </c>
    </row>
    <row r="111" spans="1:49" x14ac:dyDescent="0.2">
      <c r="A111">
        <v>109</v>
      </c>
      <c r="B111" t="s">
        <v>8912</v>
      </c>
      <c r="C111" t="s">
        <v>8911</v>
      </c>
      <c r="D111" t="s">
        <v>8910</v>
      </c>
      <c r="F111" t="s">
        <v>8909</v>
      </c>
      <c r="G111" t="s">
        <v>5</v>
      </c>
      <c r="H111" t="s">
        <v>4</v>
      </c>
      <c r="I111" t="s">
        <v>8908</v>
      </c>
      <c r="J111">
        <v>60008928</v>
      </c>
      <c r="K111" t="s">
        <v>8907</v>
      </c>
      <c r="L111" t="s">
        <v>33</v>
      </c>
      <c r="M111" t="s">
        <v>32</v>
      </c>
      <c r="N111">
        <v>1</v>
      </c>
      <c r="O111" t="s">
        <v>8906</v>
      </c>
      <c r="P111">
        <v>54681268000</v>
      </c>
      <c r="Q111">
        <v>60008928</v>
      </c>
      <c r="R111" s="7">
        <v>36130</v>
      </c>
      <c r="S111" s="8">
        <f t="shared" si="8"/>
        <v>1998</v>
      </c>
      <c r="T111" s="8">
        <v>1998</v>
      </c>
      <c r="U111" s="8">
        <f t="shared" si="9"/>
        <v>24</v>
      </c>
      <c r="V111" s="7">
        <v>1998</v>
      </c>
      <c r="W111" t="s">
        <v>649</v>
      </c>
      <c r="X111" s="2">
        <v>1.6519999999999999</v>
      </c>
      <c r="Y111" s="6">
        <f t="shared" si="10"/>
        <v>4.409919649769093E-2</v>
      </c>
      <c r="AA111" t="s">
        <v>648</v>
      </c>
      <c r="AB111">
        <v>17337</v>
      </c>
      <c r="AD111" t="s">
        <v>2</v>
      </c>
      <c r="AE111">
        <v>46</v>
      </c>
      <c r="AF111">
        <v>10</v>
      </c>
      <c r="AH111" t="s">
        <v>8905</v>
      </c>
      <c r="AI111" t="s">
        <v>8904</v>
      </c>
      <c r="AJ111" t="s">
        <v>5771</v>
      </c>
      <c r="AK111" t="s">
        <v>8903</v>
      </c>
      <c r="AL111">
        <v>19</v>
      </c>
      <c r="AM111" s="5">
        <f t="shared" si="11"/>
        <v>0.79166666666666663</v>
      </c>
      <c r="AN111" s="4">
        <f t="shared" si="12"/>
        <v>1.199040767386091E-3</v>
      </c>
      <c r="AO111" s="3"/>
      <c r="AP111">
        <v>0</v>
      </c>
      <c r="AR111" t="s">
        <v>1</v>
      </c>
      <c r="AT111" s="2" t="s">
        <v>0</v>
      </c>
      <c r="AU111" s="1">
        <f t="shared" si="13"/>
        <v>3.1229149778599479</v>
      </c>
      <c r="AV111" s="1">
        <f t="shared" si="14"/>
        <v>2.2649118632538512</v>
      </c>
      <c r="AW111" s="1">
        <f t="shared" si="15"/>
        <v>1.4069087486477541</v>
      </c>
    </row>
    <row r="112" spans="1:49" x14ac:dyDescent="0.2">
      <c r="A112">
        <v>110</v>
      </c>
      <c r="B112" t="s">
        <v>8902</v>
      </c>
      <c r="C112" t="s">
        <v>8901</v>
      </c>
      <c r="D112" t="s">
        <v>8900</v>
      </c>
      <c r="F112" t="s">
        <v>8899</v>
      </c>
      <c r="G112" t="s">
        <v>5</v>
      </c>
      <c r="H112" t="s">
        <v>4</v>
      </c>
      <c r="I112" t="s">
        <v>8783</v>
      </c>
      <c r="J112">
        <v>60022904</v>
      </c>
      <c r="K112" t="s">
        <v>5415</v>
      </c>
      <c r="L112" t="s">
        <v>437</v>
      </c>
      <c r="M112" t="s">
        <v>9</v>
      </c>
      <c r="N112">
        <v>4</v>
      </c>
      <c r="O112" t="s">
        <v>8898</v>
      </c>
      <c r="P112" t="s">
        <v>8897</v>
      </c>
      <c r="Q112" t="s">
        <v>8896</v>
      </c>
      <c r="R112" s="7">
        <v>36130</v>
      </c>
      <c r="S112" s="8">
        <f t="shared" si="8"/>
        <v>1998</v>
      </c>
      <c r="T112" s="8">
        <v>1998</v>
      </c>
      <c r="U112" s="8">
        <f t="shared" si="9"/>
        <v>24</v>
      </c>
      <c r="V112" s="7">
        <v>1998</v>
      </c>
      <c r="W112" t="s">
        <v>25</v>
      </c>
      <c r="X112" s="2">
        <v>0.60499999999999998</v>
      </c>
      <c r="Y112" s="6">
        <f t="shared" si="10"/>
        <v>1.6150129467980032E-2</v>
      </c>
      <c r="AA112">
        <v>346748</v>
      </c>
      <c r="AB112">
        <v>15563</v>
      </c>
      <c r="AD112" t="s">
        <v>2</v>
      </c>
      <c r="AE112">
        <v>69</v>
      </c>
      <c r="AF112">
        <v>10</v>
      </c>
      <c r="AH112" t="s">
        <v>8895</v>
      </c>
      <c r="AI112" t="s">
        <v>8894</v>
      </c>
      <c r="AK112" t="s">
        <v>8893</v>
      </c>
      <c r="AL112">
        <v>4</v>
      </c>
      <c r="AM112" s="5">
        <f t="shared" si="11"/>
        <v>0.16666666666666666</v>
      </c>
      <c r="AN112" s="4">
        <f t="shared" si="12"/>
        <v>2.5242963523917705E-4</v>
      </c>
      <c r="AO112" s="3"/>
      <c r="AP112">
        <v>0</v>
      </c>
      <c r="AR112" t="s">
        <v>1</v>
      </c>
      <c r="AT112" s="2">
        <v>1.5229999999999999</v>
      </c>
      <c r="AU112" s="1">
        <f t="shared" si="13"/>
        <v>1.1380819518157774</v>
      </c>
      <c r="AV112" s="1">
        <f t="shared" si="14"/>
        <v>0.82012795516096038</v>
      </c>
      <c r="AW112" s="1">
        <f t="shared" si="15"/>
        <v>0.50217395850614344</v>
      </c>
    </row>
    <row r="113" spans="1:49" x14ac:dyDescent="0.2">
      <c r="A113">
        <v>111</v>
      </c>
      <c r="B113" t="s">
        <v>8892</v>
      </c>
      <c r="F113" t="s">
        <v>8891</v>
      </c>
      <c r="G113" t="s">
        <v>5</v>
      </c>
      <c r="H113" t="s">
        <v>4</v>
      </c>
      <c r="I113" t="s">
        <v>8890</v>
      </c>
      <c r="J113" t="s">
        <v>8889</v>
      </c>
      <c r="K113" t="s">
        <v>8888</v>
      </c>
      <c r="L113" t="s">
        <v>8887</v>
      </c>
      <c r="M113" t="s">
        <v>8886</v>
      </c>
      <c r="N113">
        <v>2</v>
      </c>
      <c r="O113" t="s">
        <v>8885</v>
      </c>
      <c r="P113" t="s">
        <v>8884</v>
      </c>
      <c r="Q113" t="s">
        <v>8883</v>
      </c>
      <c r="R113" s="7">
        <v>36130</v>
      </c>
      <c r="S113" s="8">
        <f t="shared" si="8"/>
        <v>1998</v>
      </c>
      <c r="T113" s="8">
        <v>1998</v>
      </c>
      <c r="U113" s="8">
        <f t="shared" si="9"/>
        <v>24</v>
      </c>
      <c r="V113" s="7">
        <v>1998</v>
      </c>
      <c r="W113" t="s">
        <v>8882</v>
      </c>
      <c r="X113" s="2">
        <v>0.215</v>
      </c>
      <c r="Y113" s="6">
        <f t="shared" si="10"/>
        <v>5.7393022076292679E-3</v>
      </c>
      <c r="AA113">
        <v>3744884</v>
      </c>
      <c r="AB113">
        <v>28637</v>
      </c>
      <c r="AD113" t="s">
        <v>2</v>
      </c>
      <c r="AE113">
        <v>32</v>
      </c>
      <c r="AF113" t="s">
        <v>8881</v>
      </c>
      <c r="AI113" t="s">
        <v>8880</v>
      </c>
      <c r="AK113" t="s">
        <v>8879</v>
      </c>
      <c r="AL113">
        <v>3</v>
      </c>
      <c r="AM113" s="5">
        <f t="shared" si="11"/>
        <v>0.125</v>
      </c>
      <c r="AN113" s="4">
        <f t="shared" si="12"/>
        <v>1.893222264293828E-4</v>
      </c>
      <c r="AO113" s="3"/>
      <c r="AP113">
        <v>0</v>
      </c>
      <c r="AR113" t="s">
        <v>1</v>
      </c>
      <c r="AT113" s="2">
        <v>0.64900000000000002</v>
      </c>
      <c r="AU113" s="1">
        <f t="shared" si="13"/>
        <v>0.40743082132693026</v>
      </c>
      <c r="AV113" s="1">
        <f t="shared" si="14"/>
        <v>0.29643122170293251</v>
      </c>
      <c r="AW113" s="1">
        <f t="shared" si="15"/>
        <v>0.18543162207893482</v>
      </c>
    </row>
    <row r="114" spans="1:49" x14ac:dyDescent="0.2">
      <c r="A114">
        <v>112</v>
      </c>
      <c r="B114" t="s">
        <v>8878</v>
      </c>
      <c r="F114" t="s">
        <v>8877</v>
      </c>
      <c r="G114" t="s">
        <v>5</v>
      </c>
      <c r="H114" t="s">
        <v>4</v>
      </c>
      <c r="I114" t="s">
        <v>8876</v>
      </c>
      <c r="J114">
        <v>60000854</v>
      </c>
      <c r="K114" t="s">
        <v>8875</v>
      </c>
      <c r="L114" t="s">
        <v>8874</v>
      </c>
      <c r="M114" t="s">
        <v>9</v>
      </c>
      <c r="N114">
        <v>2</v>
      </c>
      <c r="O114" t="s">
        <v>8873</v>
      </c>
      <c r="P114" t="s">
        <v>8872</v>
      </c>
      <c r="Q114" t="s">
        <v>8871</v>
      </c>
      <c r="R114" s="7">
        <v>36130</v>
      </c>
      <c r="S114" s="8">
        <f t="shared" si="8"/>
        <v>1998</v>
      </c>
      <c r="T114" s="8">
        <v>1998</v>
      </c>
      <c r="U114" s="8">
        <f t="shared" si="9"/>
        <v>24</v>
      </c>
      <c r="V114" s="7">
        <v>1998</v>
      </c>
      <c r="W114" t="s">
        <v>8870</v>
      </c>
      <c r="X114" s="2" t="s">
        <v>0</v>
      </c>
      <c r="Y114" s="6" t="e">
        <f t="shared" si="10"/>
        <v>#VALUE!</v>
      </c>
      <c r="AA114">
        <v>4999320</v>
      </c>
      <c r="AB114">
        <v>13083</v>
      </c>
      <c r="AD114" t="s">
        <v>2</v>
      </c>
      <c r="AF114">
        <v>206288</v>
      </c>
      <c r="AI114" t="s">
        <v>8869</v>
      </c>
      <c r="AK114" t="s">
        <v>8868</v>
      </c>
      <c r="AL114">
        <v>0</v>
      </c>
      <c r="AM114" s="5">
        <f t="shared" si="11"/>
        <v>0</v>
      </c>
      <c r="AN114" s="4">
        <f t="shared" si="12"/>
        <v>0</v>
      </c>
      <c r="AO114" s="3"/>
      <c r="AP114">
        <v>0</v>
      </c>
      <c r="AR114" t="s">
        <v>1</v>
      </c>
      <c r="AT114" s="2" t="s">
        <v>0</v>
      </c>
      <c r="AU114" s="1" t="e">
        <f t="shared" si="13"/>
        <v>#VALUE!</v>
      </c>
      <c r="AV114" s="1" t="e">
        <f t="shared" si="14"/>
        <v>#VALUE!</v>
      </c>
      <c r="AW114" s="1" t="e">
        <f t="shared" si="15"/>
        <v>#VALUE!</v>
      </c>
    </row>
    <row r="115" spans="1:49" x14ac:dyDescent="0.2">
      <c r="A115">
        <v>113</v>
      </c>
      <c r="B115" t="s">
        <v>8867</v>
      </c>
      <c r="F115" t="s">
        <v>8866</v>
      </c>
      <c r="G115" t="s">
        <v>5</v>
      </c>
      <c r="H115" t="s">
        <v>4</v>
      </c>
      <c r="I115" t="s">
        <v>8865</v>
      </c>
      <c r="J115">
        <v>60016418</v>
      </c>
      <c r="K115" t="s">
        <v>8864</v>
      </c>
      <c r="L115" t="s">
        <v>8863</v>
      </c>
      <c r="M115" t="s">
        <v>13</v>
      </c>
      <c r="N115">
        <v>1</v>
      </c>
      <c r="O115" t="s">
        <v>8862</v>
      </c>
      <c r="P115">
        <v>35566020000</v>
      </c>
      <c r="Q115">
        <v>60016418</v>
      </c>
      <c r="R115" s="7">
        <v>36130</v>
      </c>
      <c r="S115" s="8">
        <f t="shared" si="8"/>
        <v>1998</v>
      </c>
      <c r="T115" s="8">
        <v>1998</v>
      </c>
      <c r="U115" s="8">
        <f t="shared" si="9"/>
        <v>24</v>
      </c>
      <c r="V115" s="7">
        <v>1998</v>
      </c>
      <c r="W115" t="s">
        <v>4520</v>
      </c>
      <c r="X115" s="2">
        <v>0.1</v>
      </c>
      <c r="Y115" s="6">
        <f t="shared" si="10"/>
        <v>2.6694428872694269E-3</v>
      </c>
      <c r="AA115">
        <v>9633308</v>
      </c>
      <c r="AB115">
        <v>17917</v>
      </c>
      <c r="AD115" t="s">
        <v>2</v>
      </c>
      <c r="AF115">
        <v>443</v>
      </c>
      <c r="AI115" t="s">
        <v>8861</v>
      </c>
      <c r="AK115" t="s">
        <v>8860</v>
      </c>
      <c r="AL115">
        <v>1</v>
      </c>
      <c r="AM115" s="5">
        <f t="shared" si="11"/>
        <v>4.1666666666666664E-2</v>
      </c>
      <c r="AN115" s="4">
        <f t="shared" si="12"/>
        <v>6.3107408809794262E-5</v>
      </c>
      <c r="AO115" s="3"/>
      <c r="AP115">
        <v>0</v>
      </c>
      <c r="AR115" t="s">
        <v>1</v>
      </c>
      <c r="AT115" s="2" t="s">
        <v>0</v>
      </c>
      <c r="AU115" s="1">
        <f t="shared" si="13"/>
        <v>0.1887542243731537</v>
      </c>
      <c r="AV115" s="1">
        <f t="shared" si="14"/>
        <v>0.13662751480396107</v>
      </c>
      <c r="AW115" s="1">
        <f t="shared" si="15"/>
        <v>8.4500805234768397E-2</v>
      </c>
    </row>
    <row r="116" spans="1:49" x14ac:dyDescent="0.2">
      <c r="A116">
        <v>114</v>
      </c>
      <c r="B116" t="s">
        <v>8859</v>
      </c>
      <c r="F116" t="s">
        <v>8858</v>
      </c>
      <c r="G116" t="s">
        <v>5</v>
      </c>
      <c r="H116" t="s">
        <v>4</v>
      </c>
      <c r="I116" t="s">
        <v>8857</v>
      </c>
      <c r="J116">
        <v>60021331</v>
      </c>
      <c r="K116" t="s">
        <v>726</v>
      </c>
      <c r="L116" t="s">
        <v>225</v>
      </c>
      <c r="M116" t="s">
        <v>106</v>
      </c>
      <c r="N116">
        <v>3</v>
      </c>
      <c r="O116" t="s">
        <v>8856</v>
      </c>
      <c r="P116" t="s">
        <v>8855</v>
      </c>
      <c r="Q116" t="s">
        <v>8854</v>
      </c>
      <c r="R116" s="7">
        <v>36130</v>
      </c>
      <c r="S116" s="8">
        <f t="shared" si="8"/>
        <v>1998</v>
      </c>
      <c r="T116" s="8">
        <v>1998</v>
      </c>
      <c r="U116" s="8">
        <f t="shared" si="9"/>
        <v>24</v>
      </c>
      <c r="V116" s="7">
        <v>1998</v>
      </c>
      <c r="W116" t="s">
        <v>5644</v>
      </c>
      <c r="X116" s="2">
        <v>0.747</v>
      </c>
      <c r="Y116" s="6">
        <f t="shared" si="10"/>
        <v>1.9940738367902621E-2</v>
      </c>
      <c r="AA116">
        <v>62979</v>
      </c>
      <c r="AB116">
        <v>16869</v>
      </c>
      <c r="AD116" t="s">
        <v>2</v>
      </c>
      <c r="AE116">
        <v>63</v>
      </c>
      <c r="AF116">
        <v>10</v>
      </c>
      <c r="AH116" t="s">
        <v>8853</v>
      </c>
      <c r="AI116" t="s">
        <v>8852</v>
      </c>
      <c r="AJ116" t="s">
        <v>8851</v>
      </c>
      <c r="AK116" t="s">
        <v>8850</v>
      </c>
      <c r="AL116">
        <v>0</v>
      </c>
      <c r="AM116" s="5">
        <f t="shared" si="11"/>
        <v>0</v>
      </c>
      <c r="AN116" s="4">
        <f t="shared" si="12"/>
        <v>0</v>
      </c>
      <c r="AO116" s="3"/>
      <c r="AP116">
        <v>0</v>
      </c>
      <c r="AR116" t="s">
        <v>1</v>
      </c>
      <c r="AT116" s="2" t="s">
        <v>0</v>
      </c>
      <c r="AU116" s="1">
        <f t="shared" si="13"/>
        <v>1.3958516857531835</v>
      </c>
      <c r="AV116" s="1">
        <f t="shared" si="14"/>
        <v>0.99703691839513109</v>
      </c>
      <c r="AW116" s="1">
        <f t="shared" si="15"/>
        <v>0.59822215103707854</v>
      </c>
    </row>
    <row r="117" spans="1:49" x14ac:dyDescent="0.2">
      <c r="A117">
        <v>115</v>
      </c>
      <c r="B117" t="s">
        <v>8849</v>
      </c>
      <c r="C117" t="s">
        <v>8848</v>
      </c>
      <c r="D117" t="s">
        <v>8847</v>
      </c>
      <c r="F117" t="s">
        <v>8846</v>
      </c>
      <c r="G117" t="s">
        <v>5</v>
      </c>
      <c r="H117" t="s">
        <v>4</v>
      </c>
      <c r="I117" t="s">
        <v>7615</v>
      </c>
      <c r="J117" t="s">
        <v>7614</v>
      </c>
      <c r="K117" t="s">
        <v>7613</v>
      </c>
      <c r="L117" t="s">
        <v>7612</v>
      </c>
      <c r="M117" t="s">
        <v>6</v>
      </c>
      <c r="N117">
        <v>4</v>
      </c>
      <c r="O117" t="s">
        <v>7611</v>
      </c>
      <c r="P117" t="s">
        <v>7610</v>
      </c>
      <c r="Q117" t="s">
        <v>7609</v>
      </c>
      <c r="R117" s="7">
        <v>36130</v>
      </c>
      <c r="S117" s="8">
        <f t="shared" si="8"/>
        <v>1998</v>
      </c>
      <c r="T117" s="8">
        <v>1998</v>
      </c>
      <c r="U117" s="8">
        <f t="shared" si="9"/>
        <v>24</v>
      </c>
      <c r="V117" s="7">
        <v>1998</v>
      </c>
      <c r="W117" t="s">
        <v>4133</v>
      </c>
      <c r="X117" s="2">
        <v>1.1819999999999999</v>
      </c>
      <c r="Y117" s="6">
        <f t="shared" si="10"/>
        <v>3.1552814927524625E-2</v>
      </c>
      <c r="AA117">
        <v>36951</v>
      </c>
      <c r="AB117">
        <v>27030</v>
      </c>
      <c r="AD117" t="s">
        <v>2</v>
      </c>
      <c r="AE117">
        <v>72</v>
      </c>
      <c r="AF117">
        <v>6</v>
      </c>
      <c r="AH117" t="s">
        <v>8845</v>
      </c>
      <c r="AI117" t="s">
        <v>8844</v>
      </c>
      <c r="AK117" t="s">
        <v>8843</v>
      </c>
      <c r="AL117">
        <v>8</v>
      </c>
      <c r="AM117" s="5">
        <f t="shared" si="11"/>
        <v>0.33333333333333331</v>
      </c>
      <c r="AN117" s="4">
        <f t="shared" si="12"/>
        <v>5.048592704783541E-4</v>
      </c>
      <c r="AO117" s="3"/>
      <c r="AP117">
        <v>0</v>
      </c>
      <c r="AR117" t="s">
        <v>1</v>
      </c>
      <c r="AT117" s="2">
        <v>3.7909999999999999</v>
      </c>
      <c r="AU117" s="1">
        <f t="shared" si="13"/>
        <v>2.2238428230410738</v>
      </c>
      <c r="AV117" s="1">
        <f t="shared" si="14"/>
        <v>1.6028837099001487</v>
      </c>
      <c r="AW117" s="1">
        <f t="shared" si="15"/>
        <v>0.98192459675922361</v>
      </c>
    </row>
    <row r="118" spans="1:49" x14ac:dyDescent="0.2">
      <c r="A118">
        <v>116</v>
      </c>
      <c r="B118" t="s">
        <v>8842</v>
      </c>
      <c r="C118" t="s">
        <v>8841</v>
      </c>
      <c r="D118" t="s">
        <v>8840</v>
      </c>
      <c r="F118" t="s">
        <v>8839</v>
      </c>
      <c r="G118" t="s">
        <v>5</v>
      </c>
      <c r="H118" t="s">
        <v>4</v>
      </c>
      <c r="I118" t="s">
        <v>8838</v>
      </c>
      <c r="J118" t="s">
        <v>8837</v>
      </c>
      <c r="K118" t="s">
        <v>8836</v>
      </c>
      <c r="L118" t="s">
        <v>8835</v>
      </c>
      <c r="M118" t="s">
        <v>8834</v>
      </c>
      <c r="N118">
        <v>3</v>
      </c>
      <c r="O118" t="s">
        <v>8833</v>
      </c>
      <c r="P118" t="s">
        <v>8832</v>
      </c>
      <c r="Q118" t="s">
        <v>8831</v>
      </c>
      <c r="R118" s="7">
        <v>36130</v>
      </c>
      <c r="S118" s="8">
        <f t="shared" si="8"/>
        <v>1998</v>
      </c>
      <c r="T118" s="8">
        <v>1998</v>
      </c>
      <c r="U118" s="8">
        <f t="shared" si="9"/>
        <v>24</v>
      </c>
      <c r="V118" s="7">
        <v>1998</v>
      </c>
      <c r="W118" t="s">
        <v>303</v>
      </c>
      <c r="X118" s="2">
        <v>1.3720000000000001</v>
      </c>
      <c r="Y118" s="6">
        <f t="shared" si="10"/>
        <v>3.662475641333654E-2</v>
      </c>
      <c r="AA118">
        <v>189480</v>
      </c>
      <c r="AB118">
        <v>17366</v>
      </c>
      <c r="AD118" t="s">
        <v>2</v>
      </c>
      <c r="AE118">
        <v>46</v>
      </c>
      <c r="AF118" t="s">
        <v>4170</v>
      </c>
      <c r="AH118" t="s">
        <v>8830</v>
      </c>
      <c r="AI118" t="s">
        <v>8829</v>
      </c>
      <c r="AJ118" t="s">
        <v>8828</v>
      </c>
      <c r="AK118" t="s">
        <v>8827</v>
      </c>
      <c r="AL118">
        <v>3</v>
      </c>
      <c r="AM118" s="5">
        <f t="shared" si="11"/>
        <v>0.125</v>
      </c>
      <c r="AN118" s="4">
        <f t="shared" si="12"/>
        <v>1.893222264293828E-4</v>
      </c>
      <c r="AO118" s="3"/>
      <c r="AP118">
        <v>0</v>
      </c>
      <c r="AR118" t="s">
        <v>1</v>
      </c>
      <c r="AT118" s="2" t="s">
        <v>0</v>
      </c>
      <c r="AU118" s="1">
        <f t="shared" si="13"/>
        <v>2.569412615726439</v>
      </c>
      <c r="AV118" s="1">
        <f t="shared" si="14"/>
        <v>1.8407039319882961</v>
      </c>
      <c r="AW118" s="1">
        <f t="shared" si="15"/>
        <v>1.1119952482501532</v>
      </c>
    </row>
    <row r="119" spans="1:49" x14ac:dyDescent="0.2">
      <c r="A119">
        <v>117</v>
      </c>
      <c r="B119" t="s">
        <v>8826</v>
      </c>
      <c r="F119" t="s">
        <v>8825</v>
      </c>
      <c r="G119" t="s">
        <v>5</v>
      </c>
      <c r="H119" t="s">
        <v>4</v>
      </c>
      <c r="I119" t="s">
        <v>8824</v>
      </c>
      <c r="J119" t="s">
        <v>8823</v>
      </c>
      <c r="K119" t="s">
        <v>8822</v>
      </c>
      <c r="L119" t="s">
        <v>8821</v>
      </c>
      <c r="M119" t="s">
        <v>4606</v>
      </c>
      <c r="N119">
        <v>4</v>
      </c>
      <c r="O119" t="s">
        <v>8820</v>
      </c>
      <c r="P119" t="s">
        <v>8819</v>
      </c>
      <c r="Q119" t="s">
        <v>8818</v>
      </c>
      <c r="R119" s="7">
        <v>36130</v>
      </c>
      <c r="S119" s="8">
        <f t="shared" si="8"/>
        <v>1998</v>
      </c>
      <c r="T119" s="8">
        <v>1998</v>
      </c>
      <c r="U119" s="8">
        <f t="shared" si="9"/>
        <v>24</v>
      </c>
      <c r="V119" s="7">
        <v>36130</v>
      </c>
      <c r="W119" t="s">
        <v>8817</v>
      </c>
      <c r="X119" s="2" t="s">
        <v>0</v>
      </c>
      <c r="Y119" s="6" t="e">
        <f t="shared" si="10"/>
        <v>#VALUE!</v>
      </c>
      <c r="AA119">
        <v>3505596</v>
      </c>
      <c r="AB119">
        <v>25507</v>
      </c>
      <c r="AD119" t="s">
        <v>2</v>
      </c>
      <c r="AE119">
        <v>22</v>
      </c>
      <c r="AF119">
        <v>4</v>
      </c>
      <c r="AH119" t="s">
        <v>8816</v>
      </c>
      <c r="AI119" t="s">
        <v>8815</v>
      </c>
      <c r="AJ119" t="s">
        <v>8814</v>
      </c>
      <c r="AK119" t="s">
        <v>8813</v>
      </c>
      <c r="AL119">
        <v>1</v>
      </c>
      <c r="AM119" s="5">
        <f t="shared" si="11"/>
        <v>4.1666666666666664E-2</v>
      </c>
      <c r="AN119" s="4">
        <f t="shared" si="12"/>
        <v>6.3107408809794262E-5</v>
      </c>
      <c r="AO119" s="3"/>
      <c r="AP119">
        <v>0</v>
      </c>
      <c r="AR119" t="s">
        <v>1</v>
      </c>
      <c r="AT119" s="2" t="s">
        <v>0</v>
      </c>
      <c r="AU119" s="1" t="e">
        <f t="shared" si="13"/>
        <v>#VALUE!</v>
      </c>
      <c r="AV119" s="1" t="e">
        <f t="shared" si="14"/>
        <v>#VALUE!</v>
      </c>
      <c r="AW119" s="1" t="e">
        <f t="shared" si="15"/>
        <v>#VALUE!</v>
      </c>
    </row>
    <row r="120" spans="1:49" x14ac:dyDescent="0.2">
      <c r="A120">
        <v>118</v>
      </c>
      <c r="B120" t="s">
        <v>8812</v>
      </c>
      <c r="F120" t="s">
        <v>8811</v>
      </c>
      <c r="G120" t="s">
        <v>5</v>
      </c>
      <c r="H120" t="s">
        <v>4</v>
      </c>
      <c r="I120" t="s">
        <v>8810</v>
      </c>
      <c r="J120">
        <v>60006925</v>
      </c>
      <c r="K120" t="s">
        <v>73</v>
      </c>
      <c r="L120" t="s">
        <v>72</v>
      </c>
      <c r="M120" t="s">
        <v>27</v>
      </c>
      <c r="N120">
        <v>3</v>
      </c>
      <c r="O120" t="s">
        <v>8809</v>
      </c>
      <c r="P120" t="s">
        <v>8808</v>
      </c>
      <c r="Q120" t="s">
        <v>8807</v>
      </c>
      <c r="R120" s="7">
        <v>36130</v>
      </c>
      <c r="S120" s="8">
        <f t="shared" si="8"/>
        <v>1998</v>
      </c>
      <c r="T120" s="8">
        <v>1998</v>
      </c>
      <c r="U120" s="8">
        <f t="shared" si="9"/>
        <v>24</v>
      </c>
      <c r="V120" s="7">
        <v>1998</v>
      </c>
      <c r="W120" t="s">
        <v>8806</v>
      </c>
      <c r="X120" s="2" t="s">
        <v>0</v>
      </c>
      <c r="Y120" s="6" t="e">
        <f t="shared" si="10"/>
        <v>#VALUE!</v>
      </c>
      <c r="AA120">
        <v>12178977</v>
      </c>
      <c r="AB120">
        <v>27409</v>
      </c>
      <c r="AD120" t="s">
        <v>2</v>
      </c>
      <c r="AE120">
        <v>33</v>
      </c>
      <c r="AF120">
        <v>1</v>
      </c>
      <c r="AH120" t="s">
        <v>2103</v>
      </c>
      <c r="AI120" t="s">
        <v>8805</v>
      </c>
      <c r="AJ120" t="s">
        <v>8804</v>
      </c>
      <c r="AK120" t="s">
        <v>8803</v>
      </c>
      <c r="AL120">
        <v>0</v>
      </c>
      <c r="AM120" s="5">
        <f t="shared" si="11"/>
        <v>0</v>
      </c>
      <c r="AN120" s="4">
        <f t="shared" si="12"/>
        <v>0</v>
      </c>
      <c r="AO120" s="3"/>
      <c r="AP120">
        <v>0</v>
      </c>
      <c r="AR120" t="s">
        <v>1</v>
      </c>
      <c r="AT120" s="2" t="s">
        <v>0</v>
      </c>
      <c r="AU120" s="1" t="e">
        <f t="shared" si="13"/>
        <v>#VALUE!</v>
      </c>
      <c r="AV120" s="1" t="e">
        <f t="shared" si="14"/>
        <v>#VALUE!</v>
      </c>
      <c r="AW120" s="1" t="e">
        <f t="shared" si="15"/>
        <v>#VALUE!</v>
      </c>
    </row>
    <row r="121" spans="1:49" x14ac:dyDescent="0.2">
      <c r="A121">
        <v>119</v>
      </c>
      <c r="B121" t="s">
        <v>8802</v>
      </c>
      <c r="C121" t="s">
        <v>8801</v>
      </c>
      <c r="E121">
        <v>10211708</v>
      </c>
      <c r="F121" t="s">
        <v>8800</v>
      </c>
      <c r="G121" t="s">
        <v>5</v>
      </c>
      <c r="H121" t="s">
        <v>4</v>
      </c>
      <c r="I121" t="s">
        <v>8799</v>
      </c>
      <c r="J121" t="s">
        <v>8798</v>
      </c>
      <c r="K121" t="s">
        <v>8797</v>
      </c>
      <c r="L121" t="s">
        <v>8796</v>
      </c>
      <c r="M121" t="s">
        <v>8795</v>
      </c>
      <c r="N121">
        <v>7</v>
      </c>
      <c r="O121" t="s">
        <v>8794</v>
      </c>
      <c r="P121" t="s">
        <v>8793</v>
      </c>
      <c r="Q121" t="s">
        <v>8792</v>
      </c>
      <c r="R121" s="7">
        <v>36130</v>
      </c>
      <c r="S121" s="8">
        <f t="shared" si="8"/>
        <v>1998</v>
      </c>
      <c r="T121" s="8">
        <v>1998</v>
      </c>
      <c r="U121" s="8">
        <f t="shared" si="9"/>
        <v>24</v>
      </c>
      <c r="V121" s="7">
        <v>1998</v>
      </c>
      <c r="W121" t="s">
        <v>8596</v>
      </c>
      <c r="X121" s="2">
        <v>0.73699999999999999</v>
      </c>
      <c r="Y121" s="6">
        <f t="shared" si="10"/>
        <v>1.9673794079175678E-2</v>
      </c>
      <c r="AA121">
        <v>2820080</v>
      </c>
      <c r="AB121">
        <v>17513</v>
      </c>
      <c r="AD121" t="s">
        <v>2</v>
      </c>
      <c r="AE121">
        <v>15</v>
      </c>
      <c r="AF121">
        <v>10</v>
      </c>
      <c r="AH121" t="s">
        <v>8791</v>
      </c>
      <c r="AI121" t="s">
        <v>8790</v>
      </c>
      <c r="AJ121" t="s">
        <v>8789</v>
      </c>
      <c r="AK121" t="s">
        <v>8788</v>
      </c>
      <c r="AL121">
        <v>33</v>
      </c>
      <c r="AM121" s="5">
        <f t="shared" si="11"/>
        <v>1.375</v>
      </c>
      <c r="AN121" s="4">
        <f t="shared" si="12"/>
        <v>2.0825444907232107E-3</v>
      </c>
      <c r="AO121" s="3"/>
      <c r="AP121">
        <v>0</v>
      </c>
      <c r="AQ121" t="s">
        <v>406</v>
      </c>
      <c r="AR121">
        <v>39570784</v>
      </c>
      <c r="AS121" t="s">
        <v>405</v>
      </c>
      <c r="AT121" s="2">
        <v>2.9159999999999999</v>
      </c>
      <c r="AU121" s="1">
        <f t="shared" si="13"/>
        <v>1.4396419202639936</v>
      </c>
      <c r="AV121" s="1">
        <f t="shared" si="14"/>
        <v>1.0878169284949444</v>
      </c>
      <c r="AW121" s="1">
        <f t="shared" si="15"/>
        <v>0.73599193672589514</v>
      </c>
    </row>
    <row r="122" spans="1:49" x14ac:dyDescent="0.2">
      <c r="A122">
        <v>120</v>
      </c>
      <c r="B122" t="s">
        <v>8787</v>
      </c>
      <c r="C122" t="s">
        <v>8786</v>
      </c>
      <c r="D122" t="s">
        <v>8785</v>
      </c>
      <c r="F122" t="s">
        <v>8784</v>
      </c>
      <c r="G122" t="s">
        <v>5</v>
      </c>
      <c r="H122" t="s">
        <v>4</v>
      </c>
      <c r="I122" t="s">
        <v>8783</v>
      </c>
      <c r="J122">
        <v>60022904</v>
      </c>
      <c r="K122" t="s">
        <v>5415</v>
      </c>
      <c r="L122" t="s">
        <v>437</v>
      </c>
      <c r="M122" t="s">
        <v>9</v>
      </c>
      <c r="N122">
        <v>2</v>
      </c>
      <c r="O122" t="s">
        <v>8782</v>
      </c>
      <c r="P122" t="s">
        <v>8781</v>
      </c>
      <c r="Q122" t="s">
        <v>5413</v>
      </c>
      <c r="R122" s="7">
        <v>36130</v>
      </c>
      <c r="S122" s="8">
        <f t="shared" si="8"/>
        <v>1998</v>
      </c>
      <c r="T122" s="8">
        <v>1998</v>
      </c>
      <c r="U122" s="8">
        <f t="shared" si="9"/>
        <v>24</v>
      </c>
      <c r="V122" s="7">
        <v>1998</v>
      </c>
      <c r="W122" t="s">
        <v>25</v>
      </c>
      <c r="X122" s="2">
        <v>0.60499999999999998</v>
      </c>
      <c r="Y122" s="6">
        <f t="shared" si="10"/>
        <v>1.6150129467980032E-2</v>
      </c>
      <c r="AA122">
        <v>346748</v>
      </c>
      <c r="AB122">
        <v>15563</v>
      </c>
      <c r="AD122" t="s">
        <v>2</v>
      </c>
      <c r="AE122">
        <v>69</v>
      </c>
      <c r="AF122">
        <v>10</v>
      </c>
      <c r="AH122" t="s">
        <v>8780</v>
      </c>
      <c r="AI122" t="s">
        <v>8779</v>
      </c>
      <c r="AK122" t="s">
        <v>8778</v>
      </c>
      <c r="AL122">
        <v>4</v>
      </c>
      <c r="AM122" s="5">
        <f t="shared" si="11"/>
        <v>0.16666666666666666</v>
      </c>
      <c r="AN122" s="4">
        <f t="shared" si="12"/>
        <v>2.5242963523917705E-4</v>
      </c>
      <c r="AO122" s="3"/>
      <c r="AP122">
        <v>0</v>
      </c>
      <c r="AR122" t="s">
        <v>1</v>
      </c>
      <c r="AT122" s="2">
        <v>1.5229999999999999</v>
      </c>
      <c r="AU122" s="1">
        <f t="shared" si="13"/>
        <v>1.1380819518157774</v>
      </c>
      <c r="AV122" s="1">
        <f t="shared" si="14"/>
        <v>0.82012795516096038</v>
      </c>
      <c r="AW122" s="1">
        <f t="shared" si="15"/>
        <v>0.50217395850614344</v>
      </c>
    </row>
    <row r="123" spans="1:49" x14ac:dyDescent="0.2">
      <c r="A123">
        <v>121</v>
      </c>
      <c r="B123" t="s">
        <v>8777</v>
      </c>
      <c r="C123" t="s">
        <v>8776</v>
      </c>
      <c r="F123" t="s">
        <v>8775</v>
      </c>
      <c r="G123" t="s">
        <v>5</v>
      </c>
      <c r="H123" t="s">
        <v>4</v>
      </c>
      <c r="I123" t="s">
        <v>8774</v>
      </c>
      <c r="J123">
        <v>60001382</v>
      </c>
      <c r="K123" t="s">
        <v>8773</v>
      </c>
      <c r="L123" t="s">
        <v>8772</v>
      </c>
      <c r="M123" t="s">
        <v>12</v>
      </c>
      <c r="N123">
        <v>1</v>
      </c>
      <c r="O123" t="s">
        <v>8771</v>
      </c>
      <c r="P123">
        <v>55731586100</v>
      </c>
      <c r="Q123">
        <v>60001382</v>
      </c>
      <c r="R123" s="7">
        <v>36130</v>
      </c>
      <c r="S123" s="8">
        <f t="shared" si="8"/>
        <v>1998</v>
      </c>
      <c r="T123" s="8">
        <v>1998</v>
      </c>
      <c r="U123" s="8">
        <f t="shared" si="9"/>
        <v>24</v>
      </c>
      <c r="V123" s="7">
        <v>1998</v>
      </c>
      <c r="W123" t="s">
        <v>1593</v>
      </c>
      <c r="X123" s="2">
        <v>0.39600000000000002</v>
      </c>
      <c r="Y123" s="6">
        <f t="shared" si="10"/>
        <v>1.0570993833586931E-2</v>
      </c>
      <c r="AA123">
        <v>8858985</v>
      </c>
      <c r="AB123">
        <v>25993</v>
      </c>
      <c r="AD123" t="s">
        <v>2</v>
      </c>
      <c r="AE123">
        <v>13</v>
      </c>
      <c r="AF123">
        <v>5</v>
      </c>
      <c r="AH123" t="s">
        <v>8770</v>
      </c>
      <c r="AI123" t="s">
        <v>8769</v>
      </c>
      <c r="AK123" t="s">
        <v>8768</v>
      </c>
      <c r="AL123">
        <v>12</v>
      </c>
      <c r="AM123" s="5">
        <f t="shared" si="11"/>
        <v>0.5</v>
      </c>
      <c r="AN123" s="4">
        <f t="shared" si="12"/>
        <v>7.572889057175312E-4</v>
      </c>
      <c r="AO123" s="3"/>
      <c r="AP123">
        <v>0</v>
      </c>
      <c r="AR123" t="s">
        <v>1</v>
      </c>
      <c r="AT123" s="2" t="s">
        <v>0</v>
      </c>
      <c r="AU123" s="1">
        <f t="shared" si="13"/>
        <v>0.76268823552261111</v>
      </c>
      <c r="AV123" s="1">
        <f t="shared" si="14"/>
        <v>0.56641413696522314</v>
      </c>
      <c r="AW123" s="1">
        <f t="shared" si="15"/>
        <v>0.3701400384078351</v>
      </c>
    </row>
    <row r="124" spans="1:49" x14ac:dyDescent="0.2">
      <c r="A124">
        <v>122</v>
      </c>
      <c r="B124" t="s">
        <v>8767</v>
      </c>
      <c r="C124" t="s">
        <v>8766</v>
      </c>
      <c r="D124" t="s">
        <v>8765</v>
      </c>
      <c r="F124" t="s">
        <v>8764</v>
      </c>
      <c r="G124" t="s">
        <v>5</v>
      </c>
      <c r="H124" t="s">
        <v>4</v>
      </c>
      <c r="I124" t="s">
        <v>8763</v>
      </c>
      <c r="J124">
        <v>60021859</v>
      </c>
      <c r="K124" t="s">
        <v>451</v>
      </c>
      <c r="L124" t="s">
        <v>450</v>
      </c>
      <c r="M124" t="s">
        <v>195</v>
      </c>
      <c r="N124">
        <v>3</v>
      </c>
      <c r="O124" t="s">
        <v>8762</v>
      </c>
      <c r="P124" t="s">
        <v>8761</v>
      </c>
      <c r="Q124" t="s">
        <v>671</v>
      </c>
      <c r="R124" s="7">
        <v>36130</v>
      </c>
      <c r="S124" s="8">
        <f t="shared" si="8"/>
        <v>1998</v>
      </c>
      <c r="T124" s="8">
        <v>1998</v>
      </c>
      <c r="U124" s="8">
        <f t="shared" si="9"/>
        <v>24</v>
      </c>
      <c r="V124" s="7">
        <v>1998</v>
      </c>
      <c r="W124" t="s">
        <v>649</v>
      </c>
      <c r="X124" s="2">
        <v>1.6519999999999999</v>
      </c>
      <c r="Y124" s="6">
        <f t="shared" si="10"/>
        <v>4.409919649769093E-2</v>
      </c>
      <c r="AA124" t="s">
        <v>648</v>
      </c>
      <c r="AB124">
        <v>17337</v>
      </c>
      <c r="AD124" t="s">
        <v>2</v>
      </c>
      <c r="AE124">
        <v>46</v>
      </c>
      <c r="AF124">
        <v>12</v>
      </c>
      <c r="AH124" t="s">
        <v>8760</v>
      </c>
      <c r="AI124" t="s">
        <v>8759</v>
      </c>
      <c r="AJ124" t="s">
        <v>8758</v>
      </c>
      <c r="AK124" t="s">
        <v>8757</v>
      </c>
      <c r="AL124">
        <v>14</v>
      </c>
      <c r="AM124" s="5">
        <f t="shared" si="11"/>
        <v>0.58333333333333337</v>
      </c>
      <c r="AN124" s="4">
        <f t="shared" si="12"/>
        <v>8.835037233371198E-4</v>
      </c>
      <c r="AO124" s="3"/>
      <c r="AP124">
        <v>0</v>
      </c>
      <c r="AR124" t="s">
        <v>1</v>
      </c>
      <c r="AT124" s="2" t="s">
        <v>0</v>
      </c>
      <c r="AU124" s="1">
        <f t="shared" si="13"/>
        <v>3.1134488665384787</v>
      </c>
      <c r="AV124" s="1">
        <f t="shared" si="14"/>
        <v>2.2491350110514023</v>
      </c>
      <c r="AW124" s="1">
        <f t="shared" si="15"/>
        <v>1.3848211555643262</v>
      </c>
    </row>
    <row r="125" spans="1:49" x14ac:dyDescent="0.2">
      <c r="A125">
        <v>123</v>
      </c>
      <c r="B125" t="s">
        <v>8756</v>
      </c>
      <c r="C125" t="s">
        <v>8755</v>
      </c>
      <c r="D125" t="s">
        <v>8754</v>
      </c>
      <c r="F125" t="s">
        <v>8753</v>
      </c>
      <c r="G125" t="s">
        <v>5</v>
      </c>
      <c r="H125" t="s">
        <v>4</v>
      </c>
      <c r="I125" t="s">
        <v>8752</v>
      </c>
      <c r="J125">
        <v>60103653</v>
      </c>
      <c r="K125" t="s">
        <v>6585</v>
      </c>
      <c r="L125" t="s">
        <v>427</v>
      </c>
      <c r="M125" t="s">
        <v>155</v>
      </c>
      <c r="N125">
        <v>3</v>
      </c>
      <c r="O125" t="s">
        <v>8751</v>
      </c>
      <c r="P125" t="s">
        <v>8750</v>
      </c>
      <c r="Q125" t="s">
        <v>6582</v>
      </c>
      <c r="R125" s="7">
        <v>36130</v>
      </c>
      <c r="S125" s="8">
        <f t="shared" si="8"/>
        <v>1998</v>
      </c>
      <c r="T125" s="8">
        <v>1998</v>
      </c>
      <c r="U125" s="8">
        <f t="shared" si="9"/>
        <v>24</v>
      </c>
      <c r="V125" s="7">
        <v>1998</v>
      </c>
      <c r="W125" t="s">
        <v>4480</v>
      </c>
      <c r="X125" s="2">
        <v>2.141</v>
      </c>
      <c r="Y125" s="6">
        <f t="shared" si="10"/>
        <v>5.7152772216438434E-2</v>
      </c>
      <c r="AA125">
        <v>1962892</v>
      </c>
      <c r="AB125">
        <v>17360</v>
      </c>
      <c r="AD125" t="s">
        <v>2</v>
      </c>
      <c r="AE125">
        <v>36</v>
      </c>
      <c r="AF125">
        <v>3</v>
      </c>
      <c r="AH125" t="s">
        <v>8749</v>
      </c>
      <c r="AI125" t="s">
        <v>8748</v>
      </c>
      <c r="AK125" t="s">
        <v>8747</v>
      </c>
      <c r="AL125">
        <v>28</v>
      </c>
      <c r="AM125" s="5">
        <f t="shared" si="11"/>
        <v>1.1666666666666667</v>
      </c>
      <c r="AN125" s="4">
        <f t="shared" si="12"/>
        <v>1.7670074466742396E-3</v>
      </c>
      <c r="AO125" s="3"/>
      <c r="AP125">
        <v>0</v>
      </c>
      <c r="AQ125" t="s">
        <v>259</v>
      </c>
      <c r="AR125" t="s">
        <v>1</v>
      </c>
      <c r="AS125" t="s">
        <v>258</v>
      </c>
      <c r="AT125" s="2" t="s">
        <v>0</v>
      </c>
      <c r="AU125" s="1">
        <f t="shared" si="13"/>
        <v>4.0537042785509172</v>
      </c>
      <c r="AV125" s="1">
        <f t="shared" si="14"/>
        <v>2.9459889831556336</v>
      </c>
      <c r="AW125" s="1">
        <f t="shared" si="15"/>
        <v>1.8382736877603496</v>
      </c>
    </row>
    <row r="126" spans="1:49" x14ac:dyDescent="0.2">
      <c r="A126">
        <v>124</v>
      </c>
      <c r="B126" t="s">
        <v>8746</v>
      </c>
      <c r="C126" t="s">
        <v>8745</v>
      </c>
      <c r="D126" t="s">
        <v>8744</v>
      </c>
      <c r="F126" t="s">
        <v>8743</v>
      </c>
      <c r="G126" t="s">
        <v>5</v>
      </c>
      <c r="H126" t="s">
        <v>4</v>
      </c>
      <c r="I126" t="s">
        <v>8742</v>
      </c>
      <c r="J126">
        <v>60011418</v>
      </c>
      <c r="K126" t="s">
        <v>8741</v>
      </c>
      <c r="L126" t="s">
        <v>8740</v>
      </c>
      <c r="M126" t="s">
        <v>12</v>
      </c>
      <c r="N126">
        <v>2</v>
      </c>
      <c r="O126" t="s">
        <v>8739</v>
      </c>
      <c r="P126" t="s">
        <v>8738</v>
      </c>
      <c r="Q126" t="s">
        <v>8737</v>
      </c>
      <c r="R126" s="7">
        <v>36130</v>
      </c>
      <c r="S126" s="8">
        <f t="shared" si="8"/>
        <v>1998</v>
      </c>
      <c r="T126" s="8">
        <v>1998</v>
      </c>
      <c r="U126" s="8">
        <f t="shared" si="9"/>
        <v>24</v>
      </c>
      <c r="V126" s="7">
        <v>1998</v>
      </c>
      <c r="W126" t="s">
        <v>25</v>
      </c>
      <c r="X126" s="2">
        <v>0.60499999999999998</v>
      </c>
      <c r="Y126" s="6">
        <f t="shared" si="10"/>
        <v>1.6150129467980032E-2</v>
      </c>
      <c r="AA126">
        <v>346748</v>
      </c>
      <c r="AB126">
        <v>15563</v>
      </c>
      <c r="AD126" t="s">
        <v>2</v>
      </c>
      <c r="AE126">
        <v>69</v>
      </c>
      <c r="AF126">
        <v>9</v>
      </c>
      <c r="AH126" t="s">
        <v>8736</v>
      </c>
      <c r="AI126" t="s">
        <v>8735</v>
      </c>
      <c r="AK126" t="s">
        <v>8734</v>
      </c>
      <c r="AL126">
        <v>11</v>
      </c>
      <c r="AM126" s="5">
        <f t="shared" si="11"/>
        <v>0.45833333333333331</v>
      </c>
      <c r="AN126" s="4">
        <f t="shared" si="12"/>
        <v>6.9418149690773695E-4</v>
      </c>
      <c r="AO126" s="3"/>
      <c r="AP126">
        <v>0</v>
      </c>
      <c r="AR126" t="s">
        <v>1</v>
      </c>
      <c r="AT126" s="2">
        <v>1.5229999999999999</v>
      </c>
      <c r="AU126" s="1">
        <f t="shared" si="13"/>
        <v>1.1513345076658343</v>
      </c>
      <c r="AV126" s="1">
        <f t="shared" si="14"/>
        <v>0.84221554824438838</v>
      </c>
      <c r="AW126" s="1">
        <f t="shared" si="15"/>
        <v>0.53309658882294253</v>
      </c>
    </row>
    <row r="127" spans="1:49" x14ac:dyDescent="0.2">
      <c r="A127">
        <v>125</v>
      </c>
      <c r="B127" t="s">
        <v>8733</v>
      </c>
      <c r="F127" t="s">
        <v>8732</v>
      </c>
      <c r="G127" t="s">
        <v>5</v>
      </c>
      <c r="H127" t="s">
        <v>4</v>
      </c>
      <c r="I127" t="s">
        <v>8731</v>
      </c>
      <c r="J127" t="s">
        <v>8726</v>
      </c>
      <c r="K127" t="s">
        <v>8730</v>
      </c>
      <c r="L127" t="s">
        <v>8729</v>
      </c>
      <c r="M127" t="s">
        <v>1639</v>
      </c>
      <c r="N127">
        <v>2</v>
      </c>
      <c r="O127" t="s">
        <v>8728</v>
      </c>
      <c r="P127" t="s">
        <v>8727</v>
      </c>
      <c r="Q127" t="s">
        <v>8726</v>
      </c>
      <c r="R127" s="7">
        <v>36130</v>
      </c>
      <c r="S127" s="8">
        <f t="shared" si="8"/>
        <v>1998</v>
      </c>
      <c r="T127" s="8">
        <v>1998</v>
      </c>
      <c r="U127" s="8">
        <f t="shared" si="9"/>
        <v>24</v>
      </c>
      <c r="V127" s="7">
        <v>36130</v>
      </c>
      <c r="W127" t="s">
        <v>743</v>
      </c>
      <c r="X127" s="2">
        <v>0.34699999999999998</v>
      </c>
      <c r="Y127" s="6">
        <f t="shared" si="10"/>
        <v>9.2629668188249116E-3</v>
      </c>
      <c r="AA127" t="s">
        <v>742</v>
      </c>
      <c r="AB127">
        <v>19750</v>
      </c>
      <c r="AD127" t="s">
        <v>2</v>
      </c>
      <c r="AE127">
        <v>52</v>
      </c>
      <c r="AF127">
        <v>4</v>
      </c>
      <c r="AH127" t="s">
        <v>8725</v>
      </c>
      <c r="AI127" t="s">
        <v>8724</v>
      </c>
      <c r="AK127" t="s">
        <v>8723</v>
      </c>
      <c r="AL127">
        <v>6</v>
      </c>
      <c r="AM127" s="5">
        <f t="shared" si="11"/>
        <v>0.25</v>
      </c>
      <c r="AN127" s="4">
        <f t="shared" si="12"/>
        <v>3.786444528587656E-4</v>
      </c>
      <c r="AO127" s="3"/>
      <c r="AP127">
        <v>0</v>
      </c>
      <c r="AR127" t="s">
        <v>1</v>
      </c>
      <c r="AT127" s="2">
        <v>0.77600000000000002</v>
      </c>
      <c r="AU127" s="1">
        <f t="shared" si="13"/>
        <v>0.65976701090350676</v>
      </c>
      <c r="AV127" s="1">
        <f t="shared" si="14"/>
        <v>0.48208056358418383</v>
      </c>
      <c r="AW127" s="1">
        <f t="shared" si="15"/>
        <v>0.3043941162648609</v>
      </c>
    </row>
    <row r="128" spans="1:49" x14ac:dyDescent="0.2">
      <c r="A128">
        <v>126</v>
      </c>
      <c r="B128" t="s">
        <v>8722</v>
      </c>
      <c r="C128" t="s">
        <v>8721</v>
      </c>
      <c r="F128" t="s">
        <v>8720</v>
      </c>
      <c r="G128" t="s">
        <v>5</v>
      </c>
      <c r="H128" t="s">
        <v>4</v>
      </c>
      <c r="I128" t="s">
        <v>398</v>
      </c>
      <c r="J128" t="s">
        <v>8719</v>
      </c>
      <c r="K128" t="s">
        <v>8718</v>
      </c>
      <c r="L128" t="s">
        <v>242</v>
      </c>
      <c r="M128" t="s">
        <v>174</v>
      </c>
      <c r="N128">
        <v>5</v>
      </c>
      <c r="O128" t="s">
        <v>8717</v>
      </c>
      <c r="P128" t="s">
        <v>8716</v>
      </c>
      <c r="Q128" t="s">
        <v>8715</v>
      </c>
      <c r="R128" s="7">
        <v>36130</v>
      </c>
      <c r="S128" s="8">
        <f t="shared" si="8"/>
        <v>1998</v>
      </c>
      <c r="T128" s="8">
        <v>1998</v>
      </c>
      <c r="U128" s="8">
        <f t="shared" si="9"/>
        <v>24</v>
      </c>
      <c r="V128" s="7">
        <v>1998</v>
      </c>
      <c r="W128" t="s">
        <v>505</v>
      </c>
      <c r="X128" s="2">
        <v>0.58299999999999996</v>
      </c>
      <c r="Y128" s="6">
        <f t="shared" si="10"/>
        <v>1.5562852032780758E-2</v>
      </c>
      <c r="AA128">
        <v>7342101</v>
      </c>
      <c r="AB128">
        <v>28596</v>
      </c>
      <c r="AD128" t="s">
        <v>2</v>
      </c>
      <c r="AE128">
        <v>16</v>
      </c>
      <c r="AF128">
        <v>3</v>
      </c>
      <c r="AH128" t="s">
        <v>8714</v>
      </c>
      <c r="AI128" t="s">
        <v>8713</v>
      </c>
      <c r="AK128" t="s">
        <v>8712</v>
      </c>
      <c r="AL128">
        <v>9</v>
      </c>
      <c r="AM128" s="5">
        <f t="shared" si="11"/>
        <v>0.375</v>
      </c>
      <c r="AN128" s="4">
        <f t="shared" si="12"/>
        <v>5.6796667928814845E-4</v>
      </c>
      <c r="AO128" s="3"/>
      <c r="AP128">
        <v>0</v>
      </c>
      <c r="AR128" t="s">
        <v>1</v>
      </c>
      <c r="AT128" s="2" t="s">
        <v>0</v>
      </c>
      <c r="AU128" s="1">
        <f t="shared" si="13"/>
        <v>1.1064386426732975</v>
      </c>
      <c r="AV128" s="1">
        <f t="shared" si="14"/>
        <v>0.80654093560344531</v>
      </c>
      <c r="AW128" s="1">
        <f t="shared" si="15"/>
        <v>0.50664322853359312</v>
      </c>
    </row>
    <row r="129" spans="1:49" x14ac:dyDescent="0.2">
      <c r="A129">
        <v>127</v>
      </c>
      <c r="B129" t="s">
        <v>8711</v>
      </c>
      <c r="F129" t="s">
        <v>8710</v>
      </c>
      <c r="G129" t="s">
        <v>5</v>
      </c>
      <c r="H129" t="s">
        <v>4</v>
      </c>
      <c r="I129" t="s">
        <v>8709</v>
      </c>
      <c r="J129" t="s">
        <v>8708</v>
      </c>
      <c r="K129" t="s">
        <v>8707</v>
      </c>
      <c r="L129" t="s">
        <v>8706</v>
      </c>
      <c r="M129" t="s">
        <v>6</v>
      </c>
      <c r="N129">
        <v>4</v>
      </c>
      <c r="O129" t="s">
        <v>8705</v>
      </c>
      <c r="P129" t="s">
        <v>8704</v>
      </c>
      <c r="Q129" t="s">
        <v>8703</v>
      </c>
      <c r="R129" s="7">
        <v>36130</v>
      </c>
      <c r="S129" s="8">
        <f t="shared" si="8"/>
        <v>1998</v>
      </c>
      <c r="T129" s="8">
        <v>1998</v>
      </c>
      <c r="U129" s="8">
        <f t="shared" si="9"/>
        <v>24</v>
      </c>
      <c r="V129" s="7">
        <v>36130</v>
      </c>
      <c r="W129" t="s">
        <v>8702</v>
      </c>
      <c r="X129" s="2">
        <v>0.57799999999999996</v>
      </c>
      <c r="Y129" s="6">
        <f t="shared" si="10"/>
        <v>1.5429379888417288E-2</v>
      </c>
      <c r="AA129">
        <v>917648</v>
      </c>
      <c r="AB129">
        <v>24505</v>
      </c>
      <c r="AD129" t="s">
        <v>2</v>
      </c>
      <c r="AE129">
        <v>26</v>
      </c>
      <c r="AF129">
        <v>4</v>
      </c>
      <c r="AH129" t="s">
        <v>8701</v>
      </c>
      <c r="AI129" t="s">
        <v>8700</v>
      </c>
      <c r="AJ129" t="s">
        <v>8699</v>
      </c>
      <c r="AK129" t="s">
        <v>8698</v>
      </c>
      <c r="AL129">
        <v>49</v>
      </c>
      <c r="AM129" s="5">
        <f t="shared" si="11"/>
        <v>2.0416666666666665</v>
      </c>
      <c r="AN129" s="4">
        <f t="shared" si="12"/>
        <v>3.0922630316799191E-3</v>
      </c>
      <c r="AO129" s="3"/>
      <c r="AP129">
        <v>0</v>
      </c>
      <c r="AR129" t="s">
        <v>1</v>
      </c>
      <c r="AT129" s="2">
        <v>1.583</v>
      </c>
      <c r="AU129" s="1">
        <f t="shared" si="13"/>
        <v>1.1728244831396075</v>
      </c>
      <c r="AV129" s="1">
        <f t="shared" si="14"/>
        <v>0.92608214600486038</v>
      </c>
      <c r="AW129" s="1">
        <f t="shared" si="15"/>
        <v>0.67933980887011292</v>
      </c>
    </row>
    <row r="130" spans="1:49" x14ac:dyDescent="0.2">
      <c r="A130">
        <v>128</v>
      </c>
      <c r="B130" t="s">
        <v>8697</v>
      </c>
      <c r="C130" t="s">
        <v>8696</v>
      </c>
      <c r="D130" t="s">
        <v>8695</v>
      </c>
      <c r="F130" t="s">
        <v>8694</v>
      </c>
      <c r="G130" t="s">
        <v>5</v>
      </c>
      <c r="H130" t="s">
        <v>4</v>
      </c>
      <c r="I130" t="s">
        <v>8693</v>
      </c>
      <c r="J130">
        <v>60022195</v>
      </c>
      <c r="K130" t="s">
        <v>220</v>
      </c>
      <c r="L130" t="s">
        <v>140</v>
      </c>
      <c r="M130" t="s">
        <v>9</v>
      </c>
      <c r="N130">
        <v>6</v>
      </c>
      <c r="O130" t="s">
        <v>8692</v>
      </c>
      <c r="P130" t="s">
        <v>8691</v>
      </c>
      <c r="Q130" t="s">
        <v>8690</v>
      </c>
      <c r="R130" s="7">
        <v>36130</v>
      </c>
      <c r="S130" s="8">
        <f t="shared" ref="S130:S193" si="16">YEAR(R130)</f>
        <v>1998</v>
      </c>
      <c r="T130" s="8">
        <v>1998</v>
      </c>
      <c r="U130" s="8">
        <f t="shared" ref="U130:U193" si="17">2022-T130</f>
        <v>24</v>
      </c>
      <c r="V130" s="7">
        <v>1998</v>
      </c>
      <c r="W130" t="s">
        <v>4133</v>
      </c>
      <c r="X130" s="2">
        <v>1.1819999999999999</v>
      </c>
      <c r="Y130" s="6">
        <f t="shared" ref="Y130:Y193" si="18">(X130-$Z$3)/($Z$2-$Z$3)</f>
        <v>3.1552814927524625E-2</v>
      </c>
      <c r="AA130">
        <v>36951</v>
      </c>
      <c r="AB130">
        <v>27030</v>
      </c>
      <c r="AD130" t="s">
        <v>2</v>
      </c>
      <c r="AE130">
        <v>73</v>
      </c>
      <c r="AF130">
        <v>26</v>
      </c>
      <c r="AH130" t="s">
        <v>8689</v>
      </c>
      <c r="AI130" t="s">
        <v>8688</v>
      </c>
      <c r="AK130" t="s">
        <v>8687</v>
      </c>
      <c r="AL130">
        <v>180</v>
      </c>
      <c r="AM130" s="5">
        <f t="shared" ref="AM130:AM193" si="19">AL130/U130</f>
        <v>7.5</v>
      </c>
      <c r="AN130" s="4">
        <f t="shared" ref="AN130:AN193" si="20">(AM130-$AO$3)/($AO$2-$AO$3)</f>
        <v>1.1359333585762969E-2</v>
      </c>
      <c r="AO130" s="3"/>
      <c r="AP130">
        <v>0</v>
      </c>
      <c r="AR130" t="s">
        <v>1</v>
      </c>
      <c r="AT130" s="2">
        <v>3.7909999999999999</v>
      </c>
      <c r="AU130" s="1">
        <f t="shared" ref="AU130:AU193" si="21">(Y130*0.7+AN130*0.3)*100</f>
        <v>2.5494770524996127</v>
      </c>
      <c r="AV130" s="1">
        <f t="shared" ref="AV130:AV193" si="22">(Y130*0.5+AN130*0.5)*100</f>
        <v>2.1456074256643793</v>
      </c>
      <c r="AW130" s="1">
        <f t="shared" ref="AW130:AW193" si="23">(Y130*0.3+AN130*0.7)*100</f>
        <v>1.7417377988291467</v>
      </c>
    </row>
    <row r="131" spans="1:49" x14ac:dyDescent="0.2">
      <c r="A131">
        <v>129</v>
      </c>
      <c r="B131" t="s">
        <v>8686</v>
      </c>
      <c r="C131" t="s">
        <v>8685</v>
      </c>
      <c r="D131" t="s">
        <v>8684</v>
      </c>
      <c r="F131" t="s">
        <v>8683</v>
      </c>
      <c r="G131" t="s">
        <v>5</v>
      </c>
      <c r="H131" t="s">
        <v>4</v>
      </c>
      <c r="I131" t="s">
        <v>8682</v>
      </c>
      <c r="J131" t="s">
        <v>8681</v>
      </c>
      <c r="K131" t="s">
        <v>8680</v>
      </c>
      <c r="L131" t="s">
        <v>5451</v>
      </c>
      <c r="M131" t="s">
        <v>5450</v>
      </c>
      <c r="N131">
        <v>7</v>
      </c>
      <c r="O131" t="s">
        <v>8679</v>
      </c>
      <c r="P131" t="s">
        <v>8678</v>
      </c>
      <c r="Q131" t="s">
        <v>8677</v>
      </c>
      <c r="R131" s="7">
        <v>36130</v>
      </c>
      <c r="S131" s="8">
        <f t="shared" si="16"/>
        <v>1998</v>
      </c>
      <c r="T131" s="8">
        <v>1998</v>
      </c>
      <c r="U131" s="8">
        <f t="shared" si="17"/>
        <v>24</v>
      </c>
      <c r="V131" s="7">
        <v>1998</v>
      </c>
      <c r="W131" t="s">
        <v>4133</v>
      </c>
      <c r="X131" s="2">
        <v>1.1819999999999999</v>
      </c>
      <c r="Y131" s="6">
        <f t="shared" si="18"/>
        <v>3.1552814927524625E-2</v>
      </c>
      <c r="AA131">
        <v>36951</v>
      </c>
      <c r="AB131">
        <v>27030</v>
      </c>
      <c r="AD131" t="s">
        <v>2</v>
      </c>
      <c r="AE131">
        <v>73</v>
      </c>
      <c r="AF131">
        <v>19</v>
      </c>
      <c r="AH131" t="s">
        <v>8676</v>
      </c>
      <c r="AI131" t="s">
        <v>8675</v>
      </c>
      <c r="AK131" t="s">
        <v>8674</v>
      </c>
      <c r="AL131">
        <v>26</v>
      </c>
      <c r="AM131" s="5">
        <f t="shared" si="19"/>
        <v>1.0833333333333333</v>
      </c>
      <c r="AN131" s="4">
        <f t="shared" si="20"/>
        <v>1.6407926290546509E-3</v>
      </c>
      <c r="AO131" s="3"/>
      <c r="AP131">
        <v>0</v>
      </c>
      <c r="AR131" t="s">
        <v>1</v>
      </c>
      <c r="AT131" s="2">
        <v>3.7909999999999999</v>
      </c>
      <c r="AU131" s="1">
        <f t="shared" si="21"/>
        <v>2.2579208237983628</v>
      </c>
      <c r="AV131" s="1">
        <f t="shared" si="22"/>
        <v>1.6596803778289637</v>
      </c>
      <c r="AW131" s="1">
        <f t="shared" si="23"/>
        <v>1.0614399318595642</v>
      </c>
    </row>
    <row r="132" spans="1:49" x14ac:dyDescent="0.2">
      <c r="A132">
        <v>130</v>
      </c>
      <c r="B132" t="s">
        <v>8673</v>
      </c>
      <c r="C132" t="s">
        <v>8672</v>
      </c>
      <c r="D132" t="s">
        <v>8671</v>
      </c>
      <c r="F132" t="s">
        <v>8670</v>
      </c>
      <c r="G132" t="s">
        <v>5</v>
      </c>
      <c r="H132" t="s">
        <v>4</v>
      </c>
      <c r="I132" t="s">
        <v>8669</v>
      </c>
      <c r="J132">
        <v>60006297</v>
      </c>
      <c r="K132" t="s">
        <v>8668</v>
      </c>
      <c r="L132" t="s">
        <v>8667</v>
      </c>
      <c r="M132" t="s">
        <v>9</v>
      </c>
      <c r="N132">
        <v>2</v>
      </c>
      <c r="O132" t="s">
        <v>8666</v>
      </c>
      <c r="P132" t="s">
        <v>8665</v>
      </c>
      <c r="Q132" t="s">
        <v>8664</v>
      </c>
      <c r="R132" s="7">
        <v>36130</v>
      </c>
      <c r="S132" s="8">
        <f t="shared" si="16"/>
        <v>1998</v>
      </c>
      <c r="T132" s="8">
        <v>1998</v>
      </c>
      <c r="U132" s="8">
        <f t="shared" si="17"/>
        <v>24</v>
      </c>
      <c r="V132" s="7">
        <v>1998</v>
      </c>
      <c r="W132" t="s">
        <v>727</v>
      </c>
      <c r="X132" s="2">
        <v>1.071</v>
      </c>
      <c r="Y132" s="6">
        <f t="shared" si="18"/>
        <v>2.8589733322655561E-2</v>
      </c>
      <c r="AA132">
        <v>219606</v>
      </c>
      <c r="AB132">
        <v>28134</v>
      </c>
      <c r="AD132" t="s">
        <v>2</v>
      </c>
      <c r="AE132">
        <v>109</v>
      </c>
      <c r="AF132">
        <v>2</v>
      </c>
      <c r="AH132" t="s">
        <v>8663</v>
      </c>
      <c r="AI132" t="s">
        <v>8662</v>
      </c>
      <c r="AK132" t="s">
        <v>8661</v>
      </c>
      <c r="AL132">
        <v>75</v>
      </c>
      <c r="AM132" s="5">
        <f t="shared" si="19"/>
        <v>3.125</v>
      </c>
      <c r="AN132" s="4">
        <f t="shared" si="20"/>
        <v>4.7330556607345703E-3</v>
      </c>
      <c r="AO132" s="3"/>
      <c r="AP132">
        <v>0</v>
      </c>
      <c r="AR132" t="s">
        <v>1</v>
      </c>
      <c r="AT132" s="2">
        <v>3.488</v>
      </c>
      <c r="AU132" s="1">
        <f t="shared" si="21"/>
        <v>2.1432730024079265</v>
      </c>
      <c r="AV132" s="1">
        <f t="shared" si="22"/>
        <v>1.6661394491695065</v>
      </c>
      <c r="AW132" s="1">
        <f t="shared" si="23"/>
        <v>1.1890058959310867</v>
      </c>
    </row>
    <row r="133" spans="1:49" x14ac:dyDescent="0.2">
      <c r="A133">
        <v>131</v>
      </c>
      <c r="B133" t="s">
        <v>8660</v>
      </c>
      <c r="E133">
        <v>10379641</v>
      </c>
      <c r="F133" t="s">
        <v>8659</v>
      </c>
      <c r="G133" t="s">
        <v>5</v>
      </c>
      <c r="H133" t="s">
        <v>4</v>
      </c>
      <c r="I133" t="s">
        <v>8658</v>
      </c>
      <c r="J133">
        <v>60096201</v>
      </c>
      <c r="K133" t="s">
        <v>8657</v>
      </c>
      <c r="L133" t="s">
        <v>225</v>
      </c>
      <c r="M133" t="s">
        <v>106</v>
      </c>
      <c r="N133">
        <v>1</v>
      </c>
      <c r="O133" t="s">
        <v>8656</v>
      </c>
      <c r="P133">
        <v>7004405778</v>
      </c>
      <c r="Q133">
        <v>60096201</v>
      </c>
      <c r="R133" s="7">
        <v>36130</v>
      </c>
      <c r="S133" s="8">
        <f t="shared" si="16"/>
        <v>1998</v>
      </c>
      <c r="T133" s="8">
        <v>1998</v>
      </c>
      <c r="U133" s="8">
        <f t="shared" si="17"/>
        <v>24</v>
      </c>
      <c r="V133" s="7">
        <v>1998</v>
      </c>
      <c r="W133" t="s">
        <v>8655</v>
      </c>
      <c r="X133" s="2" t="s">
        <v>0</v>
      </c>
      <c r="Y133" s="6" t="e">
        <f t="shared" si="18"/>
        <v>#VALUE!</v>
      </c>
      <c r="AA133">
        <v>10236597</v>
      </c>
      <c r="AB133">
        <v>37607</v>
      </c>
      <c r="AD133" t="s">
        <v>2</v>
      </c>
      <c r="AE133">
        <v>12</v>
      </c>
      <c r="AF133">
        <v>5</v>
      </c>
      <c r="AH133" t="s">
        <v>8654</v>
      </c>
      <c r="AI133" t="s">
        <v>8653</v>
      </c>
      <c r="AK133" t="s">
        <v>8652</v>
      </c>
      <c r="AL133">
        <v>8</v>
      </c>
      <c r="AM133" s="5">
        <f t="shared" si="19"/>
        <v>0.33333333333333331</v>
      </c>
      <c r="AN133" s="4">
        <f t="shared" si="20"/>
        <v>5.048592704783541E-4</v>
      </c>
      <c r="AO133" s="3"/>
      <c r="AP133">
        <v>0</v>
      </c>
      <c r="AR133" t="s">
        <v>1</v>
      </c>
      <c r="AT133" s="2" t="s">
        <v>0</v>
      </c>
      <c r="AU133" s="1" t="e">
        <f t="shared" si="21"/>
        <v>#VALUE!</v>
      </c>
      <c r="AV133" s="1" t="e">
        <f t="shared" si="22"/>
        <v>#VALUE!</v>
      </c>
      <c r="AW133" s="1" t="e">
        <f t="shared" si="23"/>
        <v>#VALUE!</v>
      </c>
    </row>
    <row r="134" spans="1:49" x14ac:dyDescent="0.2">
      <c r="A134">
        <v>132</v>
      </c>
      <c r="B134" t="s">
        <v>8651</v>
      </c>
      <c r="C134" t="s">
        <v>8650</v>
      </c>
      <c r="E134">
        <v>10211704</v>
      </c>
      <c r="F134" t="s">
        <v>8649</v>
      </c>
      <c r="G134" t="s">
        <v>5</v>
      </c>
      <c r="H134" t="s">
        <v>4</v>
      </c>
      <c r="I134" t="s">
        <v>8648</v>
      </c>
      <c r="J134">
        <v>60012556</v>
      </c>
      <c r="K134" t="s">
        <v>8647</v>
      </c>
      <c r="L134" t="s">
        <v>8646</v>
      </c>
      <c r="M134" t="s">
        <v>37</v>
      </c>
      <c r="N134">
        <v>4</v>
      </c>
      <c r="O134" t="s">
        <v>8645</v>
      </c>
      <c r="P134" t="s">
        <v>8644</v>
      </c>
      <c r="Q134" t="s">
        <v>8643</v>
      </c>
      <c r="R134" s="7">
        <v>36130</v>
      </c>
      <c r="S134" s="8">
        <f t="shared" si="16"/>
        <v>1998</v>
      </c>
      <c r="T134" s="8">
        <v>1998</v>
      </c>
      <c r="U134" s="8">
        <f t="shared" si="17"/>
        <v>24</v>
      </c>
      <c r="V134" s="7">
        <v>1998</v>
      </c>
      <c r="W134" t="s">
        <v>8596</v>
      </c>
      <c r="X134" s="2">
        <v>0.73699999999999999</v>
      </c>
      <c r="Y134" s="6">
        <f t="shared" si="18"/>
        <v>1.9673794079175678E-2</v>
      </c>
      <c r="AA134">
        <v>2820080</v>
      </c>
      <c r="AB134">
        <v>17513</v>
      </c>
      <c r="AD134" t="s">
        <v>2</v>
      </c>
      <c r="AE134">
        <v>15</v>
      </c>
      <c r="AF134">
        <v>10</v>
      </c>
      <c r="AH134" t="s">
        <v>8642</v>
      </c>
      <c r="AI134" t="s">
        <v>8641</v>
      </c>
      <c r="AJ134" t="s">
        <v>8640</v>
      </c>
      <c r="AK134" t="s">
        <v>8639</v>
      </c>
      <c r="AL134">
        <v>3</v>
      </c>
      <c r="AM134" s="5">
        <f t="shared" si="19"/>
        <v>0.125</v>
      </c>
      <c r="AN134" s="4">
        <f t="shared" si="20"/>
        <v>1.893222264293828E-4</v>
      </c>
      <c r="AO134" s="3"/>
      <c r="AP134">
        <v>0</v>
      </c>
      <c r="AR134" t="s">
        <v>8638</v>
      </c>
      <c r="AT134" s="2">
        <v>2.9159999999999999</v>
      </c>
      <c r="AU134" s="1">
        <f t="shared" si="21"/>
        <v>1.3828452523351786</v>
      </c>
      <c r="AV134" s="1">
        <f t="shared" si="22"/>
        <v>0.9931558152802531</v>
      </c>
      <c r="AW134" s="1">
        <f t="shared" si="23"/>
        <v>0.60346637822532712</v>
      </c>
    </row>
    <row r="135" spans="1:49" x14ac:dyDescent="0.2">
      <c r="A135">
        <v>133</v>
      </c>
      <c r="B135" t="s">
        <v>8637</v>
      </c>
      <c r="C135" t="s">
        <v>8636</v>
      </c>
      <c r="F135" t="s">
        <v>8635</v>
      </c>
      <c r="G135" t="s">
        <v>5</v>
      </c>
      <c r="H135" t="s">
        <v>4</v>
      </c>
      <c r="I135" t="s">
        <v>8634</v>
      </c>
      <c r="J135">
        <v>60020306</v>
      </c>
      <c r="K135" t="s">
        <v>93</v>
      </c>
      <c r="L135" t="s">
        <v>92</v>
      </c>
      <c r="M135" t="s">
        <v>37</v>
      </c>
      <c r="N135">
        <v>1</v>
      </c>
      <c r="O135" t="s">
        <v>8633</v>
      </c>
      <c r="P135">
        <v>56618318600</v>
      </c>
      <c r="Q135">
        <v>60020306</v>
      </c>
      <c r="R135" s="7">
        <v>36130</v>
      </c>
      <c r="S135" s="8">
        <f t="shared" si="16"/>
        <v>1998</v>
      </c>
      <c r="T135" s="8">
        <v>1998</v>
      </c>
      <c r="U135" s="8">
        <f t="shared" si="17"/>
        <v>24</v>
      </c>
      <c r="V135" s="7">
        <v>1998</v>
      </c>
      <c r="W135" t="s">
        <v>91</v>
      </c>
      <c r="X135" s="2">
        <v>0.755</v>
      </c>
      <c r="Y135" s="6">
        <f t="shared" si="18"/>
        <v>2.0154293798884174E-2</v>
      </c>
      <c r="AA135">
        <v>3003604</v>
      </c>
      <c r="AB135">
        <v>16515</v>
      </c>
      <c r="AD135" t="s">
        <v>2</v>
      </c>
      <c r="AE135">
        <v>35</v>
      </c>
      <c r="AF135">
        <v>4</v>
      </c>
      <c r="AH135" t="s">
        <v>8632</v>
      </c>
      <c r="AI135" t="s">
        <v>8631</v>
      </c>
      <c r="AJ135" t="s">
        <v>8630</v>
      </c>
      <c r="AK135" t="s">
        <v>8629</v>
      </c>
      <c r="AL135">
        <v>2</v>
      </c>
      <c r="AM135" s="5">
        <f t="shared" si="19"/>
        <v>8.3333333333333329E-2</v>
      </c>
      <c r="AN135" s="4">
        <f t="shared" si="20"/>
        <v>1.2621481761958852E-4</v>
      </c>
      <c r="AO135" s="3"/>
      <c r="AP135">
        <v>0</v>
      </c>
      <c r="AR135" t="s">
        <v>1</v>
      </c>
      <c r="AT135" s="2">
        <v>3.1890000000000001</v>
      </c>
      <c r="AU135" s="1">
        <f t="shared" si="21"/>
        <v>1.4145870104504796</v>
      </c>
      <c r="AV135" s="1">
        <f t="shared" si="22"/>
        <v>1.0140254308251881</v>
      </c>
      <c r="AW135" s="1">
        <f t="shared" si="23"/>
        <v>0.61346385119989633</v>
      </c>
    </row>
    <row r="136" spans="1:49" x14ac:dyDescent="0.2">
      <c r="A136">
        <v>134</v>
      </c>
      <c r="B136" t="s">
        <v>8628</v>
      </c>
      <c r="F136" t="s">
        <v>8627</v>
      </c>
      <c r="G136" t="s">
        <v>5</v>
      </c>
      <c r="H136" t="s">
        <v>4</v>
      </c>
      <c r="I136" t="s">
        <v>8626</v>
      </c>
      <c r="J136">
        <v>60008221</v>
      </c>
      <c r="K136" t="s">
        <v>8625</v>
      </c>
      <c r="L136" t="s">
        <v>8624</v>
      </c>
      <c r="M136" t="s">
        <v>541</v>
      </c>
      <c r="N136">
        <v>1</v>
      </c>
      <c r="O136" t="s">
        <v>8623</v>
      </c>
      <c r="P136">
        <v>55698267100</v>
      </c>
      <c r="Q136">
        <v>60008221</v>
      </c>
      <c r="R136" s="7">
        <v>36130</v>
      </c>
      <c r="S136" s="8">
        <f t="shared" si="16"/>
        <v>1998</v>
      </c>
      <c r="T136" s="8">
        <v>1998</v>
      </c>
      <c r="U136" s="8">
        <f t="shared" si="17"/>
        <v>24</v>
      </c>
      <c r="V136" s="7">
        <v>36130</v>
      </c>
      <c r="W136" t="s">
        <v>743</v>
      </c>
      <c r="X136" s="2">
        <v>0.34699999999999998</v>
      </c>
      <c r="Y136" s="6">
        <f t="shared" si="18"/>
        <v>9.2629668188249116E-3</v>
      </c>
      <c r="AA136" t="s">
        <v>742</v>
      </c>
      <c r="AB136">
        <v>19750</v>
      </c>
      <c r="AD136" t="s">
        <v>2</v>
      </c>
      <c r="AE136">
        <v>52</v>
      </c>
      <c r="AF136">
        <v>4</v>
      </c>
      <c r="AH136" t="s">
        <v>8622</v>
      </c>
      <c r="AI136" t="s">
        <v>8621</v>
      </c>
      <c r="AK136" t="s">
        <v>8620</v>
      </c>
      <c r="AL136">
        <v>27</v>
      </c>
      <c r="AM136" s="5">
        <f t="shared" si="19"/>
        <v>1.125</v>
      </c>
      <c r="AN136" s="4">
        <f t="shared" si="20"/>
        <v>1.7039000378644452E-3</v>
      </c>
      <c r="AO136" s="3"/>
      <c r="AP136">
        <v>0</v>
      </c>
      <c r="AR136" t="s">
        <v>1</v>
      </c>
      <c r="AT136" s="2">
        <v>0.77600000000000002</v>
      </c>
      <c r="AU136" s="1">
        <f t="shared" si="21"/>
        <v>0.69952467845367716</v>
      </c>
      <c r="AV136" s="1">
        <f t="shared" si="22"/>
        <v>0.54834334283446784</v>
      </c>
      <c r="AW136" s="1">
        <f t="shared" si="23"/>
        <v>0.39716200721525846</v>
      </c>
    </row>
    <row r="137" spans="1:49" x14ac:dyDescent="0.2">
      <c r="A137">
        <v>135</v>
      </c>
      <c r="B137" t="s">
        <v>8619</v>
      </c>
      <c r="F137" t="s">
        <v>8618</v>
      </c>
      <c r="G137" t="s">
        <v>5</v>
      </c>
      <c r="H137" t="s">
        <v>4</v>
      </c>
      <c r="R137" s="7">
        <v>36130</v>
      </c>
      <c r="S137" s="8">
        <f t="shared" si="16"/>
        <v>1998</v>
      </c>
      <c r="T137" s="8">
        <v>1998</v>
      </c>
      <c r="U137" s="8">
        <f t="shared" si="17"/>
        <v>24</v>
      </c>
      <c r="V137" s="7">
        <v>1998</v>
      </c>
      <c r="W137" t="s">
        <v>8617</v>
      </c>
      <c r="X137" s="2" t="s">
        <v>0</v>
      </c>
      <c r="Y137" s="6" t="e">
        <f t="shared" si="18"/>
        <v>#VALUE!</v>
      </c>
      <c r="AA137" t="s">
        <v>8616</v>
      </c>
      <c r="AB137">
        <v>14449</v>
      </c>
      <c r="AD137" t="s">
        <v>2</v>
      </c>
      <c r="AF137">
        <v>60</v>
      </c>
      <c r="AH137" s="10">
        <v>43647</v>
      </c>
      <c r="AI137" t="s">
        <v>8615</v>
      </c>
      <c r="AK137" t="s">
        <v>8614</v>
      </c>
      <c r="AL137">
        <v>0</v>
      </c>
      <c r="AM137" s="5">
        <f t="shared" si="19"/>
        <v>0</v>
      </c>
      <c r="AN137" s="4">
        <f t="shared" si="20"/>
        <v>0</v>
      </c>
      <c r="AO137" s="3"/>
      <c r="AP137">
        <v>0</v>
      </c>
      <c r="AR137" t="s">
        <v>1</v>
      </c>
      <c r="AT137" s="2" t="s">
        <v>0</v>
      </c>
      <c r="AU137" s="1" t="e">
        <f t="shared" si="21"/>
        <v>#VALUE!</v>
      </c>
      <c r="AV137" s="1" t="e">
        <f t="shared" si="22"/>
        <v>#VALUE!</v>
      </c>
      <c r="AW137" s="1" t="e">
        <f t="shared" si="23"/>
        <v>#VALUE!</v>
      </c>
    </row>
    <row r="138" spans="1:49" x14ac:dyDescent="0.2">
      <c r="A138">
        <v>136</v>
      </c>
      <c r="B138" t="s">
        <v>8613</v>
      </c>
      <c r="F138" t="s">
        <v>8612</v>
      </c>
      <c r="G138" t="s">
        <v>5</v>
      </c>
      <c r="H138" t="s">
        <v>4</v>
      </c>
      <c r="I138" t="s">
        <v>142</v>
      </c>
      <c r="N138">
        <v>2</v>
      </c>
      <c r="O138" t="s">
        <v>8611</v>
      </c>
      <c r="P138" t="s">
        <v>8610</v>
      </c>
      <c r="Q138" t="s">
        <v>207</v>
      </c>
      <c r="R138" s="7">
        <v>36130</v>
      </c>
      <c r="S138" s="8">
        <f t="shared" si="16"/>
        <v>1998</v>
      </c>
      <c r="T138" s="8">
        <v>1998</v>
      </c>
      <c r="U138" s="8">
        <f t="shared" si="17"/>
        <v>24</v>
      </c>
      <c r="V138" s="7">
        <v>1998</v>
      </c>
      <c r="W138" t="s">
        <v>8557</v>
      </c>
      <c r="X138" s="2">
        <v>0.17199999999999999</v>
      </c>
      <c r="Y138" s="6">
        <f t="shared" si="18"/>
        <v>4.5914417661034141E-3</v>
      </c>
      <c r="AA138">
        <v>13301365</v>
      </c>
      <c r="AB138">
        <v>26693</v>
      </c>
      <c r="AD138" t="s">
        <v>2</v>
      </c>
      <c r="AE138">
        <v>11</v>
      </c>
      <c r="AF138" s="9">
        <v>44228</v>
      </c>
      <c r="AH138" t="s">
        <v>87</v>
      </c>
      <c r="AI138" t="s">
        <v>8609</v>
      </c>
      <c r="AJ138" t="s">
        <v>8555</v>
      </c>
      <c r="AK138" t="s">
        <v>8608</v>
      </c>
      <c r="AL138">
        <v>0</v>
      </c>
      <c r="AM138" s="5">
        <f t="shared" si="19"/>
        <v>0</v>
      </c>
      <c r="AN138" s="4">
        <f t="shared" si="20"/>
        <v>0</v>
      </c>
      <c r="AO138" s="3"/>
      <c r="AP138">
        <v>0</v>
      </c>
      <c r="AR138" t="s">
        <v>1</v>
      </c>
      <c r="AT138" s="2" t="s">
        <v>0</v>
      </c>
      <c r="AU138" s="1">
        <f t="shared" si="21"/>
        <v>0.32140092362723893</v>
      </c>
      <c r="AV138" s="1">
        <f t="shared" si="22"/>
        <v>0.2295720883051707</v>
      </c>
      <c r="AW138" s="1">
        <f t="shared" si="23"/>
        <v>0.13774325298310242</v>
      </c>
    </row>
    <row r="139" spans="1:49" x14ac:dyDescent="0.2">
      <c r="A139">
        <v>137</v>
      </c>
      <c r="B139" t="s">
        <v>8607</v>
      </c>
      <c r="C139" t="s">
        <v>8606</v>
      </c>
      <c r="E139">
        <v>10211706</v>
      </c>
      <c r="F139" t="s">
        <v>8605</v>
      </c>
      <c r="G139" t="s">
        <v>5</v>
      </c>
      <c r="H139" t="s">
        <v>4</v>
      </c>
      <c r="I139" t="s">
        <v>8604</v>
      </c>
      <c r="J139" t="s">
        <v>8603</v>
      </c>
      <c r="K139" t="s">
        <v>8602</v>
      </c>
      <c r="L139" t="s">
        <v>8601</v>
      </c>
      <c r="M139" t="s">
        <v>8600</v>
      </c>
      <c r="N139">
        <v>5</v>
      </c>
      <c r="O139" t="s">
        <v>8599</v>
      </c>
      <c r="P139" t="s">
        <v>8598</v>
      </c>
      <c r="Q139" t="s">
        <v>8597</v>
      </c>
      <c r="R139" s="7">
        <v>36130</v>
      </c>
      <c r="S139" s="8">
        <f t="shared" si="16"/>
        <v>1998</v>
      </c>
      <c r="T139" s="8">
        <v>1998</v>
      </c>
      <c r="U139" s="8">
        <f t="shared" si="17"/>
        <v>24</v>
      </c>
      <c r="V139" s="7">
        <v>1998</v>
      </c>
      <c r="W139" t="s">
        <v>8596</v>
      </c>
      <c r="X139" s="2">
        <v>0.73699999999999999</v>
      </c>
      <c r="Y139" s="6">
        <f t="shared" si="18"/>
        <v>1.9673794079175678E-2</v>
      </c>
      <c r="AA139">
        <v>2820080</v>
      </c>
      <c r="AB139">
        <v>17513</v>
      </c>
      <c r="AD139" t="s">
        <v>2</v>
      </c>
      <c r="AE139">
        <v>15</v>
      </c>
      <c r="AF139">
        <v>10</v>
      </c>
      <c r="AH139" t="s">
        <v>8595</v>
      </c>
      <c r="AI139" t="s">
        <v>8594</v>
      </c>
      <c r="AJ139" t="s">
        <v>8593</v>
      </c>
      <c r="AK139" t="s">
        <v>8592</v>
      </c>
      <c r="AL139">
        <v>16</v>
      </c>
      <c r="AM139" s="5">
        <f t="shared" si="19"/>
        <v>0.66666666666666663</v>
      </c>
      <c r="AN139" s="4">
        <f t="shared" si="20"/>
        <v>1.0097185409567082E-3</v>
      </c>
      <c r="AO139" s="3"/>
      <c r="AP139">
        <v>0</v>
      </c>
      <c r="AQ139" t="s">
        <v>8591</v>
      </c>
      <c r="AR139" t="s">
        <v>1</v>
      </c>
      <c r="AS139" t="s">
        <v>8590</v>
      </c>
      <c r="AT139" s="2">
        <v>2.9159999999999999</v>
      </c>
      <c r="AU139" s="1">
        <f t="shared" si="21"/>
        <v>1.4074571417709985</v>
      </c>
      <c r="AV139" s="1">
        <f t="shared" si="22"/>
        <v>1.0341756310066195</v>
      </c>
      <c r="AW139" s="1">
        <f t="shared" si="23"/>
        <v>0.66089412024223992</v>
      </c>
    </row>
    <row r="140" spans="1:49" x14ac:dyDescent="0.2">
      <c r="A140">
        <v>138</v>
      </c>
      <c r="B140" t="s">
        <v>8589</v>
      </c>
      <c r="C140" t="s">
        <v>8588</v>
      </c>
      <c r="D140" t="s">
        <v>8587</v>
      </c>
      <c r="F140" t="s">
        <v>8586</v>
      </c>
      <c r="G140" t="s">
        <v>5</v>
      </c>
      <c r="H140" t="s">
        <v>4</v>
      </c>
      <c r="I140" t="s">
        <v>8585</v>
      </c>
      <c r="J140">
        <v>60032307</v>
      </c>
      <c r="K140" t="s">
        <v>8584</v>
      </c>
      <c r="L140" t="s">
        <v>8583</v>
      </c>
      <c r="M140" t="s">
        <v>162</v>
      </c>
      <c r="N140">
        <v>2</v>
      </c>
      <c r="O140" t="s">
        <v>8582</v>
      </c>
      <c r="P140" t="s">
        <v>8581</v>
      </c>
      <c r="Q140" t="s">
        <v>8580</v>
      </c>
      <c r="R140" s="7">
        <v>36130</v>
      </c>
      <c r="S140" s="8">
        <f t="shared" si="16"/>
        <v>1998</v>
      </c>
      <c r="T140" s="8">
        <v>1998</v>
      </c>
      <c r="U140" s="8">
        <f t="shared" si="17"/>
        <v>24</v>
      </c>
      <c r="V140" s="7">
        <v>1998</v>
      </c>
      <c r="W140" t="s">
        <v>221</v>
      </c>
      <c r="X140" s="2">
        <v>0.72399999999999998</v>
      </c>
      <c r="Y140" s="6">
        <f t="shared" si="18"/>
        <v>1.932676650383065E-2</v>
      </c>
      <c r="AA140">
        <v>791946</v>
      </c>
      <c r="AB140">
        <v>101253</v>
      </c>
      <c r="AD140" t="s">
        <v>2</v>
      </c>
      <c r="AE140">
        <v>23</v>
      </c>
      <c r="AF140" s="9">
        <v>44478</v>
      </c>
      <c r="AH140" t="s">
        <v>8579</v>
      </c>
      <c r="AI140" t="s">
        <v>8578</v>
      </c>
      <c r="AK140" t="s">
        <v>8577</v>
      </c>
      <c r="AL140">
        <v>26</v>
      </c>
      <c r="AM140" s="5">
        <f t="shared" si="19"/>
        <v>1.0833333333333333</v>
      </c>
      <c r="AN140" s="4">
        <f t="shared" si="20"/>
        <v>1.6407926290546509E-3</v>
      </c>
      <c r="AO140" s="3"/>
      <c r="AP140">
        <v>0</v>
      </c>
      <c r="AR140" t="s">
        <v>1</v>
      </c>
      <c r="AT140" s="2">
        <v>2.7120000000000002</v>
      </c>
      <c r="AU140" s="1">
        <f t="shared" si="21"/>
        <v>1.4020974341397849</v>
      </c>
      <c r="AV140" s="1">
        <f t="shared" si="22"/>
        <v>1.048377956644265</v>
      </c>
      <c r="AW140" s="1">
        <f t="shared" si="23"/>
        <v>0.69465847914874512</v>
      </c>
    </row>
    <row r="141" spans="1:49" x14ac:dyDescent="0.2">
      <c r="A141">
        <v>139</v>
      </c>
      <c r="B141" t="s">
        <v>8576</v>
      </c>
      <c r="C141" t="s">
        <v>8575</v>
      </c>
      <c r="D141" t="s">
        <v>8574</v>
      </c>
      <c r="E141">
        <v>10209863</v>
      </c>
      <c r="F141" t="s">
        <v>8573</v>
      </c>
      <c r="G141" t="s">
        <v>5</v>
      </c>
      <c r="H141" t="s">
        <v>4</v>
      </c>
      <c r="I141" t="s">
        <v>8572</v>
      </c>
      <c r="J141">
        <v>60021121</v>
      </c>
      <c r="K141" t="s">
        <v>234</v>
      </c>
      <c r="L141" t="s">
        <v>233</v>
      </c>
      <c r="M141" t="s">
        <v>9</v>
      </c>
      <c r="N141">
        <v>3</v>
      </c>
      <c r="O141" t="s">
        <v>8571</v>
      </c>
      <c r="P141" t="s">
        <v>8570</v>
      </c>
      <c r="Q141" t="s">
        <v>8569</v>
      </c>
      <c r="R141" s="7">
        <v>36130</v>
      </c>
      <c r="S141" s="8">
        <f t="shared" si="16"/>
        <v>1998</v>
      </c>
      <c r="T141" s="8">
        <v>1998</v>
      </c>
      <c r="U141" s="8">
        <f t="shared" si="17"/>
        <v>24</v>
      </c>
      <c r="V141" s="7">
        <v>1998</v>
      </c>
      <c r="W141" t="s">
        <v>8568</v>
      </c>
      <c r="X141" s="2">
        <v>0.46500000000000002</v>
      </c>
      <c r="Y141" s="6">
        <f t="shared" si="18"/>
        <v>1.2412909425802835E-2</v>
      </c>
      <c r="AA141">
        <v>86215</v>
      </c>
      <c r="AB141">
        <v>25803</v>
      </c>
      <c r="AD141" t="s">
        <v>2</v>
      </c>
      <c r="AE141">
        <v>313</v>
      </c>
      <c r="AF141" s="9">
        <v>44289</v>
      </c>
      <c r="AH141" t="s">
        <v>8567</v>
      </c>
      <c r="AI141" t="s">
        <v>8566</v>
      </c>
      <c r="AJ141" t="s">
        <v>8565</v>
      </c>
      <c r="AK141" t="s">
        <v>8564</v>
      </c>
      <c r="AL141">
        <v>34</v>
      </c>
      <c r="AM141" s="5">
        <f t="shared" si="19"/>
        <v>1.4166666666666667</v>
      </c>
      <c r="AN141" s="4">
        <f t="shared" si="20"/>
        <v>2.1456518995330051E-3</v>
      </c>
      <c r="AO141" s="3"/>
      <c r="AP141">
        <v>0</v>
      </c>
      <c r="AQ141" t="s">
        <v>232</v>
      </c>
      <c r="AR141" t="s">
        <v>8563</v>
      </c>
      <c r="AS141" t="s">
        <v>231</v>
      </c>
      <c r="AT141" s="2">
        <v>2.1040000000000001</v>
      </c>
      <c r="AU141" s="1">
        <f t="shared" si="21"/>
        <v>0.93327321679218866</v>
      </c>
      <c r="AV141" s="1">
        <f t="shared" si="22"/>
        <v>0.72792806626679207</v>
      </c>
      <c r="AW141" s="1">
        <f t="shared" si="23"/>
        <v>0.52258291574139537</v>
      </c>
    </row>
    <row r="142" spans="1:49" x14ac:dyDescent="0.2">
      <c r="A142">
        <v>140</v>
      </c>
      <c r="B142" t="s">
        <v>8562</v>
      </c>
      <c r="F142" t="s">
        <v>8561</v>
      </c>
      <c r="G142" t="s">
        <v>5</v>
      </c>
      <c r="H142" t="s">
        <v>4</v>
      </c>
      <c r="I142" t="s">
        <v>8560</v>
      </c>
      <c r="N142">
        <v>2</v>
      </c>
      <c r="O142" t="s">
        <v>8559</v>
      </c>
      <c r="P142" t="s">
        <v>8558</v>
      </c>
      <c r="Q142" t="s">
        <v>207</v>
      </c>
      <c r="R142" s="7">
        <v>36130</v>
      </c>
      <c r="S142" s="8">
        <f t="shared" si="16"/>
        <v>1998</v>
      </c>
      <c r="T142" s="8">
        <v>1998</v>
      </c>
      <c r="U142" s="8">
        <f t="shared" si="17"/>
        <v>24</v>
      </c>
      <c r="V142" s="7">
        <v>1998</v>
      </c>
      <c r="W142" t="s">
        <v>8557</v>
      </c>
      <c r="X142" s="2">
        <v>0.17199999999999999</v>
      </c>
      <c r="Y142" s="6">
        <f t="shared" si="18"/>
        <v>4.5914417661034141E-3</v>
      </c>
      <c r="AA142">
        <v>13301365</v>
      </c>
      <c r="AB142">
        <v>26693</v>
      </c>
      <c r="AD142" t="s">
        <v>2</v>
      </c>
      <c r="AE142">
        <v>11</v>
      </c>
      <c r="AF142" s="9">
        <v>44228</v>
      </c>
      <c r="AH142" s="10">
        <v>41821</v>
      </c>
      <c r="AI142" t="s">
        <v>8556</v>
      </c>
      <c r="AJ142" t="s">
        <v>8555</v>
      </c>
      <c r="AK142" t="s">
        <v>8554</v>
      </c>
      <c r="AL142">
        <v>0</v>
      </c>
      <c r="AM142" s="5">
        <f t="shared" si="19"/>
        <v>0</v>
      </c>
      <c r="AN142" s="4">
        <f t="shared" si="20"/>
        <v>0</v>
      </c>
      <c r="AO142" s="3"/>
      <c r="AP142">
        <v>0</v>
      </c>
      <c r="AR142" t="s">
        <v>1</v>
      </c>
      <c r="AT142" s="2" t="s">
        <v>0</v>
      </c>
      <c r="AU142" s="1">
        <f t="shared" si="21"/>
        <v>0.32140092362723893</v>
      </c>
      <c r="AV142" s="1">
        <f t="shared" si="22"/>
        <v>0.2295720883051707</v>
      </c>
      <c r="AW142" s="1">
        <f t="shared" si="23"/>
        <v>0.13774325298310242</v>
      </c>
    </row>
    <row r="143" spans="1:49" x14ac:dyDescent="0.2">
      <c r="A143">
        <v>141</v>
      </c>
      <c r="B143" t="s">
        <v>8553</v>
      </c>
      <c r="E143">
        <v>10454378</v>
      </c>
      <c r="F143" t="s">
        <v>8552</v>
      </c>
      <c r="G143" t="s">
        <v>5</v>
      </c>
      <c r="H143" t="s">
        <v>4</v>
      </c>
      <c r="I143" t="s">
        <v>8551</v>
      </c>
      <c r="J143" t="s">
        <v>8550</v>
      </c>
      <c r="K143" t="s">
        <v>8549</v>
      </c>
      <c r="L143" t="s">
        <v>8548</v>
      </c>
      <c r="M143" t="s">
        <v>8547</v>
      </c>
      <c r="N143">
        <v>2</v>
      </c>
      <c r="O143" t="s">
        <v>8546</v>
      </c>
      <c r="P143" t="s">
        <v>8545</v>
      </c>
      <c r="Q143" t="s">
        <v>8544</v>
      </c>
      <c r="R143" s="7">
        <v>36130</v>
      </c>
      <c r="S143" s="8">
        <f t="shared" si="16"/>
        <v>1998</v>
      </c>
      <c r="T143" s="8">
        <v>1998</v>
      </c>
      <c r="U143" s="8">
        <f t="shared" si="17"/>
        <v>24</v>
      </c>
      <c r="V143" s="7">
        <v>1998</v>
      </c>
      <c r="W143" t="s">
        <v>517</v>
      </c>
      <c r="X143" s="2">
        <v>1.228</v>
      </c>
      <c r="Y143" s="6">
        <f t="shared" si="18"/>
        <v>3.2780758655668561E-2</v>
      </c>
      <c r="AA143">
        <v>10720502</v>
      </c>
      <c r="AB143">
        <v>17282</v>
      </c>
      <c r="AD143" t="s">
        <v>2</v>
      </c>
      <c r="AE143">
        <v>5</v>
      </c>
      <c r="AF143" s="9">
        <v>44228</v>
      </c>
      <c r="AH143" t="s">
        <v>540</v>
      </c>
      <c r="AI143" t="s">
        <v>8543</v>
      </c>
      <c r="AK143" t="s">
        <v>8542</v>
      </c>
      <c r="AL143">
        <v>86</v>
      </c>
      <c r="AM143" s="5">
        <f t="shared" si="19"/>
        <v>3.5833333333333335</v>
      </c>
      <c r="AN143" s="4">
        <f t="shared" si="20"/>
        <v>5.4272371576423077E-3</v>
      </c>
      <c r="AO143" s="3"/>
      <c r="AP143">
        <v>0</v>
      </c>
      <c r="AR143" t="s">
        <v>1</v>
      </c>
      <c r="AT143" s="2" t="s">
        <v>0</v>
      </c>
      <c r="AU143" s="1">
        <f t="shared" si="21"/>
        <v>2.4574702206260688</v>
      </c>
      <c r="AV143" s="1">
        <f t="shared" si="22"/>
        <v>1.9103997906655437</v>
      </c>
      <c r="AW143" s="1">
        <f t="shared" si="23"/>
        <v>1.3633293607050183</v>
      </c>
    </row>
    <row r="144" spans="1:49" x14ac:dyDescent="0.2">
      <c r="A144">
        <v>142</v>
      </c>
      <c r="B144" t="s">
        <v>8541</v>
      </c>
      <c r="C144" t="s">
        <v>8540</v>
      </c>
      <c r="F144" t="s">
        <v>8539</v>
      </c>
      <c r="G144" t="s">
        <v>5</v>
      </c>
      <c r="H144" t="s">
        <v>4</v>
      </c>
      <c r="I144" t="s">
        <v>8538</v>
      </c>
      <c r="J144">
        <v>60011604</v>
      </c>
      <c r="K144" t="s">
        <v>3639</v>
      </c>
      <c r="L144" t="s">
        <v>480</v>
      </c>
      <c r="M144" t="s">
        <v>37</v>
      </c>
      <c r="N144">
        <v>4</v>
      </c>
      <c r="O144" t="s">
        <v>8537</v>
      </c>
      <c r="P144" t="s">
        <v>8536</v>
      </c>
      <c r="Q144" t="s">
        <v>8535</v>
      </c>
      <c r="R144" s="7">
        <v>36130</v>
      </c>
      <c r="S144" s="8">
        <f t="shared" si="16"/>
        <v>1998</v>
      </c>
      <c r="T144" s="8">
        <v>1998</v>
      </c>
      <c r="U144" s="8">
        <f t="shared" si="17"/>
        <v>24</v>
      </c>
      <c r="V144" s="7">
        <v>36130</v>
      </c>
      <c r="W144" t="s">
        <v>629</v>
      </c>
      <c r="X144" s="2">
        <v>0.8</v>
      </c>
      <c r="Y144" s="6">
        <f t="shared" si="18"/>
        <v>2.1355543098155415E-2</v>
      </c>
      <c r="AA144">
        <v>3407594</v>
      </c>
      <c r="AB144">
        <v>23456</v>
      </c>
      <c r="AD144" t="s">
        <v>2</v>
      </c>
      <c r="AE144">
        <v>183</v>
      </c>
      <c r="AF144">
        <v>6</v>
      </c>
      <c r="AH144" t="s">
        <v>8534</v>
      </c>
      <c r="AI144" t="s">
        <v>8533</v>
      </c>
      <c r="AJ144" t="s">
        <v>8532</v>
      </c>
      <c r="AK144" t="s">
        <v>8531</v>
      </c>
      <c r="AL144">
        <v>67</v>
      </c>
      <c r="AM144" s="5">
        <f t="shared" si="19"/>
        <v>2.7916666666666665</v>
      </c>
      <c r="AN144" s="4">
        <f t="shared" si="20"/>
        <v>4.2281963902562163E-3</v>
      </c>
      <c r="AO144" s="3"/>
      <c r="AP144">
        <v>0</v>
      </c>
      <c r="AQ144" t="s">
        <v>180</v>
      </c>
      <c r="AR144" t="s">
        <v>8530</v>
      </c>
      <c r="AS144" t="s">
        <v>179</v>
      </c>
      <c r="AT144" s="2" t="s">
        <v>0</v>
      </c>
      <c r="AU144" s="1">
        <f t="shared" si="21"/>
        <v>1.6217339085785654</v>
      </c>
      <c r="AV144" s="1">
        <f t="shared" si="22"/>
        <v>1.2791869744205815</v>
      </c>
      <c r="AW144" s="1">
        <f t="shared" si="23"/>
        <v>0.93664004026259751</v>
      </c>
    </row>
    <row r="145" spans="1:49" x14ac:dyDescent="0.2">
      <c r="A145">
        <v>143</v>
      </c>
      <c r="B145" t="s">
        <v>8529</v>
      </c>
      <c r="C145" t="s">
        <v>8528</v>
      </c>
      <c r="F145" t="s">
        <v>8527</v>
      </c>
      <c r="G145" t="s">
        <v>5</v>
      </c>
      <c r="H145" t="s">
        <v>4</v>
      </c>
      <c r="I145" t="s">
        <v>8430</v>
      </c>
      <c r="J145" t="s">
        <v>8429</v>
      </c>
      <c r="K145" t="s">
        <v>8428</v>
      </c>
      <c r="L145" t="s">
        <v>8427</v>
      </c>
      <c r="M145" t="s">
        <v>103</v>
      </c>
      <c r="N145">
        <v>2</v>
      </c>
      <c r="O145" t="s">
        <v>8426</v>
      </c>
      <c r="P145" t="s">
        <v>8425</v>
      </c>
      <c r="Q145" t="s">
        <v>8424</v>
      </c>
      <c r="R145" s="7">
        <v>36130</v>
      </c>
      <c r="S145" s="8">
        <f t="shared" si="16"/>
        <v>1998</v>
      </c>
      <c r="T145" s="8">
        <v>1998</v>
      </c>
      <c r="U145" s="8">
        <f t="shared" si="17"/>
        <v>24</v>
      </c>
      <c r="V145" s="7">
        <v>1998</v>
      </c>
      <c r="W145" t="s">
        <v>151</v>
      </c>
      <c r="X145" s="2">
        <v>1.1579999999999999</v>
      </c>
      <c r="Y145" s="6">
        <f t="shared" si="18"/>
        <v>3.0912148634579962E-2</v>
      </c>
      <c r="AA145">
        <v>1668595</v>
      </c>
      <c r="AB145">
        <v>14223</v>
      </c>
      <c r="AD145" t="s">
        <v>2</v>
      </c>
      <c r="AE145">
        <v>58</v>
      </c>
      <c r="AF145">
        <v>1</v>
      </c>
      <c r="AH145" t="s">
        <v>8526</v>
      </c>
      <c r="AI145" t="s">
        <v>8525</v>
      </c>
      <c r="AK145" t="s">
        <v>8524</v>
      </c>
      <c r="AL145">
        <v>10</v>
      </c>
      <c r="AM145" s="5">
        <f t="shared" si="19"/>
        <v>0.41666666666666669</v>
      </c>
      <c r="AN145" s="4">
        <f t="shared" si="20"/>
        <v>6.310740880979427E-4</v>
      </c>
      <c r="AO145" s="3"/>
      <c r="AP145">
        <v>0</v>
      </c>
      <c r="AQ145" t="s">
        <v>180</v>
      </c>
      <c r="AR145" t="s">
        <v>8419</v>
      </c>
      <c r="AS145" t="s">
        <v>179</v>
      </c>
      <c r="AT145" s="2">
        <v>3.573</v>
      </c>
      <c r="AU145" s="1">
        <f t="shared" si="21"/>
        <v>2.1827826270635358</v>
      </c>
      <c r="AV145" s="1">
        <f t="shared" si="22"/>
        <v>1.5771611361338953</v>
      </c>
      <c r="AW145" s="1">
        <f t="shared" si="23"/>
        <v>0.97153964520425484</v>
      </c>
    </row>
    <row r="146" spans="1:49" x14ac:dyDescent="0.2">
      <c r="A146">
        <v>144</v>
      </c>
      <c r="B146" t="s">
        <v>8523</v>
      </c>
      <c r="C146" t="s">
        <v>8522</v>
      </c>
      <c r="F146" t="s">
        <v>8521</v>
      </c>
      <c r="G146" t="s">
        <v>5</v>
      </c>
      <c r="H146" t="s">
        <v>4</v>
      </c>
      <c r="I146" t="s">
        <v>8520</v>
      </c>
      <c r="J146" t="s">
        <v>8519</v>
      </c>
      <c r="K146" t="s">
        <v>8518</v>
      </c>
      <c r="L146" t="s">
        <v>8517</v>
      </c>
      <c r="M146" t="s">
        <v>8516</v>
      </c>
      <c r="N146">
        <v>5</v>
      </c>
      <c r="O146" t="s">
        <v>8515</v>
      </c>
      <c r="P146" t="s">
        <v>8514</v>
      </c>
      <c r="Q146" t="s">
        <v>8513</v>
      </c>
      <c r="R146" s="7">
        <v>36130</v>
      </c>
      <c r="S146" s="8">
        <f t="shared" si="16"/>
        <v>1998</v>
      </c>
      <c r="T146" s="8">
        <v>1998</v>
      </c>
      <c r="U146" s="8">
        <f t="shared" si="17"/>
        <v>24</v>
      </c>
      <c r="V146" s="7">
        <v>1998</v>
      </c>
      <c r="W146" t="s">
        <v>151</v>
      </c>
      <c r="X146" s="2">
        <v>1.1579999999999999</v>
      </c>
      <c r="Y146" s="6">
        <f t="shared" si="18"/>
        <v>3.0912148634579962E-2</v>
      </c>
      <c r="AA146">
        <v>1668595</v>
      </c>
      <c r="AB146">
        <v>14223</v>
      </c>
      <c r="AD146" t="s">
        <v>2</v>
      </c>
      <c r="AE146">
        <v>58</v>
      </c>
      <c r="AF146">
        <v>1</v>
      </c>
      <c r="AH146" t="s">
        <v>8512</v>
      </c>
      <c r="AI146" t="s">
        <v>8511</v>
      </c>
      <c r="AJ146" t="s">
        <v>8510</v>
      </c>
      <c r="AK146" t="s">
        <v>8509</v>
      </c>
      <c r="AL146">
        <v>39</v>
      </c>
      <c r="AM146" s="5">
        <f t="shared" si="19"/>
        <v>1.625</v>
      </c>
      <c r="AN146" s="4">
        <f t="shared" si="20"/>
        <v>2.4611889435819764E-3</v>
      </c>
      <c r="AO146" s="3"/>
      <c r="AP146">
        <v>0</v>
      </c>
      <c r="AQ146" t="s">
        <v>8508</v>
      </c>
      <c r="AR146" t="s">
        <v>1</v>
      </c>
      <c r="AS146" t="s">
        <v>8507</v>
      </c>
      <c r="AT146" s="2">
        <v>3.573</v>
      </c>
      <c r="AU146" s="1">
        <f t="shared" si="21"/>
        <v>2.2376860727280565</v>
      </c>
      <c r="AV146" s="1">
        <f t="shared" si="22"/>
        <v>1.668666878908097</v>
      </c>
      <c r="AW146" s="1">
        <f t="shared" si="23"/>
        <v>1.0996476850881372</v>
      </c>
    </row>
    <row r="147" spans="1:49" x14ac:dyDescent="0.2">
      <c r="A147">
        <v>145</v>
      </c>
      <c r="B147" t="s">
        <v>8506</v>
      </c>
      <c r="E147">
        <v>9949554</v>
      </c>
      <c r="F147" t="s">
        <v>8505</v>
      </c>
      <c r="G147" t="s">
        <v>5</v>
      </c>
      <c r="H147" t="s">
        <v>4</v>
      </c>
      <c r="I147" t="s">
        <v>8504</v>
      </c>
      <c r="J147">
        <v>60012954</v>
      </c>
      <c r="K147" t="s">
        <v>157</v>
      </c>
      <c r="L147" t="s">
        <v>156</v>
      </c>
      <c r="M147" t="s">
        <v>155</v>
      </c>
      <c r="N147">
        <v>2</v>
      </c>
      <c r="O147" t="s">
        <v>8503</v>
      </c>
      <c r="P147" t="s">
        <v>8502</v>
      </c>
      <c r="Q147" t="s">
        <v>8501</v>
      </c>
      <c r="R147" s="7">
        <v>36130</v>
      </c>
      <c r="S147" s="8">
        <f t="shared" si="16"/>
        <v>1998</v>
      </c>
      <c r="T147" s="8">
        <v>1998</v>
      </c>
      <c r="U147" s="8">
        <f t="shared" si="17"/>
        <v>24</v>
      </c>
      <c r="V147" s="7">
        <v>1998</v>
      </c>
      <c r="W147" t="s">
        <v>8500</v>
      </c>
      <c r="X147" s="2">
        <v>0.54200000000000004</v>
      </c>
      <c r="Y147" s="6">
        <f t="shared" si="18"/>
        <v>1.4468380449000295E-2</v>
      </c>
      <c r="AA147">
        <v>651400</v>
      </c>
      <c r="AB147">
        <v>17540</v>
      </c>
      <c r="AD147" t="s">
        <v>2</v>
      </c>
      <c r="AE147">
        <v>58</v>
      </c>
      <c r="AF147">
        <v>4</v>
      </c>
      <c r="AH147" t="s">
        <v>8499</v>
      </c>
      <c r="AI147" t="s">
        <v>8498</v>
      </c>
      <c r="AJ147" t="s">
        <v>8497</v>
      </c>
      <c r="AK147" t="s">
        <v>8496</v>
      </c>
      <c r="AL147">
        <v>1</v>
      </c>
      <c r="AM147" s="5">
        <f t="shared" si="19"/>
        <v>4.1666666666666664E-2</v>
      </c>
      <c r="AN147" s="4">
        <f t="shared" si="20"/>
        <v>6.3107408809794262E-5</v>
      </c>
      <c r="AO147" s="3"/>
      <c r="AP147">
        <v>0</v>
      </c>
      <c r="AR147" t="s">
        <v>1</v>
      </c>
      <c r="AT147" s="2">
        <v>1.579</v>
      </c>
      <c r="AU147" s="1">
        <f t="shared" si="21"/>
        <v>1.0146798536943142</v>
      </c>
      <c r="AV147" s="1">
        <f t="shared" si="22"/>
        <v>0.72657439289050452</v>
      </c>
      <c r="AW147" s="1">
        <f t="shared" si="23"/>
        <v>0.43846893208669441</v>
      </c>
    </row>
    <row r="148" spans="1:49" x14ac:dyDescent="0.2">
      <c r="A148">
        <v>146</v>
      </c>
      <c r="B148" t="s">
        <v>8495</v>
      </c>
      <c r="C148" t="s">
        <v>8494</v>
      </c>
      <c r="F148" t="s">
        <v>8493</v>
      </c>
      <c r="G148" t="s">
        <v>5</v>
      </c>
      <c r="H148" t="s">
        <v>4</v>
      </c>
      <c r="I148" t="s">
        <v>8492</v>
      </c>
      <c r="J148">
        <v>60008435</v>
      </c>
      <c r="K148" t="s">
        <v>1549</v>
      </c>
      <c r="L148" t="s">
        <v>1548</v>
      </c>
      <c r="M148" t="s">
        <v>12</v>
      </c>
      <c r="N148">
        <v>8</v>
      </c>
      <c r="O148" t="s">
        <v>8491</v>
      </c>
      <c r="P148" t="s">
        <v>8490</v>
      </c>
      <c r="Q148" t="s">
        <v>8489</v>
      </c>
      <c r="R148" s="7">
        <v>36130</v>
      </c>
      <c r="S148" s="8">
        <f t="shared" si="16"/>
        <v>1998</v>
      </c>
      <c r="T148" s="8">
        <v>1998</v>
      </c>
      <c r="U148" s="8">
        <f t="shared" si="17"/>
        <v>24</v>
      </c>
      <c r="V148" s="7">
        <v>1998</v>
      </c>
      <c r="W148" t="s">
        <v>151</v>
      </c>
      <c r="X148" s="2">
        <v>1.1579999999999999</v>
      </c>
      <c r="Y148" s="6">
        <f t="shared" si="18"/>
        <v>3.0912148634579962E-2</v>
      </c>
      <c r="AA148">
        <v>1668595</v>
      </c>
      <c r="AB148">
        <v>14223</v>
      </c>
      <c r="AD148" t="s">
        <v>2</v>
      </c>
      <c r="AE148">
        <v>58</v>
      </c>
      <c r="AF148">
        <v>2</v>
      </c>
      <c r="AH148" t="s">
        <v>8488</v>
      </c>
      <c r="AI148" t="s">
        <v>8487</v>
      </c>
      <c r="AJ148" t="s">
        <v>8486</v>
      </c>
      <c r="AK148" t="s">
        <v>8485</v>
      </c>
      <c r="AL148">
        <v>15</v>
      </c>
      <c r="AM148" s="5">
        <f t="shared" si="19"/>
        <v>0.625</v>
      </c>
      <c r="AN148" s="4">
        <f t="shared" si="20"/>
        <v>9.4661113214691405E-4</v>
      </c>
      <c r="AO148" s="3"/>
      <c r="AP148">
        <v>0</v>
      </c>
      <c r="AQ148" t="s">
        <v>609</v>
      </c>
      <c r="AR148" t="s">
        <v>1</v>
      </c>
      <c r="AS148" t="s">
        <v>608</v>
      </c>
      <c r="AT148" s="2">
        <v>3.573</v>
      </c>
      <c r="AU148" s="1">
        <f t="shared" si="21"/>
        <v>2.1922487383850044</v>
      </c>
      <c r="AV148" s="1">
        <f t="shared" si="22"/>
        <v>1.5929379883363439</v>
      </c>
      <c r="AW148" s="1">
        <f t="shared" si="23"/>
        <v>0.99362723828768285</v>
      </c>
    </row>
    <row r="149" spans="1:49" x14ac:dyDescent="0.2">
      <c r="A149">
        <v>147</v>
      </c>
      <c r="B149" t="s">
        <v>8484</v>
      </c>
      <c r="C149" t="s">
        <v>8483</v>
      </c>
      <c r="D149" t="s">
        <v>8482</v>
      </c>
      <c r="F149" t="s">
        <v>8481</v>
      </c>
      <c r="G149" t="s">
        <v>5</v>
      </c>
      <c r="H149" t="s">
        <v>4</v>
      </c>
      <c r="I149" t="s">
        <v>8480</v>
      </c>
      <c r="J149" t="s">
        <v>8479</v>
      </c>
      <c r="K149" t="s">
        <v>8478</v>
      </c>
      <c r="L149" t="s">
        <v>8477</v>
      </c>
      <c r="M149" t="s">
        <v>174</v>
      </c>
      <c r="N149">
        <v>2</v>
      </c>
      <c r="O149" t="s">
        <v>8476</v>
      </c>
      <c r="P149" t="s">
        <v>8475</v>
      </c>
      <c r="Q149" t="s">
        <v>8474</v>
      </c>
      <c r="R149" s="7">
        <v>36130</v>
      </c>
      <c r="S149" s="8">
        <f t="shared" si="16"/>
        <v>1998</v>
      </c>
      <c r="T149" s="8">
        <v>1998</v>
      </c>
      <c r="U149" s="8">
        <f t="shared" si="17"/>
        <v>24</v>
      </c>
      <c r="V149" s="7">
        <v>36130</v>
      </c>
      <c r="W149" t="s">
        <v>8473</v>
      </c>
      <c r="X149" s="2">
        <v>0.96499999999999997</v>
      </c>
      <c r="Y149" s="6">
        <f t="shared" si="18"/>
        <v>2.5760123862149969E-2</v>
      </c>
      <c r="AA149">
        <v>220981</v>
      </c>
      <c r="AB149">
        <v>29606</v>
      </c>
      <c r="AD149" t="s">
        <v>2</v>
      </c>
      <c r="AE149">
        <v>231</v>
      </c>
      <c r="AF149">
        <v>1</v>
      </c>
      <c r="AH149" t="s">
        <v>8472</v>
      </c>
      <c r="AI149" t="s">
        <v>8471</v>
      </c>
      <c r="AJ149" t="s">
        <v>8470</v>
      </c>
      <c r="AK149" t="s">
        <v>8469</v>
      </c>
      <c r="AL149">
        <v>5</v>
      </c>
      <c r="AM149" s="5">
        <f t="shared" si="19"/>
        <v>0.20833333333333334</v>
      </c>
      <c r="AN149" s="4">
        <f t="shared" si="20"/>
        <v>3.1553704404897135E-4</v>
      </c>
      <c r="AO149" s="3"/>
      <c r="AP149">
        <v>0</v>
      </c>
      <c r="AR149" t="s">
        <v>1</v>
      </c>
      <c r="AT149" s="2" t="s">
        <v>0</v>
      </c>
      <c r="AU149" s="1">
        <f t="shared" si="21"/>
        <v>1.8126747816719666</v>
      </c>
      <c r="AV149" s="1">
        <f t="shared" si="22"/>
        <v>1.303783045309947</v>
      </c>
      <c r="AW149" s="1">
        <f t="shared" si="23"/>
        <v>0.79489130894792692</v>
      </c>
    </row>
    <row r="150" spans="1:49" x14ac:dyDescent="0.2">
      <c r="A150">
        <v>148</v>
      </c>
      <c r="B150" t="s">
        <v>8468</v>
      </c>
      <c r="C150" t="s">
        <v>8467</v>
      </c>
      <c r="F150" t="s">
        <v>8466</v>
      </c>
      <c r="G150" t="s">
        <v>5</v>
      </c>
      <c r="H150" t="s">
        <v>4</v>
      </c>
      <c r="I150" t="s">
        <v>8465</v>
      </c>
      <c r="J150">
        <v>60011313</v>
      </c>
      <c r="K150" t="s">
        <v>3706</v>
      </c>
      <c r="L150" t="s">
        <v>692</v>
      </c>
      <c r="M150" t="s">
        <v>166</v>
      </c>
      <c r="N150">
        <v>1</v>
      </c>
      <c r="O150" t="s">
        <v>8464</v>
      </c>
      <c r="P150">
        <v>36923115200</v>
      </c>
      <c r="Q150">
        <v>60011313</v>
      </c>
      <c r="R150" s="7">
        <v>36130</v>
      </c>
      <c r="S150" s="8">
        <f t="shared" si="16"/>
        <v>1998</v>
      </c>
      <c r="T150" s="8">
        <v>1998</v>
      </c>
      <c r="U150" s="8">
        <f t="shared" si="17"/>
        <v>24</v>
      </c>
      <c r="V150" s="7">
        <v>1998</v>
      </c>
      <c r="W150" t="s">
        <v>91</v>
      </c>
      <c r="X150" s="2">
        <v>0.755</v>
      </c>
      <c r="Y150" s="6">
        <f t="shared" si="18"/>
        <v>2.0154293798884174E-2</v>
      </c>
      <c r="AA150">
        <v>3003604</v>
      </c>
      <c r="AB150">
        <v>16515</v>
      </c>
      <c r="AD150" t="s">
        <v>2</v>
      </c>
      <c r="AE150">
        <v>35</v>
      </c>
      <c r="AF150">
        <v>2</v>
      </c>
      <c r="AH150" t="s">
        <v>8463</v>
      </c>
      <c r="AI150" t="s">
        <v>8462</v>
      </c>
      <c r="AJ150" t="s">
        <v>8461</v>
      </c>
      <c r="AK150" t="s">
        <v>8460</v>
      </c>
      <c r="AL150">
        <v>2</v>
      </c>
      <c r="AM150" s="5">
        <f t="shared" si="19"/>
        <v>8.3333333333333329E-2</v>
      </c>
      <c r="AN150" s="4">
        <f t="shared" si="20"/>
        <v>1.2621481761958852E-4</v>
      </c>
      <c r="AO150" s="3"/>
      <c r="AP150">
        <v>0</v>
      </c>
      <c r="AR150" t="s">
        <v>1</v>
      </c>
      <c r="AT150" s="2">
        <v>3.1890000000000001</v>
      </c>
      <c r="AU150" s="1">
        <f t="shared" si="21"/>
        <v>1.4145870104504796</v>
      </c>
      <c r="AV150" s="1">
        <f t="shared" si="22"/>
        <v>1.0140254308251881</v>
      </c>
      <c r="AW150" s="1">
        <f t="shared" si="23"/>
        <v>0.61346385119989633</v>
      </c>
    </row>
    <row r="151" spans="1:49" x14ac:dyDescent="0.2">
      <c r="A151">
        <v>149</v>
      </c>
      <c r="B151" t="s">
        <v>8459</v>
      </c>
      <c r="C151" t="s">
        <v>8458</v>
      </c>
      <c r="F151" t="s">
        <v>8457</v>
      </c>
      <c r="G151" t="s">
        <v>5</v>
      </c>
      <c r="H151" t="s">
        <v>4</v>
      </c>
      <c r="I151" t="s">
        <v>8456</v>
      </c>
      <c r="J151">
        <v>60121355</v>
      </c>
      <c r="K151" t="s">
        <v>230</v>
      </c>
      <c r="L151" t="s">
        <v>229</v>
      </c>
      <c r="M151" t="s">
        <v>9</v>
      </c>
      <c r="N151">
        <v>3</v>
      </c>
      <c r="O151" t="s">
        <v>8455</v>
      </c>
      <c r="P151" t="s">
        <v>8454</v>
      </c>
      <c r="Q151" t="s">
        <v>8453</v>
      </c>
      <c r="R151" s="7">
        <v>36130</v>
      </c>
      <c r="S151" s="8">
        <f t="shared" si="16"/>
        <v>1998</v>
      </c>
      <c r="T151" s="8">
        <v>1998</v>
      </c>
      <c r="U151" s="8">
        <f t="shared" si="17"/>
        <v>24</v>
      </c>
      <c r="V151" s="7">
        <v>1998</v>
      </c>
      <c r="W151" t="s">
        <v>8452</v>
      </c>
      <c r="X151" s="2">
        <v>0.68100000000000005</v>
      </c>
      <c r="Y151" s="6">
        <f t="shared" si="18"/>
        <v>1.8178906062304798E-2</v>
      </c>
      <c r="AA151">
        <v>9218971</v>
      </c>
      <c r="AB151">
        <v>19184</v>
      </c>
      <c r="AD151" t="s">
        <v>2</v>
      </c>
      <c r="AE151">
        <v>10</v>
      </c>
      <c r="AF151">
        <v>6</v>
      </c>
      <c r="AH151" t="s">
        <v>8451</v>
      </c>
      <c r="AI151" t="s">
        <v>8450</v>
      </c>
      <c r="AJ151" t="s">
        <v>8449</v>
      </c>
      <c r="AK151" t="s">
        <v>8448</v>
      </c>
      <c r="AL151">
        <v>207</v>
      </c>
      <c r="AM151" s="5">
        <f t="shared" si="19"/>
        <v>8.625</v>
      </c>
      <c r="AN151" s="4">
        <f t="shared" si="20"/>
        <v>1.3063233623627414E-2</v>
      </c>
      <c r="AO151" s="3"/>
      <c r="AP151">
        <v>0</v>
      </c>
      <c r="AQ151" t="s">
        <v>178</v>
      </c>
      <c r="AR151" t="s">
        <v>8447</v>
      </c>
      <c r="AS151" t="s">
        <v>177</v>
      </c>
      <c r="AT151" s="2">
        <v>3.2149999999999999</v>
      </c>
      <c r="AU151" s="1">
        <f t="shared" si="21"/>
        <v>1.6644204330701584</v>
      </c>
      <c r="AV151" s="1">
        <f t="shared" si="22"/>
        <v>1.5621069842966107</v>
      </c>
      <c r="AW151" s="1">
        <f t="shared" si="23"/>
        <v>1.4597935355230629</v>
      </c>
    </row>
    <row r="152" spans="1:49" x14ac:dyDescent="0.2">
      <c r="A152">
        <v>150</v>
      </c>
      <c r="B152" t="s">
        <v>8446</v>
      </c>
      <c r="F152" t="s">
        <v>8445</v>
      </c>
      <c r="G152" t="s">
        <v>5</v>
      </c>
      <c r="H152" t="s">
        <v>4</v>
      </c>
      <c r="I152" t="s">
        <v>8444</v>
      </c>
      <c r="J152" t="s">
        <v>8443</v>
      </c>
      <c r="K152" t="s">
        <v>8442</v>
      </c>
      <c r="L152" t="s">
        <v>539</v>
      </c>
      <c r="M152" t="s">
        <v>235</v>
      </c>
      <c r="N152">
        <v>2</v>
      </c>
      <c r="O152" t="s">
        <v>8441</v>
      </c>
      <c r="P152" t="s">
        <v>8440</v>
      </c>
      <c r="Q152" t="s">
        <v>8439</v>
      </c>
      <c r="R152" s="7">
        <v>36130</v>
      </c>
      <c r="S152" s="8">
        <f t="shared" si="16"/>
        <v>1998</v>
      </c>
      <c r="T152" s="8">
        <v>1998</v>
      </c>
      <c r="U152" s="8">
        <f t="shared" si="17"/>
        <v>24</v>
      </c>
      <c r="V152" s="7">
        <v>1998</v>
      </c>
      <c r="W152" t="s">
        <v>8438</v>
      </c>
      <c r="X152" s="2" t="s">
        <v>0</v>
      </c>
      <c r="Y152" s="6" t="e">
        <f t="shared" si="18"/>
        <v>#VALUE!</v>
      </c>
      <c r="AA152">
        <v>3652556</v>
      </c>
      <c r="AB152">
        <v>110382</v>
      </c>
      <c r="AD152" t="s">
        <v>2</v>
      </c>
      <c r="AE152">
        <v>41</v>
      </c>
      <c r="AF152">
        <v>2</v>
      </c>
      <c r="AH152" t="s">
        <v>8437</v>
      </c>
      <c r="AI152" t="s">
        <v>8436</v>
      </c>
      <c r="AJ152" t="s">
        <v>8435</v>
      </c>
      <c r="AK152" t="s">
        <v>8434</v>
      </c>
      <c r="AL152">
        <v>3</v>
      </c>
      <c r="AM152" s="5">
        <f t="shared" si="19"/>
        <v>0.125</v>
      </c>
      <c r="AN152" s="4">
        <f t="shared" si="20"/>
        <v>1.893222264293828E-4</v>
      </c>
      <c r="AO152" s="3"/>
      <c r="AP152">
        <v>0</v>
      </c>
      <c r="AR152" t="s">
        <v>1</v>
      </c>
      <c r="AT152" s="2" t="s">
        <v>0</v>
      </c>
      <c r="AU152" s="1" t="e">
        <f t="shared" si="21"/>
        <v>#VALUE!</v>
      </c>
      <c r="AV152" s="1" t="e">
        <f t="shared" si="22"/>
        <v>#VALUE!</v>
      </c>
      <c r="AW152" s="1" t="e">
        <f t="shared" si="23"/>
        <v>#VALUE!</v>
      </c>
    </row>
    <row r="153" spans="1:49" x14ac:dyDescent="0.2">
      <c r="A153">
        <v>151</v>
      </c>
      <c r="B153" t="s">
        <v>8433</v>
      </c>
      <c r="C153" t="s">
        <v>8432</v>
      </c>
      <c r="F153" t="s">
        <v>8431</v>
      </c>
      <c r="G153" t="s">
        <v>5</v>
      </c>
      <c r="H153" t="s">
        <v>4</v>
      </c>
      <c r="I153" t="s">
        <v>8430</v>
      </c>
      <c r="J153" t="s">
        <v>8429</v>
      </c>
      <c r="K153" t="s">
        <v>8428</v>
      </c>
      <c r="L153" t="s">
        <v>8427</v>
      </c>
      <c r="M153" t="s">
        <v>103</v>
      </c>
      <c r="N153">
        <v>2</v>
      </c>
      <c r="O153" t="s">
        <v>8426</v>
      </c>
      <c r="P153" t="s">
        <v>8425</v>
      </c>
      <c r="Q153" t="s">
        <v>8424</v>
      </c>
      <c r="R153" s="7">
        <v>36130</v>
      </c>
      <c r="S153" s="8">
        <f t="shared" si="16"/>
        <v>1998</v>
      </c>
      <c r="T153" s="8">
        <v>1998</v>
      </c>
      <c r="U153" s="8">
        <f t="shared" si="17"/>
        <v>24</v>
      </c>
      <c r="V153" s="7">
        <v>1998</v>
      </c>
      <c r="W153" t="s">
        <v>151</v>
      </c>
      <c r="X153" s="2">
        <v>1.1579999999999999</v>
      </c>
      <c r="Y153" s="6">
        <f t="shared" si="18"/>
        <v>3.0912148634579962E-2</v>
      </c>
      <c r="AA153">
        <v>1668595</v>
      </c>
      <c r="AB153">
        <v>14223</v>
      </c>
      <c r="AD153" t="s">
        <v>2</v>
      </c>
      <c r="AE153">
        <v>58</v>
      </c>
      <c r="AF153">
        <v>1</v>
      </c>
      <c r="AH153" t="s">
        <v>8423</v>
      </c>
      <c r="AI153" t="s">
        <v>8422</v>
      </c>
      <c r="AJ153" t="s">
        <v>8421</v>
      </c>
      <c r="AK153" t="s">
        <v>8420</v>
      </c>
      <c r="AL153">
        <v>8</v>
      </c>
      <c r="AM153" s="5">
        <f t="shared" si="19"/>
        <v>0.33333333333333331</v>
      </c>
      <c r="AN153" s="4">
        <f t="shared" si="20"/>
        <v>5.048592704783541E-4</v>
      </c>
      <c r="AO153" s="3"/>
      <c r="AP153">
        <v>0</v>
      </c>
      <c r="AQ153" t="s">
        <v>180</v>
      </c>
      <c r="AR153" t="s">
        <v>8419</v>
      </c>
      <c r="AS153" t="s">
        <v>179</v>
      </c>
      <c r="AT153" s="2">
        <v>3.573</v>
      </c>
      <c r="AU153" s="1">
        <f t="shared" si="21"/>
        <v>2.1789961825349478</v>
      </c>
      <c r="AV153" s="1">
        <f t="shared" si="22"/>
        <v>1.5708503952529158</v>
      </c>
      <c r="AW153" s="1">
        <f t="shared" si="23"/>
        <v>0.96270460797088364</v>
      </c>
    </row>
    <row r="154" spans="1:49" x14ac:dyDescent="0.2">
      <c r="A154">
        <v>152</v>
      </c>
      <c r="B154" t="s">
        <v>8418</v>
      </c>
      <c r="C154" t="s">
        <v>8417</v>
      </c>
      <c r="F154" t="s">
        <v>8416</v>
      </c>
      <c r="G154" t="s">
        <v>5</v>
      </c>
      <c r="H154" t="s">
        <v>4</v>
      </c>
      <c r="I154" t="s">
        <v>8415</v>
      </c>
      <c r="J154" t="s">
        <v>8414</v>
      </c>
      <c r="K154" t="s">
        <v>8413</v>
      </c>
      <c r="L154" t="s">
        <v>8412</v>
      </c>
      <c r="M154" t="s">
        <v>8411</v>
      </c>
      <c r="N154">
        <v>3</v>
      </c>
      <c r="O154" t="s">
        <v>8410</v>
      </c>
      <c r="P154" t="s">
        <v>8409</v>
      </c>
      <c r="Q154" t="s">
        <v>8408</v>
      </c>
      <c r="R154" s="7">
        <v>36130</v>
      </c>
      <c r="S154" s="8">
        <f t="shared" si="16"/>
        <v>1998</v>
      </c>
      <c r="T154" s="8">
        <v>1998</v>
      </c>
      <c r="U154" s="8">
        <f t="shared" si="17"/>
        <v>24</v>
      </c>
      <c r="V154" s="7">
        <v>1998</v>
      </c>
      <c r="W154" t="s">
        <v>151</v>
      </c>
      <c r="X154" s="2">
        <v>1.1579999999999999</v>
      </c>
      <c r="Y154" s="6">
        <f t="shared" si="18"/>
        <v>3.0912148634579962E-2</v>
      </c>
      <c r="AA154">
        <v>1668595</v>
      </c>
      <c r="AB154">
        <v>14223</v>
      </c>
      <c r="AD154" t="s">
        <v>2</v>
      </c>
      <c r="AE154">
        <v>58</v>
      </c>
      <c r="AF154">
        <v>2</v>
      </c>
      <c r="AH154" t="s">
        <v>8407</v>
      </c>
      <c r="AI154" t="s">
        <v>8406</v>
      </c>
      <c r="AJ154" t="s">
        <v>8405</v>
      </c>
      <c r="AK154" t="s">
        <v>8404</v>
      </c>
      <c r="AL154">
        <v>254</v>
      </c>
      <c r="AM154" s="5">
        <f t="shared" si="19"/>
        <v>10.583333333333334</v>
      </c>
      <c r="AN154" s="4">
        <f t="shared" si="20"/>
        <v>1.6029281837687745E-2</v>
      </c>
      <c r="AO154" s="3"/>
      <c r="AP154">
        <v>0</v>
      </c>
      <c r="AR154" t="s">
        <v>1</v>
      </c>
      <c r="AT154" s="2">
        <v>3.573</v>
      </c>
      <c r="AU154" s="1">
        <f t="shared" si="21"/>
        <v>2.6447288595512295</v>
      </c>
      <c r="AV154" s="1">
        <f t="shared" si="22"/>
        <v>2.3470715236133852</v>
      </c>
      <c r="AW154" s="1">
        <f t="shared" si="23"/>
        <v>2.0494141876755414</v>
      </c>
    </row>
    <row r="155" spans="1:49" x14ac:dyDescent="0.2">
      <c r="A155">
        <v>153</v>
      </c>
      <c r="B155" t="s">
        <v>8403</v>
      </c>
      <c r="C155" t="s">
        <v>8402</v>
      </c>
      <c r="D155" t="s">
        <v>8401</v>
      </c>
      <c r="E155">
        <v>9835195</v>
      </c>
      <c r="F155" t="s">
        <v>8400</v>
      </c>
      <c r="G155" t="s">
        <v>5</v>
      </c>
      <c r="H155" t="s">
        <v>4</v>
      </c>
      <c r="I155" t="s">
        <v>8399</v>
      </c>
      <c r="J155" t="s">
        <v>8398</v>
      </c>
      <c r="K155" t="s">
        <v>8397</v>
      </c>
      <c r="L155" t="s">
        <v>8396</v>
      </c>
      <c r="M155" t="s">
        <v>101</v>
      </c>
      <c r="N155">
        <v>3</v>
      </c>
      <c r="O155" t="s">
        <v>8395</v>
      </c>
      <c r="P155" t="s">
        <v>8394</v>
      </c>
      <c r="Q155" t="s">
        <v>8393</v>
      </c>
      <c r="R155" s="7">
        <v>36130</v>
      </c>
      <c r="S155" s="8">
        <f t="shared" si="16"/>
        <v>1998</v>
      </c>
      <c r="T155" s="8">
        <v>1998</v>
      </c>
      <c r="U155" s="8">
        <f t="shared" si="17"/>
        <v>24</v>
      </c>
      <c r="V155" s="7">
        <v>1998</v>
      </c>
      <c r="W155" t="s">
        <v>1131</v>
      </c>
      <c r="X155" s="2">
        <v>1.1479999999999999</v>
      </c>
      <c r="Y155" s="6">
        <f t="shared" si="18"/>
        <v>3.0645204345853019E-2</v>
      </c>
      <c r="AA155">
        <v>189294</v>
      </c>
      <c r="AB155">
        <v>16318</v>
      </c>
      <c r="AD155" t="s">
        <v>2</v>
      </c>
      <c r="AE155">
        <v>45</v>
      </c>
      <c r="AF155">
        <v>12</v>
      </c>
      <c r="AH155" t="s">
        <v>8392</v>
      </c>
      <c r="AI155" t="s">
        <v>8391</v>
      </c>
      <c r="AJ155" t="s">
        <v>8390</v>
      </c>
      <c r="AK155" t="s">
        <v>8389</v>
      </c>
      <c r="AL155">
        <v>423</v>
      </c>
      <c r="AM155" s="5">
        <f t="shared" si="19"/>
        <v>17.625</v>
      </c>
      <c r="AN155" s="4">
        <f t="shared" si="20"/>
        <v>2.6694433926542978E-2</v>
      </c>
      <c r="AO155" s="3"/>
      <c r="AP155">
        <v>0</v>
      </c>
      <c r="AQ155" t="s">
        <v>206</v>
      </c>
      <c r="AR155" t="s">
        <v>8388</v>
      </c>
      <c r="AS155" t="s">
        <v>204</v>
      </c>
      <c r="AT155" s="2" t="s">
        <v>0</v>
      </c>
      <c r="AU155" s="1">
        <f t="shared" si="21"/>
        <v>2.9459973220060007</v>
      </c>
      <c r="AV155" s="1">
        <f t="shared" si="22"/>
        <v>2.8669819136197998</v>
      </c>
      <c r="AW155" s="1">
        <f t="shared" si="23"/>
        <v>2.7879665052335989</v>
      </c>
    </row>
    <row r="156" spans="1:49" x14ac:dyDescent="0.2">
      <c r="A156">
        <v>154</v>
      </c>
      <c r="B156" t="s">
        <v>8387</v>
      </c>
      <c r="C156" t="s">
        <v>8386</v>
      </c>
      <c r="E156">
        <v>9874230</v>
      </c>
      <c r="F156" t="s">
        <v>8385</v>
      </c>
      <c r="G156" t="s">
        <v>5</v>
      </c>
      <c r="H156" t="s">
        <v>4</v>
      </c>
      <c r="I156" t="s">
        <v>8384</v>
      </c>
      <c r="J156">
        <v>60002634</v>
      </c>
      <c r="K156" t="s">
        <v>8383</v>
      </c>
      <c r="L156" t="s">
        <v>561</v>
      </c>
      <c r="M156" t="s">
        <v>13</v>
      </c>
      <c r="N156">
        <v>9</v>
      </c>
      <c r="O156" t="s">
        <v>8382</v>
      </c>
      <c r="P156" t="s">
        <v>8381</v>
      </c>
      <c r="Q156" t="s">
        <v>8380</v>
      </c>
      <c r="R156" s="7">
        <v>36130</v>
      </c>
      <c r="S156" s="8">
        <f t="shared" si="16"/>
        <v>1998</v>
      </c>
      <c r="T156" s="8">
        <v>1998</v>
      </c>
      <c r="U156" s="8">
        <f t="shared" si="17"/>
        <v>24</v>
      </c>
      <c r="V156" s="7">
        <v>36130</v>
      </c>
      <c r="W156" t="s">
        <v>700</v>
      </c>
      <c r="X156" s="2">
        <v>1.9810000000000001</v>
      </c>
      <c r="Y156" s="6">
        <f t="shared" si="18"/>
        <v>5.2881663596807349E-2</v>
      </c>
      <c r="AA156">
        <v>142956</v>
      </c>
      <c r="AB156">
        <v>39034</v>
      </c>
      <c r="AD156" t="s">
        <v>2</v>
      </c>
      <c r="AE156">
        <v>258</v>
      </c>
      <c r="AF156">
        <v>2</v>
      </c>
      <c r="AH156" t="s">
        <v>8379</v>
      </c>
      <c r="AI156" t="s">
        <v>8378</v>
      </c>
      <c r="AJ156" t="s">
        <v>8377</v>
      </c>
      <c r="AK156" t="s">
        <v>8376</v>
      </c>
      <c r="AL156">
        <v>49</v>
      </c>
      <c r="AM156" s="5">
        <f t="shared" si="19"/>
        <v>2.0416666666666665</v>
      </c>
      <c r="AN156" s="4">
        <f t="shared" si="20"/>
        <v>3.0922630316799191E-3</v>
      </c>
      <c r="AO156" s="3"/>
      <c r="AP156">
        <v>0</v>
      </c>
      <c r="AR156" t="s">
        <v>1</v>
      </c>
      <c r="AT156" s="2" t="s">
        <v>0</v>
      </c>
      <c r="AU156" s="1">
        <f t="shared" si="21"/>
        <v>3.7944843427269115</v>
      </c>
      <c r="AV156" s="1">
        <f t="shared" si="22"/>
        <v>2.7986963314243636</v>
      </c>
      <c r="AW156" s="1">
        <f t="shared" si="23"/>
        <v>1.8029083201218148</v>
      </c>
    </row>
    <row r="157" spans="1:49" x14ac:dyDescent="0.2">
      <c r="A157">
        <v>155</v>
      </c>
      <c r="B157" t="s">
        <v>8375</v>
      </c>
      <c r="C157" t="s">
        <v>8374</v>
      </c>
      <c r="E157">
        <v>9857840</v>
      </c>
      <c r="F157" t="s">
        <v>8373</v>
      </c>
      <c r="G157" t="s">
        <v>5</v>
      </c>
      <c r="H157" t="s">
        <v>4</v>
      </c>
      <c r="I157" t="s">
        <v>8372</v>
      </c>
      <c r="J157">
        <v>60118051</v>
      </c>
      <c r="K157" t="s">
        <v>8371</v>
      </c>
      <c r="L157" t="s">
        <v>516</v>
      </c>
      <c r="M157" t="s">
        <v>182</v>
      </c>
      <c r="N157">
        <v>1</v>
      </c>
      <c r="O157" t="s">
        <v>8370</v>
      </c>
      <c r="P157">
        <v>55229775900</v>
      </c>
      <c r="Q157">
        <v>60118051</v>
      </c>
      <c r="R157" s="7">
        <v>36130</v>
      </c>
      <c r="S157" s="8">
        <f t="shared" si="16"/>
        <v>1998</v>
      </c>
      <c r="T157" s="8">
        <v>1998</v>
      </c>
      <c r="U157" s="8">
        <f t="shared" si="17"/>
        <v>24</v>
      </c>
      <c r="V157" s="7">
        <v>36130</v>
      </c>
      <c r="W157" t="s">
        <v>8369</v>
      </c>
      <c r="X157" s="2">
        <v>0.81599999999999995</v>
      </c>
      <c r="Y157" s="6">
        <f t="shared" si="18"/>
        <v>2.1782653960118522E-2</v>
      </c>
      <c r="AA157">
        <v>140139</v>
      </c>
      <c r="AB157">
        <v>29178</v>
      </c>
      <c r="AC157">
        <v>13665847</v>
      </c>
      <c r="AD157" t="s">
        <v>2</v>
      </c>
      <c r="AE157">
        <v>41</v>
      </c>
      <c r="AF157">
        <v>12</v>
      </c>
      <c r="AH157" t="s">
        <v>7710</v>
      </c>
      <c r="AI157" t="s">
        <v>8368</v>
      </c>
      <c r="AJ157" t="s">
        <v>8367</v>
      </c>
      <c r="AK157" t="s">
        <v>8366</v>
      </c>
      <c r="AL157">
        <v>13</v>
      </c>
      <c r="AM157" s="5">
        <f t="shared" si="19"/>
        <v>0.54166666666666663</v>
      </c>
      <c r="AN157" s="4">
        <f t="shared" si="20"/>
        <v>8.2039631452732545E-4</v>
      </c>
      <c r="AO157" s="3"/>
      <c r="AP157">
        <v>0</v>
      </c>
      <c r="AR157" t="s">
        <v>1</v>
      </c>
      <c r="AT157" s="2">
        <v>2.778</v>
      </c>
      <c r="AU157" s="1">
        <f t="shared" si="21"/>
        <v>1.549397666644116</v>
      </c>
      <c r="AV157" s="1">
        <f t="shared" si="22"/>
        <v>1.1301525137322923</v>
      </c>
      <c r="AW157" s="1">
        <f t="shared" si="23"/>
        <v>0.71090736082046846</v>
      </c>
    </row>
    <row r="158" spans="1:49" x14ac:dyDescent="0.2">
      <c r="A158">
        <v>156</v>
      </c>
      <c r="B158" t="s">
        <v>8365</v>
      </c>
      <c r="F158" t="s">
        <v>8364</v>
      </c>
      <c r="G158" t="s">
        <v>5</v>
      </c>
      <c r="H158" t="s">
        <v>4</v>
      </c>
      <c r="I158" t="s">
        <v>8363</v>
      </c>
      <c r="J158" t="s">
        <v>8362</v>
      </c>
      <c r="K158" t="s">
        <v>8361</v>
      </c>
      <c r="L158" t="s">
        <v>8360</v>
      </c>
      <c r="M158" t="s">
        <v>8359</v>
      </c>
      <c r="N158">
        <v>3</v>
      </c>
      <c r="O158" t="s">
        <v>8358</v>
      </c>
      <c r="P158" t="s">
        <v>8357</v>
      </c>
      <c r="Q158" t="s">
        <v>8356</v>
      </c>
      <c r="R158" s="7">
        <v>36130</v>
      </c>
      <c r="S158" s="8">
        <f t="shared" si="16"/>
        <v>1998</v>
      </c>
      <c r="T158" s="8">
        <v>1998</v>
      </c>
      <c r="U158" s="8">
        <f t="shared" si="17"/>
        <v>24</v>
      </c>
      <c r="V158" s="7">
        <v>1998</v>
      </c>
      <c r="W158" t="s">
        <v>8335</v>
      </c>
      <c r="X158" s="2">
        <v>0.378</v>
      </c>
      <c r="Y158" s="6">
        <f t="shared" si="18"/>
        <v>1.0090494113878435E-2</v>
      </c>
      <c r="AA158">
        <v>3616525</v>
      </c>
      <c r="AB158">
        <v>14248</v>
      </c>
      <c r="AD158" t="s">
        <v>2</v>
      </c>
      <c r="AE158">
        <v>31</v>
      </c>
      <c r="AF158">
        <v>1</v>
      </c>
      <c r="AH158" s="10">
        <v>45536</v>
      </c>
      <c r="AI158" t="s">
        <v>8355</v>
      </c>
      <c r="AK158" t="s">
        <v>8354</v>
      </c>
      <c r="AL158">
        <v>3</v>
      </c>
      <c r="AM158" s="5">
        <f t="shared" si="19"/>
        <v>0.125</v>
      </c>
      <c r="AN158" s="4">
        <f t="shared" si="20"/>
        <v>1.893222264293828E-4</v>
      </c>
      <c r="AO158" s="3"/>
      <c r="AP158">
        <v>0</v>
      </c>
      <c r="AR158" t="s">
        <v>1</v>
      </c>
      <c r="AT158" s="2">
        <v>0.98299999999999998</v>
      </c>
      <c r="AU158" s="1">
        <f t="shared" si="21"/>
        <v>0.71201425476437186</v>
      </c>
      <c r="AV158" s="1">
        <f t="shared" si="22"/>
        <v>0.51399081701539084</v>
      </c>
      <c r="AW158" s="1">
        <f t="shared" si="23"/>
        <v>0.31596737926640983</v>
      </c>
    </row>
    <row r="159" spans="1:49" x14ac:dyDescent="0.2">
      <c r="A159">
        <v>157</v>
      </c>
      <c r="B159" t="s">
        <v>8353</v>
      </c>
      <c r="F159" t="s">
        <v>8352</v>
      </c>
      <c r="G159" t="s">
        <v>5</v>
      </c>
      <c r="H159" t="s">
        <v>4</v>
      </c>
      <c r="I159" t="s">
        <v>8341</v>
      </c>
      <c r="J159" t="s">
        <v>8347</v>
      </c>
      <c r="K159" t="s">
        <v>8351</v>
      </c>
      <c r="L159" t="s">
        <v>8350</v>
      </c>
      <c r="M159" t="s">
        <v>20</v>
      </c>
      <c r="N159">
        <v>2</v>
      </c>
      <c r="O159" t="s">
        <v>8349</v>
      </c>
      <c r="P159" t="s">
        <v>8348</v>
      </c>
      <c r="Q159" t="s">
        <v>8347</v>
      </c>
      <c r="R159" s="7">
        <v>36130</v>
      </c>
      <c r="S159" s="8">
        <f t="shared" si="16"/>
        <v>1998</v>
      </c>
      <c r="T159" s="8">
        <v>1998</v>
      </c>
      <c r="U159" s="8">
        <f t="shared" si="17"/>
        <v>24</v>
      </c>
      <c r="V159" s="7">
        <v>1998</v>
      </c>
      <c r="W159" t="s">
        <v>8335</v>
      </c>
      <c r="X159" s="2">
        <v>0.378</v>
      </c>
      <c r="Y159" s="6">
        <f t="shared" si="18"/>
        <v>1.0090494113878435E-2</v>
      </c>
      <c r="AA159">
        <v>3616525</v>
      </c>
      <c r="AB159">
        <v>14248</v>
      </c>
      <c r="AD159" t="s">
        <v>2</v>
      </c>
      <c r="AE159">
        <v>32</v>
      </c>
      <c r="AF159">
        <v>1</v>
      </c>
      <c r="AH159" t="s">
        <v>8346</v>
      </c>
      <c r="AI159" t="s">
        <v>8345</v>
      </c>
      <c r="AK159" t="s">
        <v>8344</v>
      </c>
      <c r="AL159">
        <v>11</v>
      </c>
      <c r="AM159" s="5">
        <f t="shared" si="19"/>
        <v>0.45833333333333331</v>
      </c>
      <c r="AN159" s="4">
        <f t="shared" si="20"/>
        <v>6.9418149690773695E-4</v>
      </c>
      <c r="AO159" s="3"/>
      <c r="AP159">
        <v>0</v>
      </c>
      <c r="AR159" t="s">
        <v>1</v>
      </c>
      <c r="AT159" s="2">
        <v>0.98299999999999998</v>
      </c>
      <c r="AU159" s="1">
        <f t="shared" si="21"/>
        <v>0.72716003287872244</v>
      </c>
      <c r="AV159" s="1">
        <f t="shared" si="22"/>
        <v>0.53923378053930859</v>
      </c>
      <c r="AW159" s="1">
        <f t="shared" si="23"/>
        <v>0.35130752819989464</v>
      </c>
    </row>
    <row r="160" spans="1:49" x14ac:dyDescent="0.2">
      <c r="A160">
        <v>158</v>
      </c>
      <c r="B160" t="s">
        <v>8343</v>
      </c>
      <c r="F160" t="s">
        <v>8342</v>
      </c>
      <c r="G160" t="s">
        <v>5</v>
      </c>
      <c r="H160" t="s">
        <v>4</v>
      </c>
      <c r="I160" t="s">
        <v>8341</v>
      </c>
      <c r="J160" t="s">
        <v>8336</v>
      </c>
      <c r="K160" t="s">
        <v>8340</v>
      </c>
      <c r="L160" t="s">
        <v>8339</v>
      </c>
      <c r="M160" t="s">
        <v>20</v>
      </c>
      <c r="N160">
        <v>2</v>
      </c>
      <c r="O160" t="s">
        <v>8338</v>
      </c>
      <c r="P160" t="s">
        <v>8337</v>
      </c>
      <c r="Q160" t="s">
        <v>8336</v>
      </c>
      <c r="R160" s="7">
        <v>36130</v>
      </c>
      <c r="S160" s="8">
        <f t="shared" si="16"/>
        <v>1998</v>
      </c>
      <c r="T160" s="8">
        <v>1998</v>
      </c>
      <c r="U160" s="8">
        <f t="shared" si="17"/>
        <v>24</v>
      </c>
      <c r="V160" s="7">
        <v>1998</v>
      </c>
      <c r="W160" t="s">
        <v>8335</v>
      </c>
      <c r="X160" s="2">
        <v>0.378</v>
      </c>
      <c r="Y160" s="6">
        <f t="shared" si="18"/>
        <v>1.0090494113878435E-2</v>
      </c>
      <c r="AA160">
        <v>3616525</v>
      </c>
      <c r="AB160">
        <v>14248</v>
      </c>
      <c r="AD160" t="s">
        <v>2</v>
      </c>
      <c r="AE160">
        <v>32</v>
      </c>
      <c r="AF160">
        <v>3</v>
      </c>
      <c r="AH160" t="s">
        <v>8334</v>
      </c>
      <c r="AI160" t="s">
        <v>8333</v>
      </c>
      <c r="AK160" t="s">
        <v>8332</v>
      </c>
      <c r="AL160">
        <v>8</v>
      </c>
      <c r="AM160" s="5">
        <f t="shared" si="19"/>
        <v>0.33333333333333331</v>
      </c>
      <c r="AN160" s="4">
        <f t="shared" si="20"/>
        <v>5.048592704783541E-4</v>
      </c>
      <c r="AO160" s="3"/>
      <c r="AP160">
        <v>0</v>
      </c>
      <c r="AR160" t="s">
        <v>1</v>
      </c>
      <c r="AT160" s="2">
        <v>0.98299999999999998</v>
      </c>
      <c r="AU160" s="1">
        <f t="shared" si="21"/>
        <v>0.72148036608584099</v>
      </c>
      <c r="AV160" s="1">
        <f t="shared" si="22"/>
        <v>0.52976766921783947</v>
      </c>
      <c r="AW160" s="1">
        <f t="shared" si="23"/>
        <v>0.33805497234983783</v>
      </c>
    </row>
    <row r="161" spans="1:49" x14ac:dyDescent="0.2">
      <c r="A161">
        <v>159</v>
      </c>
      <c r="B161" t="s">
        <v>8331</v>
      </c>
      <c r="C161" t="s">
        <v>8330</v>
      </c>
      <c r="F161" t="s">
        <v>601</v>
      </c>
      <c r="G161" t="s">
        <v>5</v>
      </c>
      <c r="H161" t="s">
        <v>4</v>
      </c>
      <c r="I161" t="s">
        <v>600</v>
      </c>
      <c r="J161">
        <v>60014652</v>
      </c>
      <c r="K161" t="s">
        <v>491</v>
      </c>
      <c r="L161" t="s">
        <v>490</v>
      </c>
      <c r="M161" t="s">
        <v>12</v>
      </c>
      <c r="N161">
        <v>4</v>
      </c>
      <c r="O161" t="s">
        <v>599</v>
      </c>
      <c r="P161" t="s">
        <v>598</v>
      </c>
      <c r="Q161" t="s">
        <v>8329</v>
      </c>
      <c r="R161" s="7">
        <v>36130</v>
      </c>
      <c r="S161" s="8">
        <f t="shared" si="16"/>
        <v>1998</v>
      </c>
      <c r="T161" s="8">
        <v>1998</v>
      </c>
      <c r="U161" s="8">
        <f t="shared" si="17"/>
        <v>24</v>
      </c>
      <c r="V161" s="7">
        <v>36130</v>
      </c>
      <c r="W161" t="s">
        <v>108</v>
      </c>
      <c r="X161" s="2">
        <v>0.111</v>
      </c>
      <c r="Y161" s="6">
        <f t="shared" si="18"/>
        <v>2.9630816048690639E-3</v>
      </c>
      <c r="AA161">
        <v>87566621</v>
      </c>
      <c r="AB161">
        <v>24890</v>
      </c>
      <c r="AD161" t="s">
        <v>2</v>
      </c>
      <c r="AE161">
        <v>81</v>
      </c>
      <c r="AF161">
        <v>12</v>
      </c>
      <c r="AH161" s="9">
        <v>44409</v>
      </c>
      <c r="AI161" t="s">
        <v>8328</v>
      </c>
      <c r="AK161" t="s">
        <v>597</v>
      </c>
      <c r="AL161">
        <v>0</v>
      </c>
      <c r="AM161" s="5">
        <f t="shared" si="19"/>
        <v>0</v>
      </c>
      <c r="AN161" s="4">
        <f t="shared" si="20"/>
        <v>0</v>
      </c>
      <c r="AO161" s="3"/>
      <c r="AP161">
        <v>0</v>
      </c>
      <c r="AR161" t="s">
        <v>1</v>
      </c>
      <c r="AT161" s="2" t="s">
        <v>0</v>
      </c>
      <c r="AU161" s="1">
        <f t="shared" si="21"/>
        <v>0.20741571234083445</v>
      </c>
      <c r="AV161" s="1">
        <f t="shared" si="22"/>
        <v>0.1481540802434532</v>
      </c>
      <c r="AW161" s="1">
        <f t="shared" si="23"/>
        <v>8.8892448146071903E-2</v>
      </c>
    </row>
    <row r="162" spans="1:49" x14ac:dyDescent="0.2">
      <c r="A162">
        <v>160</v>
      </c>
      <c r="B162" t="s">
        <v>8327</v>
      </c>
      <c r="F162" t="s">
        <v>8326</v>
      </c>
      <c r="G162" t="s">
        <v>5</v>
      </c>
      <c r="H162" t="s">
        <v>4</v>
      </c>
      <c r="I162" t="s">
        <v>719</v>
      </c>
      <c r="J162">
        <v>60003217</v>
      </c>
      <c r="K162" t="s">
        <v>718</v>
      </c>
      <c r="L162" t="s">
        <v>717</v>
      </c>
      <c r="M162" t="s">
        <v>105</v>
      </c>
      <c r="N162">
        <v>3</v>
      </c>
      <c r="O162" t="s">
        <v>8325</v>
      </c>
      <c r="P162" t="s">
        <v>573</v>
      </c>
      <c r="Q162" t="s">
        <v>716</v>
      </c>
      <c r="R162" s="7">
        <v>36130</v>
      </c>
      <c r="S162" s="8">
        <f t="shared" si="16"/>
        <v>1998</v>
      </c>
      <c r="T162" s="8">
        <v>1998</v>
      </c>
      <c r="U162" s="8">
        <f t="shared" si="17"/>
        <v>24</v>
      </c>
      <c r="V162" s="7">
        <v>1998</v>
      </c>
      <c r="W162" t="s">
        <v>8324</v>
      </c>
      <c r="X162" s="2" t="s">
        <v>0</v>
      </c>
      <c r="Y162" s="6" t="e">
        <f t="shared" si="18"/>
        <v>#VALUE!</v>
      </c>
      <c r="AA162" t="s">
        <v>8323</v>
      </c>
      <c r="AB162">
        <v>24557</v>
      </c>
      <c r="AD162" t="s">
        <v>2</v>
      </c>
      <c r="AE162">
        <v>3</v>
      </c>
      <c r="AF162">
        <v>1</v>
      </c>
      <c r="AH162" t="s">
        <v>8322</v>
      </c>
      <c r="AI162" t="s">
        <v>8321</v>
      </c>
      <c r="AK162" t="s">
        <v>8320</v>
      </c>
      <c r="AL162">
        <v>0</v>
      </c>
      <c r="AM162" s="5">
        <f t="shared" si="19"/>
        <v>0</v>
      </c>
      <c r="AN162" s="4">
        <f t="shared" si="20"/>
        <v>0</v>
      </c>
      <c r="AO162" s="3"/>
      <c r="AP162">
        <v>0</v>
      </c>
      <c r="AR162" t="s">
        <v>1</v>
      </c>
      <c r="AT162" s="2" t="s">
        <v>0</v>
      </c>
      <c r="AU162" s="1" t="e">
        <f t="shared" si="21"/>
        <v>#VALUE!</v>
      </c>
      <c r="AV162" s="1" t="e">
        <f t="shared" si="22"/>
        <v>#VALUE!</v>
      </c>
      <c r="AW162" s="1" t="e">
        <f t="shared" si="23"/>
        <v>#VALUE!</v>
      </c>
    </row>
    <row r="163" spans="1:49" x14ac:dyDescent="0.2">
      <c r="A163">
        <v>161</v>
      </c>
      <c r="B163" t="s">
        <v>8319</v>
      </c>
      <c r="C163" t="s">
        <v>8318</v>
      </c>
      <c r="D163" t="s">
        <v>8317</v>
      </c>
      <c r="F163" t="s">
        <v>8316</v>
      </c>
      <c r="G163" t="s">
        <v>5</v>
      </c>
      <c r="H163" t="s">
        <v>4</v>
      </c>
      <c r="I163" t="s">
        <v>4471</v>
      </c>
      <c r="J163" t="s">
        <v>8315</v>
      </c>
      <c r="K163" t="s">
        <v>8314</v>
      </c>
      <c r="L163" t="s">
        <v>8313</v>
      </c>
      <c r="M163" t="s">
        <v>8312</v>
      </c>
      <c r="N163">
        <v>2</v>
      </c>
      <c r="O163" t="s">
        <v>8311</v>
      </c>
      <c r="P163" t="s">
        <v>8310</v>
      </c>
      <c r="Q163" t="s">
        <v>8309</v>
      </c>
      <c r="R163" s="7">
        <v>36130</v>
      </c>
      <c r="S163" s="8">
        <f t="shared" si="16"/>
        <v>1998</v>
      </c>
      <c r="T163" s="8">
        <v>1998</v>
      </c>
      <c r="U163" s="8">
        <f t="shared" si="17"/>
        <v>24</v>
      </c>
      <c r="V163" s="7">
        <v>36130</v>
      </c>
      <c r="W163" t="s">
        <v>1666</v>
      </c>
      <c r="X163" s="2">
        <v>2.9860000000000002</v>
      </c>
      <c r="Y163" s="6">
        <f t="shared" si="18"/>
        <v>7.9709564613865094E-2</v>
      </c>
      <c r="AA163">
        <v>7338716</v>
      </c>
      <c r="AB163">
        <v>18902</v>
      </c>
      <c r="AD163" t="s">
        <v>2</v>
      </c>
      <c r="AE163">
        <v>16</v>
      </c>
      <c r="AF163">
        <v>9</v>
      </c>
      <c r="AH163" t="s">
        <v>8308</v>
      </c>
      <c r="AI163" t="s">
        <v>8307</v>
      </c>
      <c r="AJ163" t="s">
        <v>8306</v>
      </c>
      <c r="AK163" t="s">
        <v>8305</v>
      </c>
      <c r="AL163">
        <v>64</v>
      </c>
      <c r="AM163" s="5">
        <f t="shared" si="19"/>
        <v>2.6666666666666665</v>
      </c>
      <c r="AN163" s="4">
        <f t="shared" si="20"/>
        <v>4.0388741638268328E-3</v>
      </c>
      <c r="AO163" s="3"/>
      <c r="AP163">
        <v>0</v>
      </c>
      <c r="AR163" t="s">
        <v>1</v>
      </c>
      <c r="AT163" s="2" t="s">
        <v>0</v>
      </c>
      <c r="AU163" s="1">
        <f t="shared" si="21"/>
        <v>5.7008357478853613</v>
      </c>
      <c r="AV163" s="1">
        <f t="shared" si="22"/>
        <v>4.1874219388845964</v>
      </c>
      <c r="AW163" s="1">
        <f t="shared" si="23"/>
        <v>2.674008129883831</v>
      </c>
    </row>
    <row r="164" spans="1:49" x14ac:dyDescent="0.2">
      <c r="A164">
        <v>162</v>
      </c>
      <c r="B164" t="s">
        <v>8304</v>
      </c>
      <c r="F164" t="s">
        <v>8303</v>
      </c>
      <c r="G164" t="s">
        <v>5</v>
      </c>
      <c r="H164" t="s">
        <v>4</v>
      </c>
      <c r="I164" t="s">
        <v>8302</v>
      </c>
      <c r="J164">
        <v>100326430</v>
      </c>
      <c r="K164" t="s">
        <v>8301</v>
      </c>
      <c r="M164" t="s">
        <v>9</v>
      </c>
      <c r="N164">
        <v>1</v>
      </c>
      <c r="O164" t="s">
        <v>8300</v>
      </c>
      <c r="P164">
        <v>7202550633</v>
      </c>
      <c r="Q164">
        <v>100326430</v>
      </c>
      <c r="R164" s="7">
        <v>36130</v>
      </c>
      <c r="S164" s="8">
        <f t="shared" si="16"/>
        <v>1998</v>
      </c>
      <c r="T164" s="8">
        <v>1998</v>
      </c>
      <c r="U164" s="8">
        <f t="shared" si="17"/>
        <v>24</v>
      </c>
      <c r="V164" s="7">
        <v>36130</v>
      </c>
      <c r="W164" t="s">
        <v>651</v>
      </c>
      <c r="X164" s="2" t="s">
        <v>0</v>
      </c>
      <c r="Y164" s="6" t="e">
        <f t="shared" si="18"/>
        <v>#VALUE!</v>
      </c>
      <c r="AA164">
        <v>1477439</v>
      </c>
      <c r="AB164">
        <v>53559</v>
      </c>
      <c r="AD164" t="s">
        <v>2</v>
      </c>
      <c r="AE164">
        <v>22</v>
      </c>
      <c r="AF164">
        <v>12</v>
      </c>
      <c r="AH164" t="s">
        <v>8299</v>
      </c>
      <c r="AI164" t="s">
        <v>8298</v>
      </c>
      <c r="AK164" t="s">
        <v>8297</v>
      </c>
      <c r="AL164">
        <v>0</v>
      </c>
      <c r="AM164" s="5">
        <f t="shared" si="19"/>
        <v>0</v>
      </c>
      <c r="AN164" s="4">
        <f t="shared" si="20"/>
        <v>0</v>
      </c>
      <c r="AO164" s="3"/>
      <c r="AP164">
        <v>0</v>
      </c>
      <c r="AR164" t="s">
        <v>1</v>
      </c>
      <c r="AT164" s="2" t="s">
        <v>0</v>
      </c>
      <c r="AU164" s="1" t="e">
        <f t="shared" si="21"/>
        <v>#VALUE!</v>
      </c>
      <c r="AV164" s="1" t="e">
        <f t="shared" si="22"/>
        <v>#VALUE!</v>
      </c>
      <c r="AW164" s="1" t="e">
        <f t="shared" si="23"/>
        <v>#VALUE!</v>
      </c>
    </row>
    <row r="165" spans="1:49" x14ac:dyDescent="0.2">
      <c r="A165">
        <v>163</v>
      </c>
      <c r="B165" t="s">
        <v>8296</v>
      </c>
      <c r="C165" t="s">
        <v>8295</v>
      </c>
      <c r="D165" t="s">
        <v>8294</v>
      </c>
      <c r="F165" t="s">
        <v>8293</v>
      </c>
      <c r="G165" t="s">
        <v>5</v>
      </c>
      <c r="H165" t="s">
        <v>4</v>
      </c>
      <c r="I165" t="s">
        <v>8292</v>
      </c>
      <c r="J165">
        <v>60007951</v>
      </c>
      <c r="K165" t="s">
        <v>688</v>
      </c>
      <c r="L165" t="s">
        <v>687</v>
      </c>
      <c r="M165" t="s">
        <v>12</v>
      </c>
      <c r="N165">
        <v>4</v>
      </c>
      <c r="O165" t="s">
        <v>8291</v>
      </c>
      <c r="P165" t="s">
        <v>8290</v>
      </c>
      <c r="Q165" t="s">
        <v>8289</v>
      </c>
      <c r="R165" s="7">
        <v>36130</v>
      </c>
      <c r="S165" s="8">
        <f t="shared" si="16"/>
        <v>1998</v>
      </c>
      <c r="T165" s="8">
        <v>1998</v>
      </c>
      <c r="U165" s="8">
        <f t="shared" si="17"/>
        <v>24</v>
      </c>
      <c r="V165" s="7">
        <v>36130</v>
      </c>
      <c r="W165" t="s">
        <v>19</v>
      </c>
      <c r="X165" s="2">
        <v>0.73799999999999999</v>
      </c>
      <c r="Y165" s="6">
        <f t="shared" si="18"/>
        <v>1.9700488508048369E-2</v>
      </c>
      <c r="AA165" t="s">
        <v>18</v>
      </c>
      <c r="AB165">
        <v>12489</v>
      </c>
      <c r="AD165" t="s">
        <v>2</v>
      </c>
      <c r="AE165">
        <v>51</v>
      </c>
      <c r="AF165">
        <v>4</v>
      </c>
      <c r="AH165" t="s">
        <v>8288</v>
      </c>
      <c r="AI165" t="s">
        <v>8287</v>
      </c>
      <c r="AK165" t="s">
        <v>8286</v>
      </c>
      <c r="AL165">
        <v>1</v>
      </c>
      <c r="AM165" s="5">
        <f t="shared" si="19"/>
        <v>4.1666666666666664E-2</v>
      </c>
      <c r="AN165" s="4">
        <f t="shared" si="20"/>
        <v>6.3107408809794262E-5</v>
      </c>
      <c r="AO165" s="3"/>
      <c r="AP165">
        <v>0</v>
      </c>
      <c r="AR165" t="s">
        <v>1</v>
      </c>
      <c r="AT165" s="2">
        <v>3.6269999999999998</v>
      </c>
      <c r="AU165" s="1">
        <f t="shared" si="21"/>
        <v>1.3809274178276796</v>
      </c>
      <c r="AV165" s="1">
        <f t="shared" si="22"/>
        <v>0.98817979584290816</v>
      </c>
      <c r="AW165" s="1">
        <f t="shared" si="23"/>
        <v>0.59543217385813663</v>
      </c>
    </row>
    <row r="166" spans="1:49" x14ac:dyDescent="0.2">
      <c r="A166">
        <v>164</v>
      </c>
      <c r="B166" t="s">
        <v>8285</v>
      </c>
      <c r="F166" t="s">
        <v>8284</v>
      </c>
      <c r="G166" t="s">
        <v>5</v>
      </c>
      <c r="H166" t="s">
        <v>4</v>
      </c>
      <c r="I166" t="s">
        <v>8283</v>
      </c>
      <c r="J166">
        <v>60032320</v>
      </c>
      <c r="K166" t="s">
        <v>8282</v>
      </c>
      <c r="L166" t="s">
        <v>8281</v>
      </c>
      <c r="M166" t="s">
        <v>8280</v>
      </c>
      <c r="N166">
        <v>4</v>
      </c>
      <c r="O166" t="s">
        <v>8279</v>
      </c>
      <c r="P166" t="s">
        <v>8278</v>
      </c>
      <c r="Q166" t="s">
        <v>8277</v>
      </c>
      <c r="R166" s="7">
        <v>36130</v>
      </c>
      <c r="S166" s="8">
        <f t="shared" si="16"/>
        <v>1998</v>
      </c>
      <c r="T166" s="8">
        <v>1998</v>
      </c>
      <c r="U166" s="8">
        <f t="shared" si="17"/>
        <v>24</v>
      </c>
      <c r="V166" s="7">
        <v>1998</v>
      </c>
      <c r="W166" t="s">
        <v>8276</v>
      </c>
      <c r="X166" s="2" t="s">
        <v>0</v>
      </c>
      <c r="Y166" s="6" t="e">
        <f t="shared" si="18"/>
        <v>#VALUE!</v>
      </c>
      <c r="AA166">
        <v>12595985</v>
      </c>
      <c r="AB166">
        <v>28513</v>
      </c>
      <c r="AD166" t="s">
        <v>2</v>
      </c>
      <c r="AE166">
        <v>70</v>
      </c>
      <c r="AF166">
        <v>2</v>
      </c>
      <c r="AH166" t="s">
        <v>8275</v>
      </c>
      <c r="AI166" t="s">
        <v>8274</v>
      </c>
      <c r="AK166" t="s">
        <v>8273</v>
      </c>
      <c r="AL166">
        <v>0</v>
      </c>
      <c r="AM166" s="5">
        <f t="shared" si="19"/>
        <v>0</v>
      </c>
      <c r="AN166" s="4">
        <f t="shared" si="20"/>
        <v>0</v>
      </c>
      <c r="AO166" s="3"/>
      <c r="AP166">
        <v>0</v>
      </c>
      <c r="AR166" t="s">
        <v>1</v>
      </c>
      <c r="AT166" s="2" t="s">
        <v>0</v>
      </c>
      <c r="AU166" s="1" t="e">
        <f t="shared" si="21"/>
        <v>#VALUE!</v>
      </c>
      <c r="AV166" s="1" t="e">
        <f t="shared" si="22"/>
        <v>#VALUE!</v>
      </c>
      <c r="AW166" s="1" t="e">
        <f t="shared" si="23"/>
        <v>#VALUE!</v>
      </c>
    </row>
    <row r="167" spans="1:49" x14ac:dyDescent="0.2">
      <c r="A167">
        <v>165</v>
      </c>
      <c r="B167" t="s">
        <v>8272</v>
      </c>
      <c r="F167" t="s">
        <v>8271</v>
      </c>
      <c r="G167" t="s">
        <v>5</v>
      </c>
      <c r="H167" t="s">
        <v>4</v>
      </c>
      <c r="I167" t="s">
        <v>8270</v>
      </c>
      <c r="J167">
        <v>60031293</v>
      </c>
      <c r="K167" t="s">
        <v>528</v>
      </c>
      <c r="L167" t="s">
        <v>104</v>
      </c>
      <c r="M167" t="s">
        <v>12</v>
      </c>
      <c r="N167">
        <v>2</v>
      </c>
      <c r="O167" t="s">
        <v>8269</v>
      </c>
      <c r="P167" t="s">
        <v>8268</v>
      </c>
      <c r="Q167" t="s">
        <v>8267</v>
      </c>
      <c r="R167" s="7">
        <v>36130</v>
      </c>
      <c r="S167" s="8">
        <f t="shared" si="16"/>
        <v>1998</v>
      </c>
      <c r="T167" s="8">
        <v>1998</v>
      </c>
      <c r="U167" s="8">
        <f t="shared" si="17"/>
        <v>24</v>
      </c>
      <c r="V167" s="7">
        <v>1998</v>
      </c>
      <c r="W167" t="s">
        <v>8055</v>
      </c>
      <c r="X167" s="2" t="s">
        <v>0</v>
      </c>
      <c r="Y167" s="6" t="e">
        <f t="shared" si="18"/>
        <v>#VALUE!</v>
      </c>
      <c r="AA167">
        <v>9248625</v>
      </c>
      <c r="AB167">
        <v>12897</v>
      </c>
      <c r="AD167" t="s">
        <v>2</v>
      </c>
      <c r="AE167">
        <v>15</v>
      </c>
      <c r="AF167">
        <v>2</v>
      </c>
      <c r="AH167" t="s">
        <v>663</v>
      </c>
      <c r="AI167" t="s">
        <v>8266</v>
      </c>
      <c r="AK167" t="s">
        <v>8265</v>
      </c>
      <c r="AL167">
        <v>0</v>
      </c>
      <c r="AM167" s="5">
        <f t="shared" si="19"/>
        <v>0</v>
      </c>
      <c r="AN167" s="4">
        <f t="shared" si="20"/>
        <v>0</v>
      </c>
      <c r="AO167" s="3"/>
      <c r="AP167">
        <v>0</v>
      </c>
      <c r="AR167" t="s">
        <v>1</v>
      </c>
      <c r="AT167" s="2" t="s">
        <v>0</v>
      </c>
      <c r="AU167" s="1" t="e">
        <f t="shared" si="21"/>
        <v>#VALUE!</v>
      </c>
      <c r="AV167" s="1" t="e">
        <f t="shared" si="22"/>
        <v>#VALUE!</v>
      </c>
      <c r="AW167" s="1" t="e">
        <f t="shared" si="23"/>
        <v>#VALUE!</v>
      </c>
    </row>
    <row r="168" spans="1:49" x14ac:dyDescent="0.2">
      <c r="A168">
        <v>166</v>
      </c>
      <c r="B168" t="s">
        <v>8264</v>
      </c>
      <c r="F168" t="s">
        <v>8263</v>
      </c>
      <c r="G168" t="s">
        <v>5</v>
      </c>
      <c r="H168" t="s">
        <v>4</v>
      </c>
      <c r="I168" t="s">
        <v>8262</v>
      </c>
      <c r="J168">
        <v>100409189</v>
      </c>
      <c r="K168" t="s">
        <v>8261</v>
      </c>
      <c r="L168" t="s">
        <v>441</v>
      </c>
      <c r="M168" t="s">
        <v>147</v>
      </c>
      <c r="N168">
        <v>2</v>
      </c>
      <c r="O168" t="s">
        <v>8260</v>
      </c>
      <c r="P168" t="s">
        <v>8259</v>
      </c>
      <c r="Q168" t="s">
        <v>8258</v>
      </c>
      <c r="R168" s="7">
        <v>36130</v>
      </c>
      <c r="S168" s="8">
        <f t="shared" si="16"/>
        <v>1998</v>
      </c>
      <c r="T168" s="8">
        <v>1998</v>
      </c>
      <c r="U168" s="8">
        <f t="shared" si="17"/>
        <v>24</v>
      </c>
      <c r="V168" s="7">
        <v>36130</v>
      </c>
      <c r="W168" t="s">
        <v>643</v>
      </c>
      <c r="X168" s="2" t="s">
        <v>0</v>
      </c>
      <c r="Y168" s="6" t="e">
        <f t="shared" si="18"/>
        <v>#VALUE!</v>
      </c>
      <c r="AA168" t="s">
        <v>642</v>
      </c>
      <c r="AB168">
        <v>26720</v>
      </c>
      <c r="AD168" t="s">
        <v>2</v>
      </c>
      <c r="AH168" t="s">
        <v>8257</v>
      </c>
      <c r="AI168" t="s">
        <v>8256</v>
      </c>
      <c r="AK168" t="s">
        <v>8255</v>
      </c>
      <c r="AL168">
        <v>0</v>
      </c>
      <c r="AM168" s="5">
        <f t="shared" si="19"/>
        <v>0</v>
      </c>
      <c r="AN168" s="4">
        <f t="shared" si="20"/>
        <v>0</v>
      </c>
      <c r="AO168" s="3"/>
      <c r="AP168">
        <v>0</v>
      </c>
      <c r="AR168" t="s">
        <v>1</v>
      </c>
      <c r="AT168" s="2" t="s">
        <v>0</v>
      </c>
      <c r="AU168" s="1" t="e">
        <f t="shared" si="21"/>
        <v>#VALUE!</v>
      </c>
      <c r="AV168" s="1" t="e">
        <f t="shared" si="22"/>
        <v>#VALUE!</v>
      </c>
      <c r="AW168" s="1" t="e">
        <f t="shared" si="23"/>
        <v>#VALUE!</v>
      </c>
    </row>
    <row r="169" spans="1:49" x14ac:dyDescent="0.2">
      <c r="A169">
        <v>167</v>
      </c>
      <c r="B169" t="s">
        <v>8254</v>
      </c>
      <c r="C169" t="s">
        <v>8253</v>
      </c>
      <c r="D169" t="s">
        <v>8252</v>
      </c>
      <c r="F169" t="s">
        <v>8251</v>
      </c>
      <c r="G169" t="s">
        <v>5</v>
      </c>
      <c r="H169" t="s">
        <v>4</v>
      </c>
      <c r="I169" t="s">
        <v>686</v>
      </c>
      <c r="J169">
        <v>60011047</v>
      </c>
      <c r="K169" t="s">
        <v>59</v>
      </c>
      <c r="L169" t="s">
        <v>58</v>
      </c>
      <c r="M169" t="s">
        <v>12</v>
      </c>
      <c r="N169">
        <v>2</v>
      </c>
      <c r="O169" t="s">
        <v>8250</v>
      </c>
      <c r="P169" t="s">
        <v>8249</v>
      </c>
      <c r="Q169" t="s">
        <v>538</v>
      </c>
      <c r="R169" s="7">
        <v>36130</v>
      </c>
      <c r="S169" s="8">
        <f t="shared" si="16"/>
        <v>1998</v>
      </c>
      <c r="T169" s="8">
        <v>1998</v>
      </c>
      <c r="U169" s="8">
        <f t="shared" si="17"/>
        <v>24</v>
      </c>
      <c r="V169" s="7">
        <v>1998</v>
      </c>
      <c r="W169" t="s">
        <v>419</v>
      </c>
      <c r="X169" s="2">
        <v>1.3280000000000001</v>
      </c>
      <c r="Y169" s="6">
        <f t="shared" si="18"/>
        <v>3.5450201542937994E-2</v>
      </c>
      <c r="AA169">
        <v>7413335</v>
      </c>
      <c r="AB169">
        <v>29251</v>
      </c>
      <c r="AD169" t="s">
        <v>2</v>
      </c>
      <c r="AE169">
        <v>40</v>
      </c>
      <c r="AF169">
        <v>12</v>
      </c>
      <c r="AH169" t="s">
        <v>8248</v>
      </c>
      <c r="AI169" t="s">
        <v>8247</v>
      </c>
      <c r="AK169" t="s">
        <v>8246</v>
      </c>
      <c r="AL169">
        <v>11</v>
      </c>
      <c r="AM169" s="5">
        <f t="shared" si="19"/>
        <v>0.45833333333333331</v>
      </c>
      <c r="AN169" s="4">
        <f t="shared" si="20"/>
        <v>6.9418149690773695E-4</v>
      </c>
      <c r="AO169" s="3"/>
      <c r="AP169">
        <v>0</v>
      </c>
      <c r="AR169" t="s">
        <v>1</v>
      </c>
      <c r="AT169" s="2">
        <v>2.4580000000000002</v>
      </c>
      <c r="AU169" s="1">
        <f t="shared" si="21"/>
        <v>2.502339552912892</v>
      </c>
      <c r="AV169" s="1">
        <f t="shared" si="22"/>
        <v>1.8072191519922867</v>
      </c>
      <c r="AW169" s="1">
        <f t="shared" si="23"/>
        <v>1.1120987510716813</v>
      </c>
    </row>
    <row r="170" spans="1:49" x14ac:dyDescent="0.2">
      <c r="A170">
        <v>168</v>
      </c>
      <c r="B170" t="s">
        <v>8245</v>
      </c>
      <c r="C170" t="s">
        <v>8244</v>
      </c>
      <c r="D170" t="s">
        <v>8243</v>
      </c>
      <c r="F170" t="s">
        <v>8242</v>
      </c>
      <c r="G170" t="s">
        <v>5</v>
      </c>
      <c r="H170" t="s">
        <v>4</v>
      </c>
      <c r="I170" t="s">
        <v>8241</v>
      </c>
      <c r="J170" t="s">
        <v>8240</v>
      </c>
      <c r="K170" t="s">
        <v>8239</v>
      </c>
      <c r="L170" t="s">
        <v>8238</v>
      </c>
      <c r="M170" t="s">
        <v>6</v>
      </c>
      <c r="N170">
        <v>3</v>
      </c>
      <c r="O170" t="s">
        <v>8237</v>
      </c>
      <c r="P170" t="s">
        <v>8236</v>
      </c>
      <c r="Q170" t="s">
        <v>8235</v>
      </c>
      <c r="R170" s="7">
        <v>36130</v>
      </c>
      <c r="S170" s="8">
        <f t="shared" si="16"/>
        <v>1998</v>
      </c>
      <c r="T170" s="8">
        <v>1998</v>
      </c>
      <c r="U170" s="8">
        <f t="shared" si="17"/>
        <v>24</v>
      </c>
      <c r="V170" s="7">
        <v>36130</v>
      </c>
      <c r="W170" t="s">
        <v>1651</v>
      </c>
      <c r="X170" s="2">
        <v>0.89800000000000002</v>
      </c>
      <c r="Y170" s="6">
        <f t="shared" si="18"/>
        <v>2.3971597127679455E-2</v>
      </c>
      <c r="AA170">
        <v>9641726</v>
      </c>
      <c r="AB170">
        <v>29859</v>
      </c>
      <c r="AD170" t="s">
        <v>2</v>
      </c>
      <c r="AE170">
        <v>7</v>
      </c>
      <c r="AF170">
        <v>6</v>
      </c>
      <c r="AH170" t="s">
        <v>8234</v>
      </c>
      <c r="AI170" t="s">
        <v>8233</v>
      </c>
      <c r="AK170" t="s">
        <v>8232</v>
      </c>
      <c r="AL170">
        <v>15</v>
      </c>
      <c r="AM170" s="5">
        <f t="shared" si="19"/>
        <v>0.625</v>
      </c>
      <c r="AN170" s="4">
        <f t="shared" si="20"/>
        <v>9.4661113214691405E-4</v>
      </c>
      <c r="AO170" s="3"/>
      <c r="AP170">
        <v>0</v>
      </c>
      <c r="AR170" t="s">
        <v>1</v>
      </c>
      <c r="AT170" s="2">
        <v>3.585</v>
      </c>
      <c r="AU170" s="1">
        <f t="shared" si="21"/>
        <v>1.7064101329019692</v>
      </c>
      <c r="AV170" s="1">
        <f t="shared" si="22"/>
        <v>1.2459104129913185</v>
      </c>
      <c r="AW170" s="1">
        <f t="shared" si="23"/>
        <v>0.78541069308066758</v>
      </c>
    </row>
    <row r="171" spans="1:49" x14ac:dyDescent="0.2">
      <c r="A171">
        <v>169</v>
      </c>
      <c r="B171" t="s">
        <v>8231</v>
      </c>
      <c r="C171" t="s">
        <v>8230</v>
      </c>
      <c r="D171" t="s">
        <v>8229</v>
      </c>
      <c r="F171" t="s">
        <v>8228</v>
      </c>
      <c r="G171" t="s">
        <v>5</v>
      </c>
      <c r="H171" t="s">
        <v>4</v>
      </c>
      <c r="I171" t="s">
        <v>8227</v>
      </c>
      <c r="J171" t="s">
        <v>8226</v>
      </c>
      <c r="K171" t="s">
        <v>8225</v>
      </c>
      <c r="L171" t="s">
        <v>8224</v>
      </c>
      <c r="M171" t="s">
        <v>35</v>
      </c>
      <c r="N171">
        <v>5</v>
      </c>
      <c r="O171" t="s">
        <v>8223</v>
      </c>
      <c r="P171" t="s">
        <v>8222</v>
      </c>
      <c r="Q171" t="s">
        <v>8221</v>
      </c>
      <c r="R171" s="7">
        <v>36130</v>
      </c>
      <c r="S171" s="8">
        <f t="shared" si="16"/>
        <v>1998</v>
      </c>
      <c r="T171" s="8">
        <v>1998</v>
      </c>
      <c r="U171" s="8">
        <f t="shared" si="17"/>
        <v>24</v>
      </c>
      <c r="V171" s="7">
        <v>36130</v>
      </c>
      <c r="W171" t="s">
        <v>8220</v>
      </c>
      <c r="X171" s="2">
        <v>1.337</v>
      </c>
      <c r="Y171" s="6">
        <f t="shared" si="18"/>
        <v>3.5690451402792235E-2</v>
      </c>
      <c r="AA171">
        <v>7413106</v>
      </c>
      <c r="AB171">
        <v>26005</v>
      </c>
      <c r="AD171" t="s">
        <v>2</v>
      </c>
      <c r="AE171">
        <v>19</v>
      </c>
      <c r="AF171">
        <v>12</v>
      </c>
      <c r="AH171" t="s">
        <v>497</v>
      </c>
      <c r="AI171" t="s">
        <v>8219</v>
      </c>
      <c r="AJ171" t="s">
        <v>8218</v>
      </c>
      <c r="AK171" t="s">
        <v>8217</v>
      </c>
      <c r="AL171">
        <v>2</v>
      </c>
      <c r="AM171" s="5">
        <f t="shared" si="19"/>
        <v>8.3333333333333329E-2</v>
      </c>
      <c r="AN171" s="4">
        <f t="shared" si="20"/>
        <v>1.2621481761958852E-4</v>
      </c>
      <c r="AO171" s="3"/>
      <c r="AP171">
        <v>0</v>
      </c>
      <c r="AR171" t="s">
        <v>1</v>
      </c>
      <c r="AT171" s="2">
        <v>4.1870000000000003</v>
      </c>
      <c r="AU171" s="1">
        <f t="shared" si="21"/>
        <v>2.5021180427240437</v>
      </c>
      <c r="AV171" s="1">
        <f t="shared" si="22"/>
        <v>1.7908333110205912</v>
      </c>
      <c r="AW171" s="1">
        <f t="shared" si="23"/>
        <v>1.0795485793171382</v>
      </c>
    </row>
    <row r="172" spans="1:49" x14ac:dyDescent="0.2">
      <c r="A172">
        <v>170</v>
      </c>
      <c r="B172" t="s">
        <v>8216</v>
      </c>
      <c r="F172" t="s">
        <v>8215</v>
      </c>
      <c r="G172" t="s">
        <v>5</v>
      </c>
      <c r="H172" t="s">
        <v>4</v>
      </c>
      <c r="I172" t="s">
        <v>8214</v>
      </c>
      <c r="J172">
        <v>60032325</v>
      </c>
      <c r="K172" t="s">
        <v>112</v>
      </c>
      <c r="L172" t="s">
        <v>111</v>
      </c>
      <c r="M172" t="s">
        <v>12</v>
      </c>
      <c r="N172">
        <v>3</v>
      </c>
      <c r="O172" t="s">
        <v>8213</v>
      </c>
      <c r="P172" t="s">
        <v>8212</v>
      </c>
      <c r="Q172" t="s">
        <v>8211</v>
      </c>
      <c r="R172" s="7">
        <v>36130</v>
      </c>
      <c r="S172" s="8">
        <f t="shared" si="16"/>
        <v>1998</v>
      </c>
      <c r="T172" s="8">
        <v>1998</v>
      </c>
      <c r="U172" s="8">
        <f t="shared" si="17"/>
        <v>24</v>
      </c>
      <c r="V172" s="7">
        <v>1998</v>
      </c>
      <c r="W172" t="s">
        <v>8055</v>
      </c>
      <c r="X172" s="2" t="s">
        <v>0</v>
      </c>
      <c r="Y172" s="6" t="e">
        <f t="shared" si="18"/>
        <v>#VALUE!</v>
      </c>
      <c r="AA172">
        <v>9248625</v>
      </c>
      <c r="AB172">
        <v>12897</v>
      </c>
      <c r="AD172" t="s">
        <v>2</v>
      </c>
      <c r="AE172">
        <v>15</v>
      </c>
      <c r="AF172">
        <v>1</v>
      </c>
      <c r="AH172" t="s">
        <v>8210</v>
      </c>
      <c r="AI172" t="s">
        <v>8209</v>
      </c>
      <c r="AJ172" t="s">
        <v>8208</v>
      </c>
      <c r="AK172" t="s">
        <v>8207</v>
      </c>
      <c r="AL172">
        <v>2</v>
      </c>
      <c r="AM172" s="5">
        <f t="shared" si="19"/>
        <v>8.3333333333333329E-2</v>
      </c>
      <c r="AN172" s="4">
        <f t="shared" si="20"/>
        <v>1.2621481761958852E-4</v>
      </c>
      <c r="AO172" s="3"/>
      <c r="AP172">
        <v>0</v>
      </c>
      <c r="AR172" t="s">
        <v>1</v>
      </c>
      <c r="AT172" s="2" t="s">
        <v>0</v>
      </c>
      <c r="AU172" s="1" t="e">
        <f t="shared" si="21"/>
        <v>#VALUE!</v>
      </c>
      <c r="AV172" s="1" t="e">
        <f t="shared" si="22"/>
        <v>#VALUE!</v>
      </c>
      <c r="AW172" s="1" t="e">
        <f t="shared" si="23"/>
        <v>#VALUE!</v>
      </c>
    </row>
    <row r="173" spans="1:49" x14ac:dyDescent="0.2">
      <c r="A173">
        <v>171</v>
      </c>
      <c r="B173" t="s">
        <v>8206</v>
      </c>
      <c r="C173" t="s">
        <v>8205</v>
      </c>
      <c r="D173" t="s">
        <v>8204</v>
      </c>
      <c r="F173" t="s">
        <v>8203</v>
      </c>
      <c r="G173" t="s">
        <v>5</v>
      </c>
      <c r="H173" t="s">
        <v>4</v>
      </c>
      <c r="I173" t="s">
        <v>8202</v>
      </c>
      <c r="J173">
        <v>60022144</v>
      </c>
      <c r="K173" t="s">
        <v>90</v>
      </c>
      <c r="L173" t="s">
        <v>89</v>
      </c>
      <c r="M173" t="s">
        <v>9</v>
      </c>
      <c r="N173">
        <v>2</v>
      </c>
      <c r="O173" t="s">
        <v>8201</v>
      </c>
      <c r="P173" t="s">
        <v>8200</v>
      </c>
      <c r="Q173" t="s">
        <v>8199</v>
      </c>
      <c r="R173" s="7">
        <v>36130</v>
      </c>
      <c r="S173" s="8">
        <f t="shared" si="16"/>
        <v>1998</v>
      </c>
      <c r="T173" s="8">
        <v>1998</v>
      </c>
      <c r="U173" s="8">
        <f t="shared" si="17"/>
        <v>24</v>
      </c>
      <c r="V173" s="7">
        <v>36130</v>
      </c>
      <c r="W173" t="s">
        <v>88</v>
      </c>
      <c r="X173" s="2">
        <v>0.625</v>
      </c>
      <c r="Y173" s="6">
        <f t="shared" si="18"/>
        <v>1.6684018045433919E-2</v>
      </c>
      <c r="AA173">
        <v>304018</v>
      </c>
      <c r="AB173">
        <v>12352</v>
      </c>
      <c r="AD173" t="s">
        <v>2</v>
      </c>
      <c r="AE173">
        <v>157</v>
      </c>
      <c r="AF173" s="9">
        <v>44348</v>
      </c>
      <c r="AH173" t="s">
        <v>8198</v>
      </c>
      <c r="AI173" t="s">
        <v>8197</v>
      </c>
      <c r="AJ173" t="s">
        <v>8196</v>
      </c>
      <c r="AK173" t="s">
        <v>8195</v>
      </c>
      <c r="AL173">
        <v>10</v>
      </c>
      <c r="AM173" s="5">
        <f t="shared" si="19"/>
        <v>0.41666666666666669</v>
      </c>
      <c r="AN173" s="4">
        <f t="shared" si="20"/>
        <v>6.310740880979427E-4</v>
      </c>
      <c r="AO173" s="3"/>
      <c r="AP173">
        <v>0</v>
      </c>
      <c r="AQ173" t="s">
        <v>22</v>
      </c>
      <c r="AR173" t="s">
        <v>1</v>
      </c>
      <c r="AS173" t="s">
        <v>21</v>
      </c>
      <c r="AT173" s="2">
        <v>2.31</v>
      </c>
      <c r="AU173" s="1">
        <f t="shared" si="21"/>
        <v>1.1868134858233126</v>
      </c>
      <c r="AV173" s="1">
        <f t="shared" si="22"/>
        <v>0.86575460667659321</v>
      </c>
      <c r="AW173" s="1">
        <f t="shared" si="23"/>
        <v>0.54469572752987361</v>
      </c>
    </row>
    <row r="174" spans="1:49" x14ac:dyDescent="0.2">
      <c r="A174">
        <v>172</v>
      </c>
      <c r="B174" t="s">
        <v>8194</v>
      </c>
      <c r="C174" t="s">
        <v>8193</v>
      </c>
      <c r="F174" t="s">
        <v>8192</v>
      </c>
      <c r="G174" t="s">
        <v>5</v>
      </c>
      <c r="H174" t="s">
        <v>4</v>
      </c>
      <c r="I174" t="s">
        <v>8191</v>
      </c>
      <c r="J174">
        <v>60027251</v>
      </c>
      <c r="K174" t="s">
        <v>168</v>
      </c>
      <c r="L174" t="s">
        <v>167</v>
      </c>
      <c r="M174" t="s">
        <v>166</v>
      </c>
      <c r="N174">
        <v>2</v>
      </c>
      <c r="O174" t="s">
        <v>8190</v>
      </c>
      <c r="P174" t="s">
        <v>8189</v>
      </c>
      <c r="Q174" t="s">
        <v>8188</v>
      </c>
      <c r="R174" s="7">
        <v>36130</v>
      </c>
      <c r="S174" s="8">
        <f t="shared" si="16"/>
        <v>1998</v>
      </c>
      <c r="T174" s="8">
        <v>1998</v>
      </c>
      <c r="U174" s="8">
        <f t="shared" si="17"/>
        <v>24</v>
      </c>
      <c r="V174" s="7">
        <v>35796</v>
      </c>
      <c r="W174" t="s">
        <v>126</v>
      </c>
      <c r="X174" s="2">
        <v>0.30399999999999999</v>
      </c>
      <c r="Y174" s="6">
        <f t="shared" si="18"/>
        <v>8.115106377299057E-3</v>
      </c>
      <c r="AA174">
        <v>8952477</v>
      </c>
      <c r="AB174">
        <v>12250</v>
      </c>
      <c r="AD174" t="s">
        <v>2</v>
      </c>
      <c r="AE174">
        <v>19</v>
      </c>
      <c r="AF174">
        <v>6</v>
      </c>
      <c r="AH174" t="s">
        <v>8187</v>
      </c>
      <c r="AI174" t="s">
        <v>8186</v>
      </c>
      <c r="AK174" t="s">
        <v>8185</v>
      </c>
      <c r="AL174">
        <v>0</v>
      </c>
      <c r="AM174" s="5">
        <f t="shared" si="19"/>
        <v>0</v>
      </c>
      <c r="AN174" s="4">
        <f t="shared" si="20"/>
        <v>0</v>
      </c>
      <c r="AO174" s="3"/>
      <c r="AP174">
        <v>0</v>
      </c>
      <c r="AR174" t="s">
        <v>1</v>
      </c>
      <c r="AT174" s="2" t="s">
        <v>0</v>
      </c>
      <c r="AU174" s="1">
        <f t="shared" si="21"/>
        <v>0.56805744641093392</v>
      </c>
      <c r="AV174" s="1">
        <f t="shared" si="22"/>
        <v>0.40575531886495286</v>
      </c>
      <c r="AW174" s="1">
        <f t="shared" si="23"/>
        <v>0.24345319131897172</v>
      </c>
    </row>
    <row r="175" spans="1:49" x14ac:dyDescent="0.2">
      <c r="A175">
        <v>173</v>
      </c>
      <c r="B175" t="s">
        <v>8184</v>
      </c>
      <c r="C175" t="s">
        <v>8183</v>
      </c>
      <c r="D175" t="s">
        <v>8182</v>
      </c>
      <c r="F175" t="s">
        <v>8181</v>
      </c>
      <c r="G175" t="s">
        <v>5</v>
      </c>
      <c r="H175" t="s">
        <v>4</v>
      </c>
      <c r="I175" t="s">
        <v>645</v>
      </c>
      <c r="J175">
        <v>60014300</v>
      </c>
      <c r="K175" t="s">
        <v>4149</v>
      </c>
      <c r="L175" t="s">
        <v>4148</v>
      </c>
      <c r="M175" t="s">
        <v>9</v>
      </c>
      <c r="N175">
        <v>2</v>
      </c>
      <c r="O175" t="s">
        <v>8180</v>
      </c>
      <c r="P175" t="s">
        <v>8179</v>
      </c>
      <c r="Q175" t="s">
        <v>4468</v>
      </c>
      <c r="R175" s="7">
        <v>36130</v>
      </c>
      <c r="S175" s="8">
        <f t="shared" si="16"/>
        <v>1998</v>
      </c>
      <c r="T175" s="8">
        <v>1998</v>
      </c>
      <c r="U175" s="8">
        <f t="shared" si="17"/>
        <v>24</v>
      </c>
      <c r="V175" s="7">
        <v>1998</v>
      </c>
      <c r="W175" t="s">
        <v>256</v>
      </c>
      <c r="X175" s="2">
        <v>1.468</v>
      </c>
      <c r="Y175" s="6">
        <f t="shared" si="18"/>
        <v>3.9187421585115186E-2</v>
      </c>
      <c r="AA175">
        <v>906778</v>
      </c>
      <c r="AB175">
        <v>18931</v>
      </c>
      <c r="AD175" t="s">
        <v>2</v>
      </c>
      <c r="AE175">
        <v>46</v>
      </c>
      <c r="AF175">
        <v>12</v>
      </c>
      <c r="AH175" t="s">
        <v>8178</v>
      </c>
      <c r="AI175" t="s">
        <v>8177</v>
      </c>
      <c r="AJ175" t="s">
        <v>8176</v>
      </c>
      <c r="AK175" t="s">
        <v>8175</v>
      </c>
      <c r="AL175">
        <v>42</v>
      </c>
      <c r="AM175" s="5">
        <f t="shared" si="19"/>
        <v>1.75</v>
      </c>
      <c r="AN175" s="4">
        <f t="shared" si="20"/>
        <v>2.6505111700113595E-3</v>
      </c>
      <c r="AO175" s="3"/>
      <c r="AP175">
        <v>0</v>
      </c>
      <c r="AR175" t="s">
        <v>1</v>
      </c>
      <c r="AT175" s="2">
        <v>5.0830000000000002</v>
      </c>
      <c r="AU175" s="1">
        <f t="shared" si="21"/>
        <v>2.8226348460584036</v>
      </c>
      <c r="AV175" s="1">
        <f t="shared" si="22"/>
        <v>2.0918966377563275</v>
      </c>
      <c r="AW175" s="1">
        <f t="shared" si="23"/>
        <v>1.3611584294542507</v>
      </c>
    </row>
    <row r="176" spans="1:49" x14ac:dyDescent="0.2">
      <c r="A176">
        <v>174</v>
      </c>
      <c r="B176" t="s">
        <v>8174</v>
      </c>
      <c r="C176" t="s">
        <v>8173</v>
      </c>
      <c r="D176" t="s">
        <v>8172</v>
      </c>
      <c r="F176" t="s">
        <v>8171</v>
      </c>
      <c r="G176" t="s">
        <v>5</v>
      </c>
      <c r="H176" t="s">
        <v>4</v>
      </c>
      <c r="I176" t="s">
        <v>8170</v>
      </c>
      <c r="J176" t="s">
        <v>8169</v>
      </c>
      <c r="K176" t="s">
        <v>8168</v>
      </c>
      <c r="L176" t="s">
        <v>8167</v>
      </c>
      <c r="M176" t="s">
        <v>8166</v>
      </c>
      <c r="N176">
        <v>3</v>
      </c>
      <c r="O176" t="s">
        <v>8165</v>
      </c>
      <c r="P176" t="s">
        <v>8164</v>
      </c>
      <c r="Q176" t="s">
        <v>8163</v>
      </c>
      <c r="R176" s="7">
        <v>36130</v>
      </c>
      <c r="S176" s="8">
        <f t="shared" si="16"/>
        <v>1998</v>
      </c>
      <c r="T176" s="8">
        <v>1998</v>
      </c>
      <c r="U176" s="8">
        <f t="shared" si="17"/>
        <v>24</v>
      </c>
      <c r="V176" s="7">
        <v>1998</v>
      </c>
      <c r="W176" t="s">
        <v>492</v>
      </c>
      <c r="X176" s="2">
        <v>0.78200000000000003</v>
      </c>
      <c r="Y176" s="6">
        <f t="shared" si="18"/>
        <v>2.0875043378446919E-2</v>
      </c>
      <c r="AA176">
        <v>189316</v>
      </c>
      <c r="AB176">
        <v>19901</v>
      </c>
      <c r="AD176" t="s">
        <v>2</v>
      </c>
      <c r="AE176">
        <v>44</v>
      </c>
      <c r="AF176">
        <v>4</v>
      </c>
      <c r="AH176" t="s">
        <v>8162</v>
      </c>
      <c r="AI176" t="s">
        <v>8161</v>
      </c>
      <c r="AK176" t="s">
        <v>8160</v>
      </c>
      <c r="AL176">
        <v>10</v>
      </c>
      <c r="AM176" s="5">
        <f t="shared" si="19"/>
        <v>0.41666666666666669</v>
      </c>
      <c r="AN176" s="4">
        <f t="shared" si="20"/>
        <v>6.310740880979427E-4</v>
      </c>
      <c r="AO176" s="3"/>
      <c r="AP176">
        <v>0</v>
      </c>
      <c r="AR176" t="s">
        <v>1</v>
      </c>
      <c r="AT176" s="2">
        <v>3.863</v>
      </c>
      <c r="AU176" s="1">
        <f t="shared" si="21"/>
        <v>1.4801852591342224</v>
      </c>
      <c r="AV176" s="1">
        <f t="shared" si="22"/>
        <v>1.0753058733272431</v>
      </c>
      <c r="AW176" s="1">
        <f t="shared" si="23"/>
        <v>0.67042648752026357</v>
      </c>
    </row>
    <row r="177" spans="1:49" x14ac:dyDescent="0.2">
      <c r="A177">
        <v>175</v>
      </c>
      <c r="B177" t="s">
        <v>8159</v>
      </c>
      <c r="C177" t="s">
        <v>8158</v>
      </c>
      <c r="D177" t="s">
        <v>8157</v>
      </c>
      <c r="F177" t="s">
        <v>8156</v>
      </c>
      <c r="G177" t="s">
        <v>5</v>
      </c>
      <c r="H177" t="s">
        <v>4</v>
      </c>
      <c r="I177" t="s">
        <v>8155</v>
      </c>
      <c r="J177" t="s">
        <v>8154</v>
      </c>
      <c r="K177" t="s">
        <v>8153</v>
      </c>
      <c r="L177" t="s">
        <v>8152</v>
      </c>
      <c r="M177" t="s">
        <v>4606</v>
      </c>
      <c r="N177">
        <v>3</v>
      </c>
      <c r="O177" t="s">
        <v>8151</v>
      </c>
      <c r="P177" t="s">
        <v>8150</v>
      </c>
      <c r="Q177" t="s">
        <v>8149</v>
      </c>
      <c r="R177" s="7">
        <v>36130</v>
      </c>
      <c r="S177" s="8">
        <f t="shared" si="16"/>
        <v>1998</v>
      </c>
      <c r="T177" s="8">
        <v>1998</v>
      </c>
      <c r="U177" s="8">
        <f t="shared" si="17"/>
        <v>24</v>
      </c>
      <c r="V177" s="7">
        <v>1998</v>
      </c>
      <c r="W177" t="s">
        <v>8148</v>
      </c>
      <c r="X177" s="2">
        <v>0.46700000000000003</v>
      </c>
      <c r="Y177" s="6">
        <f t="shared" si="18"/>
        <v>1.2466298283548225E-2</v>
      </c>
      <c r="AA177">
        <v>10518223</v>
      </c>
      <c r="AB177">
        <v>26026</v>
      </c>
      <c r="AD177" t="s">
        <v>2</v>
      </c>
      <c r="AE177">
        <v>8</v>
      </c>
      <c r="AF177">
        <v>4</v>
      </c>
      <c r="AH177" t="s">
        <v>8147</v>
      </c>
      <c r="AI177" t="s">
        <v>8146</v>
      </c>
      <c r="AJ177" t="s">
        <v>8145</v>
      </c>
      <c r="AK177" t="s">
        <v>8144</v>
      </c>
      <c r="AL177">
        <v>16</v>
      </c>
      <c r="AM177" s="5">
        <f t="shared" si="19"/>
        <v>0.66666666666666663</v>
      </c>
      <c r="AN177" s="4">
        <f t="shared" si="20"/>
        <v>1.0097185409567082E-3</v>
      </c>
      <c r="AO177" s="3"/>
      <c r="AP177">
        <v>0</v>
      </c>
      <c r="AQ177" t="s">
        <v>118</v>
      </c>
      <c r="AR177" t="s">
        <v>1</v>
      </c>
      <c r="AS177" t="s">
        <v>117</v>
      </c>
      <c r="AT177" s="2" t="s">
        <v>0</v>
      </c>
      <c r="AU177" s="1">
        <f t="shared" si="21"/>
        <v>0.90293243607707707</v>
      </c>
      <c r="AV177" s="1">
        <f t="shared" si="22"/>
        <v>0.67380084122524664</v>
      </c>
      <c r="AW177" s="1">
        <f t="shared" si="23"/>
        <v>0.44466924637341632</v>
      </c>
    </row>
    <row r="178" spans="1:49" x14ac:dyDescent="0.2">
      <c r="A178">
        <v>176</v>
      </c>
      <c r="B178" t="s">
        <v>8143</v>
      </c>
      <c r="C178" t="s">
        <v>8142</v>
      </c>
      <c r="D178" t="s">
        <v>8141</v>
      </c>
      <c r="F178" t="s">
        <v>8140</v>
      </c>
      <c r="G178" t="s">
        <v>5</v>
      </c>
      <c r="H178" t="s">
        <v>4</v>
      </c>
      <c r="I178" t="s">
        <v>754</v>
      </c>
      <c r="J178">
        <v>60013983</v>
      </c>
      <c r="K178" t="s">
        <v>34</v>
      </c>
      <c r="L178" t="s">
        <v>33</v>
      </c>
      <c r="M178" t="s">
        <v>32</v>
      </c>
      <c r="N178">
        <v>1</v>
      </c>
      <c r="O178" t="s">
        <v>8139</v>
      </c>
      <c r="P178">
        <v>56415172000</v>
      </c>
      <c r="Q178">
        <v>60013983</v>
      </c>
      <c r="R178" s="7">
        <v>36130</v>
      </c>
      <c r="S178" s="8">
        <f t="shared" si="16"/>
        <v>1998</v>
      </c>
      <c r="T178" s="8">
        <v>1998</v>
      </c>
      <c r="U178" s="8">
        <f t="shared" si="17"/>
        <v>24</v>
      </c>
      <c r="V178" s="7">
        <v>1998</v>
      </c>
      <c r="W178" t="s">
        <v>303</v>
      </c>
      <c r="X178" s="2">
        <v>1.3720000000000001</v>
      </c>
      <c r="Y178" s="6">
        <f t="shared" si="18"/>
        <v>3.662475641333654E-2</v>
      </c>
      <c r="AA178">
        <v>189480</v>
      </c>
      <c r="AB178">
        <v>17366</v>
      </c>
      <c r="AD178" t="s">
        <v>2</v>
      </c>
      <c r="AE178">
        <v>46</v>
      </c>
      <c r="AF178" t="s">
        <v>7990</v>
      </c>
      <c r="AH178" t="s">
        <v>8138</v>
      </c>
      <c r="AI178" t="s">
        <v>8137</v>
      </c>
      <c r="AJ178" t="s">
        <v>8136</v>
      </c>
      <c r="AK178" t="s">
        <v>8135</v>
      </c>
      <c r="AL178">
        <v>33</v>
      </c>
      <c r="AM178" s="5">
        <f t="shared" si="19"/>
        <v>1.375</v>
      </c>
      <c r="AN178" s="4">
        <f t="shared" si="20"/>
        <v>2.0825444907232107E-3</v>
      </c>
      <c r="AO178" s="3"/>
      <c r="AP178">
        <v>0</v>
      </c>
      <c r="AR178" t="s">
        <v>8134</v>
      </c>
      <c r="AT178" s="2" t="s">
        <v>0</v>
      </c>
      <c r="AU178" s="1">
        <f t="shared" si="21"/>
        <v>2.6262092836552542</v>
      </c>
      <c r="AV178" s="1">
        <f t="shared" si="22"/>
        <v>1.9353650452029876</v>
      </c>
      <c r="AW178" s="1">
        <f t="shared" si="23"/>
        <v>1.244520806750721</v>
      </c>
    </row>
    <row r="179" spans="1:49" x14ac:dyDescent="0.2">
      <c r="A179">
        <v>177</v>
      </c>
      <c r="B179" t="s">
        <v>8133</v>
      </c>
      <c r="C179" t="s">
        <v>8132</v>
      </c>
      <c r="D179" t="s">
        <v>8131</v>
      </c>
      <c r="F179" t="s">
        <v>8130</v>
      </c>
      <c r="G179" t="s">
        <v>5</v>
      </c>
      <c r="H179" t="s">
        <v>4</v>
      </c>
      <c r="I179" t="s">
        <v>8129</v>
      </c>
      <c r="J179">
        <v>60032350</v>
      </c>
      <c r="K179" t="s">
        <v>547</v>
      </c>
      <c r="L179" t="s">
        <v>477</v>
      </c>
      <c r="M179" t="s">
        <v>195</v>
      </c>
      <c r="N179">
        <v>4</v>
      </c>
      <c r="O179" t="s">
        <v>8128</v>
      </c>
      <c r="P179" t="s">
        <v>8127</v>
      </c>
      <c r="Q179" t="s">
        <v>8126</v>
      </c>
      <c r="R179" s="7">
        <v>36130</v>
      </c>
      <c r="S179" s="8">
        <f t="shared" si="16"/>
        <v>1998</v>
      </c>
      <c r="T179" s="8">
        <v>1998</v>
      </c>
      <c r="U179" s="8">
        <f t="shared" si="17"/>
        <v>24</v>
      </c>
      <c r="V179" s="7">
        <v>1998</v>
      </c>
      <c r="W179" t="s">
        <v>303</v>
      </c>
      <c r="X179" s="2">
        <v>1.3720000000000001</v>
      </c>
      <c r="Y179" s="6">
        <f t="shared" si="18"/>
        <v>3.662475641333654E-2</v>
      </c>
      <c r="AA179">
        <v>189480</v>
      </c>
      <c r="AB179">
        <v>17366</v>
      </c>
      <c r="AD179" t="s">
        <v>2</v>
      </c>
      <c r="AE179">
        <v>46</v>
      </c>
      <c r="AF179" t="s">
        <v>7990</v>
      </c>
      <c r="AH179" t="s">
        <v>8125</v>
      </c>
      <c r="AI179" t="s">
        <v>8124</v>
      </c>
      <c r="AJ179" t="s">
        <v>8123</v>
      </c>
      <c r="AK179" t="s">
        <v>8122</v>
      </c>
      <c r="AL179">
        <v>154</v>
      </c>
      <c r="AM179" s="5">
        <f t="shared" si="19"/>
        <v>6.416666666666667</v>
      </c>
      <c r="AN179" s="4">
        <f t="shared" si="20"/>
        <v>9.7185409567083179E-3</v>
      </c>
      <c r="AO179" s="3"/>
      <c r="AP179">
        <v>0</v>
      </c>
      <c r="AQ179" t="s">
        <v>861</v>
      </c>
      <c r="AR179" t="s">
        <v>8121</v>
      </c>
      <c r="AS179" t="s">
        <v>478</v>
      </c>
      <c r="AT179" s="2" t="s">
        <v>0</v>
      </c>
      <c r="AU179" s="1">
        <f t="shared" si="21"/>
        <v>2.8552891776348073</v>
      </c>
      <c r="AV179" s="1">
        <f t="shared" si="22"/>
        <v>2.317164868502243</v>
      </c>
      <c r="AW179" s="1">
        <f t="shared" si="23"/>
        <v>1.7790405593696785</v>
      </c>
    </row>
    <row r="180" spans="1:49" x14ac:dyDescent="0.2">
      <c r="A180">
        <v>178</v>
      </c>
      <c r="B180" t="s">
        <v>8120</v>
      </c>
      <c r="C180" t="s">
        <v>8119</v>
      </c>
      <c r="D180" t="s">
        <v>8118</v>
      </c>
      <c r="F180" t="s">
        <v>8117</v>
      </c>
      <c r="G180" t="s">
        <v>5</v>
      </c>
      <c r="H180" t="s">
        <v>4</v>
      </c>
      <c r="I180" t="s">
        <v>8116</v>
      </c>
      <c r="J180" t="s">
        <v>8115</v>
      </c>
      <c r="K180" t="s">
        <v>8114</v>
      </c>
      <c r="L180" t="s">
        <v>8113</v>
      </c>
      <c r="M180" t="s">
        <v>8112</v>
      </c>
      <c r="N180">
        <v>3</v>
      </c>
      <c r="O180" t="s">
        <v>8111</v>
      </c>
      <c r="P180" t="s">
        <v>8110</v>
      </c>
      <c r="Q180" t="s">
        <v>8109</v>
      </c>
      <c r="R180" s="7">
        <v>36130</v>
      </c>
      <c r="S180" s="8">
        <f t="shared" si="16"/>
        <v>1998</v>
      </c>
      <c r="T180" s="8">
        <v>1998</v>
      </c>
      <c r="U180" s="8">
        <f t="shared" si="17"/>
        <v>24</v>
      </c>
      <c r="V180" s="7">
        <v>1998</v>
      </c>
      <c r="W180" t="s">
        <v>8108</v>
      </c>
      <c r="X180" s="2">
        <v>1.9350000000000001</v>
      </c>
      <c r="Y180" s="6">
        <f t="shared" si="18"/>
        <v>5.1653719868663413E-2</v>
      </c>
      <c r="AA180">
        <v>10834435</v>
      </c>
      <c r="AB180">
        <v>19113</v>
      </c>
      <c r="AD180" t="s">
        <v>2</v>
      </c>
      <c r="AE180">
        <v>3</v>
      </c>
      <c r="AF180">
        <v>4</v>
      </c>
      <c r="AH180" t="s">
        <v>8107</v>
      </c>
      <c r="AI180" t="s">
        <v>8106</v>
      </c>
      <c r="AJ180" t="s">
        <v>8105</v>
      </c>
      <c r="AK180" t="s">
        <v>8104</v>
      </c>
      <c r="AL180">
        <v>42</v>
      </c>
      <c r="AM180" s="5">
        <f t="shared" si="19"/>
        <v>1.75</v>
      </c>
      <c r="AN180" s="4">
        <f t="shared" si="20"/>
        <v>2.6505111700113595E-3</v>
      </c>
      <c r="AO180" s="3"/>
      <c r="AP180">
        <v>0</v>
      </c>
      <c r="AR180" t="s">
        <v>1</v>
      </c>
      <c r="AT180" s="2" t="s">
        <v>0</v>
      </c>
      <c r="AU180" s="1">
        <f t="shared" si="21"/>
        <v>3.6952757259067792</v>
      </c>
      <c r="AV180" s="1">
        <f t="shared" si="22"/>
        <v>2.7152115519337388</v>
      </c>
      <c r="AW180" s="1">
        <f t="shared" si="23"/>
        <v>1.7351473779606976</v>
      </c>
    </row>
    <row r="181" spans="1:49" x14ac:dyDescent="0.2">
      <c r="A181">
        <v>179</v>
      </c>
      <c r="B181" t="s">
        <v>8103</v>
      </c>
      <c r="C181" t="s">
        <v>8102</v>
      </c>
      <c r="D181" t="s">
        <v>8101</v>
      </c>
      <c r="F181" t="s">
        <v>8100</v>
      </c>
      <c r="G181" t="s">
        <v>5</v>
      </c>
      <c r="H181" t="s">
        <v>4</v>
      </c>
      <c r="I181" t="s">
        <v>8099</v>
      </c>
      <c r="J181" t="s">
        <v>8098</v>
      </c>
      <c r="K181" t="s">
        <v>8097</v>
      </c>
      <c r="L181" t="s">
        <v>8096</v>
      </c>
      <c r="M181" t="s">
        <v>6</v>
      </c>
      <c r="N181">
        <v>1</v>
      </c>
      <c r="O181" t="s">
        <v>8095</v>
      </c>
      <c r="P181">
        <v>7401650329</v>
      </c>
      <c r="Q181" t="s">
        <v>8094</v>
      </c>
      <c r="R181" s="7">
        <v>36130</v>
      </c>
      <c r="S181" s="8">
        <f t="shared" si="16"/>
        <v>1998</v>
      </c>
      <c r="T181" s="8">
        <v>1998</v>
      </c>
      <c r="U181" s="8">
        <f t="shared" si="17"/>
        <v>24</v>
      </c>
      <c r="V181" s="7">
        <v>1998</v>
      </c>
      <c r="W181" t="s">
        <v>303</v>
      </c>
      <c r="X181" s="2">
        <v>1.3720000000000001</v>
      </c>
      <c r="Y181" s="6">
        <f t="shared" si="18"/>
        <v>3.662475641333654E-2</v>
      </c>
      <c r="AA181">
        <v>189480</v>
      </c>
      <c r="AB181">
        <v>17366</v>
      </c>
      <c r="AD181" t="s">
        <v>2</v>
      </c>
      <c r="AE181">
        <v>46</v>
      </c>
      <c r="AF181" t="s">
        <v>7990</v>
      </c>
      <c r="AH181" t="s">
        <v>8093</v>
      </c>
      <c r="AI181" t="s">
        <v>8092</v>
      </c>
      <c r="AJ181" t="s">
        <v>8091</v>
      </c>
      <c r="AK181" t="s">
        <v>8090</v>
      </c>
      <c r="AL181">
        <v>10</v>
      </c>
      <c r="AM181" s="5">
        <f t="shared" si="19"/>
        <v>0.41666666666666669</v>
      </c>
      <c r="AN181" s="4">
        <f t="shared" si="20"/>
        <v>6.310740880979427E-4</v>
      </c>
      <c r="AO181" s="3"/>
      <c r="AP181">
        <v>0</v>
      </c>
      <c r="AQ181" t="s">
        <v>17</v>
      </c>
      <c r="AR181" t="s">
        <v>1</v>
      </c>
      <c r="AS181" t="s">
        <v>16</v>
      </c>
      <c r="AT181" s="2" t="s">
        <v>0</v>
      </c>
      <c r="AU181" s="1">
        <f t="shared" si="21"/>
        <v>2.5826651715764961</v>
      </c>
      <c r="AV181" s="1">
        <f t="shared" si="22"/>
        <v>1.862791525071724</v>
      </c>
      <c r="AW181" s="1">
        <f t="shared" si="23"/>
        <v>1.1429178785669523</v>
      </c>
    </row>
    <row r="182" spans="1:49" x14ac:dyDescent="0.2">
      <c r="A182">
        <v>180</v>
      </c>
      <c r="B182" t="s">
        <v>8089</v>
      </c>
      <c r="C182" t="s">
        <v>8088</v>
      </c>
      <c r="F182" t="s">
        <v>8087</v>
      </c>
      <c r="G182" t="s">
        <v>5</v>
      </c>
      <c r="H182" t="s">
        <v>4</v>
      </c>
      <c r="I182" t="s">
        <v>5845</v>
      </c>
      <c r="J182">
        <v>60019722</v>
      </c>
      <c r="K182" t="s">
        <v>5661</v>
      </c>
      <c r="L182" t="s">
        <v>40</v>
      </c>
      <c r="M182" t="s">
        <v>37</v>
      </c>
      <c r="N182">
        <v>2</v>
      </c>
      <c r="O182" t="s">
        <v>8086</v>
      </c>
      <c r="P182" t="s">
        <v>8085</v>
      </c>
      <c r="Q182" t="s">
        <v>5718</v>
      </c>
      <c r="R182" s="7">
        <v>36130</v>
      </c>
      <c r="S182" s="8">
        <f t="shared" si="16"/>
        <v>1998</v>
      </c>
      <c r="T182" s="8">
        <v>1998</v>
      </c>
      <c r="U182" s="8">
        <f t="shared" si="17"/>
        <v>24</v>
      </c>
      <c r="V182" s="7">
        <v>1998</v>
      </c>
      <c r="W182" t="s">
        <v>303</v>
      </c>
      <c r="X182" s="2">
        <v>1.3720000000000001</v>
      </c>
      <c r="Y182" s="6">
        <f t="shared" si="18"/>
        <v>3.662475641333654E-2</v>
      </c>
      <c r="AA182">
        <v>189480</v>
      </c>
      <c r="AB182">
        <v>17366</v>
      </c>
      <c r="AD182" t="s">
        <v>2</v>
      </c>
      <c r="AE182">
        <v>46</v>
      </c>
      <c r="AF182" t="s">
        <v>7950</v>
      </c>
      <c r="AH182" t="s">
        <v>8084</v>
      </c>
      <c r="AI182" t="s">
        <v>8083</v>
      </c>
      <c r="AK182" t="s">
        <v>8082</v>
      </c>
      <c r="AL182">
        <v>3</v>
      </c>
      <c r="AM182" s="5">
        <f t="shared" si="19"/>
        <v>0.125</v>
      </c>
      <c r="AN182" s="4">
        <f t="shared" si="20"/>
        <v>1.893222264293828E-4</v>
      </c>
      <c r="AO182" s="3"/>
      <c r="AP182">
        <v>0</v>
      </c>
      <c r="AR182" t="s">
        <v>1</v>
      </c>
      <c r="AT182" s="2" t="s">
        <v>0</v>
      </c>
      <c r="AU182" s="1">
        <f t="shared" si="21"/>
        <v>2.569412615726439</v>
      </c>
      <c r="AV182" s="1">
        <f t="shared" si="22"/>
        <v>1.8407039319882961</v>
      </c>
      <c r="AW182" s="1">
        <f t="shared" si="23"/>
        <v>1.1119952482501532</v>
      </c>
    </row>
    <row r="183" spans="1:49" x14ac:dyDescent="0.2">
      <c r="A183">
        <v>181</v>
      </c>
      <c r="B183" t="s">
        <v>8081</v>
      </c>
      <c r="C183" t="s">
        <v>8080</v>
      </c>
      <c r="F183" t="s">
        <v>8079</v>
      </c>
      <c r="G183" t="s">
        <v>5</v>
      </c>
      <c r="H183" t="s">
        <v>4</v>
      </c>
      <c r="I183" t="s">
        <v>8078</v>
      </c>
      <c r="J183">
        <v>60104219</v>
      </c>
      <c r="K183" t="s">
        <v>8077</v>
      </c>
      <c r="L183" t="s">
        <v>201</v>
      </c>
      <c r="M183" t="s">
        <v>12</v>
      </c>
      <c r="N183">
        <v>3</v>
      </c>
      <c r="O183" t="s">
        <v>8076</v>
      </c>
      <c r="P183" t="s">
        <v>8075</v>
      </c>
      <c r="Q183" t="s">
        <v>8074</v>
      </c>
      <c r="R183" s="7">
        <v>36130</v>
      </c>
      <c r="S183" s="8">
        <f t="shared" si="16"/>
        <v>1998</v>
      </c>
      <c r="T183" s="8">
        <v>1998</v>
      </c>
      <c r="U183" s="8">
        <f t="shared" si="17"/>
        <v>24</v>
      </c>
      <c r="V183" s="7">
        <v>1998</v>
      </c>
      <c r="W183" t="s">
        <v>303</v>
      </c>
      <c r="X183" s="2">
        <v>1.3720000000000001</v>
      </c>
      <c r="Y183" s="6">
        <f t="shared" si="18"/>
        <v>3.662475641333654E-2</v>
      </c>
      <c r="AA183">
        <v>189480</v>
      </c>
      <c r="AB183">
        <v>17366</v>
      </c>
      <c r="AD183" t="s">
        <v>2</v>
      </c>
      <c r="AE183">
        <v>46</v>
      </c>
      <c r="AF183" t="s">
        <v>7950</v>
      </c>
      <c r="AH183" t="s">
        <v>8073</v>
      </c>
      <c r="AI183" t="s">
        <v>8072</v>
      </c>
      <c r="AK183" t="s">
        <v>8071</v>
      </c>
      <c r="AL183">
        <v>416</v>
      </c>
      <c r="AM183" s="5">
        <f t="shared" si="19"/>
        <v>17.333333333333332</v>
      </c>
      <c r="AN183" s="4">
        <f t="shared" si="20"/>
        <v>2.6252682064874414E-2</v>
      </c>
      <c r="AO183" s="3"/>
      <c r="AP183">
        <v>0</v>
      </c>
      <c r="AR183" t="s">
        <v>1</v>
      </c>
      <c r="AT183" s="2" t="s">
        <v>0</v>
      </c>
      <c r="AU183" s="1">
        <f t="shared" si="21"/>
        <v>3.35131341087979</v>
      </c>
      <c r="AV183" s="1">
        <f t="shared" si="22"/>
        <v>3.1438719239105475</v>
      </c>
      <c r="AW183" s="1">
        <f t="shared" si="23"/>
        <v>2.936430436941305</v>
      </c>
    </row>
    <row r="184" spans="1:49" x14ac:dyDescent="0.2">
      <c r="A184">
        <v>182</v>
      </c>
      <c r="B184" t="s">
        <v>8070</v>
      </c>
      <c r="C184" t="s">
        <v>8069</v>
      </c>
      <c r="F184" t="s">
        <v>8068</v>
      </c>
      <c r="G184" t="s">
        <v>5</v>
      </c>
      <c r="H184" t="s">
        <v>4</v>
      </c>
      <c r="I184" t="s">
        <v>8067</v>
      </c>
      <c r="J184">
        <v>60022195</v>
      </c>
      <c r="K184" t="s">
        <v>220</v>
      </c>
      <c r="L184" t="s">
        <v>140</v>
      </c>
      <c r="M184" t="s">
        <v>9</v>
      </c>
      <c r="N184">
        <v>1</v>
      </c>
      <c r="O184" t="s">
        <v>8066</v>
      </c>
      <c r="P184">
        <v>6603733469</v>
      </c>
      <c r="Q184">
        <v>60022195</v>
      </c>
      <c r="R184" s="7">
        <v>36130</v>
      </c>
      <c r="S184" s="8">
        <f t="shared" si="16"/>
        <v>1998</v>
      </c>
      <c r="T184" s="8">
        <v>1998</v>
      </c>
      <c r="U184" s="8">
        <f t="shared" si="17"/>
        <v>24</v>
      </c>
      <c r="V184" s="7">
        <v>36130</v>
      </c>
      <c r="W184" t="s">
        <v>1593</v>
      </c>
      <c r="X184" s="2">
        <v>0.39600000000000002</v>
      </c>
      <c r="Y184" s="6">
        <f t="shared" si="18"/>
        <v>1.0570993833586931E-2</v>
      </c>
      <c r="AA184">
        <v>8858985</v>
      </c>
      <c r="AB184">
        <v>25993</v>
      </c>
      <c r="AD184" t="s">
        <v>2</v>
      </c>
      <c r="AE184">
        <v>13</v>
      </c>
      <c r="AF184">
        <v>12</v>
      </c>
      <c r="AH184" t="s">
        <v>8065</v>
      </c>
      <c r="AI184" t="s">
        <v>8064</v>
      </c>
      <c r="AK184" t="s">
        <v>8063</v>
      </c>
      <c r="AL184">
        <v>5</v>
      </c>
      <c r="AM184" s="5">
        <f t="shared" si="19"/>
        <v>0.20833333333333334</v>
      </c>
      <c r="AN184" s="4">
        <f t="shared" si="20"/>
        <v>3.1553704404897135E-4</v>
      </c>
      <c r="AO184" s="3"/>
      <c r="AP184">
        <v>0</v>
      </c>
      <c r="AR184" t="s">
        <v>1</v>
      </c>
      <c r="AT184" s="2" t="s">
        <v>0</v>
      </c>
      <c r="AU184" s="1">
        <f t="shared" si="21"/>
        <v>0.74943567967255431</v>
      </c>
      <c r="AV184" s="1">
        <f t="shared" si="22"/>
        <v>0.54432654388179513</v>
      </c>
      <c r="AW184" s="1">
        <f t="shared" si="23"/>
        <v>0.3392174080910359</v>
      </c>
    </row>
    <row r="185" spans="1:49" x14ac:dyDescent="0.2">
      <c r="A185">
        <v>183</v>
      </c>
      <c r="B185" t="s">
        <v>8062</v>
      </c>
      <c r="F185" t="s">
        <v>8061</v>
      </c>
      <c r="G185" t="s">
        <v>5</v>
      </c>
      <c r="H185" t="s">
        <v>4</v>
      </c>
      <c r="I185" t="s">
        <v>8060</v>
      </c>
      <c r="J185">
        <v>100338276</v>
      </c>
      <c r="K185" t="s">
        <v>8059</v>
      </c>
      <c r="L185" t="s">
        <v>4725</v>
      </c>
      <c r="M185" t="s">
        <v>9</v>
      </c>
      <c r="N185">
        <v>2</v>
      </c>
      <c r="O185" t="s">
        <v>8058</v>
      </c>
      <c r="P185" t="s">
        <v>8057</v>
      </c>
      <c r="Q185" t="s">
        <v>8056</v>
      </c>
      <c r="R185" s="7">
        <v>36130</v>
      </c>
      <c r="S185" s="8">
        <f t="shared" si="16"/>
        <v>1998</v>
      </c>
      <c r="T185" s="8">
        <v>1998</v>
      </c>
      <c r="U185" s="8">
        <f t="shared" si="17"/>
        <v>24</v>
      </c>
      <c r="V185" s="7">
        <v>1998</v>
      </c>
      <c r="W185" t="s">
        <v>8055</v>
      </c>
      <c r="X185" s="2" t="s">
        <v>0</v>
      </c>
      <c r="Y185" s="6" t="e">
        <f t="shared" si="18"/>
        <v>#VALUE!</v>
      </c>
      <c r="AA185">
        <v>9248625</v>
      </c>
      <c r="AB185">
        <v>12897</v>
      </c>
      <c r="AD185" t="s">
        <v>2</v>
      </c>
      <c r="AE185">
        <v>15</v>
      </c>
      <c r="AF185">
        <v>1</v>
      </c>
      <c r="AH185" s="10">
        <v>43466</v>
      </c>
      <c r="AI185" t="s">
        <v>8054</v>
      </c>
      <c r="AK185" t="s">
        <v>8053</v>
      </c>
      <c r="AL185">
        <v>9</v>
      </c>
      <c r="AM185" s="5">
        <f t="shared" si="19"/>
        <v>0.375</v>
      </c>
      <c r="AN185" s="4">
        <f t="shared" si="20"/>
        <v>5.6796667928814845E-4</v>
      </c>
      <c r="AO185" s="3"/>
      <c r="AP185">
        <v>0</v>
      </c>
      <c r="AR185" t="s">
        <v>1</v>
      </c>
      <c r="AT185" s="2" t="s">
        <v>0</v>
      </c>
      <c r="AU185" s="1" t="e">
        <f t="shared" si="21"/>
        <v>#VALUE!</v>
      </c>
      <c r="AV185" s="1" t="e">
        <f t="shared" si="22"/>
        <v>#VALUE!</v>
      </c>
      <c r="AW185" s="1" t="e">
        <f t="shared" si="23"/>
        <v>#VALUE!</v>
      </c>
    </row>
    <row r="186" spans="1:49" x14ac:dyDescent="0.2">
      <c r="A186">
        <v>184</v>
      </c>
      <c r="B186" t="s">
        <v>8052</v>
      </c>
      <c r="C186" t="s">
        <v>8051</v>
      </c>
      <c r="F186" t="s">
        <v>8050</v>
      </c>
      <c r="G186" t="s">
        <v>5</v>
      </c>
      <c r="H186" t="s">
        <v>4</v>
      </c>
      <c r="I186" t="s">
        <v>8049</v>
      </c>
      <c r="J186">
        <v>60019118</v>
      </c>
      <c r="K186" t="s">
        <v>8048</v>
      </c>
      <c r="L186" t="s">
        <v>2130</v>
      </c>
      <c r="M186" t="s">
        <v>82</v>
      </c>
      <c r="N186">
        <v>4</v>
      </c>
      <c r="O186" t="s">
        <v>8047</v>
      </c>
      <c r="P186" t="s">
        <v>8046</v>
      </c>
      <c r="Q186" t="s">
        <v>8045</v>
      </c>
      <c r="R186" s="7">
        <v>36130</v>
      </c>
      <c r="S186" s="8">
        <f t="shared" si="16"/>
        <v>1998</v>
      </c>
      <c r="T186" s="8">
        <v>1998</v>
      </c>
      <c r="U186" s="8">
        <f t="shared" si="17"/>
        <v>24</v>
      </c>
      <c r="V186" s="7">
        <v>1998</v>
      </c>
      <c r="W186" t="s">
        <v>303</v>
      </c>
      <c r="X186" s="2">
        <v>1.3720000000000001</v>
      </c>
      <c r="Y186" s="6">
        <f t="shared" si="18"/>
        <v>3.662475641333654E-2</v>
      </c>
      <c r="AA186">
        <v>189480</v>
      </c>
      <c r="AB186">
        <v>17366</v>
      </c>
      <c r="AD186" t="s">
        <v>2</v>
      </c>
      <c r="AE186">
        <v>46</v>
      </c>
      <c r="AF186" t="s">
        <v>7950</v>
      </c>
      <c r="AH186" t="s">
        <v>8044</v>
      </c>
      <c r="AI186" t="s">
        <v>8043</v>
      </c>
      <c r="AK186" t="s">
        <v>8042</v>
      </c>
      <c r="AL186">
        <v>16</v>
      </c>
      <c r="AM186" s="5">
        <f t="shared" si="19"/>
        <v>0.66666666666666663</v>
      </c>
      <c r="AN186" s="4">
        <f t="shared" si="20"/>
        <v>1.0097185409567082E-3</v>
      </c>
      <c r="AO186" s="3"/>
      <c r="AP186">
        <v>0</v>
      </c>
      <c r="AQ186" t="s">
        <v>406</v>
      </c>
      <c r="AR186" t="s">
        <v>1</v>
      </c>
      <c r="AS186" t="s">
        <v>405</v>
      </c>
      <c r="AT186" s="2" t="s">
        <v>0</v>
      </c>
      <c r="AU186" s="1">
        <f t="shared" si="21"/>
        <v>2.5940245051622588</v>
      </c>
      <c r="AV186" s="1">
        <f t="shared" si="22"/>
        <v>1.8817237477146624</v>
      </c>
      <c r="AW186" s="1">
        <f t="shared" si="23"/>
        <v>1.1694229902670656</v>
      </c>
    </row>
    <row r="187" spans="1:49" x14ac:dyDescent="0.2">
      <c r="A187">
        <v>185</v>
      </c>
      <c r="B187" t="s">
        <v>8041</v>
      </c>
      <c r="C187" t="s">
        <v>8040</v>
      </c>
      <c r="D187">
        <v>18948098092023</v>
      </c>
      <c r="F187" t="s">
        <v>8039</v>
      </c>
      <c r="G187" t="s">
        <v>5</v>
      </c>
      <c r="H187" t="s">
        <v>4</v>
      </c>
      <c r="I187" t="s">
        <v>8038</v>
      </c>
      <c r="J187">
        <v>60027271</v>
      </c>
      <c r="K187" t="s">
        <v>386</v>
      </c>
      <c r="L187" t="s">
        <v>385</v>
      </c>
      <c r="M187" t="s">
        <v>9</v>
      </c>
      <c r="N187">
        <v>7</v>
      </c>
      <c r="O187" t="s">
        <v>8037</v>
      </c>
      <c r="P187" t="s">
        <v>8036</v>
      </c>
      <c r="Q187" t="s">
        <v>8035</v>
      </c>
      <c r="R187" s="7">
        <v>36130</v>
      </c>
      <c r="S187" s="8">
        <f t="shared" si="16"/>
        <v>1998</v>
      </c>
      <c r="T187" s="8">
        <v>1998</v>
      </c>
      <c r="U187" s="8">
        <f t="shared" si="17"/>
        <v>24</v>
      </c>
      <c r="V187" s="7">
        <v>1998</v>
      </c>
      <c r="W187" t="s">
        <v>303</v>
      </c>
      <c r="X187" s="2">
        <v>1.3720000000000001</v>
      </c>
      <c r="Y187" s="6">
        <f t="shared" si="18"/>
        <v>3.662475641333654E-2</v>
      </c>
      <c r="AA187">
        <v>189480</v>
      </c>
      <c r="AB187">
        <v>17366</v>
      </c>
      <c r="AD187" t="s">
        <v>2</v>
      </c>
      <c r="AE187">
        <v>46</v>
      </c>
      <c r="AF187" t="s">
        <v>7950</v>
      </c>
      <c r="AH187" t="s">
        <v>8034</v>
      </c>
      <c r="AI187" t="s">
        <v>8033</v>
      </c>
      <c r="AJ187" t="s">
        <v>8032</v>
      </c>
      <c r="AK187" t="s">
        <v>8031</v>
      </c>
      <c r="AL187">
        <v>54</v>
      </c>
      <c r="AM187" s="5">
        <f t="shared" si="19"/>
        <v>2.25</v>
      </c>
      <c r="AN187" s="4">
        <f t="shared" si="20"/>
        <v>3.4078000757288905E-3</v>
      </c>
      <c r="AO187" s="3"/>
      <c r="AP187">
        <v>0</v>
      </c>
      <c r="AQ187" t="s">
        <v>22</v>
      </c>
      <c r="AR187" t="s">
        <v>1</v>
      </c>
      <c r="AS187" t="s">
        <v>21</v>
      </c>
      <c r="AT187" s="2" t="s">
        <v>0</v>
      </c>
      <c r="AU187" s="1">
        <f t="shared" si="21"/>
        <v>2.6659669512054243</v>
      </c>
      <c r="AV187" s="1">
        <f t="shared" si="22"/>
        <v>2.0016278244532715</v>
      </c>
      <c r="AW187" s="1">
        <f t="shared" si="23"/>
        <v>1.3372886977011187</v>
      </c>
    </row>
    <row r="188" spans="1:49" x14ac:dyDescent="0.2">
      <c r="A188">
        <v>186</v>
      </c>
      <c r="B188" t="s">
        <v>8030</v>
      </c>
      <c r="C188" t="s">
        <v>8029</v>
      </c>
      <c r="D188" t="s">
        <v>8028</v>
      </c>
      <c r="F188" t="s">
        <v>8027</v>
      </c>
      <c r="G188" t="s">
        <v>5</v>
      </c>
      <c r="H188" t="s">
        <v>4</v>
      </c>
      <c r="I188" t="s">
        <v>2157</v>
      </c>
      <c r="J188" t="s">
        <v>8026</v>
      </c>
      <c r="K188" t="s">
        <v>8025</v>
      </c>
      <c r="L188" t="s">
        <v>8024</v>
      </c>
      <c r="M188" t="s">
        <v>101</v>
      </c>
      <c r="N188">
        <v>6</v>
      </c>
      <c r="O188" t="s">
        <v>8023</v>
      </c>
      <c r="P188" t="s">
        <v>8022</v>
      </c>
      <c r="Q188" t="s">
        <v>8021</v>
      </c>
      <c r="R188" s="7">
        <v>36130</v>
      </c>
      <c r="S188" s="8">
        <f t="shared" si="16"/>
        <v>1998</v>
      </c>
      <c r="T188" s="8">
        <v>1998</v>
      </c>
      <c r="U188" s="8">
        <f t="shared" si="17"/>
        <v>24</v>
      </c>
      <c r="V188" s="7">
        <v>1998</v>
      </c>
      <c r="W188" t="s">
        <v>303</v>
      </c>
      <c r="X188" s="2">
        <v>1.3720000000000001</v>
      </c>
      <c r="Y188" s="6">
        <f t="shared" si="18"/>
        <v>3.662475641333654E-2</v>
      </c>
      <c r="AA188">
        <v>189480</v>
      </c>
      <c r="AB188">
        <v>17366</v>
      </c>
      <c r="AD188" t="s">
        <v>2</v>
      </c>
      <c r="AE188">
        <v>46</v>
      </c>
      <c r="AF188" t="s">
        <v>7990</v>
      </c>
      <c r="AH188" t="s">
        <v>8020</v>
      </c>
      <c r="AI188" t="s">
        <v>8019</v>
      </c>
      <c r="AJ188" t="s">
        <v>8018</v>
      </c>
      <c r="AK188" t="s">
        <v>8017</v>
      </c>
      <c r="AL188">
        <v>10</v>
      </c>
      <c r="AM188" s="5">
        <f t="shared" si="19"/>
        <v>0.41666666666666669</v>
      </c>
      <c r="AN188" s="4">
        <f t="shared" si="20"/>
        <v>6.310740880979427E-4</v>
      </c>
      <c r="AO188" s="3"/>
      <c r="AP188">
        <v>0</v>
      </c>
      <c r="AR188" t="s">
        <v>1</v>
      </c>
      <c r="AT188" s="2" t="s">
        <v>0</v>
      </c>
      <c r="AU188" s="1">
        <f t="shared" si="21"/>
        <v>2.5826651715764961</v>
      </c>
      <c r="AV188" s="1">
        <f t="shared" si="22"/>
        <v>1.862791525071724</v>
      </c>
      <c r="AW188" s="1">
        <f t="shared" si="23"/>
        <v>1.1429178785669523</v>
      </c>
    </row>
    <row r="189" spans="1:49" x14ac:dyDescent="0.2">
      <c r="A189">
        <v>187</v>
      </c>
      <c r="B189" t="s">
        <v>8016</v>
      </c>
      <c r="C189" t="s">
        <v>8015</v>
      </c>
      <c r="D189" t="s">
        <v>8014</v>
      </c>
      <c r="F189" t="s">
        <v>8013</v>
      </c>
      <c r="G189" t="s">
        <v>5</v>
      </c>
      <c r="H189" t="s">
        <v>4</v>
      </c>
      <c r="I189" t="s">
        <v>8012</v>
      </c>
      <c r="J189" t="s">
        <v>8011</v>
      </c>
      <c r="K189" t="s">
        <v>8010</v>
      </c>
      <c r="L189" t="s">
        <v>8009</v>
      </c>
      <c r="M189" t="s">
        <v>6</v>
      </c>
      <c r="N189">
        <v>3</v>
      </c>
      <c r="O189" t="s">
        <v>8008</v>
      </c>
      <c r="P189" t="s">
        <v>8007</v>
      </c>
      <c r="Q189" t="s">
        <v>8006</v>
      </c>
      <c r="R189" s="7">
        <v>36130</v>
      </c>
      <c r="S189" s="8">
        <f t="shared" si="16"/>
        <v>1998</v>
      </c>
      <c r="T189" s="8">
        <v>1998</v>
      </c>
      <c r="U189" s="8">
        <f t="shared" si="17"/>
        <v>24</v>
      </c>
      <c r="V189" s="7">
        <v>1998</v>
      </c>
      <c r="W189" t="s">
        <v>303</v>
      </c>
      <c r="X189" s="2">
        <v>1.3720000000000001</v>
      </c>
      <c r="Y189" s="6">
        <f t="shared" si="18"/>
        <v>3.662475641333654E-2</v>
      </c>
      <c r="AA189">
        <v>189480</v>
      </c>
      <c r="AB189">
        <v>17366</v>
      </c>
      <c r="AD189" t="s">
        <v>2</v>
      </c>
      <c r="AE189">
        <v>46</v>
      </c>
      <c r="AF189" t="s">
        <v>7990</v>
      </c>
      <c r="AH189" t="s">
        <v>8005</v>
      </c>
      <c r="AI189" t="s">
        <v>8004</v>
      </c>
      <c r="AJ189" t="s">
        <v>8003</v>
      </c>
      <c r="AK189" t="s">
        <v>8002</v>
      </c>
      <c r="AL189">
        <v>357</v>
      </c>
      <c r="AM189" s="5">
        <f t="shared" si="19"/>
        <v>14.875</v>
      </c>
      <c r="AN189" s="4">
        <f t="shared" si="20"/>
        <v>2.2529344945096553E-2</v>
      </c>
      <c r="AO189" s="3"/>
      <c r="AP189">
        <v>0</v>
      </c>
      <c r="AQ189" t="s">
        <v>350</v>
      </c>
      <c r="AR189" t="s">
        <v>1</v>
      </c>
      <c r="AS189" t="s">
        <v>349</v>
      </c>
      <c r="AT189" s="2" t="s">
        <v>0</v>
      </c>
      <c r="AU189" s="1">
        <f t="shared" si="21"/>
        <v>3.239613297286454</v>
      </c>
      <c r="AV189" s="1">
        <f t="shared" si="22"/>
        <v>2.9577050679216543</v>
      </c>
      <c r="AW189" s="1">
        <f t="shared" si="23"/>
        <v>2.6757968385568551</v>
      </c>
    </row>
    <row r="190" spans="1:49" x14ac:dyDescent="0.2">
      <c r="A190">
        <v>188</v>
      </c>
      <c r="B190" t="s">
        <v>8001</v>
      </c>
      <c r="C190" t="s">
        <v>8000</v>
      </c>
      <c r="D190" t="s">
        <v>7999</v>
      </c>
      <c r="F190" t="s">
        <v>7998</v>
      </c>
      <c r="G190" t="s">
        <v>5</v>
      </c>
      <c r="H190" t="s">
        <v>4</v>
      </c>
      <c r="I190" t="s">
        <v>7718</v>
      </c>
      <c r="J190" t="s">
        <v>7997</v>
      </c>
      <c r="K190" t="s">
        <v>7996</v>
      </c>
      <c r="L190" t="s">
        <v>7995</v>
      </c>
      <c r="M190" t="s">
        <v>7994</v>
      </c>
      <c r="N190">
        <v>4</v>
      </c>
      <c r="O190" t="s">
        <v>7993</v>
      </c>
      <c r="P190" t="s">
        <v>7992</v>
      </c>
      <c r="Q190" t="s">
        <v>7991</v>
      </c>
      <c r="R190" s="7">
        <v>36130</v>
      </c>
      <c r="S190" s="8">
        <f t="shared" si="16"/>
        <v>1998</v>
      </c>
      <c r="T190" s="8">
        <v>1998</v>
      </c>
      <c r="U190" s="8">
        <f t="shared" si="17"/>
        <v>24</v>
      </c>
      <c r="V190" s="7">
        <v>1998</v>
      </c>
      <c r="W190" t="s">
        <v>303</v>
      </c>
      <c r="X190" s="2">
        <v>1.3720000000000001</v>
      </c>
      <c r="Y190" s="6">
        <f t="shared" si="18"/>
        <v>3.662475641333654E-2</v>
      </c>
      <c r="AA190">
        <v>189480</v>
      </c>
      <c r="AB190">
        <v>17366</v>
      </c>
      <c r="AD190" t="s">
        <v>2</v>
      </c>
      <c r="AE190">
        <v>46</v>
      </c>
      <c r="AF190" t="s">
        <v>7990</v>
      </c>
      <c r="AH190" t="s">
        <v>7989</v>
      </c>
      <c r="AI190" t="s">
        <v>7988</v>
      </c>
      <c r="AJ190" t="s">
        <v>7987</v>
      </c>
      <c r="AK190" t="s">
        <v>7986</v>
      </c>
      <c r="AL190">
        <v>7</v>
      </c>
      <c r="AM190" s="5">
        <f t="shared" si="19"/>
        <v>0.29166666666666669</v>
      </c>
      <c r="AN190" s="4">
        <f t="shared" si="20"/>
        <v>4.417518616685599E-4</v>
      </c>
      <c r="AO190" s="3"/>
      <c r="AP190">
        <v>0</v>
      </c>
      <c r="AQ190" t="s">
        <v>350</v>
      </c>
      <c r="AR190" t="s">
        <v>1</v>
      </c>
      <c r="AS190" t="s">
        <v>349</v>
      </c>
      <c r="AT190" s="2" t="s">
        <v>0</v>
      </c>
      <c r="AU190" s="1">
        <f t="shared" si="21"/>
        <v>2.5769855047836141</v>
      </c>
      <c r="AV190" s="1">
        <f t="shared" si="22"/>
        <v>1.8533254137502551</v>
      </c>
      <c r="AW190" s="1">
        <f t="shared" si="23"/>
        <v>1.1296653227168953</v>
      </c>
    </row>
    <row r="191" spans="1:49" x14ac:dyDescent="0.2">
      <c r="A191">
        <v>189</v>
      </c>
      <c r="B191" t="s">
        <v>7985</v>
      </c>
      <c r="F191" t="s">
        <v>7984</v>
      </c>
      <c r="G191" t="s">
        <v>5</v>
      </c>
      <c r="H191" t="s">
        <v>4</v>
      </c>
      <c r="I191" t="s">
        <v>7983</v>
      </c>
      <c r="J191">
        <v>60029284</v>
      </c>
      <c r="K191" t="s">
        <v>654</v>
      </c>
      <c r="L191" t="s">
        <v>240</v>
      </c>
      <c r="M191" t="s">
        <v>65</v>
      </c>
      <c r="N191">
        <v>3</v>
      </c>
      <c r="O191" t="s">
        <v>7982</v>
      </c>
      <c r="P191" t="s">
        <v>7981</v>
      </c>
      <c r="Q191" t="s">
        <v>7980</v>
      </c>
      <c r="R191" s="7">
        <v>36130</v>
      </c>
      <c r="S191" s="8">
        <f t="shared" si="16"/>
        <v>1998</v>
      </c>
      <c r="T191" s="8">
        <v>1998</v>
      </c>
      <c r="U191" s="8">
        <f t="shared" si="17"/>
        <v>24</v>
      </c>
      <c r="V191" s="7">
        <v>1998</v>
      </c>
      <c r="W191" t="s">
        <v>4391</v>
      </c>
      <c r="X191" s="2">
        <v>0.54700000000000004</v>
      </c>
      <c r="Y191" s="6">
        <f t="shared" si="18"/>
        <v>1.4601852593363766E-2</v>
      </c>
      <c r="AA191">
        <v>11096</v>
      </c>
      <c r="AB191">
        <v>31211</v>
      </c>
      <c r="AD191" t="s">
        <v>2</v>
      </c>
      <c r="AE191">
        <v>52</v>
      </c>
      <c r="AF191">
        <v>5</v>
      </c>
      <c r="AH191" t="s">
        <v>520</v>
      </c>
      <c r="AI191" t="s">
        <v>7979</v>
      </c>
      <c r="AK191" t="s">
        <v>7978</v>
      </c>
      <c r="AL191">
        <v>1</v>
      </c>
      <c r="AM191" s="5">
        <f t="shared" si="19"/>
        <v>4.1666666666666664E-2</v>
      </c>
      <c r="AN191" s="4">
        <f t="shared" si="20"/>
        <v>6.3107408809794262E-5</v>
      </c>
      <c r="AO191" s="3"/>
      <c r="AP191">
        <v>0</v>
      </c>
      <c r="AR191" t="s">
        <v>1</v>
      </c>
      <c r="AT191" s="2" t="s">
        <v>0</v>
      </c>
      <c r="AU191" s="1">
        <f t="shared" si="21"/>
        <v>1.0240229037997575</v>
      </c>
      <c r="AV191" s="1">
        <f t="shared" si="22"/>
        <v>0.73324800010867808</v>
      </c>
      <c r="AW191" s="1">
        <f t="shared" si="23"/>
        <v>0.44247309641759858</v>
      </c>
    </row>
    <row r="192" spans="1:49" x14ac:dyDescent="0.2">
      <c r="A192">
        <v>190</v>
      </c>
      <c r="B192" t="s">
        <v>7977</v>
      </c>
      <c r="C192" t="s">
        <v>7976</v>
      </c>
      <c r="D192" t="s">
        <v>7975</v>
      </c>
      <c r="F192" t="s">
        <v>7974</v>
      </c>
      <c r="G192" t="s">
        <v>5</v>
      </c>
      <c r="H192" t="s">
        <v>4</v>
      </c>
      <c r="I192" t="s">
        <v>7973</v>
      </c>
      <c r="J192" t="s">
        <v>7972</v>
      </c>
      <c r="K192" t="s">
        <v>7971</v>
      </c>
      <c r="L192" t="s">
        <v>7970</v>
      </c>
      <c r="M192" t="s">
        <v>7969</v>
      </c>
      <c r="N192">
        <v>5</v>
      </c>
      <c r="O192" t="s">
        <v>7968</v>
      </c>
      <c r="P192" t="s">
        <v>7967</v>
      </c>
      <c r="Q192" t="s">
        <v>7966</v>
      </c>
      <c r="R192" s="7">
        <v>36130</v>
      </c>
      <c r="S192" s="8">
        <f t="shared" si="16"/>
        <v>1998</v>
      </c>
      <c r="T192" s="8">
        <v>1998</v>
      </c>
      <c r="U192" s="8">
        <f t="shared" si="17"/>
        <v>24</v>
      </c>
      <c r="V192" s="7">
        <v>36130</v>
      </c>
      <c r="W192" t="s">
        <v>119</v>
      </c>
      <c r="X192" s="2">
        <v>0.94</v>
      </c>
      <c r="Y192" s="6">
        <f t="shared" si="18"/>
        <v>2.5092763140332611E-2</v>
      </c>
      <c r="AA192">
        <v>10518207</v>
      </c>
      <c r="AB192">
        <v>63372</v>
      </c>
      <c r="AD192" t="s">
        <v>2</v>
      </c>
      <c r="AE192">
        <v>8</v>
      </c>
      <c r="AF192">
        <v>12</v>
      </c>
      <c r="AH192" t="s">
        <v>7965</v>
      </c>
      <c r="AI192" t="s">
        <v>7964</v>
      </c>
      <c r="AJ192" t="s">
        <v>7963</v>
      </c>
      <c r="AK192" t="s">
        <v>7962</v>
      </c>
      <c r="AL192">
        <v>11</v>
      </c>
      <c r="AM192" s="5">
        <f t="shared" si="19"/>
        <v>0.45833333333333331</v>
      </c>
      <c r="AN192" s="4">
        <f t="shared" si="20"/>
        <v>6.9418149690773695E-4</v>
      </c>
      <c r="AO192" s="3"/>
      <c r="AP192">
        <v>0</v>
      </c>
      <c r="AR192" t="s">
        <v>1</v>
      </c>
      <c r="AT192" s="2" t="s">
        <v>0</v>
      </c>
      <c r="AU192" s="1">
        <f t="shared" si="21"/>
        <v>1.7773188647305149</v>
      </c>
      <c r="AV192" s="1">
        <f t="shared" si="22"/>
        <v>1.2893472318620174</v>
      </c>
      <c r="AW192" s="1">
        <f t="shared" si="23"/>
        <v>0.80137559899351984</v>
      </c>
    </row>
    <row r="193" spans="1:49" x14ac:dyDescent="0.2">
      <c r="A193">
        <v>191</v>
      </c>
      <c r="B193" t="s">
        <v>7961</v>
      </c>
      <c r="C193" t="s">
        <v>7960</v>
      </c>
      <c r="D193" t="s">
        <v>7959</v>
      </c>
      <c r="F193" t="s">
        <v>7958</v>
      </c>
      <c r="G193" t="s">
        <v>5</v>
      </c>
      <c r="H193" t="s">
        <v>4</v>
      </c>
      <c r="I193" t="s">
        <v>7957</v>
      </c>
      <c r="J193" t="s">
        <v>7956</v>
      </c>
      <c r="K193" t="s">
        <v>7955</v>
      </c>
      <c r="L193" t="s">
        <v>7954</v>
      </c>
      <c r="M193" t="s">
        <v>6</v>
      </c>
      <c r="N193">
        <v>3</v>
      </c>
      <c r="O193" t="s">
        <v>7953</v>
      </c>
      <c r="P193" t="s">
        <v>7952</v>
      </c>
      <c r="Q193" t="s">
        <v>7951</v>
      </c>
      <c r="R193" s="7">
        <v>36130</v>
      </c>
      <c r="S193" s="8">
        <f t="shared" si="16"/>
        <v>1998</v>
      </c>
      <c r="T193" s="8">
        <v>1998</v>
      </c>
      <c r="U193" s="8">
        <f t="shared" si="17"/>
        <v>24</v>
      </c>
      <c r="V193" s="7">
        <v>1998</v>
      </c>
      <c r="W193" t="s">
        <v>303</v>
      </c>
      <c r="X193" s="2">
        <v>1.3720000000000001</v>
      </c>
      <c r="Y193" s="6">
        <f t="shared" si="18"/>
        <v>3.662475641333654E-2</v>
      </c>
      <c r="AA193">
        <v>189480</v>
      </c>
      <c r="AB193">
        <v>17366</v>
      </c>
      <c r="AD193" t="s">
        <v>2</v>
      </c>
      <c r="AE193">
        <v>46</v>
      </c>
      <c r="AF193" t="s">
        <v>7950</v>
      </c>
      <c r="AH193" t="s">
        <v>7949</v>
      </c>
      <c r="AI193" t="s">
        <v>7948</v>
      </c>
      <c r="AJ193" t="s">
        <v>7947</v>
      </c>
      <c r="AK193" t="s">
        <v>7946</v>
      </c>
      <c r="AL193">
        <v>75</v>
      </c>
      <c r="AM193" s="5">
        <f t="shared" si="19"/>
        <v>3.125</v>
      </c>
      <c r="AN193" s="4">
        <f t="shared" si="20"/>
        <v>4.7330556607345703E-3</v>
      </c>
      <c r="AO193" s="3"/>
      <c r="AP193">
        <v>0</v>
      </c>
      <c r="AQ193" t="s">
        <v>380</v>
      </c>
      <c r="AR193" t="s">
        <v>7945</v>
      </c>
      <c r="AS193" t="s">
        <v>379</v>
      </c>
      <c r="AT193" s="2" t="s">
        <v>0</v>
      </c>
      <c r="AU193" s="1">
        <f t="shared" si="21"/>
        <v>2.7057246187555948</v>
      </c>
      <c r="AV193" s="1">
        <f t="shared" si="22"/>
        <v>2.0678906037035554</v>
      </c>
      <c r="AW193" s="1">
        <f t="shared" si="23"/>
        <v>1.4300565886515162</v>
      </c>
    </row>
    <row r="194" spans="1:49" x14ac:dyDescent="0.2">
      <c r="A194">
        <v>192</v>
      </c>
      <c r="B194" t="s">
        <v>7944</v>
      </c>
      <c r="C194" t="s">
        <v>7943</v>
      </c>
      <c r="F194" t="s">
        <v>7942</v>
      </c>
      <c r="G194" t="s">
        <v>5</v>
      </c>
      <c r="H194" t="s">
        <v>4</v>
      </c>
      <c r="I194" t="s">
        <v>7941</v>
      </c>
      <c r="J194" t="s">
        <v>7940</v>
      </c>
      <c r="K194" t="s">
        <v>7939</v>
      </c>
      <c r="L194" t="s">
        <v>7938</v>
      </c>
      <c r="M194" t="s">
        <v>729</v>
      </c>
      <c r="N194">
        <v>2</v>
      </c>
      <c r="O194" t="s">
        <v>7937</v>
      </c>
      <c r="P194" t="s">
        <v>7936</v>
      </c>
      <c r="Q194" t="s">
        <v>7935</v>
      </c>
      <c r="R194" s="7">
        <v>36130</v>
      </c>
      <c r="S194" s="8">
        <f t="shared" ref="S194:S257" si="24">YEAR(R194)</f>
        <v>1998</v>
      </c>
      <c r="T194" s="8">
        <v>1998</v>
      </c>
      <c r="U194" s="8">
        <f t="shared" ref="U194:U257" si="25">2022-T194</f>
        <v>24</v>
      </c>
      <c r="V194" s="7">
        <v>36130</v>
      </c>
      <c r="W194" s="11" t="s">
        <v>241</v>
      </c>
      <c r="X194" s="2">
        <v>2.383</v>
      </c>
      <c r="Y194" s="6">
        <f t="shared" ref="Y194:Y257" si="26">(X194-$Z$3)/($Z$2-$Z$3)</f>
        <v>6.3612824003630442E-2</v>
      </c>
      <c r="AA194">
        <v>13502417</v>
      </c>
      <c r="AB194">
        <v>17416</v>
      </c>
      <c r="AD194" t="s">
        <v>2</v>
      </c>
      <c r="AE194">
        <v>145</v>
      </c>
      <c r="AF194">
        <v>6</v>
      </c>
      <c r="AH194" t="s">
        <v>7934</v>
      </c>
      <c r="AI194" t="s">
        <v>7933</v>
      </c>
      <c r="AK194" t="s">
        <v>7932</v>
      </c>
      <c r="AL194">
        <v>4</v>
      </c>
      <c r="AM194" s="5">
        <f t="shared" ref="AM194:AM257" si="27">AL194/U194</f>
        <v>0.16666666666666666</v>
      </c>
      <c r="AN194" s="4">
        <f t="shared" ref="AN194:AN257" si="28">(AM194-$AO$3)/($AO$2-$AO$3)</f>
        <v>2.5242963523917705E-4</v>
      </c>
      <c r="AO194" s="3"/>
      <c r="AP194">
        <v>0</v>
      </c>
      <c r="AR194" t="s">
        <v>1</v>
      </c>
      <c r="AT194" s="2" t="s">
        <v>0</v>
      </c>
      <c r="AU194" s="1">
        <f t="shared" ref="AU194:AU257" si="29">(Y194*0.7+AN194*0.3)*100</f>
        <v>4.4604705693113065</v>
      </c>
      <c r="AV194" s="1">
        <f t="shared" ref="AV194:AV257" si="30">(Y194*0.5+AN194*0.5)*100</f>
        <v>3.1932626819434811</v>
      </c>
      <c r="AW194" s="1">
        <f t="shared" ref="AW194:AW257" si="31">(Y194*0.3+AN194*0.7)*100</f>
        <v>1.9260547945756556</v>
      </c>
    </row>
    <row r="195" spans="1:49" x14ac:dyDescent="0.2">
      <c r="A195">
        <v>193</v>
      </c>
      <c r="B195" t="s">
        <v>7931</v>
      </c>
      <c r="C195" t="s">
        <v>7930</v>
      </c>
      <c r="F195" t="s">
        <v>7929</v>
      </c>
      <c r="G195" t="s">
        <v>5</v>
      </c>
      <c r="H195" t="s">
        <v>4</v>
      </c>
      <c r="I195" t="s">
        <v>296</v>
      </c>
      <c r="J195">
        <v>60068815</v>
      </c>
      <c r="K195" t="s">
        <v>295</v>
      </c>
      <c r="L195" t="s">
        <v>294</v>
      </c>
      <c r="M195" t="s">
        <v>293</v>
      </c>
      <c r="N195">
        <v>2</v>
      </c>
      <c r="O195" t="s">
        <v>292</v>
      </c>
      <c r="P195" t="s">
        <v>291</v>
      </c>
      <c r="Q195" t="s">
        <v>290</v>
      </c>
      <c r="R195" s="7">
        <v>36130</v>
      </c>
      <c r="S195" s="8">
        <f t="shared" si="24"/>
        <v>1998</v>
      </c>
      <c r="T195" s="8">
        <v>1998</v>
      </c>
      <c r="U195" s="8">
        <f t="shared" si="25"/>
        <v>24</v>
      </c>
      <c r="V195" s="7">
        <v>36130</v>
      </c>
      <c r="W195" s="11" t="s">
        <v>241</v>
      </c>
      <c r="X195" s="2">
        <v>2.383</v>
      </c>
      <c r="Y195" s="6">
        <f t="shared" si="26"/>
        <v>6.3612824003630442E-2</v>
      </c>
      <c r="AA195">
        <v>13502417</v>
      </c>
      <c r="AB195">
        <v>17416</v>
      </c>
      <c r="AD195" t="s">
        <v>2</v>
      </c>
      <c r="AE195">
        <v>145</v>
      </c>
      <c r="AF195">
        <v>6</v>
      </c>
      <c r="AH195" t="s">
        <v>7928</v>
      </c>
      <c r="AI195" t="s">
        <v>7927</v>
      </c>
      <c r="AK195" t="s">
        <v>7926</v>
      </c>
      <c r="AL195">
        <v>12</v>
      </c>
      <c r="AM195" s="5">
        <f t="shared" si="27"/>
        <v>0.5</v>
      </c>
      <c r="AN195" s="4">
        <f t="shared" si="28"/>
        <v>7.572889057175312E-4</v>
      </c>
      <c r="AO195" s="3"/>
      <c r="AP195">
        <v>0</v>
      </c>
      <c r="AR195" t="s">
        <v>1</v>
      </c>
      <c r="AT195" s="2" t="s">
        <v>0</v>
      </c>
      <c r="AU195" s="1">
        <f t="shared" si="29"/>
        <v>4.4756163474256567</v>
      </c>
      <c r="AV195" s="1">
        <f t="shared" si="30"/>
        <v>3.218505645467399</v>
      </c>
      <c r="AW195" s="1">
        <f t="shared" si="31"/>
        <v>1.9613949435091407</v>
      </c>
    </row>
    <row r="196" spans="1:49" x14ac:dyDescent="0.2">
      <c r="A196">
        <v>194</v>
      </c>
      <c r="B196" t="s">
        <v>7925</v>
      </c>
      <c r="F196" t="s">
        <v>7924</v>
      </c>
      <c r="G196" t="s">
        <v>5</v>
      </c>
      <c r="H196" t="s">
        <v>4</v>
      </c>
      <c r="I196" t="s">
        <v>7923</v>
      </c>
      <c r="J196">
        <v>60016835</v>
      </c>
      <c r="K196" t="s">
        <v>460</v>
      </c>
      <c r="L196" t="s">
        <v>132</v>
      </c>
      <c r="M196" t="s">
        <v>82</v>
      </c>
      <c r="N196">
        <v>5</v>
      </c>
      <c r="O196" t="s">
        <v>7922</v>
      </c>
      <c r="P196" t="s">
        <v>7921</v>
      </c>
      <c r="Q196" t="s">
        <v>7920</v>
      </c>
      <c r="R196" s="7">
        <v>36130</v>
      </c>
      <c r="S196" s="8">
        <f t="shared" si="24"/>
        <v>1998</v>
      </c>
      <c r="T196" s="8">
        <v>1998</v>
      </c>
      <c r="U196" s="8">
        <f t="shared" si="25"/>
        <v>24</v>
      </c>
      <c r="V196" s="7">
        <v>1998</v>
      </c>
      <c r="W196" t="s">
        <v>7919</v>
      </c>
      <c r="X196" s="2">
        <v>0.128</v>
      </c>
      <c r="Y196" s="6">
        <f t="shared" si="26"/>
        <v>3.4168868957048667E-3</v>
      </c>
      <c r="AA196">
        <v>10040579</v>
      </c>
      <c r="AB196">
        <v>19474</v>
      </c>
      <c r="AD196" t="s">
        <v>2</v>
      </c>
      <c r="AE196">
        <v>7</v>
      </c>
      <c r="AF196">
        <v>3</v>
      </c>
      <c r="AH196" t="s">
        <v>7918</v>
      </c>
      <c r="AI196" t="s">
        <v>7917</v>
      </c>
      <c r="AK196" t="s">
        <v>7916</v>
      </c>
      <c r="AL196">
        <v>3</v>
      </c>
      <c r="AM196" s="5">
        <f t="shared" si="27"/>
        <v>0.125</v>
      </c>
      <c r="AN196" s="4">
        <f t="shared" si="28"/>
        <v>1.893222264293828E-4</v>
      </c>
      <c r="AO196" s="3"/>
      <c r="AP196">
        <v>0</v>
      </c>
      <c r="AR196" t="s">
        <v>1</v>
      </c>
      <c r="AT196" s="2" t="s">
        <v>0</v>
      </c>
      <c r="AU196" s="1">
        <f t="shared" si="29"/>
        <v>0.24486174949222214</v>
      </c>
      <c r="AV196" s="1">
        <f t="shared" si="30"/>
        <v>0.18031045610671245</v>
      </c>
      <c r="AW196" s="1">
        <f t="shared" si="31"/>
        <v>0.11575916272120279</v>
      </c>
    </row>
    <row r="197" spans="1:49" x14ac:dyDescent="0.2">
      <c r="A197">
        <v>195</v>
      </c>
      <c r="B197" t="s">
        <v>7915</v>
      </c>
      <c r="C197" t="s">
        <v>7914</v>
      </c>
      <c r="F197" t="s">
        <v>7913</v>
      </c>
      <c r="G197" t="s">
        <v>5</v>
      </c>
      <c r="H197" t="s">
        <v>4</v>
      </c>
      <c r="I197" t="s">
        <v>7912</v>
      </c>
      <c r="J197">
        <v>60010818</v>
      </c>
      <c r="K197" t="s">
        <v>270</v>
      </c>
      <c r="L197" t="s">
        <v>269</v>
      </c>
      <c r="M197" t="s">
        <v>13</v>
      </c>
      <c r="N197">
        <v>2</v>
      </c>
      <c r="O197" t="s">
        <v>7911</v>
      </c>
      <c r="P197" t="s">
        <v>7910</v>
      </c>
      <c r="Q197" t="s">
        <v>268</v>
      </c>
      <c r="R197" s="7">
        <v>36130</v>
      </c>
      <c r="S197" s="8">
        <f t="shared" si="24"/>
        <v>1998</v>
      </c>
      <c r="T197" s="8">
        <v>1998</v>
      </c>
      <c r="U197" s="8">
        <f t="shared" si="25"/>
        <v>24</v>
      </c>
      <c r="V197" s="7">
        <v>36130</v>
      </c>
      <c r="W197" s="11" t="s">
        <v>241</v>
      </c>
      <c r="X197" s="2">
        <v>2.383</v>
      </c>
      <c r="Y197" s="6">
        <f t="shared" si="26"/>
        <v>6.3612824003630442E-2</v>
      </c>
      <c r="AA197">
        <v>13502417</v>
      </c>
      <c r="AB197">
        <v>17416</v>
      </c>
      <c r="AD197" t="s">
        <v>2</v>
      </c>
      <c r="AE197">
        <v>145</v>
      </c>
      <c r="AF197">
        <v>6</v>
      </c>
      <c r="AH197" t="s">
        <v>7909</v>
      </c>
      <c r="AI197" t="s">
        <v>7908</v>
      </c>
      <c r="AK197" t="s">
        <v>7907</v>
      </c>
      <c r="AL197">
        <v>6</v>
      </c>
      <c r="AM197" s="5">
        <f t="shared" si="27"/>
        <v>0.25</v>
      </c>
      <c r="AN197" s="4">
        <f t="shared" si="28"/>
        <v>3.786444528587656E-4</v>
      </c>
      <c r="AO197" s="3"/>
      <c r="AP197">
        <v>0</v>
      </c>
      <c r="AR197" t="s">
        <v>1</v>
      </c>
      <c r="AT197" s="2" t="s">
        <v>0</v>
      </c>
      <c r="AU197" s="1">
        <f t="shared" si="29"/>
        <v>4.4642570138398936</v>
      </c>
      <c r="AV197" s="1">
        <f t="shared" si="30"/>
        <v>3.1995734228244603</v>
      </c>
      <c r="AW197" s="1">
        <f t="shared" si="31"/>
        <v>1.9348898318090268</v>
      </c>
    </row>
    <row r="198" spans="1:49" x14ac:dyDescent="0.2">
      <c r="A198">
        <v>196</v>
      </c>
      <c r="B198" t="s">
        <v>7906</v>
      </c>
      <c r="F198" t="s">
        <v>7905</v>
      </c>
      <c r="G198" t="s">
        <v>5</v>
      </c>
      <c r="H198" t="s">
        <v>4</v>
      </c>
      <c r="I198" t="s">
        <v>7904</v>
      </c>
      <c r="J198" t="s">
        <v>7903</v>
      </c>
      <c r="K198" t="s">
        <v>7902</v>
      </c>
      <c r="L198" t="s">
        <v>7901</v>
      </c>
      <c r="M198" t="s">
        <v>150</v>
      </c>
      <c r="N198">
        <v>2</v>
      </c>
      <c r="O198" t="s">
        <v>7900</v>
      </c>
      <c r="P198" t="s">
        <v>7899</v>
      </c>
      <c r="Q198" t="s">
        <v>7898</v>
      </c>
      <c r="R198" s="7">
        <v>36130</v>
      </c>
      <c r="S198" s="8">
        <f t="shared" si="24"/>
        <v>1998</v>
      </c>
      <c r="T198" s="8">
        <v>1998</v>
      </c>
      <c r="U198" s="8">
        <f t="shared" si="25"/>
        <v>24</v>
      </c>
      <c r="V198" s="7">
        <v>1998</v>
      </c>
      <c r="W198" t="s">
        <v>4520</v>
      </c>
      <c r="X198" s="2">
        <v>0.1</v>
      </c>
      <c r="Y198" s="6">
        <f t="shared" si="26"/>
        <v>2.6694428872694269E-3</v>
      </c>
      <c r="AA198">
        <v>9633308</v>
      </c>
      <c r="AB198">
        <v>17917</v>
      </c>
      <c r="AD198" t="s">
        <v>2</v>
      </c>
      <c r="AF198">
        <v>459</v>
      </c>
      <c r="AL198">
        <v>0</v>
      </c>
      <c r="AM198" s="5">
        <f t="shared" si="27"/>
        <v>0</v>
      </c>
      <c r="AN198" s="4">
        <f t="shared" si="28"/>
        <v>0</v>
      </c>
      <c r="AO198" s="3"/>
      <c r="AP198">
        <v>0</v>
      </c>
      <c r="AR198" t="s">
        <v>1</v>
      </c>
      <c r="AT198" s="2" t="s">
        <v>0</v>
      </c>
      <c r="AU198" s="1">
        <f t="shared" si="29"/>
        <v>0.18686100210885986</v>
      </c>
      <c r="AV198" s="1">
        <f t="shared" si="30"/>
        <v>0.13347214436347135</v>
      </c>
      <c r="AW198" s="1">
        <f t="shared" si="31"/>
        <v>8.0083286618082811E-2</v>
      </c>
    </row>
    <row r="199" spans="1:49" x14ac:dyDescent="0.2">
      <c r="A199">
        <v>197</v>
      </c>
      <c r="B199" t="s">
        <v>7897</v>
      </c>
      <c r="C199" t="s">
        <v>7896</v>
      </c>
      <c r="F199" t="s">
        <v>7895</v>
      </c>
      <c r="G199" t="s">
        <v>5</v>
      </c>
      <c r="H199" t="s">
        <v>4</v>
      </c>
      <c r="I199" t="s">
        <v>5757</v>
      </c>
      <c r="J199">
        <v>60014808</v>
      </c>
      <c r="K199" t="s">
        <v>5832</v>
      </c>
      <c r="L199" t="s">
        <v>5831</v>
      </c>
      <c r="M199" t="s">
        <v>105</v>
      </c>
      <c r="N199">
        <v>3</v>
      </c>
      <c r="O199" t="s">
        <v>7894</v>
      </c>
      <c r="P199" t="s">
        <v>7893</v>
      </c>
      <c r="Q199" t="s">
        <v>5828</v>
      </c>
      <c r="R199" s="7">
        <v>36130</v>
      </c>
      <c r="S199" s="8">
        <f t="shared" si="24"/>
        <v>1998</v>
      </c>
      <c r="T199" s="8">
        <v>1998</v>
      </c>
      <c r="U199" s="8">
        <f t="shared" si="25"/>
        <v>24</v>
      </c>
      <c r="V199" s="7">
        <v>1998</v>
      </c>
      <c r="W199" s="11" t="s">
        <v>288</v>
      </c>
      <c r="X199" s="2">
        <v>2.383</v>
      </c>
      <c r="Y199" s="6">
        <f t="shared" si="26"/>
        <v>6.3612824003630442E-2</v>
      </c>
      <c r="AA199">
        <v>13502433</v>
      </c>
      <c r="AB199">
        <v>9500153902</v>
      </c>
      <c r="AD199" t="s">
        <v>2</v>
      </c>
      <c r="AE199">
        <v>145</v>
      </c>
      <c r="AF199">
        <v>6</v>
      </c>
      <c r="AH199" t="s">
        <v>7892</v>
      </c>
      <c r="AI199" t="s">
        <v>7891</v>
      </c>
      <c r="AK199" t="s">
        <v>7890</v>
      </c>
      <c r="AL199">
        <v>13</v>
      </c>
      <c r="AM199" s="5">
        <f t="shared" si="27"/>
        <v>0.54166666666666663</v>
      </c>
      <c r="AN199" s="4">
        <f t="shared" si="28"/>
        <v>8.2039631452732545E-4</v>
      </c>
      <c r="AO199" s="3"/>
      <c r="AP199">
        <v>0</v>
      </c>
      <c r="AR199" t="s">
        <v>1</v>
      </c>
      <c r="AT199" s="2" t="s">
        <v>0</v>
      </c>
      <c r="AU199" s="1">
        <f t="shared" si="29"/>
        <v>4.4775095696899507</v>
      </c>
      <c r="AV199" s="1">
        <f t="shared" si="30"/>
        <v>3.221661015907888</v>
      </c>
      <c r="AW199" s="1">
        <f t="shared" si="31"/>
        <v>1.9658124621258259</v>
      </c>
    </row>
    <row r="200" spans="1:49" x14ac:dyDescent="0.2">
      <c r="A200">
        <v>198</v>
      </c>
      <c r="B200" t="s">
        <v>7889</v>
      </c>
      <c r="C200" t="s">
        <v>7888</v>
      </c>
      <c r="F200" t="s">
        <v>7887</v>
      </c>
      <c r="G200" t="s">
        <v>5</v>
      </c>
      <c r="H200" t="s">
        <v>4</v>
      </c>
      <c r="I200" t="s">
        <v>7886</v>
      </c>
      <c r="J200">
        <v>60008524</v>
      </c>
      <c r="K200" t="s">
        <v>7885</v>
      </c>
      <c r="L200" t="s">
        <v>7884</v>
      </c>
      <c r="M200" t="s">
        <v>13</v>
      </c>
      <c r="N200">
        <v>5</v>
      </c>
      <c r="O200" t="s">
        <v>7883</v>
      </c>
      <c r="P200" t="s">
        <v>7882</v>
      </c>
      <c r="Q200" t="s">
        <v>7881</v>
      </c>
      <c r="R200" s="7">
        <v>36130</v>
      </c>
      <c r="S200" s="8">
        <f t="shared" si="24"/>
        <v>1998</v>
      </c>
      <c r="T200" s="8">
        <v>1998</v>
      </c>
      <c r="U200" s="8">
        <f t="shared" si="25"/>
        <v>24</v>
      </c>
      <c r="V200" s="7">
        <v>36130</v>
      </c>
      <c r="W200" s="11" t="s">
        <v>241</v>
      </c>
      <c r="X200" s="2">
        <v>2.383</v>
      </c>
      <c r="Y200" s="6">
        <f t="shared" si="26"/>
        <v>6.3612824003630442E-2</v>
      </c>
      <c r="AA200">
        <v>13502417</v>
      </c>
      <c r="AB200">
        <v>17416</v>
      </c>
      <c r="AD200" t="s">
        <v>2</v>
      </c>
      <c r="AE200">
        <v>145</v>
      </c>
      <c r="AF200">
        <v>6</v>
      </c>
      <c r="AH200" t="s">
        <v>7880</v>
      </c>
      <c r="AI200" t="s">
        <v>7879</v>
      </c>
      <c r="AK200" t="s">
        <v>7878</v>
      </c>
      <c r="AL200">
        <v>5</v>
      </c>
      <c r="AM200" s="5">
        <f t="shared" si="27"/>
        <v>0.20833333333333334</v>
      </c>
      <c r="AN200" s="4">
        <f t="shared" si="28"/>
        <v>3.1553704404897135E-4</v>
      </c>
      <c r="AO200" s="3"/>
      <c r="AP200">
        <v>0</v>
      </c>
      <c r="AR200" t="s">
        <v>1</v>
      </c>
      <c r="AT200" s="2" t="s">
        <v>0</v>
      </c>
      <c r="AU200" s="1">
        <f t="shared" si="29"/>
        <v>4.4623637915755996</v>
      </c>
      <c r="AV200" s="1">
        <f t="shared" si="30"/>
        <v>3.1964180523839709</v>
      </c>
      <c r="AW200" s="1">
        <f t="shared" si="31"/>
        <v>1.9304723131923414</v>
      </c>
    </row>
    <row r="201" spans="1:49" x14ac:dyDescent="0.2">
      <c r="A201">
        <v>199</v>
      </c>
      <c r="B201" t="s">
        <v>7877</v>
      </c>
      <c r="F201" t="s">
        <v>7876</v>
      </c>
      <c r="G201" t="s">
        <v>5</v>
      </c>
      <c r="H201" t="s">
        <v>4</v>
      </c>
      <c r="I201" t="s">
        <v>7875</v>
      </c>
      <c r="N201">
        <v>1</v>
      </c>
      <c r="O201" t="s">
        <v>7874</v>
      </c>
      <c r="P201">
        <v>7201721570</v>
      </c>
      <c r="R201" s="7">
        <v>36130</v>
      </c>
      <c r="S201" s="8">
        <f t="shared" si="24"/>
        <v>1998</v>
      </c>
      <c r="T201" s="8">
        <v>1998</v>
      </c>
      <c r="U201" s="8">
        <f t="shared" si="25"/>
        <v>24</v>
      </c>
      <c r="V201" s="7">
        <v>1998</v>
      </c>
      <c r="W201" t="s">
        <v>664</v>
      </c>
      <c r="X201" s="2" t="s">
        <v>0</v>
      </c>
      <c r="Y201" s="6" t="e">
        <f t="shared" si="26"/>
        <v>#VALUE!</v>
      </c>
      <c r="AA201">
        <v>10868259</v>
      </c>
      <c r="AB201">
        <v>27020</v>
      </c>
      <c r="AD201" t="s">
        <v>2</v>
      </c>
      <c r="AE201">
        <v>3</v>
      </c>
      <c r="AF201">
        <v>2</v>
      </c>
      <c r="AH201" t="s">
        <v>7873</v>
      </c>
      <c r="AI201" t="s">
        <v>7872</v>
      </c>
      <c r="AK201" t="s">
        <v>7871</v>
      </c>
      <c r="AL201">
        <v>0</v>
      </c>
      <c r="AM201" s="5">
        <f t="shared" si="27"/>
        <v>0</v>
      </c>
      <c r="AN201" s="4">
        <f t="shared" si="28"/>
        <v>0</v>
      </c>
      <c r="AO201" s="3"/>
      <c r="AP201">
        <v>0</v>
      </c>
      <c r="AR201" t="s">
        <v>1</v>
      </c>
      <c r="AT201" s="2" t="s">
        <v>0</v>
      </c>
      <c r="AU201" s="1" t="e">
        <f t="shared" si="29"/>
        <v>#VALUE!</v>
      </c>
      <c r="AV201" s="1" t="e">
        <f t="shared" si="30"/>
        <v>#VALUE!</v>
      </c>
      <c r="AW201" s="1" t="e">
        <f t="shared" si="31"/>
        <v>#VALUE!</v>
      </c>
    </row>
    <row r="202" spans="1:49" x14ac:dyDescent="0.2">
      <c r="A202">
        <v>200</v>
      </c>
      <c r="B202" t="s">
        <v>7870</v>
      </c>
      <c r="C202" t="s">
        <v>7869</v>
      </c>
      <c r="D202" t="s">
        <v>7868</v>
      </c>
      <c r="F202" t="s">
        <v>7867</v>
      </c>
      <c r="G202" t="s">
        <v>5</v>
      </c>
      <c r="H202" t="s">
        <v>4</v>
      </c>
      <c r="I202" t="s">
        <v>7866</v>
      </c>
      <c r="J202" t="s">
        <v>7865</v>
      </c>
      <c r="K202" t="s">
        <v>7864</v>
      </c>
      <c r="L202" t="s">
        <v>7863</v>
      </c>
      <c r="M202" t="s">
        <v>5450</v>
      </c>
      <c r="N202">
        <v>2</v>
      </c>
      <c r="O202" t="s">
        <v>7862</v>
      </c>
      <c r="P202" t="s">
        <v>7861</v>
      </c>
      <c r="Q202" t="s">
        <v>7860</v>
      </c>
      <c r="R202" s="7">
        <v>36130</v>
      </c>
      <c r="S202" s="8">
        <f t="shared" si="24"/>
        <v>1998</v>
      </c>
      <c r="T202" s="8">
        <v>1998</v>
      </c>
      <c r="U202" s="8">
        <f t="shared" si="25"/>
        <v>24</v>
      </c>
      <c r="V202" s="7">
        <v>1998</v>
      </c>
      <c r="W202" t="s">
        <v>7859</v>
      </c>
      <c r="X202" s="2">
        <v>0.29699999999999999</v>
      </c>
      <c r="Y202" s="6">
        <f t="shared" si="26"/>
        <v>7.9282453751901971E-3</v>
      </c>
      <c r="AA202">
        <v>10637842</v>
      </c>
      <c r="AB202">
        <v>12310</v>
      </c>
      <c r="AD202" t="s">
        <v>2</v>
      </c>
      <c r="AE202">
        <v>43</v>
      </c>
      <c r="AF202">
        <v>12</v>
      </c>
      <c r="AH202" t="s">
        <v>7858</v>
      </c>
      <c r="AI202" t="s">
        <v>7857</v>
      </c>
      <c r="AK202" t="s">
        <v>7856</v>
      </c>
      <c r="AL202">
        <v>17</v>
      </c>
      <c r="AM202" s="5">
        <f t="shared" si="27"/>
        <v>0.70833333333333337</v>
      </c>
      <c r="AN202" s="4">
        <f t="shared" si="28"/>
        <v>1.0728259497665025E-3</v>
      </c>
      <c r="AO202" s="3"/>
      <c r="AP202">
        <v>0</v>
      </c>
      <c r="AQ202" t="s">
        <v>7855</v>
      </c>
      <c r="AR202" t="s">
        <v>7854</v>
      </c>
      <c r="AS202" t="s">
        <v>7853</v>
      </c>
      <c r="AT202" s="2">
        <v>0.65400000000000003</v>
      </c>
      <c r="AU202" s="1">
        <f t="shared" si="29"/>
        <v>0.58716195475630883</v>
      </c>
      <c r="AV202" s="1">
        <f t="shared" si="30"/>
        <v>0.45005356624783499</v>
      </c>
      <c r="AW202" s="1">
        <f t="shared" si="31"/>
        <v>0.31294517773936109</v>
      </c>
    </row>
    <row r="203" spans="1:49" x14ac:dyDescent="0.2">
      <c r="A203">
        <v>201</v>
      </c>
      <c r="B203" t="s">
        <v>7852</v>
      </c>
      <c r="C203" t="s">
        <v>7851</v>
      </c>
      <c r="F203" t="s">
        <v>7850</v>
      </c>
      <c r="G203" t="s">
        <v>5</v>
      </c>
      <c r="H203" t="s">
        <v>4</v>
      </c>
      <c r="I203" t="s">
        <v>7140</v>
      </c>
      <c r="J203">
        <v>60031004</v>
      </c>
      <c r="K203" t="s">
        <v>192</v>
      </c>
      <c r="L203" t="s">
        <v>191</v>
      </c>
      <c r="M203" t="s">
        <v>27</v>
      </c>
      <c r="N203">
        <v>3</v>
      </c>
      <c r="O203" t="s">
        <v>7849</v>
      </c>
      <c r="P203" t="s">
        <v>7134</v>
      </c>
      <c r="Q203" t="s">
        <v>193</v>
      </c>
      <c r="R203" s="7">
        <v>36130</v>
      </c>
      <c r="S203" s="8">
        <f t="shared" si="24"/>
        <v>1998</v>
      </c>
      <c r="T203" s="8">
        <v>1998</v>
      </c>
      <c r="U203" s="8">
        <f t="shared" si="25"/>
        <v>24</v>
      </c>
      <c r="V203" s="7">
        <v>36130</v>
      </c>
      <c r="W203" s="11" t="s">
        <v>241</v>
      </c>
      <c r="X203" s="2">
        <v>2.383</v>
      </c>
      <c r="Y203" s="6">
        <f t="shared" si="26"/>
        <v>6.3612824003630442E-2</v>
      </c>
      <c r="AA203">
        <v>13502417</v>
      </c>
      <c r="AB203">
        <v>17416</v>
      </c>
      <c r="AD203" t="s">
        <v>2</v>
      </c>
      <c r="AE203">
        <v>145</v>
      </c>
      <c r="AF203">
        <v>6</v>
      </c>
      <c r="AH203" t="s">
        <v>483</v>
      </c>
      <c r="AI203" t="s">
        <v>7848</v>
      </c>
      <c r="AK203" t="s">
        <v>7847</v>
      </c>
      <c r="AL203">
        <v>40</v>
      </c>
      <c r="AM203" s="5">
        <f t="shared" si="27"/>
        <v>1.6666666666666667</v>
      </c>
      <c r="AN203" s="4">
        <f t="shared" si="28"/>
        <v>2.5242963523917708E-3</v>
      </c>
      <c r="AO203" s="3"/>
      <c r="AP203">
        <v>0</v>
      </c>
      <c r="AR203" t="s">
        <v>1</v>
      </c>
      <c r="AT203" s="2" t="s">
        <v>0</v>
      </c>
      <c r="AU203" s="1">
        <f t="shared" si="29"/>
        <v>4.5286265708258844</v>
      </c>
      <c r="AV203" s="1">
        <f t="shared" si="30"/>
        <v>3.3068560178011102</v>
      </c>
      <c r="AW203" s="1">
        <f t="shared" si="31"/>
        <v>2.0850854647763373</v>
      </c>
    </row>
    <row r="204" spans="1:49" x14ac:dyDescent="0.2">
      <c r="A204">
        <v>202</v>
      </c>
      <c r="B204" t="s">
        <v>7846</v>
      </c>
      <c r="F204" t="s">
        <v>7845</v>
      </c>
      <c r="G204" t="s">
        <v>5</v>
      </c>
      <c r="H204" t="s">
        <v>4</v>
      </c>
      <c r="I204" t="s">
        <v>7844</v>
      </c>
      <c r="J204">
        <v>60103092</v>
      </c>
      <c r="K204" t="s">
        <v>7843</v>
      </c>
      <c r="L204" t="s">
        <v>7842</v>
      </c>
      <c r="M204" t="s">
        <v>13</v>
      </c>
      <c r="N204">
        <v>1</v>
      </c>
      <c r="O204" t="s">
        <v>7841</v>
      </c>
      <c r="P204">
        <v>57198524138</v>
      </c>
      <c r="Q204">
        <v>60103092</v>
      </c>
      <c r="R204" s="7">
        <v>36130</v>
      </c>
      <c r="S204" s="8">
        <f t="shared" si="24"/>
        <v>1998</v>
      </c>
      <c r="T204" s="8">
        <v>1998</v>
      </c>
      <c r="U204" s="8">
        <f t="shared" si="25"/>
        <v>24</v>
      </c>
      <c r="V204" s="7">
        <v>1998</v>
      </c>
      <c r="W204" t="s">
        <v>4520</v>
      </c>
      <c r="X204" s="2">
        <v>0.1</v>
      </c>
      <c r="Y204" s="6">
        <f t="shared" si="26"/>
        <v>2.6694428872694269E-3</v>
      </c>
      <c r="AA204">
        <v>9633308</v>
      </c>
      <c r="AB204">
        <v>17917</v>
      </c>
      <c r="AD204" t="s">
        <v>2</v>
      </c>
      <c r="AF204">
        <v>459</v>
      </c>
      <c r="AL204">
        <v>0</v>
      </c>
      <c r="AM204" s="5">
        <f t="shared" si="27"/>
        <v>0</v>
      </c>
      <c r="AN204" s="4">
        <f t="shared" si="28"/>
        <v>0</v>
      </c>
      <c r="AO204" s="3"/>
      <c r="AP204">
        <v>0</v>
      </c>
      <c r="AR204" t="s">
        <v>1</v>
      </c>
      <c r="AT204" s="2" t="s">
        <v>0</v>
      </c>
      <c r="AU204" s="1">
        <f t="shared" si="29"/>
        <v>0.18686100210885986</v>
      </c>
      <c r="AV204" s="1">
        <f t="shared" si="30"/>
        <v>0.13347214436347135</v>
      </c>
      <c r="AW204" s="1">
        <f t="shared" si="31"/>
        <v>8.0083286618082811E-2</v>
      </c>
    </row>
    <row r="205" spans="1:49" x14ac:dyDescent="0.2">
      <c r="A205">
        <v>203</v>
      </c>
      <c r="B205" t="s">
        <v>7840</v>
      </c>
      <c r="C205" t="s">
        <v>7839</v>
      </c>
      <c r="F205" t="s">
        <v>7838</v>
      </c>
      <c r="G205" t="s">
        <v>5</v>
      </c>
      <c r="H205" t="s">
        <v>4</v>
      </c>
      <c r="I205" t="s">
        <v>7837</v>
      </c>
      <c r="J205" t="s">
        <v>7831</v>
      </c>
      <c r="K205" t="s">
        <v>7836</v>
      </c>
      <c r="L205" t="s">
        <v>7835</v>
      </c>
      <c r="M205" t="s">
        <v>7834</v>
      </c>
      <c r="N205">
        <v>3</v>
      </c>
      <c r="O205" t="s">
        <v>7833</v>
      </c>
      <c r="P205" t="s">
        <v>7832</v>
      </c>
      <c r="Q205" t="s">
        <v>7831</v>
      </c>
      <c r="R205" s="7">
        <v>36130</v>
      </c>
      <c r="S205" s="8">
        <f t="shared" si="24"/>
        <v>1998</v>
      </c>
      <c r="T205" s="8">
        <v>1998</v>
      </c>
      <c r="U205" s="8">
        <f t="shared" si="25"/>
        <v>24</v>
      </c>
      <c r="V205" s="7">
        <v>36130</v>
      </c>
      <c r="W205" s="11" t="s">
        <v>241</v>
      </c>
      <c r="X205" s="2">
        <v>2.383</v>
      </c>
      <c r="Y205" s="6">
        <f t="shared" si="26"/>
        <v>6.3612824003630442E-2</v>
      </c>
      <c r="AA205">
        <v>13502417</v>
      </c>
      <c r="AB205">
        <v>17416</v>
      </c>
      <c r="AD205" t="s">
        <v>2</v>
      </c>
      <c r="AE205">
        <v>145</v>
      </c>
      <c r="AF205">
        <v>6</v>
      </c>
      <c r="AH205" t="s">
        <v>7830</v>
      </c>
      <c r="AI205" t="s">
        <v>7829</v>
      </c>
      <c r="AK205" t="s">
        <v>7828</v>
      </c>
      <c r="AL205">
        <v>28</v>
      </c>
      <c r="AM205" s="5">
        <f t="shared" si="27"/>
        <v>1.1666666666666667</v>
      </c>
      <c r="AN205" s="4">
        <f t="shared" si="28"/>
        <v>1.7670074466742396E-3</v>
      </c>
      <c r="AO205" s="3"/>
      <c r="AP205">
        <v>0</v>
      </c>
      <c r="AR205" t="s">
        <v>1</v>
      </c>
      <c r="AT205" s="2" t="s">
        <v>0</v>
      </c>
      <c r="AU205" s="1">
        <f t="shared" si="29"/>
        <v>4.5059079036543581</v>
      </c>
      <c r="AV205" s="1">
        <f t="shared" si="30"/>
        <v>3.2689915725152341</v>
      </c>
      <c r="AW205" s="1">
        <f t="shared" si="31"/>
        <v>2.0320752413761101</v>
      </c>
    </row>
    <row r="206" spans="1:49" x14ac:dyDescent="0.2">
      <c r="A206">
        <v>204</v>
      </c>
      <c r="B206" t="s">
        <v>7827</v>
      </c>
      <c r="F206" t="s">
        <v>7826</v>
      </c>
      <c r="G206" t="s">
        <v>5</v>
      </c>
      <c r="H206" t="s">
        <v>4</v>
      </c>
      <c r="I206" t="s">
        <v>7825</v>
      </c>
      <c r="J206">
        <v>60022148</v>
      </c>
      <c r="K206" t="s">
        <v>736</v>
      </c>
      <c r="L206" t="s">
        <v>14</v>
      </c>
      <c r="M206" t="s">
        <v>13</v>
      </c>
      <c r="N206">
        <v>2</v>
      </c>
      <c r="O206" t="s">
        <v>7824</v>
      </c>
      <c r="P206" t="s">
        <v>7823</v>
      </c>
      <c r="Q206" t="s">
        <v>7822</v>
      </c>
      <c r="R206" s="7">
        <v>36130</v>
      </c>
      <c r="S206" s="8">
        <f t="shared" si="24"/>
        <v>1998</v>
      </c>
      <c r="T206" s="8">
        <v>1998</v>
      </c>
      <c r="U206" s="8">
        <f t="shared" si="25"/>
        <v>24</v>
      </c>
      <c r="V206" s="7">
        <v>1998</v>
      </c>
      <c r="W206" t="s">
        <v>4520</v>
      </c>
      <c r="X206" s="2">
        <v>0.1</v>
      </c>
      <c r="Y206" s="6">
        <f t="shared" si="26"/>
        <v>2.6694428872694269E-3</v>
      </c>
      <c r="AA206">
        <v>9633308</v>
      </c>
      <c r="AB206">
        <v>17917</v>
      </c>
      <c r="AD206" t="s">
        <v>2</v>
      </c>
      <c r="AF206">
        <v>459</v>
      </c>
      <c r="AI206" t="s">
        <v>7821</v>
      </c>
      <c r="AK206" t="s">
        <v>7820</v>
      </c>
      <c r="AL206">
        <v>1</v>
      </c>
      <c r="AM206" s="5">
        <f t="shared" si="27"/>
        <v>4.1666666666666664E-2</v>
      </c>
      <c r="AN206" s="4">
        <f t="shared" si="28"/>
        <v>6.3107408809794262E-5</v>
      </c>
      <c r="AO206" s="3"/>
      <c r="AP206">
        <v>0</v>
      </c>
      <c r="AR206" t="s">
        <v>1</v>
      </c>
      <c r="AT206" s="2" t="s">
        <v>0</v>
      </c>
      <c r="AU206" s="1">
        <f t="shared" si="29"/>
        <v>0.1887542243731537</v>
      </c>
      <c r="AV206" s="1">
        <f t="shared" si="30"/>
        <v>0.13662751480396107</v>
      </c>
      <c r="AW206" s="1">
        <f t="shared" si="31"/>
        <v>8.4500805234768397E-2</v>
      </c>
    </row>
    <row r="207" spans="1:49" x14ac:dyDescent="0.2">
      <c r="A207">
        <v>205</v>
      </c>
      <c r="B207" t="s">
        <v>7819</v>
      </c>
      <c r="C207" t="s">
        <v>7818</v>
      </c>
      <c r="F207" t="s">
        <v>7817</v>
      </c>
      <c r="G207" t="s">
        <v>5</v>
      </c>
      <c r="H207" t="s">
        <v>4</v>
      </c>
      <c r="I207" t="s">
        <v>7816</v>
      </c>
      <c r="J207">
        <v>60033191</v>
      </c>
      <c r="K207" t="s">
        <v>546</v>
      </c>
      <c r="L207" t="s">
        <v>427</v>
      </c>
      <c r="M207" t="s">
        <v>155</v>
      </c>
      <c r="N207">
        <v>2</v>
      </c>
      <c r="O207" t="s">
        <v>7815</v>
      </c>
      <c r="P207" t="s">
        <v>7814</v>
      </c>
      <c r="Q207" t="s">
        <v>7813</v>
      </c>
      <c r="R207" s="7">
        <v>36130</v>
      </c>
      <c r="S207" s="8">
        <f t="shared" si="24"/>
        <v>1998</v>
      </c>
      <c r="T207" s="8">
        <v>1998</v>
      </c>
      <c r="U207" s="8">
        <f t="shared" si="25"/>
        <v>24</v>
      </c>
      <c r="V207" s="7">
        <v>36130</v>
      </c>
      <c r="W207" s="11" t="s">
        <v>241</v>
      </c>
      <c r="X207" s="2">
        <v>2.383</v>
      </c>
      <c r="Y207" s="6">
        <f t="shared" si="26"/>
        <v>6.3612824003630442E-2</v>
      </c>
      <c r="AA207">
        <v>13502417</v>
      </c>
      <c r="AB207">
        <v>17416</v>
      </c>
      <c r="AD207" t="s">
        <v>2</v>
      </c>
      <c r="AE207">
        <v>145</v>
      </c>
      <c r="AF207">
        <v>6</v>
      </c>
      <c r="AH207" t="s">
        <v>7812</v>
      </c>
      <c r="AI207" t="s">
        <v>7811</v>
      </c>
      <c r="AK207" t="s">
        <v>7810</v>
      </c>
      <c r="AL207">
        <v>10</v>
      </c>
      <c r="AM207" s="5">
        <f t="shared" si="27"/>
        <v>0.41666666666666669</v>
      </c>
      <c r="AN207" s="4">
        <f t="shared" si="28"/>
        <v>6.310740880979427E-4</v>
      </c>
      <c r="AO207" s="3"/>
      <c r="AP207">
        <v>0</v>
      </c>
      <c r="AR207" t="s">
        <v>1</v>
      </c>
      <c r="AT207" s="2" t="s">
        <v>0</v>
      </c>
      <c r="AU207" s="1">
        <f t="shared" si="29"/>
        <v>4.4718299028970687</v>
      </c>
      <c r="AV207" s="1">
        <f t="shared" si="30"/>
        <v>3.2121949045864193</v>
      </c>
      <c r="AW207" s="1">
        <f t="shared" si="31"/>
        <v>1.9525599062757693</v>
      </c>
    </row>
    <row r="208" spans="1:49" x14ac:dyDescent="0.2">
      <c r="A208">
        <v>206</v>
      </c>
      <c r="B208" t="s">
        <v>7809</v>
      </c>
      <c r="F208" t="s">
        <v>7808</v>
      </c>
      <c r="G208" t="s">
        <v>5</v>
      </c>
      <c r="H208" t="s">
        <v>4</v>
      </c>
      <c r="I208" t="s">
        <v>7807</v>
      </c>
      <c r="J208">
        <v>100333762</v>
      </c>
      <c r="K208" t="s">
        <v>7806</v>
      </c>
      <c r="L208" t="s">
        <v>488</v>
      </c>
      <c r="M208" t="s">
        <v>13</v>
      </c>
      <c r="N208">
        <v>1</v>
      </c>
      <c r="O208" t="s">
        <v>7805</v>
      </c>
      <c r="P208">
        <v>7005343188</v>
      </c>
      <c r="Q208">
        <v>100333762</v>
      </c>
      <c r="R208" s="7">
        <v>36130</v>
      </c>
      <c r="S208" s="8">
        <f t="shared" si="24"/>
        <v>1998</v>
      </c>
      <c r="T208" s="8">
        <v>1998</v>
      </c>
      <c r="U208" s="8">
        <f t="shared" si="25"/>
        <v>24</v>
      </c>
      <c r="V208" s="7">
        <v>1998</v>
      </c>
      <c r="W208" t="s">
        <v>4520</v>
      </c>
      <c r="X208" s="2">
        <v>0.1</v>
      </c>
      <c r="Y208" s="6">
        <f t="shared" si="26"/>
        <v>2.6694428872694269E-3</v>
      </c>
      <c r="AA208">
        <v>9633308</v>
      </c>
      <c r="AB208">
        <v>17917</v>
      </c>
      <c r="AD208" t="s">
        <v>2</v>
      </c>
      <c r="AF208">
        <v>459</v>
      </c>
      <c r="AL208">
        <v>6</v>
      </c>
      <c r="AM208" s="5">
        <f t="shared" si="27"/>
        <v>0.25</v>
      </c>
      <c r="AN208" s="4">
        <f t="shared" si="28"/>
        <v>3.786444528587656E-4</v>
      </c>
      <c r="AO208" s="3"/>
      <c r="AP208">
        <v>0</v>
      </c>
      <c r="AR208" t="s">
        <v>1</v>
      </c>
      <c r="AT208" s="2" t="s">
        <v>0</v>
      </c>
      <c r="AU208" s="1">
        <f t="shared" si="29"/>
        <v>0.19822033569462283</v>
      </c>
      <c r="AV208" s="1">
        <f t="shared" si="30"/>
        <v>0.15240436700640964</v>
      </c>
      <c r="AW208" s="1">
        <f t="shared" si="31"/>
        <v>0.10658839831819639</v>
      </c>
    </row>
    <row r="209" spans="1:49" x14ac:dyDescent="0.2">
      <c r="A209">
        <v>207</v>
      </c>
      <c r="B209" t="s">
        <v>7804</v>
      </c>
      <c r="C209" t="s">
        <v>7803</v>
      </c>
      <c r="F209" t="s">
        <v>7802</v>
      </c>
      <c r="G209" t="s">
        <v>5</v>
      </c>
      <c r="H209" t="s">
        <v>4</v>
      </c>
      <c r="I209" t="s">
        <v>7801</v>
      </c>
      <c r="J209">
        <v>60016561</v>
      </c>
      <c r="K209" t="s">
        <v>703</v>
      </c>
      <c r="L209" t="s">
        <v>702</v>
      </c>
      <c r="M209" t="s">
        <v>182</v>
      </c>
      <c r="N209">
        <v>1</v>
      </c>
      <c r="O209" t="s">
        <v>7800</v>
      </c>
      <c r="P209">
        <v>55451561800</v>
      </c>
      <c r="Q209">
        <v>60016561</v>
      </c>
      <c r="R209" s="7">
        <v>36130</v>
      </c>
      <c r="S209" s="8">
        <f t="shared" si="24"/>
        <v>1998</v>
      </c>
      <c r="T209" s="8">
        <v>1998</v>
      </c>
      <c r="U209" s="8">
        <f t="shared" si="25"/>
        <v>24</v>
      </c>
      <c r="V209" s="7">
        <v>35796</v>
      </c>
      <c r="W209" t="s">
        <v>612</v>
      </c>
      <c r="X209" s="2">
        <v>0.375</v>
      </c>
      <c r="Y209" s="6">
        <f t="shared" si="26"/>
        <v>1.0010410827260351E-2</v>
      </c>
      <c r="AA209">
        <v>135194</v>
      </c>
      <c r="AB209">
        <v>24918</v>
      </c>
      <c r="AD209" t="s">
        <v>2</v>
      </c>
      <c r="AE209">
        <v>34</v>
      </c>
      <c r="AF209">
        <v>25</v>
      </c>
      <c r="AH209" t="s">
        <v>7799</v>
      </c>
      <c r="AI209" t="s">
        <v>7798</v>
      </c>
      <c r="AK209" t="s">
        <v>7797</v>
      </c>
      <c r="AL209">
        <v>0</v>
      </c>
      <c r="AM209" s="5">
        <f t="shared" si="27"/>
        <v>0</v>
      </c>
      <c r="AN209" s="4">
        <f t="shared" si="28"/>
        <v>0</v>
      </c>
      <c r="AO209" s="3"/>
      <c r="AP209">
        <v>0</v>
      </c>
      <c r="AR209" t="s">
        <v>1</v>
      </c>
      <c r="AT209" s="2">
        <v>1.3140000000000001</v>
      </c>
      <c r="AU209" s="1">
        <f t="shared" si="29"/>
        <v>0.70072875790822453</v>
      </c>
      <c r="AV209" s="1">
        <f t="shared" si="30"/>
        <v>0.5005205413630176</v>
      </c>
      <c r="AW209" s="1">
        <f t="shared" si="31"/>
        <v>0.30031232481781051</v>
      </c>
    </row>
    <row r="210" spans="1:49" x14ac:dyDescent="0.2">
      <c r="A210">
        <v>208</v>
      </c>
      <c r="B210" t="s">
        <v>7796</v>
      </c>
      <c r="C210" t="s">
        <v>7795</v>
      </c>
      <c r="D210" t="s">
        <v>7794</v>
      </c>
      <c r="E210">
        <v>9835077</v>
      </c>
      <c r="F210" t="s">
        <v>7793</v>
      </c>
      <c r="G210" t="s">
        <v>5</v>
      </c>
      <c r="H210" t="s">
        <v>4</v>
      </c>
      <c r="I210" t="s">
        <v>7792</v>
      </c>
      <c r="J210">
        <v>60020547</v>
      </c>
      <c r="K210" t="s">
        <v>137</v>
      </c>
      <c r="L210" t="s">
        <v>136</v>
      </c>
      <c r="M210" t="s">
        <v>9</v>
      </c>
      <c r="N210">
        <v>7</v>
      </c>
      <c r="O210" t="s">
        <v>7791</v>
      </c>
      <c r="P210" t="s">
        <v>7790</v>
      </c>
      <c r="Q210" t="s">
        <v>7789</v>
      </c>
      <c r="R210" s="7">
        <v>36130</v>
      </c>
      <c r="S210" s="8">
        <f t="shared" si="24"/>
        <v>1998</v>
      </c>
      <c r="T210" s="8">
        <v>1998</v>
      </c>
      <c r="U210" s="8">
        <f t="shared" si="25"/>
        <v>24</v>
      </c>
      <c r="V210" s="7">
        <v>1998</v>
      </c>
      <c r="W210" t="s">
        <v>7788</v>
      </c>
      <c r="X210" s="2">
        <v>0.96099999999999997</v>
      </c>
      <c r="Y210" s="6">
        <f t="shared" si="26"/>
        <v>2.5653346146659192E-2</v>
      </c>
      <c r="AA210">
        <v>10440305</v>
      </c>
      <c r="AB210">
        <v>29591</v>
      </c>
      <c r="AD210" t="s">
        <v>2</v>
      </c>
      <c r="AE210">
        <v>9</v>
      </c>
      <c r="AF210">
        <v>12</v>
      </c>
      <c r="AH210" t="s">
        <v>7787</v>
      </c>
      <c r="AI210" t="s">
        <v>7786</v>
      </c>
      <c r="AK210" t="s">
        <v>7785</v>
      </c>
      <c r="AL210">
        <v>15</v>
      </c>
      <c r="AM210" s="5">
        <f t="shared" si="27"/>
        <v>0.625</v>
      </c>
      <c r="AN210" s="4">
        <f t="shared" si="28"/>
        <v>9.4661113214691405E-4</v>
      </c>
      <c r="AO210" s="3"/>
      <c r="AP210">
        <v>0</v>
      </c>
      <c r="AQ210" t="s">
        <v>7784</v>
      </c>
      <c r="AR210" t="s">
        <v>7783</v>
      </c>
      <c r="AS210" t="s">
        <v>7782</v>
      </c>
      <c r="AT210" s="2" t="s">
        <v>0</v>
      </c>
      <c r="AU210" s="1">
        <f t="shared" si="29"/>
        <v>1.8241325642305506</v>
      </c>
      <c r="AV210" s="1">
        <f t="shared" si="30"/>
        <v>1.3299978639403054</v>
      </c>
      <c r="AW210" s="1">
        <f t="shared" si="31"/>
        <v>0.83586316365005975</v>
      </c>
    </row>
    <row r="211" spans="1:49" x14ac:dyDescent="0.2">
      <c r="A211">
        <v>209</v>
      </c>
      <c r="B211" t="s">
        <v>7781</v>
      </c>
      <c r="C211" t="s">
        <v>7780</v>
      </c>
      <c r="D211" t="s">
        <v>7779</v>
      </c>
      <c r="F211" t="s">
        <v>7778</v>
      </c>
      <c r="G211" t="s">
        <v>5</v>
      </c>
      <c r="H211" t="s">
        <v>4</v>
      </c>
      <c r="I211" t="s">
        <v>7600</v>
      </c>
      <c r="J211" t="s">
        <v>7777</v>
      </c>
      <c r="K211" t="s">
        <v>7776</v>
      </c>
      <c r="L211" t="s">
        <v>7775</v>
      </c>
      <c r="M211" t="s">
        <v>737</v>
      </c>
      <c r="N211">
        <v>7</v>
      </c>
      <c r="O211" t="s">
        <v>7774</v>
      </c>
      <c r="P211" t="s">
        <v>7773</v>
      </c>
      <c r="Q211" t="s">
        <v>7772</v>
      </c>
      <c r="R211" s="7">
        <v>36130</v>
      </c>
      <c r="S211" s="8">
        <f t="shared" si="24"/>
        <v>1998</v>
      </c>
      <c r="T211" s="8">
        <v>1998</v>
      </c>
      <c r="U211" s="8">
        <f t="shared" si="25"/>
        <v>24</v>
      </c>
      <c r="V211" s="7">
        <v>1998</v>
      </c>
      <c r="W211" t="s">
        <v>303</v>
      </c>
      <c r="X211" s="2">
        <v>1.3720000000000001</v>
      </c>
      <c r="Y211" s="6">
        <f t="shared" si="26"/>
        <v>3.662475641333654E-2</v>
      </c>
      <c r="AA211">
        <v>189480</v>
      </c>
      <c r="AB211">
        <v>17366</v>
      </c>
      <c r="AD211" t="s">
        <v>2</v>
      </c>
      <c r="AE211">
        <v>46</v>
      </c>
      <c r="AF211" t="s">
        <v>7571</v>
      </c>
      <c r="AH211" t="s">
        <v>7771</v>
      </c>
      <c r="AI211" t="s">
        <v>7770</v>
      </c>
      <c r="AJ211" t="s">
        <v>7769</v>
      </c>
      <c r="AK211" t="s">
        <v>7768</v>
      </c>
      <c r="AL211">
        <v>18</v>
      </c>
      <c r="AM211" s="5">
        <f t="shared" si="27"/>
        <v>0.75</v>
      </c>
      <c r="AN211" s="4">
        <f t="shared" si="28"/>
        <v>1.1359333585762969E-3</v>
      </c>
      <c r="AO211" s="3"/>
      <c r="AP211">
        <v>0</v>
      </c>
      <c r="AQ211" t="s">
        <v>7012</v>
      </c>
      <c r="AR211" t="s">
        <v>1</v>
      </c>
      <c r="AS211" t="s">
        <v>396</v>
      </c>
      <c r="AT211" s="2" t="s">
        <v>0</v>
      </c>
      <c r="AU211" s="1">
        <f t="shared" si="29"/>
        <v>2.5978109496908464</v>
      </c>
      <c r="AV211" s="1">
        <f t="shared" si="30"/>
        <v>1.8880344885956419</v>
      </c>
      <c r="AW211" s="1">
        <f t="shared" si="31"/>
        <v>1.1782580275004371</v>
      </c>
    </row>
    <row r="212" spans="1:49" x14ac:dyDescent="0.2">
      <c r="A212">
        <v>210</v>
      </c>
      <c r="B212" t="s">
        <v>7767</v>
      </c>
      <c r="C212" t="s">
        <v>7766</v>
      </c>
      <c r="D212" t="s">
        <v>7765</v>
      </c>
      <c r="F212" t="s">
        <v>7764</v>
      </c>
      <c r="G212" t="s">
        <v>5</v>
      </c>
      <c r="H212" t="s">
        <v>4</v>
      </c>
      <c r="I212" t="s">
        <v>2157</v>
      </c>
      <c r="J212" t="s">
        <v>7763</v>
      </c>
      <c r="K212" t="s">
        <v>7762</v>
      </c>
      <c r="L212" t="s">
        <v>7761</v>
      </c>
      <c r="M212" t="s">
        <v>6</v>
      </c>
      <c r="N212">
        <v>1</v>
      </c>
      <c r="O212" t="s">
        <v>7760</v>
      </c>
      <c r="P212">
        <v>57223745182</v>
      </c>
      <c r="Q212" t="s">
        <v>7759</v>
      </c>
      <c r="R212" s="7">
        <v>36130</v>
      </c>
      <c r="S212" s="8">
        <f t="shared" si="24"/>
        <v>1998</v>
      </c>
      <c r="T212" s="8">
        <v>1998</v>
      </c>
      <c r="U212" s="8">
        <f t="shared" si="25"/>
        <v>24</v>
      </c>
      <c r="V212" s="7">
        <v>1998</v>
      </c>
      <c r="W212" t="s">
        <v>303</v>
      </c>
      <c r="X212" s="2">
        <v>1.3720000000000001</v>
      </c>
      <c r="Y212" s="6">
        <f t="shared" si="26"/>
        <v>3.662475641333654E-2</v>
      </c>
      <c r="AA212">
        <v>189480</v>
      </c>
      <c r="AB212">
        <v>17366</v>
      </c>
      <c r="AD212" t="s">
        <v>2</v>
      </c>
      <c r="AE212">
        <v>46</v>
      </c>
      <c r="AF212" t="s">
        <v>7571</v>
      </c>
      <c r="AH212" t="s">
        <v>7758</v>
      </c>
      <c r="AI212" t="s">
        <v>7757</v>
      </c>
      <c r="AK212" t="s">
        <v>7756</v>
      </c>
      <c r="AL212">
        <v>517</v>
      </c>
      <c r="AM212" s="5">
        <f t="shared" si="27"/>
        <v>21.541666666666668</v>
      </c>
      <c r="AN212" s="4">
        <f t="shared" si="28"/>
        <v>3.262653035466364E-2</v>
      </c>
      <c r="AO212" s="3"/>
      <c r="AP212">
        <v>0</v>
      </c>
      <c r="AR212" t="s">
        <v>1</v>
      </c>
      <c r="AT212" s="2" t="s">
        <v>0</v>
      </c>
      <c r="AU212" s="1">
        <f t="shared" si="29"/>
        <v>3.542528859573467</v>
      </c>
      <c r="AV212" s="1">
        <f t="shared" si="30"/>
        <v>3.4625643384000093</v>
      </c>
      <c r="AW212" s="1">
        <f t="shared" si="31"/>
        <v>3.3825998172265512</v>
      </c>
    </row>
    <row r="213" spans="1:49" x14ac:dyDescent="0.2">
      <c r="A213">
        <v>211</v>
      </c>
      <c r="B213" t="s">
        <v>7755</v>
      </c>
      <c r="C213" t="s">
        <v>7754</v>
      </c>
      <c r="D213" t="s">
        <v>7753</v>
      </c>
      <c r="F213" t="s">
        <v>7752</v>
      </c>
      <c r="G213" t="s">
        <v>5</v>
      </c>
      <c r="H213" t="s">
        <v>4</v>
      </c>
      <c r="I213" t="s">
        <v>7751</v>
      </c>
      <c r="J213" t="s">
        <v>7750</v>
      </c>
      <c r="K213" t="s">
        <v>7749</v>
      </c>
      <c r="L213" t="s">
        <v>7748</v>
      </c>
      <c r="M213" t="s">
        <v>101</v>
      </c>
      <c r="N213">
        <v>3</v>
      </c>
      <c r="O213" t="s">
        <v>7747</v>
      </c>
      <c r="P213" t="s">
        <v>7746</v>
      </c>
      <c r="Q213" t="s">
        <v>7745</v>
      </c>
      <c r="R213" s="7">
        <v>36130</v>
      </c>
      <c r="S213" s="8">
        <f t="shared" si="24"/>
        <v>1998</v>
      </c>
      <c r="T213" s="8">
        <v>1998</v>
      </c>
      <c r="U213" s="8">
        <f t="shared" si="25"/>
        <v>24</v>
      </c>
      <c r="V213" s="7">
        <v>1998</v>
      </c>
      <c r="W213" t="s">
        <v>303</v>
      </c>
      <c r="X213" s="2">
        <v>1.3720000000000001</v>
      </c>
      <c r="Y213" s="6">
        <f t="shared" si="26"/>
        <v>3.662475641333654E-2</v>
      </c>
      <c r="AA213">
        <v>189480</v>
      </c>
      <c r="AB213">
        <v>17366</v>
      </c>
      <c r="AD213" t="s">
        <v>2</v>
      </c>
      <c r="AE213">
        <v>46</v>
      </c>
      <c r="AF213" t="s">
        <v>7571</v>
      </c>
      <c r="AH213" t="s">
        <v>7744</v>
      </c>
      <c r="AI213" t="s">
        <v>7743</v>
      </c>
      <c r="AJ213" t="s">
        <v>7742</v>
      </c>
      <c r="AK213" t="s">
        <v>7741</v>
      </c>
      <c r="AL213">
        <v>6</v>
      </c>
      <c r="AM213" s="5">
        <f t="shared" si="27"/>
        <v>0.25</v>
      </c>
      <c r="AN213" s="4">
        <f t="shared" si="28"/>
        <v>3.786444528587656E-4</v>
      </c>
      <c r="AO213" s="3"/>
      <c r="AP213">
        <v>0</v>
      </c>
      <c r="AQ213" t="s">
        <v>7740</v>
      </c>
      <c r="AR213" t="s">
        <v>1</v>
      </c>
      <c r="AS213" t="s">
        <v>7739</v>
      </c>
      <c r="AT213" s="2" t="s">
        <v>0</v>
      </c>
      <c r="AU213" s="1">
        <f t="shared" si="29"/>
        <v>2.5750922825193205</v>
      </c>
      <c r="AV213" s="1">
        <f t="shared" si="30"/>
        <v>1.8501700433097654</v>
      </c>
      <c r="AW213" s="1">
        <f t="shared" si="31"/>
        <v>1.1252478041002099</v>
      </c>
    </row>
    <row r="214" spans="1:49" x14ac:dyDescent="0.2">
      <c r="A214">
        <v>212</v>
      </c>
      <c r="B214" t="s">
        <v>7738</v>
      </c>
      <c r="C214" t="s">
        <v>7737</v>
      </c>
      <c r="D214" t="s">
        <v>7736</v>
      </c>
      <c r="F214" t="s">
        <v>7735</v>
      </c>
      <c r="G214" t="s">
        <v>5</v>
      </c>
      <c r="H214" t="s">
        <v>4</v>
      </c>
      <c r="I214" t="s">
        <v>7734</v>
      </c>
      <c r="J214" t="s">
        <v>7733</v>
      </c>
      <c r="K214" t="s">
        <v>7732</v>
      </c>
      <c r="L214" t="s">
        <v>7731</v>
      </c>
      <c r="M214" t="s">
        <v>6</v>
      </c>
      <c r="N214">
        <v>2</v>
      </c>
      <c r="O214" t="s">
        <v>7730</v>
      </c>
      <c r="P214" t="s">
        <v>7729</v>
      </c>
      <c r="Q214" t="s">
        <v>7728</v>
      </c>
      <c r="R214" s="7">
        <v>36130</v>
      </c>
      <c r="S214" s="8">
        <f t="shared" si="24"/>
        <v>1998</v>
      </c>
      <c r="T214" s="8">
        <v>1998</v>
      </c>
      <c r="U214" s="8">
        <f t="shared" si="25"/>
        <v>24</v>
      </c>
      <c r="V214" s="7">
        <v>1998</v>
      </c>
      <c r="W214" t="s">
        <v>303</v>
      </c>
      <c r="X214" s="2">
        <v>1.3720000000000001</v>
      </c>
      <c r="Y214" s="6">
        <f t="shared" si="26"/>
        <v>3.662475641333654E-2</v>
      </c>
      <c r="AA214">
        <v>189480</v>
      </c>
      <c r="AB214">
        <v>17366</v>
      </c>
      <c r="AD214" t="s">
        <v>2</v>
      </c>
      <c r="AE214">
        <v>46</v>
      </c>
      <c r="AF214" t="s">
        <v>7571</v>
      </c>
      <c r="AH214" t="s">
        <v>7727</v>
      </c>
      <c r="AI214" t="s">
        <v>7726</v>
      </c>
      <c r="AJ214" t="s">
        <v>7725</v>
      </c>
      <c r="AK214" t="s">
        <v>7724</v>
      </c>
      <c r="AL214">
        <v>61</v>
      </c>
      <c r="AM214" s="5">
        <f t="shared" si="27"/>
        <v>2.5416666666666665</v>
      </c>
      <c r="AN214" s="4">
        <f t="shared" si="28"/>
        <v>3.8495519373974501E-3</v>
      </c>
      <c r="AO214" s="3"/>
      <c r="AP214">
        <v>0</v>
      </c>
      <c r="AQ214" t="s">
        <v>17</v>
      </c>
      <c r="AR214" t="s">
        <v>7723</v>
      </c>
      <c r="AS214" t="s">
        <v>16</v>
      </c>
      <c r="AT214" s="2" t="s">
        <v>0</v>
      </c>
      <c r="AU214" s="1">
        <f t="shared" si="29"/>
        <v>2.679219507055481</v>
      </c>
      <c r="AV214" s="1">
        <f t="shared" si="30"/>
        <v>2.0237154175366996</v>
      </c>
      <c r="AW214" s="1">
        <f t="shared" si="31"/>
        <v>1.3682113280179178</v>
      </c>
    </row>
    <row r="215" spans="1:49" x14ac:dyDescent="0.2">
      <c r="A215">
        <v>213</v>
      </c>
      <c r="B215" t="s">
        <v>7722</v>
      </c>
      <c r="C215" t="s">
        <v>7721</v>
      </c>
      <c r="D215" t="s">
        <v>7720</v>
      </c>
      <c r="F215" t="s">
        <v>7719</v>
      </c>
      <c r="G215" t="s">
        <v>5</v>
      </c>
      <c r="H215" t="s">
        <v>4</v>
      </c>
      <c r="I215" t="s">
        <v>7718</v>
      </c>
      <c r="J215" t="s">
        <v>7717</v>
      </c>
      <c r="K215" t="s">
        <v>7716</v>
      </c>
      <c r="L215" t="s">
        <v>7715</v>
      </c>
      <c r="M215" t="s">
        <v>7714</v>
      </c>
      <c r="N215">
        <v>3</v>
      </c>
      <c r="O215" t="s">
        <v>7713</v>
      </c>
      <c r="P215" t="s">
        <v>7712</v>
      </c>
      <c r="Q215" t="s">
        <v>7711</v>
      </c>
      <c r="R215" s="7">
        <v>36130</v>
      </c>
      <c r="S215" s="8">
        <f t="shared" si="24"/>
        <v>1998</v>
      </c>
      <c r="T215" s="8">
        <v>1998</v>
      </c>
      <c r="U215" s="8">
        <f t="shared" si="25"/>
        <v>24</v>
      </c>
      <c r="V215" s="7">
        <v>1998</v>
      </c>
      <c r="W215" t="s">
        <v>303</v>
      </c>
      <c r="X215" s="2">
        <v>1.3720000000000001</v>
      </c>
      <c r="Y215" s="6">
        <f t="shared" si="26"/>
        <v>3.662475641333654E-2</v>
      </c>
      <c r="AA215">
        <v>189480</v>
      </c>
      <c r="AB215">
        <v>17366</v>
      </c>
      <c r="AD215" t="s">
        <v>2</v>
      </c>
      <c r="AE215">
        <v>46</v>
      </c>
      <c r="AF215" t="s">
        <v>7571</v>
      </c>
      <c r="AH215" t="s">
        <v>7710</v>
      </c>
      <c r="AI215" t="s">
        <v>7709</v>
      </c>
      <c r="AJ215" t="s">
        <v>7708</v>
      </c>
      <c r="AK215" t="s">
        <v>7707</v>
      </c>
      <c r="AL215">
        <v>113</v>
      </c>
      <c r="AM215" s="5">
        <f t="shared" si="27"/>
        <v>4.708333333333333</v>
      </c>
      <c r="AN215" s="4">
        <f t="shared" si="28"/>
        <v>7.1311371955067523E-3</v>
      </c>
      <c r="AO215" s="3"/>
      <c r="AP215">
        <v>0</v>
      </c>
      <c r="AR215" t="s">
        <v>1</v>
      </c>
      <c r="AT215" s="2" t="s">
        <v>0</v>
      </c>
      <c r="AU215" s="1">
        <f t="shared" si="29"/>
        <v>2.7776670647987602</v>
      </c>
      <c r="AV215" s="1">
        <f t="shared" si="30"/>
        <v>2.1877946804421646</v>
      </c>
      <c r="AW215" s="1">
        <f t="shared" si="31"/>
        <v>1.5979222960855688</v>
      </c>
    </row>
    <row r="216" spans="1:49" x14ac:dyDescent="0.2">
      <c r="A216">
        <v>214</v>
      </c>
      <c r="B216" t="s">
        <v>7706</v>
      </c>
      <c r="C216" t="s">
        <v>7705</v>
      </c>
      <c r="D216" t="s">
        <v>7704</v>
      </c>
      <c r="F216" t="s">
        <v>7703</v>
      </c>
      <c r="G216" t="s">
        <v>5</v>
      </c>
      <c r="H216" t="s">
        <v>4</v>
      </c>
      <c r="I216" t="s">
        <v>7702</v>
      </c>
      <c r="J216">
        <v>60103653</v>
      </c>
      <c r="K216" t="s">
        <v>6585</v>
      </c>
      <c r="L216" t="s">
        <v>427</v>
      </c>
      <c r="M216" t="s">
        <v>155</v>
      </c>
      <c r="N216">
        <v>2</v>
      </c>
      <c r="O216" t="s">
        <v>7701</v>
      </c>
      <c r="P216" t="s">
        <v>7700</v>
      </c>
      <c r="Q216" t="s">
        <v>6723</v>
      </c>
      <c r="R216" s="7">
        <v>36130</v>
      </c>
      <c r="S216" s="8">
        <f t="shared" si="24"/>
        <v>1998</v>
      </c>
      <c r="T216" s="8">
        <v>1998</v>
      </c>
      <c r="U216" s="8">
        <f t="shared" si="25"/>
        <v>24</v>
      </c>
      <c r="V216" s="7">
        <v>1998</v>
      </c>
      <c r="W216" t="s">
        <v>4480</v>
      </c>
      <c r="X216" s="2">
        <v>2.141</v>
      </c>
      <c r="Y216" s="6">
        <f t="shared" si="26"/>
        <v>5.7152772216438434E-2</v>
      </c>
      <c r="AA216">
        <v>1962892</v>
      </c>
      <c r="AB216">
        <v>17360</v>
      </c>
      <c r="AD216" t="s">
        <v>2</v>
      </c>
      <c r="AE216">
        <v>36</v>
      </c>
      <c r="AF216">
        <v>6</v>
      </c>
      <c r="AH216" t="s">
        <v>7699</v>
      </c>
      <c r="AI216" t="s">
        <v>7698</v>
      </c>
      <c r="AJ216" t="s">
        <v>7697</v>
      </c>
      <c r="AK216" t="s">
        <v>7696</v>
      </c>
      <c r="AL216">
        <v>0</v>
      </c>
      <c r="AM216" s="5">
        <f t="shared" si="27"/>
        <v>0</v>
      </c>
      <c r="AN216" s="4">
        <f t="shared" si="28"/>
        <v>0</v>
      </c>
      <c r="AO216" s="3"/>
      <c r="AP216">
        <v>0</v>
      </c>
      <c r="AR216" t="s">
        <v>1</v>
      </c>
      <c r="AT216" s="2" t="s">
        <v>0</v>
      </c>
      <c r="AU216" s="1">
        <f t="shared" si="29"/>
        <v>4.0006940551506904</v>
      </c>
      <c r="AV216" s="1">
        <f t="shared" si="30"/>
        <v>2.8576386108219216</v>
      </c>
      <c r="AW216" s="1">
        <f t="shared" si="31"/>
        <v>1.714583166493153</v>
      </c>
    </row>
    <row r="217" spans="1:49" x14ac:dyDescent="0.2">
      <c r="A217">
        <v>215</v>
      </c>
      <c r="B217" t="s">
        <v>7695</v>
      </c>
      <c r="C217" t="s">
        <v>7694</v>
      </c>
      <c r="D217" t="s">
        <v>7693</v>
      </c>
      <c r="F217" t="s">
        <v>7692</v>
      </c>
      <c r="G217" t="s">
        <v>5</v>
      </c>
      <c r="H217" t="s">
        <v>4</v>
      </c>
      <c r="I217" t="s">
        <v>7691</v>
      </c>
      <c r="J217">
        <v>60019722</v>
      </c>
      <c r="K217" t="s">
        <v>5661</v>
      </c>
      <c r="L217" t="s">
        <v>40</v>
      </c>
      <c r="M217" t="s">
        <v>37</v>
      </c>
      <c r="N217">
        <v>2</v>
      </c>
      <c r="O217" t="s">
        <v>7690</v>
      </c>
      <c r="P217" t="s">
        <v>7689</v>
      </c>
      <c r="Q217" t="s">
        <v>5718</v>
      </c>
      <c r="R217" s="7">
        <v>36130</v>
      </c>
      <c r="S217" s="8">
        <f t="shared" si="24"/>
        <v>1998</v>
      </c>
      <c r="T217" s="8">
        <v>1998</v>
      </c>
      <c r="U217" s="8">
        <f t="shared" si="25"/>
        <v>24</v>
      </c>
      <c r="V217" s="7">
        <v>1998</v>
      </c>
      <c r="W217" t="s">
        <v>256</v>
      </c>
      <c r="X217" s="2">
        <v>1.468</v>
      </c>
      <c r="Y217" s="6">
        <f t="shared" si="26"/>
        <v>3.9187421585115186E-2</v>
      </c>
      <c r="AA217">
        <v>906778</v>
      </c>
      <c r="AB217">
        <v>18931</v>
      </c>
      <c r="AD217" t="s">
        <v>2</v>
      </c>
      <c r="AE217">
        <v>46</v>
      </c>
      <c r="AF217">
        <v>11</v>
      </c>
      <c r="AH217" t="s">
        <v>7688</v>
      </c>
      <c r="AI217" t="s">
        <v>7687</v>
      </c>
      <c r="AJ217" t="s">
        <v>7686</v>
      </c>
      <c r="AK217" t="s">
        <v>7685</v>
      </c>
      <c r="AL217">
        <v>107</v>
      </c>
      <c r="AM217" s="5">
        <f t="shared" si="27"/>
        <v>4.458333333333333</v>
      </c>
      <c r="AN217" s="4">
        <f t="shared" si="28"/>
        <v>6.7524927426479862E-3</v>
      </c>
      <c r="AO217" s="3"/>
      <c r="AP217">
        <v>0</v>
      </c>
      <c r="AR217" t="s">
        <v>1</v>
      </c>
      <c r="AT217" s="2">
        <v>5.0830000000000002</v>
      </c>
      <c r="AU217" s="1">
        <f t="shared" si="29"/>
        <v>2.9456942932375023</v>
      </c>
      <c r="AV217" s="1">
        <f t="shared" si="30"/>
        <v>2.2969957163881585</v>
      </c>
      <c r="AW217" s="1">
        <f t="shared" si="31"/>
        <v>1.6482971395388144</v>
      </c>
    </row>
    <row r="218" spans="1:49" x14ac:dyDescent="0.2">
      <c r="A218">
        <v>216</v>
      </c>
      <c r="B218" t="s">
        <v>7684</v>
      </c>
      <c r="C218" t="s">
        <v>7683</v>
      </c>
      <c r="D218" t="s">
        <v>7682</v>
      </c>
      <c r="F218" t="s">
        <v>7681</v>
      </c>
      <c r="G218" t="s">
        <v>5</v>
      </c>
      <c r="H218" t="s">
        <v>4</v>
      </c>
      <c r="I218" t="s">
        <v>7680</v>
      </c>
      <c r="J218">
        <v>60020547</v>
      </c>
      <c r="K218" t="s">
        <v>137</v>
      </c>
      <c r="L218" t="s">
        <v>136</v>
      </c>
      <c r="M218" t="s">
        <v>9</v>
      </c>
      <c r="N218">
        <v>2</v>
      </c>
      <c r="O218" t="s">
        <v>7679</v>
      </c>
      <c r="P218" t="s">
        <v>7678</v>
      </c>
      <c r="Q218" t="s">
        <v>6378</v>
      </c>
      <c r="R218" s="7">
        <v>36130</v>
      </c>
      <c r="S218" s="8">
        <f t="shared" si="24"/>
        <v>1998</v>
      </c>
      <c r="T218" s="8">
        <v>1998</v>
      </c>
      <c r="U218" s="8">
        <f t="shared" si="25"/>
        <v>24</v>
      </c>
      <c r="V218" s="7">
        <v>1998</v>
      </c>
      <c r="W218" t="s">
        <v>303</v>
      </c>
      <c r="X218" s="2">
        <v>1.3720000000000001</v>
      </c>
      <c r="Y218" s="6">
        <f t="shared" si="26"/>
        <v>3.662475641333654E-2</v>
      </c>
      <c r="AA218">
        <v>189480</v>
      </c>
      <c r="AB218">
        <v>17366</v>
      </c>
      <c r="AD218" t="s">
        <v>2</v>
      </c>
      <c r="AE218">
        <v>46</v>
      </c>
      <c r="AF218" t="s">
        <v>7571</v>
      </c>
      <c r="AH218" t="s">
        <v>7677</v>
      </c>
      <c r="AI218" t="s">
        <v>7676</v>
      </c>
      <c r="AJ218" t="s">
        <v>7675</v>
      </c>
      <c r="AK218" t="s">
        <v>7674</v>
      </c>
      <c r="AL218">
        <v>13</v>
      </c>
      <c r="AM218" s="5">
        <f t="shared" si="27"/>
        <v>0.54166666666666663</v>
      </c>
      <c r="AN218" s="4">
        <f t="shared" si="28"/>
        <v>8.2039631452732545E-4</v>
      </c>
      <c r="AO218" s="3"/>
      <c r="AP218">
        <v>0</v>
      </c>
      <c r="AQ218" t="s">
        <v>350</v>
      </c>
      <c r="AR218" t="s">
        <v>1</v>
      </c>
      <c r="AS218" t="s">
        <v>349</v>
      </c>
      <c r="AT218" s="2" t="s">
        <v>0</v>
      </c>
      <c r="AU218" s="1">
        <f t="shared" si="29"/>
        <v>2.5883448383693777</v>
      </c>
      <c r="AV218" s="1">
        <f t="shared" si="30"/>
        <v>1.8722576363931935</v>
      </c>
      <c r="AW218" s="1">
        <f t="shared" si="31"/>
        <v>1.1561704344170092</v>
      </c>
    </row>
    <row r="219" spans="1:49" x14ac:dyDescent="0.2">
      <c r="A219">
        <v>217</v>
      </c>
      <c r="B219" t="s">
        <v>7673</v>
      </c>
      <c r="C219" t="s">
        <v>7672</v>
      </c>
      <c r="D219" t="s">
        <v>7671</v>
      </c>
      <c r="F219" t="s">
        <v>7670</v>
      </c>
      <c r="G219" t="s">
        <v>5</v>
      </c>
      <c r="H219" t="s">
        <v>4</v>
      </c>
      <c r="I219" t="s">
        <v>7669</v>
      </c>
      <c r="J219" t="s">
        <v>7668</v>
      </c>
      <c r="K219" t="s">
        <v>7667</v>
      </c>
      <c r="L219" t="s">
        <v>7666</v>
      </c>
      <c r="M219" t="s">
        <v>6</v>
      </c>
      <c r="N219">
        <v>3</v>
      </c>
      <c r="O219" t="s">
        <v>7665</v>
      </c>
      <c r="P219" t="s">
        <v>7664</v>
      </c>
      <c r="Q219" t="s">
        <v>7663</v>
      </c>
      <c r="R219" s="7">
        <v>36130</v>
      </c>
      <c r="S219" s="8">
        <f t="shared" si="24"/>
        <v>1998</v>
      </c>
      <c r="T219" s="8">
        <v>1998</v>
      </c>
      <c r="U219" s="8">
        <f t="shared" si="25"/>
        <v>24</v>
      </c>
      <c r="V219" s="7">
        <v>1998</v>
      </c>
      <c r="W219" t="s">
        <v>303</v>
      </c>
      <c r="X219" s="2">
        <v>1.3720000000000001</v>
      </c>
      <c r="Y219" s="6">
        <f t="shared" si="26"/>
        <v>3.662475641333654E-2</v>
      </c>
      <c r="AA219">
        <v>189480</v>
      </c>
      <c r="AB219">
        <v>17366</v>
      </c>
      <c r="AD219" t="s">
        <v>2</v>
      </c>
      <c r="AE219">
        <v>46</v>
      </c>
      <c r="AF219" t="s">
        <v>7571</v>
      </c>
      <c r="AH219" t="s">
        <v>7662</v>
      </c>
      <c r="AI219" t="s">
        <v>7661</v>
      </c>
      <c r="AJ219" t="s">
        <v>7660</v>
      </c>
      <c r="AK219" t="s">
        <v>7659</v>
      </c>
      <c r="AL219">
        <v>26</v>
      </c>
      <c r="AM219" s="5">
        <f t="shared" si="27"/>
        <v>1.0833333333333333</v>
      </c>
      <c r="AN219" s="4">
        <f t="shared" si="28"/>
        <v>1.6407926290546509E-3</v>
      </c>
      <c r="AO219" s="3"/>
      <c r="AP219">
        <v>0</v>
      </c>
      <c r="AR219" t="s">
        <v>7658</v>
      </c>
      <c r="AT219" s="2" t="s">
        <v>0</v>
      </c>
      <c r="AU219" s="1">
        <f t="shared" si="29"/>
        <v>2.6129567278051971</v>
      </c>
      <c r="AV219" s="1">
        <f t="shared" si="30"/>
        <v>1.9132774521195595</v>
      </c>
      <c r="AW219" s="1">
        <f t="shared" si="31"/>
        <v>1.2135981764339216</v>
      </c>
    </row>
    <row r="220" spans="1:49" x14ac:dyDescent="0.2">
      <c r="A220">
        <v>218</v>
      </c>
      <c r="B220" t="s">
        <v>7657</v>
      </c>
      <c r="C220" t="s">
        <v>7656</v>
      </c>
      <c r="D220" t="s">
        <v>7655</v>
      </c>
      <c r="F220" t="s">
        <v>7654</v>
      </c>
      <c r="G220" t="s">
        <v>5</v>
      </c>
      <c r="H220" t="s">
        <v>4</v>
      </c>
      <c r="I220" t="s">
        <v>7653</v>
      </c>
      <c r="J220" t="s">
        <v>7648</v>
      </c>
      <c r="K220" t="s">
        <v>7652</v>
      </c>
      <c r="L220" t="s">
        <v>7651</v>
      </c>
      <c r="M220" t="s">
        <v>6</v>
      </c>
      <c r="N220">
        <v>2</v>
      </c>
      <c r="O220" t="s">
        <v>7650</v>
      </c>
      <c r="P220" t="s">
        <v>7649</v>
      </c>
      <c r="Q220" t="s">
        <v>7648</v>
      </c>
      <c r="R220" s="7">
        <v>36130</v>
      </c>
      <c r="S220" s="8">
        <f t="shared" si="24"/>
        <v>1998</v>
      </c>
      <c r="T220" s="8">
        <v>1998</v>
      </c>
      <c r="U220" s="8">
        <f t="shared" si="25"/>
        <v>24</v>
      </c>
      <c r="V220" s="7">
        <v>1998</v>
      </c>
      <c r="W220" t="s">
        <v>303</v>
      </c>
      <c r="X220" s="2">
        <v>1.3720000000000001</v>
      </c>
      <c r="Y220" s="6">
        <f t="shared" si="26"/>
        <v>3.662475641333654E-2</v>
      </c>
      <c r="AA220">
        <v>189480</v>
      </c>
      <c r="AB220">
        <v>17366</v>
      </c>
      <c r="AD220" t="s">
        <v>2</v>
      </c>
      <c r="AE220">
        <v>46</v>
      </c>
      <c r="AF220" t="s">
        <v>7571</v>
      </c>
      <c r="AH220" t="s">
        <v>7647</v>
      </c>
      <c r="AI220" t="s">
        <v>7646</v>
      </c>
      <c r="AJ220" t="s">
        <v>7645</v>
      </c>
      <c r="AK220" t="s">
        <v>7644</v>
      </c>
      <c r="AL220">
        <v>190</v>
      </c>
      <c r="AM220" s="5">
        <f t="shared" si="27"/>
        <v>7.916666666666667</v>
      </c>
      <c r="AN220" s="4">
        <f t="shared" si="28"/>
        <v>1.1990407673860911E-2</v>
      </c>
      <c r="AO220" s="3"/>
      <c r="AP220">
        <v>0</v>
      </c>
      <c r="AQ220" t="s">
        <v>380</v>
      </c>
      <c r="AR220" t="s">
        <v>7643</v>
      </c>
      <c r="AS220" t="s">
        <v>379</v>
      </c>
      <c r="AT220" s="2" t="s">
        <v>0</v>
      </c>
      <c r="AU220" s="1">
        <f t="shared" si="29"/>
        <v>2.9234451791493847</v>
      </c>
      <c r="AV220" s="1">
        <f t="shared" si="30"/>
        <v>2.4307582043598726</v>
      </c>
      <c r="AW220" s="1">
        <f t="shared" si="31"/>
        <v>1.9380712295703602</v>
      </c>
    </row>
    <row r="221" spans="1:49" x14ac:dyDescent="0.2">
      <c r="A221">
        <v>219</v>
      </c>
      <c r="B221" t="s">
        <v>7642</v>
      </c>
      <c r="C221" t="s">
        <v>7641</v>
      </c>
      <c r="D221" t="s">
        <v>7640</v>
      </c>
      <c r="F221" t="s">
        <v>7639</v>
      </c>
      <c r="G221" t="s">
        <v>5</v>
      </c>
      <c r="H221" t="s">
        <v>4</v>
      </c>
      <c r="I221" t="s">
        <v>7638</v>
      </c>
      <c r="J221">
        <v>60011373</v>
      </c>
      <c r="K221" t="s">
        <v>4486</v>
      </c>
      <c r="L221" t="s">
        <v>4485</v>
      </c>
      <c r="M221" t="s">
        <v>4484</v>
      </c>
      <c r="N221">
        <v>2</v>
      </c>
      <c r="O221" t="s">
        <v>7637</v>
      </c>
      <c r="P221" t="s">
        <v>7636</v>
      </c>
      <c r="Q221" t="s">
        <v>4481</v>
      </c>
      <c r="R221" s="7">
        <v>36130</v>
      </c>
      <c r="S221" s="8">
        <f t="shared" si="24"/>
        <v>1998</v>
      </c>
      <c r="T221" s="8">
        <v>1998</v>
      </c>
      <c r="U221" s="8">
        <f t="shared" si="25"/>
        <v>24</v>
      </c>
      <c r="V221" s="7">
        <v>1998</v>
      </c>
      <c r="W221" t="s">
        <v>4480</v>
      </c>
      <c r="X221" s="2">
        <v>2.141</v>
      </c>
      <c r="Y221" s="6">
        <f t="shared" si="26"/>
        <v>5.7152772216438434E-2</v>
      </c>
      <c r="AA221">
        <v>1962892</v>
      </c>
      <c r="AB221">
        <v>17360</v>
      </c>
      <c r="AD221" t="s">
        <v>2</v>
      </c>
      <c r="AE221">
        <v>36</v>
      </c>
      <c r="AF221">
        <v>6</v>
      </c>
      <c r="AH221" t="s">
        <v>7635</v>
      </c>
      <c r="AI221" t="s">
        <v>7634</v>
      </c>
      <c r="AJ221" t="s">
        <v>7633</v>
      </c>
      <c r="AK221" t="s">
        <v>7632</v>
      </c>
      <c r="AL221">
        <v>100</v>
      </c>
      <c r="AM221" s="5">
        <f t="shared" si="27"/>
        <v>4.166666666666667</v>
      </c>
      <c r="AN221" s="4">
        <f t="shared" si="28"/>
        <v>6.310740880979427E-3</v>
      </c>
      <c r="AO221" s="3"/>
      <c r="AP221">
        <v>0</v>
      </c>
      <c r="AQ221" t="s">
        <v>7631</v>
      </c>
      <c r="AR221" t="s">
        <v>1</v>
      </c>
      <c r="AS221" t="s">
        <v>7630</v>
      </c>
      <c r="AT221" s="2" t="s">
        <v>0</v>
      </c>
      <c r="AU221" s="1">
        <f t="shared" si="29"/>
        <v>4.190016281580073</v>
      </c>
      <c r="AV221" s="1">
        <f t="shared" si="30"/>
        <v>3.1731756548708931</v>
      </c>
      <c r="AW221" s="1">
        <f t="shared" si="31"/>
        <v>2.1563350281617129</v>
      </c>
    </row>
    <row r="222" spans="1:49" x14ac:dyDescent="0.2">
      <c r="A222">
        <v>220</v>
      </c>
      <c r="B222" t="s">
        <v>7629</v>
      </c>
      <c r="C222" t="s">
        <v>7628</v>
      </c>
      <c r="D222" t="s">
        <v>7627</v>
      </c>
      <c r="F222" t="s">
        <v>7626</v>
      </c>
      <c r="G222" t="s">
        <v>5</v>
      </c>
      <c r="H222" t="s">
        <v>4</v>
      </c>
      <c r="I222" t="s">
        <v>3814</v>
      </c>
      <c r="J222">
        <v>60027550</v>
      </c>
      <c r="K222" t="s">
        <v>11</v>
      </c>
      <c r="L222" t="s">
        <v>10</v>
      </c>
      <c r="M222" t="s">
        <v>9</v>
      </c>
      <c r="N222">
        <v>2</v>
      </c>
      <c r="O222" t="s">
        <v>7625</v>
      </c>
      <c r="P222" t="s">
        <v>7624</v>
      </c>
      <c r="Q222" t="s">
        <v>8</v>
      </c>
      <c r="R222" s="7">
        <v>36130</v>
      </c>
      <c r="S222" s="8">
        <f t="shared" si="24"/>
        <v>1998</v>
      </c>
      <c r="T222" s="8">
        <v>1998</v>
      </c>
      <c r="U222" s="8">
        <f t="shared" si="25"/>
        <v>24</v>
      </c>
      <c r="V222" s="7">
        <v>1998</v>
      </c>
      <c r="W222" t="s">
        <v>303</v>
      </c>
      <c r="X222" s="2">
        <v>1.3720000000000001</v>
      </c>
      <c r="Y222" s="6">
        <f t="shared" si="26"/>
        <v>3.662475641333654E-2</v>
      </c>
      <c r="AA222">
        <v>189480</v>
      </c>
      <c r="AB222">
        <v>17366</v>
      </c>
      <c r="AD222" t="s">
        <v>2</v>
      </c>
      <c r="AE222">
        <v>46</v>
      </c>
      <c r="AF222" t="s">
        <v>7571</v>
      </c>
      <c r="AH222" t="s">
        <v>7623</v>
      </c>
      <c r="AI222" t="s">
        <v>7622</v>
      </c>
      <c r="AJ222" t="s">
        <v>7621</v>
      </c>
      <c r="AK222" t="s">
        <v>7620</v>
      </c>
      <c r="AL222">
        <v>153</v>
      </c>
      <c r="AM222" s="5">
        <f t="shared" si="27"/>
        <v>6.375</v>
      </c>
      <c r="AN222" s="4">
        <f t="shared" si="28"/>
        <v>9.6554335478985232E-3</v>
      </c>
      <c r="AO222" s="3"/>
      <c r="AP222">
        <v>0</v>
      </c>
      <c r="AR222" t="s">
        <v>3595</v>
      </c>
      <c r="AT222" s="2" t="s">
        <v>0</v>
      </c>
      <c r="AU222" s="1">
        <f t="shared" si="29"/>
        <v>2.8533959553705133</v>
      </c>
      <c r="AV222" s="1">
        <f t="shared" si="30"/>
        <v>2.3140094980617532</v>
      </c>
      <c r="AW222" s="1">
        <f t="shared" si="31"/>
        <v>1.7746230407529928</v>
      </c>
    </row>
    <row r="223" spans="1:49" x14ac:dyDescent="0.2">
      <c r="A223">
        <v>221</v>
      </c>
      <c r="B223" t="s">
        <v>7619</v>
      </c>
      <c r="C223" t="s">
        <v>7618</v>
      </c>
      <c r="D223" t="s">
        <v>7617</v>
      </c>
      <c r="F223" t="s">
        <v>7616</v>
      </c>
      <c r="G223" t="s">
        <v>5</v>
      </c>
      <c r="H223" t="s">
        <v>4</v>
      </c>
      <c r="I223" t="s">
        <v>7615</v>
      </c>
      <c r="J223" t="s">
        <v>7614</v>
      </c>
      <c r="K223" t="s">
        <v>7613</v>
      </c>
      <c r="L223" t="s">
        <v>7612</v>
      </c>
      <c r="M223" t="s">
        <v>6</v>
      </c>
      <c r="N223">
        <v>4</v>
      </c>
      <c r="O223" t="s">
        <v>7611</v>
      </c>
      <c r="P223" t="s">
        <v>7610</v>
      </c>
      <c r="Q223" t="s">
        <v>7609</v>
      </c>
      <c r="R223" s="7">
        <v>36130</v>
      </c>
      <c r="S223" s="8">
        <f t="shared" si="24"/>
        <v>1998</v>
      </c>
      <c r="T223" s="8">
        <v>1998</v>
      </c>
      <c r="U223" s="8">
        <f t="shared" si="25"/>
        <v>24</v>
      </c>
      <c r="V223" s="7">
        <v>1998</v>
      </c>
      <c r="W223" t="s">
        <v>303</v>
      </c>
      <c r="X223" s="2">
        <v>1.3720000000000001</v>
      </c>
      <c r="Y223" s="6">
        <f t="shared" si="26"/>
        <v>3.662475641333654E-2</v>
      </c>
      <c r="AA223">
        <v>189480</v>
      </c>
      <c r="AB223">
        <v>17366</v>
      </c>
      <c r="AD223" t="s">
        <v>2</v>
      </c>
      <c r="AE223">
        <v>46</v>
      </c>
      <c r="AF223" t="s">
        <v>7571</v>
      </c>
      <c r="AH223" t="s">
        <v>7608</v>
      </c>
      <c r="AI223" t="s">
        <v>7607</v>
      </c>
      <c r="AJ223" t="s">
        <v>7606</v>
      </c>
      <c r="AK223" t="s">
        <v>7605</v>
      </c>
      <c r="AL223">
        <v>50</v>
      </c>
      <c r="AM223" s="5">
        <f t="shared" si="27"/>
        <v>2.0833333333333335</v>
      </c>
      <c r="AN223" s="4">
        <f t="shared" si="28"/>
        <v>3.1553704404897135E-3</v>
      </c>
      <c r="AO223" s="3"/>
      <c r="AP223">
        <v>0</v>
      </c>
      <c r="AQ223" t="s">
        <v>374</v>
      </c>
      <c r="AR223" t="s">
        <v>1</v>
      </c>
      <c r="AS223" t="s">
        <v>373</v>
      </c>
      <c r="AT223" s="2" t="s">
        <v>0</v>
      </c>
      <c r="AU223" s="1">
        <f t="shared" si="29"/>
        <v>2.6583940621482491</v>
      </c>
      <c r="AV223" s="1">
        <f t="shared" si="30"/>
        <v>1.9890063426913125</v>
      </c>
      <c r="AW223" s="1">
        <f t="shared" si="31"/>
        <v>1.3196186232343761</v>
      </c>
    </row>
    <row r="224" spans="1:49" x14ac:dyDescent="0.2">
      <c r="A224">
        <v>222</v>
      </c>
      <c r="B224" t="s">
        <v>7604</v>
      </c>
      <c r="C224" t="s">
        <v>7603</v>
      </c>
      <c r="D224" t="s">
        <v>7602</v>
      </c>
      <c r="F224" t="s">
        <v>7601</v>
      </c>
      <c r="G224" t="s">
        <v>5</v>
      </c>
      <c r="H224" t="s">
        <v>4</v>
      </c>
      <c r="I224" t="s">
        <v>7600</v>
      </c>
      <c r="J224" t="s">
        <v>7599</v>
      </c>
      <c r="K224" t="s">
        <v>7598</v>
      </c>
      <c r="L224" t="s">
        <v>7597</v>
      </c>
      <c r="M224" t="s">
        <v>101</v>
      </c>
      <c r="N224">
        <v>3</v>
      </c>
      <c r="O224" t="s">
        <v>7596</v>
      </c>
      <c r="P224" t="s">
        <v>7595</v>
      </c>
      <c r="Q224" t="s">
        <v>7594</v>
      </c>
      <c r="R224" s="7">
        <v>36130</v>
      </c>
      <c r="S224" s="8">
        <f t="shared" si="24"/>
        <v>1998</v>
      </c>
      <c r="T224" s="8">
        <v>1998</v>
      </c>
      <c r="U224" s="8">
        <f t="shared" si="25"/>
        <v>24</v>
      </c>
      <c r="V224" s="7">
        <v>1998</v>
      </c>
      <c r="W224" t="s">
        <v>303</v>
      </c>
      <c r="X224" s="2">
        <v>1.3720000000000001</v>
      </c>
      <c r="Y224" s="6">
        <f t="shared" si="26"/>
        <v>3.662475641333654E-2</v>
      </c>
      <c r="AA224">
        <v>189480</v>
      </c>
      <c r="AB224">
        <v>17366</v>
      </c>
      <c r="AD224" t="s">
        <v>2</v>
      </c>
      <c r="AE224">
        <v>46</v>
      </c>
      <c r="AF224" t="s">
        <v>7571</v>
      </c>
      <c r="AH224" t="s">
        <v>7593</v>
      </c>
      <c r="AI224" t="s">
        <v>7592</v>
      </c>
      <c r="AJ224" t="s">
        <v>7591</v>
      </c>
      <c r="AK224" t="s">
        <v>7590</v>
      </c>
      <c r="AL224">
        <v>1</v>
      </c>
      <c r="AM224" s="5">
        <f t="shared" si="27"/>
        <v>4.1666666666666664E-2</v>
      </c>
      <c r="AN224" s="4">
        <f t="shared" si="28"/>
        <v>6.3107408809794262E-5</v>
      </c>
      <c r="AO224" s="3"/>
      <c r="AP224">
        <v>0</v>
      </c>
      <c r="AR224" t="s">
        <v>1</v>
      </c>
      <c r="AT224" s="2" t="s">
        <v>0</v>
      </c>
      <c r="AU224" s="1">
        <f t="shared" si="29"/>
        <v>2.5656261711978514</v>
      </c>
      <c r="AV224" s="1">
        <f t="shared" si="30"/>
        <v>1.8343931911073166</v>
      </c>
      <c r="AW224" s="1">
        <f t="shared" si="31"/>
        <v>1.103160211016782</v>
      </c>
    </row>
    <row r="225" spans="1:49" x14ac:dyDescent="0.2">
      <c r="A225">
        <v>223</v>
      </c>
      <c r="B225" t="s">
        <v>7589</v>
      </c>
      <c r="C225" t="s">
        <v>7588</v>
      </c>
      <c r="D225" t="s">
        <v>7587</v>
      </c>
      <c r="F225" t="s">
        <v>7586</v>
      </c>
      <c r="G225" t="s">
        <v>5</v>
      </c>
      <c r="H225" t="s">
        <v>4</v>
      </c>
      <c r="I225" t="s">
        <v>7585</v>
      </c>
      <c r="J225">
        <v>60030838</v>
      </c>
      <c r="K225" t="s">
        <v>7584</v>
      </c>
      <c r="L225" t="s">
        <v>4515</v>
      </c>
      <c r="M225" t="s">
        <v>15</v>
      </c>
      <c r="N225">
        <v>1</v>
      </c>
      <c r="O225" t="s">
        <v>7583</v>
      </c>
      <c r="P225">
        <v>7406720850</v>
      </c>
      <c r="Q225">
        <v>60030838</v>
      </c>
      <c r="R225" s="7">
        <v>36130</v>
      </c>
      <c r="S225" s="8">
        <f t="shared" si="24"/>
        <v>1998</v>
      </c>
      <c r="T225" s="8">
        <v>1998</v>
      </c>
      <c r="U225" s="8">
        <f t="shared" si="25"/>
        <v>24</v>
      </c>
      <c r="V225" s="7">
        <v>1998</v>
      </c>
      <c r="W225" t="s">
        <v>256</v>
      </c>
      <c r="X225" s="2">
        <v>1.468</v>
      </c>
      <c r="Y225" s="6">
        <f t="shared" si="26"/>
        <v>3.9187421585115186E-2</v>
      </c>
      <c r="AA225">
        <v>906778</v>
      </c>
      <c r="AB225">
        <v>18931</v>
      </c>
      <c r="AD225" t="s">
        <v>2</v>
      </c>
      <c r="AE225">
        <v>46</v>
      </c>
      <c r="AF225">
        <v>11</v>
      </c>
      <c r="AH225" t="s">
        <v>7582</v>
      </c>
      <c r="AI225" t="s">
        <v>7581</v>
      </c>
      <c r="AJ225" t="s">
        <v>7580</v>
      </c>
      <c r="AK225" t="s">
        <v>7579</v>
      </c>
      <c r="AL225">
        <v>88</v>
      </c>
      <c r="AM225" s="5">
        <f t="shared" si="27"/>
        <v>3.6666666666666665</v>
      </c>
      <c r="AN225" s="4">
        <f t="shared" si="28"/>
        <v>5.5534519752618956E-3</v>
      </c>
      <c r="AO225" s="3"/>
      <c r="AP225">
        <v>0</v>
      </c>
      <c r="AQ225" t="s">
        <v>317</v>
      </c>
      <c r="AR225" t="s">
        <v>1</v>
      </c>
      <c r="AS225" t="s">
        <v>316</v>
      </c>
      <c r="AT225" s="2">
        <v>5.0830000000000002</v>
      </c>
      <c r="AU225" s="1">
        <f t="shared" si="29"/>
        <v>2.9097230702159198</v>
      </c>
      <c r="AV225" s="1">
        <f t="shared" si="30"/>
        <v>2.2370436780188538</v>
      </c>
      <c r="AW225" s="1">
        <f t="shared" si="31"/>
        <v>1.5643642858217881</v>
      </c>
    </row>
    <row r="226" spans="1:49" x14ac:dyDescent="0.2">
      <c r="A226">
        <v>224</v>
      </c>
      <c r="B226" t="s">
        <v>7578</v>
      </c>
      <c r="C226" t="s">
        <v>7577</v>
      </c>
      <c r="D226" t="s">
        <v>7576</v>
      </c>
      <c r="F226" t="s">
        <v>7575</v>
      </c>
      <c r="G226" t="s">
        <v>5</v>
      </c>
      <c r="H226" t="s">
        <v>4</v>
      </c>
      <c r="I226" t="s">
        <v>7574</v>
      </c>
      <c r="J226">
        <v>60027550</v>
      </c>
      <c r="K226" t="s">
        <v>11</v>
      </c>
      <c r="L226" t="s">
        <v>10</v>
      </c>
      <c r="M226" t="s">
        <v>9</v>
      </c>
      <c r="N226">
        <v>3</v>
      </c>
      <c r="O226" t="s">
        <v>7573</v>
      </c>
      <c r="P226" t="s">
        <v>7572</v>
      </c>
      <c r="Q226" t="s">
        <v>381</v>
      </c>
      <c r="R226" s="7">
        <v>36130</v>
      </c>
      <c r="S226" s="8">
        <f t="shared" si="24"/>
        <v>1998</v>
      </c>
      <c r="T226" s="8">
        <v>1998</v>
      </c>
      <c r="U226" s="8">
        <f t="shared" si="25"/>
        <v>24</v>
      </c>
      <c r="V226" s="7">
        <v>1998</v>
      </c>
      <c r="W226" t="s">
        <v>303</v>
      </c>
      <c r="X226" s="2">
        <v>1.3720000000000001</v>
      </c>
      <c r="Y226" s="6">
        <f t="shared" si="26"/>
        <v>3.662475641333654E-2</v>
      </c>
      <c r="AA226">
        <v>189480</v>
      </c>
      <c r="AB226">
        <v>17366</v>
      </c>
      <c r="AD226" t="s">
        <v>2</v>
      </c>
      <c r="AE226">
        <v>46</v>
      </c>
      <c r="AF226" t="s">
        <v>7571</v>
      </c>
      <c r="AH226" t="s">
        <v>7570</v>
      </c>
      <c r="AI226" t="s">
        <v>7569</v>
      </c>
      <c r="AJ226" t="s">
        <v>7568</v>
      </c>
      <c r="AK226" t="s">
        <v>7567</v>
      </c>
      <c r="AL226">
        <v>143</v>
      </c>
      <c r="AM226" s="5">
        <f t="shared" si="27"/>
        <v>5.958333333333333</v>
      </c>
      <c r="AN226" s="4">
        <f t="shared" si="28"/>
        <v>9.0243594598005804E-3</v>
      </c>
      <c r="AO226" s="3"/>
      <c r="AP226">
        <v>0</v>
      </c>
      <c r="AR226" t="s">
        <v>3595</v>
      </c>
      <c r="AS226" t="s">
        <v>7566</v>
      </c>
      <c r="AT226" s="2" t="s">
        <v>0</v>
      </c>
      <c r="AU226" s="1">
        <f t="shared" si="29"/>
        <v>2.834463732727575</v>
      </c>
      <c r="AV226" s="1">
        <f t="shared" si="30"/>
        <v>2.2824557936568559</v>
      </c>
      <c r="AW226" s="1">
        <f t="shared" si="31"/>
        <v>1.7304478545861368</v>
      </c>
    </row>
    <row r="227" spans="1:49" x14ac:dyDescent="0.2">
      <c r="A227">
        <v>225</v>
      </c>
      <c r="B227" t="s">
        <v>7565</v>
      </c>
      <c r="C227" t="s">
        <v>7564</v>
      </c>
      <c r="D227" t="s">
        <v>7563</v>
      </c>
      <c r="F227" t="s">
        <v>7562</v>
      </c>
      <c r="G227" t="s">
        <v>5</v>
      </c>
      <c r="H227" t="s">
        <v>4</v>
      </c>
      <c r="I227" t="s">
        <v>7272</v>
      </c>
      <c r="J227" t="s">
        <v>7271</v>
      </c>
      <c r="K227" t="s">
        <v>7270</v>
      </c>
      <c r="L227" t="s">
        <v>7269</v>
      </c>
      <c r="M227" t="s">
        <v>6</v>
      </c>
      <c r="N227">
        <v>2</v>
      </c>
      <c r="O227" t="s">
        <v>7268</v>
      </c>
      <c r="P227" t="s">
        <v>7267</v>
      </c>
      <c r="Q227" t="s">
        <v>7266</v>
      </c>
      <c r="R227" s="7">
        <v>36130</v>
      </c>
      <c r="S227" s="8">
        <f t="shared" si="24"/>
        <v>1998</v>
      </c>
      <c r="T227" s="8">
        <v>1998</v>
      </c>
      <c r="U227" s="8">
        <f t="shared" si="25"/>
        <v>24</v>
      </c>
      <c r="V227" s="7">
        <v>1998</v>
      </c>
      <c r="W227" t="s">
        <v>649</v>
      </c>
      <c r="X227" s="2">
        <v>1.6519999999999999</v>
      </c>
      <c r="Y227" s="6">
        <f t="shared" si="26"/>
        <v>4.409919649769093E-2</v>
      </c>
      <c r="AA227" t="s">
        <v>648</v>
      </c>
      <c r="AB227">
        <v>17337</v>
      </c>
      <c r="AD227" t="s">
        <v>2</v>
      </c>
      <c r="AE227">
        <v>46</v>
      </c>
      <c r="AF227">
        <v>11</v>
      </c>
      <c r="AH227" t="s">
        <v>7561</v>
      </c>
      <c r="AI227" t="s">
        <v>7560</v>
      </c>
      <c r="AJ227" t="s">
        <v>7263</v>
      </c>
      <c r="AK227" t="s">
        <v>7559</v>
      </c>
      <c r="AL227">
        <v>18</v>
      </c>
      <c r="AM227" s="5">
        <f t="shared" si="27"/>
        <v>0.75</v>
      </c>
      <c r="AN227" s="4">
        <f t="shared" si="28"/>
        <v>1.1359333585762969E-3</v>
      </c>
      <c r="AO227" s="3"/>
      <c r="AP227">
        <v>0</v>
      </c>
      <c r="AQ227" t="s">
        <v>17</v>
      </c>
      <c r="AR227" t="s">
        <v>7261</v>
      </c>
      <c r="AS227" t="s">
        <v>16</v>
      </c>
      <c r="AT227" s="2" t="s">
        <v>0</v>
      </c>
      <c r="AU227" s="1">
        <f t="shared" si="29"/>
        <v>3.1210217555956539</v>
      </c>
      <c r="AV227" s="1">
        <f t="shared" si="30"/>
        <v>2.2617564928133613</v>
      </c>
      <c r="AW227" s="1">
        <f t="shared" si="31"/>
        <v>1.4024912300310686</v>
      </c>
    </row>
    <row r="228" spans="1:49" x14ac:dyDescent="0.2">
      <c r="A228">
        <v>226</v>
      </c>
      <c r="B228" t="s">
        <v>7558</v>
      </c>
      <c r="C228" t="s">
        <v>7557</v>
      </c>
      <c r="D228" t="s">
        <v>7556</v>
      </c>
      <c r="F228" t="s">
        <v>7555</v>
      </c>
      <c r="G228" t="s">
        <v>5</v>
      </c>
      <c r="H228" t="s">
        <v>4</v>
      </c>
      <c r="I228" t="s">
        <v>394</v>
      </c>
      <c r="J228">
        <v>60011410</v>
      </c>
      <c r="K228" t="s">
        <v>7554</v>
      </c>
      <c r="L228" t="s">
        <v>2583</v>
      </c>
      <c r="M228" t="s">
        <v>9</v>
      </c>
      <c r="N228">
        <v>2</v>
      </c>
      <c r="O228" t="s">
        <v>7553</v>
      </c>
      <c r="P228" t="s">
        <v>7552</v>
      </c>
      <c r="Q228" t="s">
        <v>7551</v>
      </c>
      <c r="R228" s="7">
        <v>36130</v>
      </c>
      <c r="S228" s="8">
        <f t="shared" si="24"/>
        <v>1998</v>
      </c>
      <c r="T228" s="8">
        <v>1998</v>
      </c>
      <c r="U228" s="8">
        <f t="shared" si="25"/>
        <v>24</v>
      </c>
      <c r="V228" s="7">
        <v>1998</v>
      </c>
      <c r="W228" t="s">
        <v>303</v>
      </c>
      <c r="X228" s="2">
        <v>1.3720000000000001</v>
      </c>
      <c r="Y228" s="6">
        <f t="shared" si="26"/>
        <v>3.662475641333654E-2</v>
      </c>
      <c r="AA228">
        <v>189480</v>
      </c>
      <c r="AB228">
        <v>17366</v>
      </c>
      <c r="AD228" t="s">
        <v>2</v>
      </c>
      <c r="AE228">
        <v>46</v>
      </c>
      <c r="AF228" t="s">
        <v>7242</v>
      </c>
      <c r="AH228" t="s">
        <v>7550</v>
      </c>
      <c r="AI228" t="s">
        <v>7549</v>
      </c>
      <c r="AJ228" t="s">
        <v>7548</v>
      </c>
      <c r="AK228" t="s">
        <v>7547</v>
      </c>
      <c r="AL228">
        <v>47</v>
      </c>
      <c r="AM228" s="5">
        <f t="shared" si="27"/>
        <v>1.9583333333333333</v>
      </c>
      <c r="AN228" s="4">
        <f t="shared" si="28"/>
        <v>2.9660482140603304E-3</v>
      </c>
      <c r="AO228" s="3"/>
      <c r="AP228">
        <v>0</v>
      </c>
      <c r="AR228" t="s">
        <v>1</v>
      </c>
      <c r="AT228" s="2" t="s">
        <v>0</v>
      </c>
      <c r="AU228" s="1">
        <f t="shared" si="29"/>
        <v>2.6527143953553676</v>
      </c>
      <c r="AV228" s="1">
        <f t="shared" si="30"/>
        <v>1.9795402313698436</v>
      </c>
      <c r="AW228" s="1">
        <f t="shared" si="31"/>
        <v>1.3063660673843194</v>
      </c>
    </row>
    <row r="229" spans="1:49" x14ac:dyDescent="0.2">
      <c r="A229">
        <v>227</v>
      </c>
      <c r="B229" t="s">
        <v>7546</v>
      </c>
      <c r="C229" t="s">
        <v>7545</v>
      </c>
      <c r="D229" t="s">
        <v>7544</v>
      </c>
      <c r="F229" t="s">
        <v>7543</v>
      </c>
      <c r="G229" t="s">
        <v>5</v>
      </c>
      <c r="H229" t="s">
        <v>4</v>
      </c>
      <c r="I229" t="s">
        <v>7542</v>
      </c>
      <c r="J229" t="s">
        <v>7541</v>
      </c>
      <c r="K229" t="s">
        <v>7540</v>
      </c>
      <c r="L229" t="s">
        <v>7539</v>
      </c>
      <c r="M229" t="s">
        <v>298</v>
      </c>
      <c r="N229">
        <v>2</v>
      </c>
      <c r="O229" t="s">
        <v>7538</v>
      </c>
      <c r="P229" t="s">
        <v>7537</v>
      </c>
      <c r="Q229" t="s">
        <v>7536</v>
      </c>
      <c r="R229" s="7">
        <v>36130</v>
      </c>
      <c r="S229" s="8">
        <f t="shared" si="24"/>
        <v>1998</v>
      </c>
      <c r="T229" s="8">
        <v>1998</v>
      </c>
      <c r="U229" s="8">
        <f t="shared" si="25"/>
        <v>24</v>
      </c>
      <c r="V229" s="7">
        <v>1998</v>
      </c>
      <c r="W229" t="s">
        <v>649</v>
      </c>
      <c r="X229" s="2">
        <v>1.6519999999999999</v>
      </c>
      <c r="Y229" s="6">
        <f t="shared" si="26"/>
        <v>4.409919649769093E-2</v>
      </c>
      <c r="AA229" t="s">
        <v>648</v>
      </c>
      <c r="AB229">
        <v>17337</v>
      </c>
      <c r="AD229" t="s">
        <v>2</v>
      </c>
      <c r="AE229">
        <v>46</v>
      </c>
      <c r="AF229">
        <v>11</v>
      </c>
      <c r="AH229" t="s">
        <v>7535</v>
      </c>
      <c r="AI229" t="s">
        <v>7534</v>
      </c>
      <c r="AJ229" t="s">
        <v>7098</v>
      </c>
      <c r="AK229" t="s">
        <v>7533</v>
      </c>
      <c r="AL229">
        <v>11</v>
      </c>
      <c r="AM229" s="5">
        <f t="shared" si="27"/>
        <v>0.45833333333333331</v>
      </c>
      <c r="AN229" s="4">
        <f t="shared" si="28"/>
        <v>6.9418149690773695E-4</v>
      </c>
      <c r="AO229" s="3"/>
      <c r="AP229">
        <v>0</v>
      </c>
      <c r="AR229" t="s">
        <v>1</v>
      </c>
      <c r="AT229" s="2" t="s">
        <v>0</v>
      </c>
      <c r="AU229" s="1">
        <f t="shared" si="29"/>
        <v>3.1077691997455972</v>
      </c>
      <c r="AV229" s="1">
        <f t="shared" si="30"/>
        <v>2.2396688997299337</v>
      </c>
      <c r="AW229" s="1">
        <f t="shared" si="31"/>
        <v>1.3715685997142693</v>
      </c>
    </row>
    <row r="230" spans="1:49" x14ac:dyDescent="0.2">
      <c r="A230">
        <v>228</v>
      </c>
      <c r="B230" t="s">
        <v>7532</v>
      </c>
      <c r="C230" t="s">
        <v>7531</v>
      </c>
      <c r="D230" t="s">
        <v>7530</v>
      </c>
      <c r="F230" t="s">
        <v>7529</v>
      </c>
      <c r="G230" t="s">
        <v>5</v>
      </c>
      <c r="H230" t="s">
        <v>4</v>
      </c>
      <c r="I230" t="s">
        <v>7528</v>
      </c>
      <c r="J230" t="s">
        <v>7527</v>
      </c>
      <c r="K230" t="s">
        <v>7526</v>
      </c>
      <c r="L230" t="s">
        <v>7525</v>
      </c>
      <c r="M230" t="s">
        <v>6</v>
      </c>
      <c r="N230">
        <v>2</v>
      </c>
      <c r="O230" t="s">
        <v>7524</v>
      </c>
      <c r="P230" t="s">
        <v>7523</v>
      </c>
      <c r="Q230" t="s">
        <v>7522</v>
      </c>
      <c r="R230" s="7">
        <v>36130</v>
      </c>
      <c r="S230" s="8">
        <f t="shared" si="24"/>
        <v>1998</v>
      </c>
      <c r="T230" s="8">
        <v>1998</v>
      </c>
      <c r="U230" s="8">
        <f t="shared" si="25"/>
        <v>24</v>
      </c>
      <c r="V230" s="7">
        <v>1998</v>
      </c>
      <c r="W230" t="s">
        <v>649</v>
      </c>
      <c r="X230" s="2">
        <v>1.6519999999999999</v>
      </c>
      <c r="Y230" s="6">
        <f t="shared" si="26"/>
        <v>4.409919649769093E-2</v>
      </c>
      <c r="AA230" t="s">
        <v>648</v>
      </c>
      <c r="AB230">
        <v>17337</v>
      </c>
      <c r="AD230" t="s">
        <v>2</v>
      </c>
      <c r="AE230">
        <v>46</v>
      </c>
      <c r="AF230">
        <v>11</v>
      </c>
      <c r="AH230" t="s">
        <v>7521</v>
      </c>
      <c r="AI230" t="s">
        <v>7520</v>
      </c>
      <c r="AJ230" t="s">
        <v>7519</v>
      </c>
      <c r="AK230" t="s">
        <v>7518</v>
      </c>
      <c r="AL230">
        <v>16</v>
      </c>
      <c r="AM230" s="5">
        <f t="shared" si="27"/>
        <v>0.66666666666666663</v>
      </c>
      <c r="AN230" s="4">
        <f t="shared" si="28"/>
        <v>1.0097185409567082E-3</v>
      </c>
      <c r="AO230" s="3"/>
      <c r="AP230">
        <v>0</v>
      </c>
      <c r="AR230" t="s">
        <v>1</v>
      </c>
      <c r="AT230" s="2" t="s">
        <v>0</v>
      </c>
      <c r="AU230" s="1">
        <f t="shared" si="29"/>
        <v>3.1172353110670663</v>
      </c>
      <c r="AV230" s="1">
        <f t="shared" si="30"/>
        <v>2.2554457519323821</v>
      </c>
      <c r="AW230" s="1">
        <f t="shared" si="31"/>
        <v>1.3936561927976974</v>
      </c>
    </row>
    <row r="231" spans="1:49" x14ac:dyDescent="0.2">
      <c r="A231">
        <v>229</v>
      </c>
      <c r="B231" t="s">
        <v>7517</v>
      </c>
      <c r="C231" t="s">
        <v>7516</v>
      </c>
      <c r="D231" t="s">
        <v>7515</v>
      </c>
      <c r="F231" t="s">
        <v>7514</v>
      </c>
      <c r="G231" t="s">
        <v>5</v>
      </c>
      <c r="H231" t="s">
        <v>4</v>
      </c>
      <c r="I231" t="s">
        <v>7513</v>
      </c>
      <c r="J231">
        <v>60014171</v>
      </c>
      <c r="K231" t="s">
        <v>7512</v>
      </c>
      <c r="L231" t="s">
        <v>7511</v>
      </c>
      <c r="M231" t="s">
        <v>15</v>
      </c>
      <c r="N231">
        <v>2</v>
      </c>
      <c r="O231" t="s">
        <v>7510</v>
      </c>
      <c r="P231" t="s">
        <v>7509</v>
      </c>
      <c r="Q231" t="s">
        <v>7508</v>
      </c>
      <c r="R231" s="7">
        <v>36130</v>
      </c>
      <c r="S231" s="8">
        <f t="shared" si="24"/>
        <v>1998</v>
      </c>
      <c r="T231" s="8">
        <v>1998</v>
      </c>
      <c r="U231" s="8">
        <f t="shared" si="25"/>
        <v>24</v>
      </c>
      <c r="V231" s="7">
        <v>1998</v>
      </c>
      <c r="W231" t="s">
        <v>649</v>
      </c>
      <c r="X231" s="2">
        <v>1.6519999999999999</v>
      </c>
      <c r="Y231" s="6">
        <f t="shared" si="26"/>
        <v>4.409919649769093E-2</v>
      </c>
      <c r="AA231" t="s">
        <v>648</v>
      </c>
      <c r="AB231">
        <v>17337</v>
      </c>
      <c r="AD231" t="s">
        <v>2</v>
      </c>
      <c r="AE231">
        <v>46</v>
      </c>
      <c r="AF231">
        <v>11</v>
      </c>
      <c r="AH231" t="s">
        <v>7507</v>
      </c>
      <c r="AI231" t="s">
        <v>7506</v>
      </c>
      <c r="AJ231" t="s">
        <v>7505</v>
      </c>
      <c r="AK231" t="s">
        <v>7504</v>
      </c>
      <c r="AL231">
        <v>13</v>
      </c>
      <c r="AM231" s="5">
        <f t="shared" si="27"/>
        <v>0.54166666666666663</v>
      </c>
      <c r="AN231" s="4">
        <f t="shared" si="28"/>
        <v>8.2039631452732545E-4</v>
      </c>
      <c r="AO231" s="3"/>
      <c r="AP231">
        <v>0</v>
      </c>
      <c r="AQ231" t="s">
        <v>317</v>
      </c>
      <c r="AR231" t="s">
        <v>7503</v>
      </c>
      <c r="AS231" t="s">
        <v>316</v>
      </c>
      <c r="AT231" s="2" t="s">
        <v>0</v>
      </c>
      <c r="AU231" s="1">
        <f t="shared" si="29"/>
        <v>3.1115556442741847</v>
      </c>
      <c r="AV231" s="1">
        <f t="shared" si="30"/>
        <v>2.2459796406109129</v>
      </c>
      <c r="AW231" s="1">
        <f t="shared" si="31"/>
        <v>1.3804036369476407</v>
      </c>
    </row>
    <row r="232" spans="1:49" x14ac:dyDescent="0.2">
      <c r="A232">
        <v>230</v>
      </c>
      <c r="B232" t="s">
        <v>7502</v>
      </c>
      <c r="C232" t="s">
        <v>7501</v>
      </c>
      <c r="D232" t="s">
        <v>7500</v>
      </c>
      <c r="F232" t="s">
        <v>7499</v>
      </c>
      <c r="G232" t="s">
        <v>5</v>
      </c>
      <c r="H232" t="s">
        <v>4</v>
      </c>
      <c r="I232" t="s">
        <v>7498</v>
      </c>
      <c r="J232">
        <v>60027550</v>
      </c>
      <c r="K232" t="s">
        <v>11</v>
      </c>
      <c r="L232" t="s">
        <v>10</v>
      </c>
      <c r="M232" t="s">
        <v>9</v>
      </c>
      <c r="N232">
        <v>2</v>
      </c>
      <c r="O232" t="s">
        <v>7497</v>
      </c>
      <c r="P232" t="s">
        <v>7496</v>
      </c>
      <c r="Q232" t="s">
        <v>8</v>
      </c>
      <c r="R232" s="7">
        <v>36130</v>
      </c>
      <c r="S232" s="8">
        <f t="shared" si="24"/>
        <v>1998</v>
      </c>
      <c r="T232" s="8">
        <v>1998</v>
      </c>
      <c r="U232" s="8">
        <f t="shared" si="25"/>
        <v>24</v>
      </c>
      <c r="V232" s="7">
        <v>1998</v>
      </c>
      <c r="W232" t="s">
        <v>649</v>
      </c>
      <c r="X232" s="2">
        <v>1.6519999999999999</v>
      </c>
      <c r="Y232" s="6">
        <f t="shared" si="26"/>
        <v>4.409919649769093E-2</v>
      </c>
      <c r="AA232" t="s">
        <v>648</v>
      </c>
      <c r="AB232">
        <v>17337</v>
      </c>
      <c r="AD232" t="s">
        <v>2</v>
      </c>
      <c r="AE232">
        <v>46</v>
      </c>
      <c r="AF232">
        <v>11</v>
      </c>
      <c r="AH232" t="s">
        <v>7495</v>
      </c>
      <c r="AI232" t="s">
        <v>7494</v>
      </c>
      <c r="AJ232" t="s">
        <v>7493</v>
      </c>
      <c r="AK232" t="s">
        <v>7492</v>
      </c>
      <c r="AL232">
        <v>31</v>
      </c>
      <c r="AM232" s="5">
        <f t="shared" si="27"/>
        <v>1.2916666666666667</v>
      </c>
      <c r="AN232" s="4">
        <f t="shared" si="28"/>
        <v>1.9563296731036225E-3</v>
      </c>
      <c r="AO232" s="3"/>
      <c r="AP232">
        <v>0</v>
      </c>
      <c r="AQ232" t="s">
        <v>7012</v>
      </c>
      <c r="AR232">
        <v>960591</v>
      </c>
      <c r="AS232" t="s">
        <v>396</v>
      </c>
      <c r="AT232" s="2" t="s">
        <v>0</v>
      </c>
      <c r="AU232" s="1">
        <f t="shared" si="29"/>
        <v>3.1456336450314737</v>
      </c>
      <c r="AV232" s="1">
        <f t="shared" si="30"/>
        <v>2.3027763085397277</v>
      </c>
      <c r="AW232" s="1">
        <f t="shared" si="31"/>
        <v>1.4599189720479813</v>
      </c>
    </row>
    <row r="233" spans="1:49" x14ac:dyDescent="0.2">
      <c r="A233">
        <v>231</v>
      </c>
      <c r="B233" t="s">
        <v>7491</v>
      </c>
      <c r="C233" t="s">
        <v>7490</v>
      </c>
      <c r="D233" t="s">
        <v>7489</v>
      </c>
      <c r="F233" t="s">
        <v>7488</v>
      </c>
      <c r="G233" t="s">
        <v>5</v>
      </c>
      <c r="H233" t="s">
        <v>4</v>
      </c>
      <c r="I233" t="s">
        <v>7487</v>
      </c>
      <c r="J233" t="s">
        <v>7486</v>
      </c>
      <c r="K233" t="s">
        <v>7485</v>
      </c>
      <c r="L233" t="s">
        <v>7484</v>
      </c>
      <c r="M233" t="s">
        <v>6</v>
      </c>
      <c r="N233">
        <v>3</v>
      </c>
      <c r="O233" t="s">
        <v>7483</v>
      </c>
      <c r="P233" t="s">
        <v>7482</v>
      </c>
      <c r="Q233" t="s">
        <v>7481</v>
      </c>
      <c r="R233" s="7">
        <v>36130</v>
      </c>
      <c r="S233" s="8">
        <f t="shared" si="24"/>
        <v>1998</v>
      </c>
      <c r="T233" s="8">
        <v>1998</v>
      </c>
      <c r="U233" s="8">
        <f t="shared" si="25"/>
        <v>24</v>
      </c>
      <c r="V233" s="7">
        <v>1998</v>
      </c>
      <c r="W233" t="s">
        <v>649</v>
      </c>
      <c r="X233" s="2">
        <v>1.6519999999999999</v>
      </c>
      <c r="Y233" s="6">
        <f t="shared" si="26"/>
        <v>4.409919649769093E-2</v>
      </c>
      <c r="AA233" t="s">
        <v>648</v>
      </c>
      <c r="AB233">
        <v>17337</v>
      </c>
      <c r="AD233" t="s">
        <v>2</v>
      </c>
      <c r="AE233">
        <v>46</v>
      </c>
      <c r="AF233">
        <v>11</v>
      </c>
      <c r="AH233" t="s">
        <v>7480</v>
      </c>
      <c r="AI233" t="s">
        <v>7479</v>
      </c>
      <c r="AJ233" t="s">
        <v>7478</v>
      </c>
      <c r="AK233" t="s">
        <v>7477</v>
      </c>
      <c r="AL233">
        <v>21</v>
      </c>
      <c r="AM233" s="5">
        <f t="shared" si="27"/>
        <v>0.875</v>
      </c>
      <c r="AN233" s="4">
        <f t="shared" si="28"/>
        <v>1.3252555850056798E-3</v>
      </c>
      <c r="AO233" s="3"/>
      <c r="AP233">
        <v>0</v>
      </c>
      <c r="AR233" t="s">
        <v>1</v>
      </c>
      <c r="AT233" s="2" t="s">
        <v>0</v>
      </c>
      <c r="AU233" s="1">
        <f t="shared" si="29"/>
        <v>3.1267014223885359</v>
      </c>
      <c r="AV233" s="1">
        <f t="shared" si="30"/>
        <v>2.2712226041348305</v>
      </c>
      <c r="AW233" s="1">
        <f t="shared" si="31"/>
        <v>1.4157437858811253</v>
      </c>
    </row>
    <row r="234" spans="1:49" x14ac:dyDescent="0.2">
      <c r="A234">
        <v>232</v>
      </c>
      <c r="B234" t="s">
        <v>7476</v>
      </c>
      <c r="C234" t="s">
        <v>7475</v>
      </c>
      <c r="D234" t="s">
        <v>7474</v>
      </c>
      <c r="F234" t="s">
        <v>7473</v>
      </c>
      <c r="G234" t="s">
        <v>5</v>
      </c>
      <c r="H234" t="s">
        <v>4</v>
      </c>
      <c r="I234" t="s">
        <v>7472</v>
      </c>
      <c r="J234" t="s">
        <v>7471</v>
      </c>
      <c r="K234" t="s">
        <v>7470</v>
      </c>
      <c r="L234" t="s">
        <v>7469</v>
      </c>
      <c r="M234" t="s">
        <v>6</v>
      </c>
      <c r="N234">
        <v>3</v>
      </c>
      <c r="O234" t="s">
        <v>7468</v>
      </c>
      <c r="P234" t="s">
        <v>7467</v>
      </c>
      <c r="Q234" t="s">
        <v>7466</v>
      </c>
      <c r="R234" s="7">
        <v>36130</v>
      </c>
      <c r="S234" s="8">
        <f t="shared" si="24"/>
        <v>1998</v>
      </c>
      <c r="T234" s="8">
        <v>1998</v>
      </c>
      <c r="U234" s="8">
        <f t="shared" si="25"/>
        <v>24</v>
      </c>
      <c r="V234" s="7">
        <v>1998</v>
      </c>
      <c r="W234" t="s">
        <v>649</v>
      </c>
      <c r="X234" s="2">
        <v>1.6519999999999999</v>
      </c>
      <c r="Y234" s="6">
        <f t="shared" si="26"/>
        <v>4.409919649769093E-2</v>
      </c>
      <c r="AA234" t="s">
        <v>648</v>
      </c>
      <c r="AB234">
        <v>17337</v>
      </c>
      <c r="AD234" t="s">
        <v>2</v>
      </c>
      <c r="AE234">
        <v>46</v>
      </c>
      <c r="AF234">
        <v>11</v>
      </c>
      <c r="AH234" t="s">
        <v>7465</v>
      </c>
      <c r="AI234" t="s">
        <v>7464</v>
      </c>
      <c r="AJ234" t="s">
        <v>7463</v>
      </c>
      <c r="AK234" t="s">
        <v>7462</v>
      </c>
      <c r="AL234">
        <v>3</v>
      </c>
      <c r="AM234" s="5">
        <f t="shared" si="27"/>
        <v>0.125</v>
      </c>
      <c r="AN234" s="4">
        <f t="shared" si="28"/>
        <v>1.893222264293828E-4</v>
      </c>
      <c r="AO234" s="3"/>
      <c r="AP234">
        <v>0</v>
      </c>
      <c r="AR234" t="s">
        <v>1</v>
      </c>
      <c r="AT234" s="2" t="s">
        <v>0</v>
      </c>
      <c r="AU234" s="1">
        <f t="shared" si="29"/>
        <v>3.0926234216312465</v>
      </c>
      <c r="AV234" s="1">
        <f t="shared" si="30"/>
        <v>2.2144259362060157</v>
      </c>
      <c r="AW234" s="1">
        <f t="shared" si="31"/>
        <v>1.3362284507807847</v>
      </c>
    </row>
    <row r="235" spans="1:49" x14ac:dyDescent="0.2">
      <c r="A235">
        <v>233</v>
      </c>
      <c r="B235" t="s">
        <v>7461</v>
      </c>
      <c r="C235" t="s">
        <v>7460</v>
      </c>
      <c r="D235" t="s">
        <v>7459</v>
      </c>
      <c r="F235" t="s">
        <v>7458</v>
      </c>
      <c r="G235" t="s">
        <v>5</v>
      </c>
      <c r="H235" t="s">
        <v>4</v>
      </c>
      <c r="I235" t="s">
        <v>7457</v>
      </c>
      <c r="J235" t="s">
        <v>7456</v>
      </c>
      <c r="K235" t="s">
        <v>7455</v>
      </c>
      <c r="L235" t="s">
        <v>665</v>
      </c>
      <c r="M235" t="s">
        <v>6</v>
      </c>
      <c r="N235">
        <v>2</v>
      </c>
      <c r="O235" t="s">
        <v>7454</v>
      </c>
      <c r="P235" t="s">
        <v>7453</v>
      </c>
      <c r="Q235" t="s">
        <v>7452</v>
      </c>
      <c r="R235" s="7">
        <v>36130</v>
      </c>
      <c r="S235" s="8">
        <f t="shared" si="24"/>
        <v>1998</v>
      </c>
      <c r="T235" s="8">
        <v>1998</v>
      </c>
      <c r="U235" s="8">
        <f t="shared" si="25"/>
        <v>24</v>
      </c>
      <c r="V235" s="7">
        <v>1998</v>
      </c>
      <c r="W235" t="s">
        <v>282</v>
      </c>
      <c r="X235" s="2">
        <v>0.65500000000000003</v>
      </c>
      <c r="Y235" s="6">
        <f t="shared" si="26"/>
        <v>1.7484850911614749E-2</v>
      </c>
      <c r="AA235">
        <v>189375</v>
      </c>
      <c r="AB235">
        <v>26051</v>
      </c>
      <c r="AD235" t="s">
        <v>2</v>
      </c>
      <c r="AE235">
        <v>40</v>
      </c>
      <c r="AF235" t="s">
        <v>6277</v>
      </c>
      <c r="AH235" t="s">
        <v>7451</v>
      </c>
      <c r="AI235" t="s">
        <v>7450</v>
      </c>
      <c r="AJ235" t="s">
        <v>7449</v>
      </c>
      <c r="AK235" t="s">
        <v>7448</v>
      </c>
      <c r="AL235">
        <v>15</v>
      </c>
      <c r="AM235" s="5">
        <f t="shared" si="27"/>
        <v>0.625</v>
      </c>
      <c r="AN235" s="4">
        <f t="shared" si="28"/>
        <v>9.4661113214691405E-4</v>
      </c>
      <c r="AO235" s="3"/>
      <c r="AP235">
        <v>0</v>
      </c>
      <c r="AR235" t="s">
        <v>7447</v>
      </c>
      <c r="AS235" t="s">
        <v>1585</v>
      </c>
      <c r="AT235" s="2" t="s">
        <v>0</v>
      </c>
      <c r="AU235" s="1">
        <f t="shared" si="29"/>
        <v>1.2523378977774398</v>
      </c>
      <c r="AV235" s="1">
        <f t="shared" si="30"/>
        <v>0.92157310218808319</v>
      </c>
      <c r="AW235" s="1">
        <f t="shared" si="31"/>
        <v>0.59080830659872652</v>
      </c>
    </row>
    <row r="236" spans="1:49" x14ac:dyDescent="0.2">
      <c r="A236">
        <v>234</v>
      </c>
      <c r="B236" t="s">
        <v>7446</v>
      </c>
      <c r="C236" t="s">
        <v>7445</v>
      </c>
      <c r="D236" t="s">
        <v>7444</v>
      </c>
      <c r="F236" t="s">
        <v>7443</v>
      </c>
      <c r="G236" t="s">
        <v>5</v>
      </c>
      <c r="H236" t="s">
        <v>4</v>
      </c>
      <c r="I236" t="s">
        <v>7442</v>
      </c>
      <c r="J236">
        <v>60003122</v>
      </c>
      <c r="K236" t="s">
        <v>146</v>
      </c>
      <c r="L236" t="s">
        <v>145</v>
      </c>
      <c r="M236" t="s">
        <v>15</v>
      </c>
      <c r="N236">
        <v>2</v>
      </c>
      <c r="O236" t="s">
        <v>7441</v>
      </c>
      <c r="P236" t="s">
        <v>7440</v>
      </c>
      <c r="Q236" t="s">
        <v>144</v>
      </c>
      <c r="R236" s="7">
        <v>36130</v>
      </c>
      <c r="S236" s="8">
        <f t="shared" si="24"/>
        <v>1998</v>
      </c>
      <c r="T236" s="8">
        <v>1998</v>
      </c>
      <c r="U236" s="8">
        <f t="shared" si="25"/>
        <v>24</v>
      </c>
      <c r="V236" s="7">
        <v>1998</v>
      </c>
      <c r="W236" t="s">
        <v>303</v>
      </c>
      <c r="X236" s="2">
        <v>1.3720000000000001</v>
      </c>
      <c r="Y236" s="6">
        <f t="shared" si="26"/>
        <v>3.662475641333654E-2</v>
      </c>
      <c r="AA236">
        <v>189480</v>
      </c>
      <c r="AB236">
        <v>17366</v>
      </c>
      <c r="AD236" t="s">
        <v>2</v>
      </c>
      <c r="AE236">
        <v>46</v>
      </c>
      <c r="AF236" t="s">
        <v>7242</v>
      </c>
      <c r="AH236" t="s">
        <v>7439</v>
      </c>
      <c r="AI236" t="s">
        <v>7438</v>
      </c>
      <c r="AJ236" t="s">
        <v>7437</v>
      </c>
      <c r="AK236" t="s">
        <v>7436</v>
      </c>
      <c r="AL236">
        <v>23</v>
      </c>
      <c r="AM236" s="5">
        <f t="shared" si="27"/>
        <v>0.95833333333333337</v>
      </c>
      <c r="AN236" s="4">
        <f t="shared" si="28"/>
        <v>1.4514704026252683E-3</v>
      </c>
      <c r="AO236" s="3"/>
      <c r="AP236">
        <v>0</v>
      </c>
      <c r="AR236" t="s">
        <v>1</v>
      </c>
      <c r="AT236" s="2" t="s">
        <v>0</v>
      </c>
      <c r="AU236" s="1">
        <f t="shared" si="29"/>
        <v>2.6072770610123155</v>
      </c>
      <c r="AV236" s="1">
        <f t="shared" si="30"/>
        <v>1.9038113407980906</v>
      </c>
      <c r="AW236" s="1">
        <f t="shared" si="31"/>
        <v>1.2003456205838652</v>
      </c>
    </row>
    <row r="237" spans="1:49" x14ac:dyDescent="0.2">
      <c r="A237">
        <v>235</v>
      </c>
      <c r="B237" t="s">
        <v>7435</v>
      </c>
      <c r="C237" t="s">
        <v>7434</v>
      </c>
      <c r="D237" t="s">
        <v>7433</v>
      </c>
      <c r="F237" t="s">
        <v>7432</v>
      </c>
      <c r="G237" t="s">
        <v>5</v>
      </c>
      <c r="H237" t="s">
        <v>4</v>
      </c>
      <c r="I237" t="s">
        <v>274</v>
      </c>
      <c r="J237" t="s">
        <v>358</v>
      </c>
      <c r="K237" t="s">
        <v>357</v>
      </c>
      <c r="L237" t="s">
        <v>356</v>
      </c>
      <c r="M237" t="s">
        <v>115</v>
      </c>
      <c r="N237">
        <v>3</v>
      </c>
      <c r="O237" t="s">
        <v>7431</v>
      </c>
      <c r="P237" t="s">
        <v>7430</v>
      </c>
      <c r="Q237" t="s">
        <v>7429</v>
      </c>
      <c r="R237" s="7">
        <v>36130</v>
      </c>
      <c r="S237" s="8">
        <f t="shared" si="24"/>
        <v>1998</v>
      </c>
      <c r="T237" s="8">
        <v>1998</v>
      </c>
      <c r="U237" s="8">
        <f t="shared" si="25"/>
        <v>24</v>
      </c>
      <c r="V237" s="7">
        <v>1998</v>
      </c>
      <c r="W237" t="s">
        <v>649</v>
      </c>
      <c r="X237" s="2">
        <v>1.6519999999999999</v>
      </c>
      <c r="Y237" s="6">
        <f t="shared" si="26"/>
        <v>4.409919649769093E-2</v>
      </c>
      <c r="AA237" t="s">
        <v>648</v>
      </c>
      <c r="AB237">
        <v>17337</v>
      </c>
      <c r="AD237" t="s">
        <v>2</v>
      </c>
      <c r="AE237">
        <v>46</v>
      </c>
      <c r="AF237">
        <v>11</v>
      </c>
      <c r="AH237" t="s">
        <v>7428</v>
      </c>
      <c r="AI237" t="s">
        <v>7427</v>
      </c>
      <c r="AJ237" t="s">
        <v>7342</v>
      </c>
      <c r="AK237" t="s">
        <v>7426</v>
      </c>
      <c r="AL237">
        <v>7</v>
      </c>
      <c r="AM237" s="5">
        <f t="shared" si="27"/>
        <v>0.29166666666666669</v>
      </c>
      <c r="AN237" s="4">
        <f t="shared" si="28"/>
        <v>4.417518616685599E-4</v>
      </c>
      <c r="AO237" s="3"/>
      <c r="AP237">
        <v>0</v>
      </c>
      <c r="AR237" t="s">
        <v>1</v>
      </c>
      <c r="AT237" s="2" t="s">
        <v>0</v>
      </c>
      <c r="AU237" s="1">
        <f t="shared" si="29"/>
        <v>3.1001963106884216</v>
      </c>
      <c r="AV237" s="1">
        <f t="shared" si="30"/>
        <v>2.2270474179679747</v>
      </c>
      <c r="AW237" s="1">
        <f t="shared" si="31"/>
        <v>1.3538985252475271</v>
      </c>
    </row>
    <row r="238" spans="1:49" x14ac:dyDescent="0.2">
      <c r="A238">
        <v>236</v>
      </c>
      <c r="B238" t="s">
        <v>7425</v>
      </c>
      <c r="C238" t="s">
        <v>7424</v>
      </c>
      <c r="D238" t="s">
        <v>7423</v>
      </c>
      <c r="F238" t="s">
        <v>7422</v>
      </c>
      <c r="G238" t="s">
        <v>5</v>
      </c>
      <c r="H238" t="s">
        <v>4</v>
      </c>
      <c r="I238" t="s">
        <v>200</v>
      </c>
      <c r="J238">
        <v>60011362</v>
      </c>
      <c r="K238" t="s">
        <v>199</v>
      </c>
      <c r="L238" t="s">
        <v>72</v>
      </c>
      <c r="M238" t="s">
        <v>27</v>
      </c>
      <c r="N238">
        <v>3</v>
      </c>
      <c r="O238" t="s">
        <v>7421</v>
      </c>
      <c r="P238" t="s">
        <v>7420</v>
      </c>
      <c r="Q238" t="s">
        <v>7419</v>
      </c>
      <c r="R238" s="7">
        <v>36130</v>
      </c>
      <c r="S238" s="8">
        <f t="shared" si="24"/>
        <v>1998</v>
      </c>
      <c r="T238" s="8">
        <v>1998</v>
      </c>
      <c r="U238" s="8">
        <f t="shared" si="25"/>
        <v>24</v>
      </c>
      <c r="V238" s="7">
        <v>1998</v>
      </c>
      <c r="W238" t="s">
        <v>649</v>
      </c>
      <c r="X238" s="2">
        <v>1.6519999999999999</v>
      </c>
      <c r="Y238" s="6">
        <f t="shared" si="26"/>
        <v>4.409919649769093E-2</v>
      </c>
      <c r="AA238" t="s">
        <v>648</v>
      </c>
      <c r="AB238">
        <v>17337</v>
      </c>
      <c r="AD238" t="s">
        <v>2</v>
      </c>
      <c r="AE238">
        <v>46</v>
      </c>
      <c r="AF238">
        <v>11</v>
      </c>
      <c r="AH238" t="s">
        <v>7418</v>
      </c>
      <c r="AI238" t="s">
        <v>7417</v>
      </c>
      <c r="AJ238" t="s">
        <v>4850</v>
      </c>
      <c r="AK238" t="s">
        <v>7416</v>
      </c>
      <c r="AL238">
        <v>229</v>
      </c>
      <c r="AM238" s="5">
        <f t="shared" si="27"/>
        <v>9.5416666666666661</v>
      </c>
      <c r="AN238" s="4">
        <f t="shared" si="28"/>
        <v>1.4451596617442887E-2</v>
      </c>
      <c r="AO238" s="3"/>
      <c r="AP238">
        <v>0</v>
      </c>
      <c r="AR238" t="s">
        <v>1</v>
      </c>
      <c r="AT238" s="2" t="s">
        <v>0</v>
      </c>
      <c r="AU238" s="1">
        <f t="shared" si="29"/>
        <v>3.5204916533616517</v>
      </c>
      <c r="AV238" s="1">
        <f t="shared" si="30"/>
        <v>2.9275396557566906</v>
      </c>
      <c r="AW238" s="1">
        <f t="shared" si="31"/>
        <v>2.33458765815173</v>
      </c>
    </row>
    <row r="239" spans="1:49" x14ac:dyDescent="0.2">
      <c r="A239">
        <v>237</v>
      </c>
      <c r="B239" t="s">
        <v>7415</v>
      </c>
      <c r="C239" t="s">
        <v>7414</v>
      </c>
      <c r="D239" t="s">
        <v>7413</v>
      </c>
      <c r="F239" t="s">
        <v>7412</v>
      </c>
      <c r="G239" t="s">
        <v>5</v>
      </c>
      <c r="H239" t="s">
        <v>4</v>
      </c>
      <c r="I239" t="s">
        <v>7411</v>
      </c>
      <c r="J239">
        <v>60003896</v>
      </c>
      <c r="K239" t="s">
        <v>273</v>
      </c>
      <c r="L239" t="s">
        <v>272</v>
      </c>
      <c r="M239" t="s">
        <v>37</v>
      </c>
      <c r="N239">
        <v>2</v>
      </c>
      <c r="O239" t="s">
        <v>7410</v>
      </c>
      <c r="P239" t="s">
        <v>7409</v>
      </c>
      <c r="Q239" t="s">
        <v>7408</v>
      </c>
      <c r="R239" s="7">
        <v>36130</v>
      </c>
      <c r="S239" s="8">
        <f t="shared" si="24"/>
        <v>1998</v>
      </c>
      <c r="T239" s="8">
        <v>1998</v>
      </c>
      <c r="U239" s="8">
        <f t="shared" si="25"/>
        <v>24</v>
      </c>
      <c r="V239" s="7">
        <v>1998</v>
      </c>
      <c r="W239" t="s">
        <v>282</v>
      </c>
      <c r="X239" s="2">
        <v>0.65500000000000003</v>
      </c>
      <c r="Y239" s="6">
        <f t="shared" si="26"/>
        <v>1.7484850911614749E-2</v>
      </c>
      <c r="AA239">
        <v>189375</v>
      </c>
      <c r="AB239">
        <v>26051</v>
      </c>
      <c r="AD239" t="s">
        <v>2</v>
      </c>
      <c r="AE239">
        <v>40</v>
      </c>
      <c r="AF239" t="s">
        <v>6277</v>
      </c>
      <c r="AH239" t="s">
        <v>7407</v>
      </c>
      <c r="AI239" t="s">
        <v>7406</v>
      </c>
      <c r="AJ239" t="s">
        <v>7405</v>
      </c>
      <c r="AK239" t="s">
        <v>7404</v>
      </c>
      <c r="AL239">
        <v>35</v>
      </c>
      <c r="AM239" s="5">
        <f t="shared" si="27"/>
        <v>1.4583333333333333</v>
      </c>
      <c r="AN239" s="4">
        <f t="shared" si="28"/>
        <v>2.2087593083427995E-3</v>
      </c>
      <c r="AO239" s="3"/>
      <c r="AP239">
        <v>0</v>
      </c>
      <c r="AR239" t="s">
        <v>1</v>
      </c>
      <c r="AT239" s="2" t="s">
        <v>0</v>
      </c>
      <c r="AU239" s="1">
        <f t="shared" si="29"/>
        <v>1.2902023430633163</v>
      </c>
      <c r="AV239" s="1">
        <f t="shared" si="30"/>
        <v>0.98468051099787746</v>
      </c>
      <c r="AW239" s="1">
        <f t="shared" si="31"/>
        <v>0.67915867893243842</v>
      </c>
    </row>
    <row r="240" spans="1:49" x14ac:dyDescent="0.2">
      <c r="A240">
        <v>238</v>
      </c>
      <c r="B240" t="s">
        <v>7403</v>
      </c>
      <c r="C240" t="s">
        <v>7402</v>
      </c>
      <c r="D240" t="s">
        <v>7401</v>
      </c>
      <c r="F240" t="s">
        <v>7400</v>
      </c>
      <c r="G240" t="s">
        <v>5</v>
      </c>
      <c r="H240" t="s">
        <v>4</v>
      </c>
      <c r="I240" t="s">
        <v>7399</v>
      </c>
      <c r="J240" t="s">
        <v>7398</v>
      </c>
      <c r="K240" t="s">
        <v>7397</v>
      </c>
      <c r="L240" t="s">
        <v>7396</v>
      </c>
      <c r="M240" t="s">
        <v>7395</v>
      </c>
      <c r="N240">
        <v>5</v>
      </c>
      <c r="O240" t="s">
        <v>7394</v>
      </c>
      <c r="P240" t="s">
        <v>7393</v>
      </c>
      <c r="Q240" t="s">
        <v>7392</v>
      </c>
      <c r="R240" s="7">
        <v>36130</v>
      </c>
      <c r="S240" s="8">
        <f t="shared" si="24"/>
        <v>1998</v>
      </c>
      <c r="T240" s="8">
        <v>1998</v>
      </c>
      <c r="U240" s="8">
        <f t="shared" si="25"/>
        <v>24</v>
      </c>
      <c r="V240" s="7">
        <v>1998</v>
      </c>
      <c r="W240" t="s">
        <v>419</v>
      </c>
      <c r="X240" s="2">
        <v>1.3280000000000001</v>
      </c>
      <c r="Y240" s="6">
        <f t="shared" si="26"/>
        <v>3.5450201542937994E-2</v>
      </c>
      <c r="AA240">
        <v>7413335</v>
      </c>
      <c r="AB240">
        <v>29251</v>
      </c>
      <c r="AD240" t="s">
        <v>2</v>
      </c>
      <c r="AE240">
        <v>40</v>
      </c>
      <c r="AF240">
        <v>11</v>
      </c>
      <c r="AH240" t="s">
        <v>7391</v>
      </c>
      <c r="AI240" t="s">
        <v>7390</v>
      </c>
      <c r="AK240" t="s">
        <v>7389</v>
      </c>
      <c r="AL240">
        <v>53</v>
      </c>
      <c r="AM240" s="5">
        <f t="shared" si="27"/>
        <v>2.2083333333333335</v>
      </c>
      <c r="AN240" s="4">
        <f t="shared" si="28"/>
        <v>3.3446926669190966E-3</v>
      </c>
      <c r="AO240" s="3"/>
      <c r="AP240">
        <v>0</v>
      </c>
      <c r="AR240" t="s">
        <v>1</v>
      </c>
      <c r="AT240" s="2">
        <v>2.4580000000000002</v>
      </c>
      <c r="AU240" s="1">
        <f t="shared" si="29"/>
        <v>2.5818548880132326</v>
      </c>
      <c r="AV240" s="1">
        <f t="shared" si="30"/>
        <v>1.9397447104928547</v>
      </c>
      <c r="AW240" s="1">
        <f t="shared" si="31"/>
        <v>1.2976345329724766</v>
      </c>
    </row>
    <row r="241" spans="1:49" x14ac:dyDescent="0.2">
      <c r="A241">
        <v>239</v>
      </c>
      <c r="B241" t="s">
        <v>7388</v>
      </c>
      <c r="C241" t="s">
        <v>7387</v>
      </c>
      <c r="D241" t="s">
        <v>7386</v>
      </c>
      <c r="F241" t="s">
        <v>7385</v>
      </c>
      <c r="G241" t="s">
        <v>5</v>
      </c>
      <c r="H241" t="s">
        <v>4</v>
      </c>
      <c r="I241" t="s">
        <v>7384</v>
      </c>
      <c r="J241">
        <v>60104244</v>
      </c>
      <c r="K241" t="s">
        <v>7383</v>
      </c>
      <c r="L241" t="s">
        <v>509</v>
      </c>
      <c r="M241" t="s">
        <v>15</v>
      </c>
      <c r="N241">
        <v>2</v>
      </c>
      <c r="O241" t="s">
        <v>7382</v>
      </c>
      <c r="P241" t="s">
        <v>7381</v>
      </c>
      <c r="Q241" t="s">
        <v>7380</v>
      </c>
      <c r="R241" s="7">
        <v>36130</v>
      </c>
      <c r="S241" s="8">
        <f t="shared" si="24"/>
        <v>1998</v>
      </c>
      <c r="T241" s="8">
        <v>1998</v>
      </c>
      <c r="U241" s="8">
        <f t="shared" si="25"/>
        <v>24</v>
      </c>
      <c r="V241" s="7">
        <v>1998</v>
      </c>
      <c r="W241" t="s">
        <v>303</v>
      </c>
      <c r="X241" s="2">
        <v>1.3720000000000001</v>
      </c>
      <c r="Y241" s="6">
        <f t="shared" si="26"/>
        <v>3.662475641333654E-2</v>
      </c>
      <c r="AA241">
        <v>189480</v>
      </c>
      <c r="AB241">
        <v>17366</v>
      </c>
      <c r="AD241" t="s">
        <v>2</v>
      </c>
      <c r="AE241">
        <v>46</v>
      </c>
      <c r="AF241" t="s">
        <v>7242</v>
      </c>
      <c r="AH241" t="s">
        <v>7379</v>
      </c>
      <c r="AI241" t="s">
        <v>7378</v>
      </c>
      <c r="AJ241" t="s">
        <v>7377</v>
      </c>
      <c r="AK241" t="s">
        <v>7376</v>
      </c>
      <c r="AL241">
        <v>3</v>
      </c>
      <c r="AM241" s="5">
        <f t="shared" si="27"/>
        <v>0.125</v>
      </c>
      <c r="AN241" s="4">
        <f t="shared" si="28"/>
        <v>1.893222264293828E-4</v>
      </c>
      <c r="AO241" s="3"/>
      <c r="AP241">
        <v>0</v>
      </c>
      <c r="AQ241" t="s">
        <v>317</v>
      </c>
      <c r="AR241" t="s">
        <v>1</v>
      </c>
      <c r="AS241" t="s">
        <v>316</v>
      </c>
      <c r="AT241" s="2" t="s">
        <v>0</v>
      </c>
      <c r="AU241" s="1">
        <f t="shared" si="29"/>
        <v>2.569412615726439</v>
      </c>
      <c r="AV241" s="1">
        <f t="shared" si="30"/>
        <v>1.8407039319882961</v>
      </c>
      <c r="AW241" s="1">
        <f t="shared" si="31"/>
        <v>1.1119952482501532</v>
      </c>
    </row>
    <row r="242" spans="1:49" x14ac:dyDescent="0.2">
      <c r="A242">
        <v>240</v>
      </c>
      <c r="B242" t="s">
        <v>7375</v>
      </c>
      <c r="C242" t="s">
        <v>7374</v>
      </c>
      <c r="D242" t="s">
        <v>7373</v>
      </c>
      <c r="F242" t="s">
        <v>7372</v>
      </c>
      <c r="G242" t="s">
        <v>5</v>
      </c>
      <c r="H242" t="s">
        <v>4</v>
      </c>
      <c r="I242" t="s">
        <v>7371</v>
      </c>
      <c r="J242">
        <v>60002947</v>
      </c>
      <c r="K242" t="s">
        <v>164</v>
      </c>
      <c r="L242" t="s">
        <v>163</v>
      </c>
      <c r="M242" t="s">
        <v>162</v>
      </c>
      <c r="N242">
        <v>1</v>
      </c>
      <c r="O242" t="s">
        <v>7370</v>
      </c>
      <c r="P242">
        <v>7004716169</v>
      </c>
      <c r="Q242">
        <v>60002947</v>
      </c>
      <c r="R242" s="7">
        <v>36130</v>
      </c>
      <c r="S242" s="8">
        <f t="shared" si="24"/>
        <v>1998</v>
      </c>
      <c r="T242" s="8">
        <v>1998</v>
      </c>
      <c r="U242" s="8">
        <f t="shared" si="25"/>
        <v>24</v>
      </c>
      <c r="V242" s="7">
        <v>1998</v>
      </c>
      <c r="W242" t="s">
        <v>649</v>
      </c>
      <c r="X242" s="2">
        <v>1.6519999999999999</v>
      </c>
      <c r="Y242" s="6">
        <f t="shared" si="26"/>
        <v>4.409919649769093E-2</v>
      </c>
      <c r="AA242" t="s">
        <v>648</v>
      </c>
      <c r="AB242">
        <v>17337</v>
      </c>
      <c r="AD242" t="s">
        <v>2</v>
      </c>
      <c r="AE242">
        <v>46</v>
      </c>
      <c r="AF242">
        <v>11</v>
      </c>
      <c r="AH242" t="s">
        <v>7369</v>
      </c>
      <c r="AI242" t="s">
        <v>7368</v>
      </c>
      <c r="AJ242" t="s">
        <v>7367</v>
      </c>
      <c r="AK242" t="s">
        <v>7366</v>
      </c>
      <c r="AL242">
        <v>11</v>
      </c>
      <c r="AM242" s="5">
        <f t="shared" si="27"/>
        <v>0.45833333333333331</v>
      </c>
      <c r="AN242" s="4">
        <f t="shared" si="28"/>
        <v>6.9418149690773695E-4</v>
      </c>
      <c r="AO242" s="3"/>
      <c r="AP242">
        <v>0</v>
      </c>
      <c r="AR242" t="s">
        <v>1</v>
      </c>
      <c r="AT242" s="2" t="s">
        <v>0</v>
      </c>
      <c r="AU242" s="1">
        <f t="shared" si="29"/>
        <v>3.1077691997455972</v>
      </c>
      <c r="AV242" s="1">
        <f t="shared" si="30"/>
        <v>2.2396688997299337</v>
      </c>
      <c r="AW242" s="1">
        <f t="shared" si="31"/>
        <v>1.3715685997142693</v>
      </c>
    </row>
    <row r="243" spans="1:49" x14ac:dyDescent="0.2">
      <c r="A243">
        <v>241</v>
      </c>
      <c r="B243" t="s">
        <v>7365</v>
      </c>
      <c r="C243" t="s">
        <v>7364</v>
      </c>
      <c r="D243" t="s">
        <v>7363</v>
      </c>
      <c r="F243" t="s">
        <v>7362</v>
      </c>
      <c r="G243" t="s">
        <v>5</v>
      </c>
      <c r="H243" t="s">
        <v>4</v>
      </c>
      <c r="I243" t="s">
        <v>338</v>
      </c>
      <c r="J243" t="s">
        <v>7361</v>
      </c>
      <c r="K243" t="s">
        <v>7360</v>
      </c>
      <c r="L243" t="s">
        <v>7359</v>
      </c>
      <c r="M243" t="s">
        <v>6</v>
      </c>
      <c r="N243">
        <v>2</v>
      </c>
      <c r="O243" t="s">
        <v>7358</v>
      </c>
      <c r="P243" t="s">
        <v>7357</v>
      </c>
      <c r="Q243" t="s">
        <v>7356</v>
      </c>
      <c r="R243" s="7">
        <v>36130</v>
      </c>
      <c r="S243" s="8">
        <f t="shared" si="24"/>
        <v>1998</v>
      </c>
      <c r="T243" s="8">
        <v>1998</v>
      </c>
      <c r="U243" s="8">
        <f t="shared" si="25"/>
        <v>24</v>
      </c>
      <c r="V243" s="7">
        <v>1998</v>
      </c>
      <c r="W243" t="s">
        <v>649</v>
      </c>
      <c r="X243" s="2">
        <v>1.6519999999999999</v>
      </c>
      <c r="Y243" s="6">
        <f t="shared" si="26"/>
        <v>4.409919649769093E-2</v>
      </c>
      <c r="AA243" t="s">
        <v>648</v>
      </c>
      <c r="AB243">
        <v>17337</v>
      </c>
      <c r="AD243" t="s">
        <v>2</v>
      </c>
      <c r="AE243">
        <v>46</v>
      </c>
      <c r="AF243">
        <v>11</v>
      </c>
      <c r="AH243" t="s">
        <v>7355</v>
      </c>
      <c r="AI243" t="s">
        <v>7354</v>
      </c>
      <c r="AJ243" t="s">
        <v>5814</v>
      </c>
      <c r="AK243" t="s">
        <v>7353</v>
      </c>
      <c r="AL243">
        <v>11</v>
      </c>
      <c r="AM243" s="5">
        <f t="shared" si="27"/>
        <v>0.45833333333333331</v>
      </c>
      <c r="AN243" s="4">
        <f t="shared" si="28"/>
        <v>6.9418149690773695E-4</v>
      </c>
      <c r="AO243" s="3"/>
      <c r="AP243">
        <v>0</v>
      </c>
      <c r="AQ243" t="s">
        <v>328</v>
      </c>
      <c r="AR243" t="s">
        <v>7352</v>
      </c>
      <c r="AS243" t="s">
        <v>327</v>
      </c>
      <c r="AT243" s="2" t="s">
        <v>0</v>
      </c>
      <c r="AU243" s="1">
        <f t="shared" si="29"/>
        <v>3.1077691997455972</v>
      </c>
      <c r="AV243" s="1">
        <f t="shared" si="30"/>
        <v>2.2396688997299337</v>
      </c>
      <c r="AW243" s="1">
        <f t="shared" si="31"/>
        <v>1.3715685997142693</v>
      </c>
    </row>
    <row r="244" spans="1:49" x14ac:dyDescent="0.2">
      <c r="A244">
        <v>242</v>
      </c>
      <c r="B244" t="s">
        <v>7351</v>
      </c>
      <c r="C244" t="s">
        <v>7350</v>
      </c>
      <c r="D244" t="s">
        <v>7349</v>
      </c>
      <c r="F244" t="s">
        <v>7348</v>
      </c>
      <c r="G244" t="s">
        <v>5</v>
      </c>
      <c r="H244" t="s">
        <v>4</v>
      </c>
      <c r="I244" t="s">
        <v>7347</v>
      </c>
      <c r="J244">
        <v>60027550</v>
      </c>
      <c r="K244" t="s">
        <v>11</v>
      </c>
      <c r="L244" t="s">
        <v>10</v>
      </c>
      <c r="M244" t="s">
        <v>9</v>
      </c>
      <c r="N244">
        <v>2</v>
      </c>
      <c r="O244" t="s">
        <v>7346</v>
      </c>
      <c r="P244" t="s">
        <v>7345</v>
      </c>
      <c r="Q244" t="s">
        <v>8</v>
      </c>
      <c r="R244" s="7">
        <v>36130</v>
      </c>
      <c r="S244" s="8">
        <f t="shared" si="24"/>
        <v>1998</v>
      </c>
      <c r="T244" s="8">
        <v>1998</v>
      </c>
      <c r="U244" s="8">
        <f t="shared" si="25"/>
        <v>24</v>
      </c>
      <c r="V244" s="7">
        <v>1998</v>
      </c>
      <c r="W244" t="s">
        <v>649</v>
      </c>
      <c r="X244" s="2">
        <v>1.6519999999999999</v>
      </c>
      <c r="Y244" s="6">
        <f t="shared" si="26"/>
        <v>4.409919649769093E-2</v>
      </c>
      <c r="AA244" t="s">
        <v>648</v>
      </c>
      <c r="AB244">
        <v>17337</v>
      </c>
      <c r="AD244" t="s">
        <v>2</v>
      </c>
      <c r="AE244">
        <v>46</v>
      </c>
      <c r="AF244">
        <v>11</v>
      </c>
      <c r="AH244" t="s">
        <v>7344</v>
      </c>
      <c r="AI244" t="s">
        <v>7343</v>
      </c>
      <c r="AJ244" t="s">
        <v>7342</v>
      </c>
      <c r="AK244" t="s">
        <v>7341</v>
      </c>
      <c r="AL244">
        <v>17</v>
      </c>
      <c r="AM244" s="5">
        <f t="shared" si="27"/>
        <v>0.70833333333333337</v>
      </c>
      <c r="AN244" s="4">
        <f t="shared" si="28"/>
        <v>1.0728259497665025E-3</v>
      </c>
      <c r="AO244" s="3"/>
      <c r="AP244">
        <v>0</v>
      </c>
      <c r="AR244" t="s">
        <v>1</v>
      </c>
      <c r="AT244" s="2" t="s">
        <v>0</v>
      </c>
      <c r="AU244" s="1">
        <f t="shared" si="29"/>
        <v>3.1191285333313603</v>
      </c>
      <c r="AV244" s="1">
        <f t="shared" si="30"/>
        <v>2.2586011223728715</v>
      </c>
      <c r="AW244" s="1">
        <f t="shared" si="31"/>
        <v>1.3980737114143831</v>
      </c>
    </row>
    <row r="245" spans="1:49" x14ac:dyDescent="0.2">
      <c r="A245">
        <v>243</v>
      </c>
      <c r="B245" t="s">
        <v>7340</v>
      </c>
      <c r="C245" t="s">
        <v>7339</v>
      </c>
      <c r="D245" t="s">
        <v>7338</v>
      </c>
      <c r="F245" t="s">
        <v>7337</v>
      </c>
      <c r="G245" t="s">
        <v>5</v>
      </c>
      <c r="H245" t="s">
        <v>4</v>
      </c>
      <c r="I245" t="s">
        <v>284</v>
      </c>
      <c r="J245">
        <v>60031544</v>
      </c>
      <c r="K245" t="s">
        <v>310</v>
      </c>
      <c r="L245" t="s">
        <v>309</v>
      </c>
      <c r="M245" t="s">
        <v>65</v>
      </c>
      <c r="N245">
        <v>4</v>
      </c>
      <c r="O245" t="s">
        <v>7336</v>
      </c>
      <c r="P245" t="s">
        <v>7335</v>
      </c>
      <c r="Q245" t="s">
        <v>308</v>
      </c>
      <c r="R245" s="7">
        <v>36130</v>
      </c>
      <c r="S245" s="8">
        <f t="shared" si="24"/>
        <v>1998</v>
      </c>
      <c r="T245" s="8">
        <v>1998</v>
      </c>
      <c r="U245" s="8">
        <f t="shared" si="25"/>
        <v>24</v>
      </c>
      <c r="V245" s="7">
        <v>1998</v>
      </c>
      <c r="W245" t="s">
        <v>649</v>
      </c>
      <c r="X245" s="2">
        <v>1.6519999999999999</v>
      </c>
      <c r="Y245" s="6">
        <f t="shared" si="26"/>
        <v>4.409919649769093E-2</v>
      </c>
      <c r="AA245" t="s">
        <v>648</v>
      </c>
      <c r="AB245">
        <v>17337</v>
      </c>
      <c r="AD245" t="s">
        <v>2</v>
      </c>
      <c r="AE245">
        <v>46</v>
      </c>
      <c r="AF245">
        <v>11</v>
      </c>
      <c r="AH245" t="s">
        <v>7334</v>
      </c>
      <c r="AI245" t="s">
        <v>7333</v>
      </c>
      <c r="AJ245" t="s">
        <v>4850</v>
      </c>
      <c r="AK245" t="s">
        <v>7332</v>
      </c>
      <c r="AL245">
        <v>23</v>
      </c>
      <c r="AM245" s="5">
        <f t="shared" si="27"/>
        <v>0.95833333333333337</v>
      </c>
      <c r="AN245" s="4">
        <f t="shared" si="28"/>
        <v>1.4514704026252683E-3</v>
      </c>
      <c r="AO245" s="3"/>
      <c r="AP245">
        <v>0</v>
      </c>
      <c r="AQ245" t="s">
        <v>77</v>
      </c>
      <c r="AR245" t="s">
        <v>1</v>
      </c>
      <c r="AS245" t="s">
        <v>76</v>
      </c>
      <c r="AT245" s="2" t="s">
        <v>0</v>
      </c>
      <c r="AU245" s="1">
        <f t="shared" si="29"/>
        <v>3.1304878669171234</v>
      </c>
      <c r="AV245" s="1">
        <f t="shared" si="30"/>
        <v>2.2775333450158102</v>
      </c>
      <c r="AW245" s="1">
        <f t="shared" si="31"/>
        <v>1.4245788231144967</v>
      </c>
    </row>
    <row r="246" spans="1:49" x14ac:dyDescent="0.2">
      <c r="A246">
        <v>244</v>
      </c>
      <c r="B246" t="s">
        <v>7331</v>
      </c>
      <c r="C246" t="s">
        <v>7330</v>
      </c>
      <c r="D246" t="s">
        <v>7329</v>
      </c>
      <c r="F246" t="s">
        <v>7328</v>
      </c>
      <c r="G246" t="s">
        <v>5</v>
      </c>
      <c r="H246" t="s">
        <v>4</v>
      </c>
      <c r="I246" t="s">
        <v>7327</v>
      </c>
      <c r="J246" t="s">
        <v>7326</v>
      </c>
      <c r="K246" t="s">
        <v>7325</v>
      </c>
      <c r="L246" t="s">
        <v>7324</v>
      </c>
      <c r="M246" t="s">
        <v>101</v>
      </c>
      <c r="N246">
        <v>3</v>
      </c>
      <c r="O246" t="s">
        <v>7323</v>
      </c>
      <c r="P246" t="s">
        <v>7322</v>
      </c>
      <c r="Q246" t="s">
        <v>7321</v>
      </c>
      <c r="R246" s="7">
        <v>36130</v>
      </c>
      <c r="S246" s="8">
        <f t="shared" si="24"/>
        <v>1998</v>
      </c>
      <c r="T246" s="8">
        <v>1998</v>
      </c>
      <c r="U246" s="8">
        <f t="shared" si="25"/>
        <v>24</v>
      </c>
      <c r="V246" s="7">
        <v>1998</v>
      </c>
      <c r="W246" t="s">
        <v>649</v>
      </c>
      <c r="X246" s="2">
        <v>1.6519999999999999</v>
      </c>
      <c r="Y246" s="6">
        <f t="shared" si="26"/>
        <v>4.409919649769093E-2</v>
      </c>
      <c r="AA246" t="s">
        <v>648</v>
      </c>
      <c r="AB246">
        <v>17337</v>
      </c>
      <c r="AD246" t="s">
        <v>2</v>
      </c>
      <c r="AE246">
        <v>46</v>
      </c>
      <c r="AF246">
        <v>11</v>
      </c>
      <c r="AH246" t="s">
        <v>7320</v>
      </c>
      <c r="AI246" t="s">
        <v>7319</v>
      </c>
      <c r="AJ246" t="s">
        <v>5116</v>
      </c>
      <c r="AK246" t="s">
        <v>7318</v>
      </c>
      <c r="AL246">
        <v>1</v>
      </c>
      <c r="AM246" s="5">
        <f t="shared" si="27"/>
        <v>4.1666666666666664E-2</v>
      </c>
      <c r="AN246" s="4">
        <f t="shared" si="28"/>
        <v>6.3107408809794262E-5</v>
      </c>
      <c r="AO246" s="3"/>
      <c r="AP246">
        <v>0</v>
      </c>
      <c r="AR246" t="s">
        <v>7317</v>
      </c>
      <c r="AT246" s="2" t="s">
        <v>0</v>
      </c>
      <c r="AU246" s="1">
        <f t="shared" si="29"/>
        <v>3.0888369771026589</v>
      </c>
      <c r="AV246" s="1">
        <f t="shared" si="30"/>
        <v>2.208115195325036</v>
      </c>
      <c r="AW246" s="1">
        <f t="shared" si="31"/>
        <v>1.3273934135474135</v>
      </c>
    </row>
    <row r="247" spans="1:49" x14ac:dyDescent="0.2">
      <c r="A247">
        <v>245</v>
      </c>
      <c r="B247" t="s">
        <v>7316</v>
      </c>
      <c r="C247" t="s">
        <v>7315</v>
      </c>
      <c r="D247" t="s">
        <v>7314</v>
      </c>
      <c r="F247" t="s">
        <v>7313</v>
      </c>
      <c r="G247" t="s">
        <v>5</v>
      </c>
      <c r="H247" t="s">
        <v>4</v>
      </c>
      <c r="I247" t="s">
        <v>7312</v>
      </c>
      <c r="J247" t="s">
        <v>7311</v>
      </c>
      <c r="K247" t="s">
        <v>7310</v>
      </c>
      <c r="L247" t="s">
        <v>7309</v>
      </c>
      <c r="M247" t="s">
        <v>6</v>
      </c>
      <c r="N247">
        <v>2</v>
      </c>
      <c r="O247" t="s">
        <v>7308</v>
      </c>
      <c r="P247" t="s">
        <v>7307</v>
      </c>
      <c r="Q247" t="s">
        <v>7306</v>
      </c>
      <c r="R247" s="7">
        <v>36130</v>
      </c>
      <c r="S247" s="8">
        <f t="shared" si="24"/>
        <v>1998</v>
      </c>
      <c r="T247" s="8">
        <v>1998</v>
      </c>
      <c r="U247" s="8">
        <f t="shared" si="25"/>
        <v>24</v>
      </c>
      <c r="V247" s="7">
        <v>1998</v>
      </c>
      <c r="W247" t="s">
        <v>649</v>
      </c>
      <c r="X247" s="2">
        <v>1.6519999999999999</v>
      </c>
      <c r="Y247" s="6">
        <f t="shared" si="26"/>
        <v>4.409919649769093E-2</v>
      </c>
      <c r="AA247" t="s">
        <v>648</v>
      </c>
      <c r="AB247">
        <v>17337</v>
      </c>
      <c r="AD247" t="s">
        <v>2</v>
      </c>
      <c r="AE247">
        <v>46</v>
      </c>
      <c r="AF247">
        <v>11</v>
      </c>
      <c r="AH247" t="s">
        <v>7305</v>
      </c>
      <c r="AI247" t="s">
        <v>7304</v>
      </c>
      <c r="AJ247" t="s">
        <v>7303</v>
      </c>
      <c r="AK247" t="s">
        <v>7302</v>
      </c>
      <c r="AL247">
        <v>6</v>
      </c>
      <c r="AM247" s="5">
        <f t="shared" si="27"/>
        <v>0.25</v>
      </c>
      <c r="AN247" s="4">
        <f t="shared" si="28"/>
        <v>3.786444528587656E-4</v>
      </c>
      <c r="AO247" s="3"/>
      <c r="AP247">
        <v>0</v>
      </c>
      <c r="AQ247" t="s">
        <v>350</v>
      </c>
      <c r="AR247" t="s">
        <v>1</v>
      </c>
      <c r="AS247" t="s">
        <v>349</v>
      </c>
      <c r="AT247" s="2" t="s">
        <v>0</v>
      </c>
      <c r="AU247" s="1">
        <f t="shared" si="29"/>
        <v>3.098303088424128</v>
      </c>
      <c r="AV247" s="1">
        <f t="shared" si="30"/>
        <v>2.2238920475274848</v>
      </c>
      <c r="AW247" s="1">
        <f t="shared" si="31"/>
        <v>1.3494810066308416</v>
      </c>
    </row>
    <row r="248" spans="1:49" x14ac:dyDescent="0.2">
      <c r="A248">
        <v>246</v>
      </c>
      <c r="B248" t="s">
        <v>7301</v>
      </c>
      <c r="C248" t="s">
        <v>7300</v>
      </c>
      <c r="D248" t="s">
        <v>7299</v>
      </c>
      <c r="F248" t="s">
        <v>7298</v>
      </c>
      <c r="G248" t="s">
        <v>5</v>
      </c>
      <c r="H248" t="s">
        <v>4</v>
      </c>
      <c r="I248" t="s">
        <v>7297</v>
      </c>
      <c r="J248">
        <v>60022847</v>
      </c>
      <c r="K248" t="s">
        <v>7296</v>
      </c>
      <c r="L248" t="s">
        <v>171</v>
      </c>
      <c r="M248" t="s">
        <v>128</v>
      </c>
      <c r="N248">
        <v>2</v>
      </c>
      <c r="O248" t="s">
        <v>7295</v>
      </c>
      <c r="P248" t="s">
        <v>7294</v>
      </c>
      <c r="Q248" t="s">
        <v>7293</v>
      </c>
      <c r="R248" s="7">
        <v>36130</v>
      </c>
      <c r="S248" s="8">
        <f t="shared" si="24"/>
        <v>1998</v>
      </c>
      <c r="T248" s="8">
        <v>1998</v>
      </c>
      <c r="U248" s="8">
        <f t="shared" si="25"/>
        <v>24</v>
      </c>
      <c r="V248" s="7">
        <v>1998</v>
      </c>
      <c r="W248" t="s">
        <v>303</v>
      </c>
      <c r="X248" s="2">
        <v>1.3720000000000001</v>
      </c>
      <c r="Y248" s="6">
        <f t="shared" si="26"/>
        <v>3.662475641333654E-2</v>
      </c>
      <c r="AA248">
        <v>189480</v>
      </c>
      <c r="AB248">
        <v>17366</v>
      </c>
      <c r="AD248" t="s">
        <v>2</v>
      </c>
      <c r="AE248">
        <v>46</v>
      </c>
      <c r="AF248" t="s">
        <v>7242</v>
      </c>
      <c r="AH248" t="s">
        <v>7292</v>
      </c>
      <c r="AI248" t="s">
        <v>7291</v>
      </c>
      <c r="AJ248" t="s">
        <v>7290</v>
      </c>
      <c r="AK248" t="s">
        <v>7289</v>
      </c>
      <c r="AL248">
        <v>39</v>
      </c>
      <c r="AM248" s="5">
        <f t="shared" si="27"/>
        <v>1.625</v>
      </c>
      <c r="AN248" s="4">
        <f t="shared" si="28"/>
        <v>2.4611889435819764E-3</v>
      </c>
      <c r="AO248" s="3"/>
      <c r="AP248">
        <v>0</v>
      </c>
      <c r="AQ248" t="s">
        <v>114</v>
      </c>
      <c r="AR248" t="s">
        <v>7288</v>
      </c>
      <c r="AS248" t="s">
        <v>113</v>
      </c>
      <c r="AT248" s="2" t="s">
        <v>0</v>
      </c>
      <c r="AU248" s="1">
        <f t="shared" si="29"/>
        <v>2.6375686172410169</v>
      </c>
      <c r="AV248" s="1">
        <f t="shared" si="30"/>
        <v>1.9542972678459261</v>
      </c>
      <c r="AW248" s="1">
        <f t="shared" si="31"/>
        <v>1.2710259184508346</v>
      </c>
    </row>
    <row r="249" spans="1:49" x14ac:dyDescent="0.2">
      <c r="A249">
        <v>247</v>
      </c>
      <c r="B249" t="s">
        <v>7287</v>
      </c>
      <c r="C249" t="s">
        <v>7286</v>
      </c>
      <c r="D249" t="s">
        <v>7285</v>
      </c>
      <c r="F249" t="s">
        <v>7284</v>
      </c>
      <c r="G249" t="s">
        <v>5</v>
      </c>
      <c r="H249" t="s">
        <v>4</v>
      </c>
      <c r="I249" t="s">
        <v>7283</v>
      </c>
      <c r="J249">
        <v>60001881</v>
      </c>
      <c r="K249" t="s">
        <v>696</v>
      </c>
      <c r="L249" t="s">
        <v>695</v>
      </c>
      <c r="M249" t="s">
        <v>13</v>
      </c>
      <c r="N249">
        <v>3</v>
      </c>
      <c r="O249" t="s">
        <v>7282</v>
      </c>
      <c r="P249" t="s">
        <v>7281</v>
      </c>
      <c r="Q249" t="s">
        <v>7280</v>
      </c>
      <c r="R249" s="7">
        <v>36130</v>
      </c>
      <c r="S249" s="8">
        <f t="shared" si="24"/>
        <v>1998</v>
      </c>
      <c r="T249" s="8">
        <v>1998</v>
      </c>
      <c r="U249" s="8">
        <f t="shared" si="25"/>
        <v>24</v>
      </c>
      <c r="V249" s="7">
        <v>1998</v>
      </c>
      <c r="W249" t="s">
        <v>649</v>
      </c>
      <c r="X249" s="2">
        <v>1.6519999999999999</v>
      </c>
      <c r="Y249" s="6">
        <f t="shared" si="26"/>
        <v>4.409919649769093E-2</v>
      </c>
      <c r="AA249" t="s">
        <v>648</v>
      </c>
      <c r="AB249">
        <v>17337</v>
      </c>
      <c r="AD249" t="s">
        <v>2</v>
      </c>
      <c r="AE249">
        <v>46</v>
      </c>
      <c r="AF249">
        <v>11</v>
      </c>
      <c r="AH249" t="s">
        <v>7279</v>
      </c>
      <c r="AI249" t="s">
        <v>7278</v>
      </c>
      <c r="AJ249" t="s">
        <v>4850</v>
      </c>
      <c r="AK249" t="s">
        <v>7277</v>
      </c>
      <c r="AL249">
        <v>0</v>
      </c>
      <c r="AM249" s="5">
        <f t="shared" si="27"/>
        <v>0</v>
      </c>
      <c r="AN249" s="4">
        <f t="shared" si="28"/>
        <v>0</v>
      </c>
      <c r="AO249" s="3"/>
      <c r="AP249">
        <v>0</v>
      </c>
      <c r="AR249" t="s">
        <v>1</v>
      </c>
      <c r="AT249" s="2" t="s">
        <v>0</v>
      </c>
      <c r="AU249" s="1">
        <f t="shared" si="29"/>
        <v>3.0869437548383649</v>
      </c>
      <c r="AV249" s="1">
        <f t="shared" si="30"/>
        <v>2.2049598248845466</v>
      </c>
      <c r="AW249" s="1">
        <f t="shared" si="31"/>
        <v>1.3229758949307278</v>
      </c>
    </row>
    <row r="250" spans="1:49" x14ac:dyDescent="0.2">
      <c r="A250">
        <v>248</v>
      </c>
      <c r="B250" t="s">
        <v>7276</v>
      </c>
      <c r="C250" t="s">
        <v>7275</v>
      </c>
      <c r="D250" t="s">
        <v>7274</v>
      </c>
      <c r="F250" t="s">
        <v>7273</v>
      </c>
      <c r="G250" t="s">
        <v>5</v>
      </c>
      <c r="H250" t="s">
        <v>4</v>
      </c>
      <c r="I250" t="s">
        <v>7272</v>
      </c>
      <c r="J250" t="s">
        <v>7271</v>
      </c>
      <c r="K250" t="s">
        <v>7270</v>
      </c>
      <c r="L250" t="s">
        <v>7269</v>
      </c>
      <c r="M250" t="s">
        <v>6</v>
      </c>
      <c r="N250">
        <v>2</v>
      </c>
      <c r="O250" t="s">
        <v>7268</v>
      </c>
      <c r="P250" t="s">
        <v>7267</v>
      </c>
      <c r="Q250" t="s">
        <v>7266</v>
      </c>
      <c r="R250" s="7">
        <v>36130</v>
      </c>
      <c r="S250" s="8">
        <f t="shared" si="24"/>
        <v>1998</v>
      </c>
      <c r="T250" s="8">
        <v>1998</v>
      </c>
      <c r="U250" s="8">
        <f t="shared" si="25"/>
        <v>24</v>
      </c>
      <c r="V250" s="7">
        <v>1998</v>
      </c>
      <c r="W250" t="s">
        <v>649</v>
      </c>
      <c r="X250" s="2">
        <v>1.6519999999999999</v>
      </c>
      <c r="Y250" s="6">
        <f t="shared" si="26"/>
        <v>4.409919649769093E-2</v>
      </c>
      <c r="AA250" t="s">
        <v>648</v>
      </c>
      <c r="AB250">
        <v>17337</v>
      </c>
      <c r="AD250" t="s">
        <v>2</v>
      </c>
      <c r="AE250">
        <v>46</v>
      </c>
      <c r="AF250">
        <v>11</v>
      </c>
      <c r="AH250" t="s">
        <v>7265</v>
      </c>
      <c r="AI250" t="s">
        <v>7264</v>
      </c>
      <c r="AJ250" t="s">
        <v>7263</v>
      </c>
      <c r="AK250" t="s">
        <v>7262</v>
      </c>
      <c r="AL250">
        <v>37</v>
      </c>
      <c r="AM250" s="5">
        <f t="shared" si="27"/>
        <v>1.5416666666666667</v>
      </c>
      <c r="AN250" s="4">
        <f t="shared" si="28"/>
        <v>2.3349741259623882E-3</v>
      </c>
      <c r="AO250" s="3"/>
      <c r="AP250">
        <v>0</v>
      </c>
      <c r="AQ250" t="s">
        <v>17</v>
      </c>
      <c r="AR250" t="s">
        <v>7261</v>
      </c>
      <c r="AS250" t="s">
        <v>16</v>
      </c>
      <c r="AT250" s="2" t="s">
        <v>0</v>
      </c>
      <c r="AU250" s="1">
        <f t="shared" si="29"/>
        <v>3.1569929786172368</v>
      </c>
      <c r="AV250" s="1">
        <f t="shared" si="30"/>
        <v>2.321708531182666</v>
      </c>
      <c r="AW250" s="1">
        <f t="shared" si="31"/>
        <v>1.4864240837480951</v>
      </c>
    </row>
    <row r="251" spans="1:49" x14ac:dyDescent="0.2">
      <c r="A251">
        <v>249</v>
      </c>
      <c r="B251" t="s">
        <v>7260</v>
      </c>
      <c r="C251" t="s">
        <v>7259</v>
      </c>
      <c r="D251" t="s">
        <v>7258</v>
      </c>
      <c r="F251" t="s">
        <v>7257</v>
      </c>
      <c r="G251" t="s">
        <v>5</v>
      </c>
      <c r="H251" t="s">
        <v>4</v>
      </c>
      <c r="I251" t="s">
        <v>7256</v>
      </c>
      <c r="J251">
        <v>60005415</v>
      </c>
      <c r="K251" t="s">
        <v>2858</v>
      </c>
      <c r="L251" t="s">
        <v>2857</v>
      </c>
      <c r="M251" t="s">
        <v>15</v>
      </c>
      <c r="N251">
        <v>3</v>
      </c>
      <c r="O251" t="s">
        <v>7255</v>
      </c>
      <c r="P251" t="s">
        <v>7254</v>
      </c>
      <c r="Q251" t="s">
        <v>7253</v>
      </c>
      <c r="R251" s="7">
        <v>36130</v>
      </c>
      <c r="S251" s="8">
        <f t="shared" si="24"/>
        <v>1998</v>
      </c>
      <c r="T251" s="8">
        <v>1998</v>
      </c>
      <c r="U251" s="8">
        <f t="shared" si="25"/>
        <v>24</v>
      </c>
      <c r="V251" s="7">
        <v>1998</v>
      </c>
      <c r="W251" t="s">
        <v>649</v>
      </c>
      <c r="X251" s="2">
        <v>1.6519999999999999</v>
      </c>
      <c r="Y251" s="6">
        <f t="shared" si="26"/>
        <v>4.409919649769093E-2</v>
      </c>
      <c r="AA251" t="s">
        <v>648</v>
      </c>
      <c r="AB251">
        <v>17337</v>
      </c>
      <c r="AD251" t="s">
        <v>2</v>
      </c>
      <c r="AE251">
        <v>46</v>
      </c>
      <c r="AF251">
        <v>11</v>
      </c>
      <c r="AH251" t="s">
        <v>7252</v>
      </c>
      <c r="AI251" t="s">
        <v>7251</v>
      </c>
      <c r="AJ251" t="s">
        <v>7250</v>
      </c>
      <c r="AK251" t="s">
        <v>7249</v>
      </c>
      <c r="AL251">
        <v>27</v>
      </c>
      <c r="AM251" s="5">
        <f t="shared" si="27"/>
        <v>1.125</v>
      </c>
      <c r="AN251" s="4">
        <f t="shared" si="28"/>
        <v>1.7039000378644452E-3</v>
      </c>
      <c r="AO251" s="3"/>
      <c r="AP251">
        <v>0</v>
      </c>
      <c r="AR251" t="s">
        <v>1</v>
      </c>
      <c r="AT251" s="2" t="s">
        <v>0</v>
      </c>
      <c r="AU251" s="1">
        <f t="shared" si="29"/>
        <v>3.1380607559742986</v>
      </c>
      <c r="AV251" s="1">
        <f t="shared" si="30"/>
        <v>2.2901548267777687</v>
      </c>
      <c r="AW251" s="1">
        <f t="shared" si="31"/>
        <v>1.4422488975812391</v>
      </c>
    </row>
    <row r="252" spans="1:49" x14ac:dyDescent="0.2">
      <c r="A252">
        <v>250</v>
      </c>
      <c r="B252" t="s">
        <v>7248</v>
      </c>
      <c r="C252" t="s">
        <v>7247</v>
      </c>
      <c r="D252" t="s">
        <v>7246</v>
      </c>
      <c r="F252" t="s">
        <v>7245</v>
      </c>
      <c r="G252" t="s">
        <v>5</v>
      </c>
      <c r="H252" t="s">
        <v>4</v>
      </c>
      <c r="I252" t="s">
        <v>24</v>
      </c>
      <c r="J252">
        <v>60028634</v>
      </c>
      <c r="K252" t="s">
        <v>5310</v>
      </c>
      <c r="L252" t="s">
        <v>5309</v>
      </c>
      <c r="M252" t="s">
        <v>36</v>
      </c>
      <c r="N252">
        <v>2</v>
      </c>
      <c r="O252" t="s">
        <v>7244</v>
      </c>
      <c r="P252" t="s">
        <v>23</v>
      </c>
      <c r="Q252" t="s">
        <v>7243</v>
      </c>
      <c r="R252" s="7">
        <v>36130</v>
      </c>
      <c r="S252" s="8">
        <f t="shared" si="24"/>
        <v>1998</v>
      </c>
      <c r="T252" s="8">
        <v>1998</v>
      </c>
      <c r="U252" s="8">
        <f t="shared" si="25"/>
        <v>24</v>
      </c>
      <c r="V252" s="7">
        <v>1998</v>
      </c>
      <c r="W252" t="s">
        <v>303</v>
      </c>
      <c r="X252" s="2">
        <v>1.3720000000000001</v>
      </c>
      <c r="Y252" s="6">
        <f t="shared" si="26"/>
        <v>3.662475641333654E-2</v>
      </c>
      <c r="AA252">
        <v>189480</v>
      </c>
      <c r="AB252">
        <v>17366</v>
      </c>
      <c r="AD252" t="s">
        <v>2</v>
      </c>
      <c r="AE252">
        <v>46</v>
      </c>
      <c r="AF252" t="s">
        <v>7242</v>
      </c>
      <c r="AH252" t="s">
        <v>7241</v>
      </c>
      <c r="AI252" t="s">
        <v>7240</v>
      </c>
      <c r="AJ252" t="s">
        <v>7239</v>
      </c>
      <c r="AK252" t="s">
        <v>7238</v>
      </c>
      <c r="AL252">
        <v>14</v>
      </c>
      <c r="AM252" s="5">
        <f t="shared" si="27"/>
        <v>0.58333333333333337</v>
      </c>
      <c r="AN252" s="4">
        <f t="shared" si="28"/>
        <v>8.835037233371198E-4</v>
      </c>
      <c r="AO252" s="3"/>
      <c r="AP252">
        <v>0</v>
      </c>
      <c r="AQ252" t="s">
        <v>22</v>
      </c>
      <c r="AR252" t="s">
        <v>7237</v>
      </c>
      <c r="AS252" t="s">
        <v>21</v>
      </c>
      <c r="AT252" s="2" t="s">
        <v>0</v>
      </c>
      <c r="AU252" s="1">
        <f t="shared" si="29"/>
        <v>2.5902380606336712</v>
      </c>
      <c r="AV252" s="1">
        <f t="shared" si="30"/>
        <v>1.8754130068336829</v>
      </c>
      <c r="AW252" s="1">
        <f t="shared" si="31"/>
        <v>1.1605879530336947</v>
      </c>
    </row>
    <row r="253" spans="1:49" x14ac:dyDescent="0.2">
      <c r="A253">
        <v>251</v>
      </c>
      <c r="B253" t="s">
        <v>7236</v>
      </c>
      <c r="C253" t="s">
        <v>7235</v>
      </c>
      <c r="D253" t="s">
        <v>7234</v>
      </c>
      <c r="F253" t="s">
        <v>7233</v>
      </c>
      <c r="G253" t="s">
        <v>5</v>
      </c>
      <c r="H253" t="s">
        <v>4</v>
      </c>
      <c r="I253" t="s">
        <v>7232</v>
      </c>
      <c r="J253" t="s">
        <v>7231</v>
      </c>
      <c r="K253" t="s">
        <v>7230</v>
      </c>
      <c r="L253" t="s">
        <v>7229</v>
      </c>
      <c r="M253" t="s">
        <v>4500</v>
      </c>
      <c r="N253">
        <v>3</v>
      </c>
      <c r="O253" t="s">
        <v>7228</v>
      </c>
      <c r="P253" t="s">
        <v>7227</v>
      </c>
      <c r="Q253" t="s">
        <v>7226</v>
      </c>
      <c r="R253" s="7">
        <v>36130</v>
      </c>
      <c r="S253" s="8">
        <f t="shared" si="24"/>
        <v>1998</v>
      </c>
      <c r="T253" s="8">
        <v>1998</v>
      </c>
      <c r="U253" s="8">
        <f t="shared" si="25"/>
        <v>24</v>
      </c>
      <c r="V253" s="7">
        <v>1998</v>
      </c>
      <c r="W253" t="s">
        <v>282</v>
      </c>
      <c r="X253" s="2">
        <v>0.65500000000000003</v>
      </c>
      <c r="Y253" s="6">
        <f t="shared" si="26"/>
        <v>1.7484850911614749E-2</v>
      </c>
      <c r="AA253">
        <v>189375</v>
      </c>
      <c r="AB253">
        <v>26051</v>
      </c>
      <c r="AD253" t="s">
        <v>2</v>
      </c>
      <c r="AE253">
        <v>40</v>
      </c>
      <c r="AF253" t="s">
        <v>6277</v>
      </c>
      <c r="AH253" t="s">
        <v>7225</v>
      </c>
      <c r="AI253" t="s">
        <v>7224</v>
      </c>
      <c r="AJ253" t="s">
        <v>7223</v>
      </c>
      <c r="AK253" t="s">
        <v>7222</v>
      </c>
      <c r="AL253">
        <v>20</v>
      </c>
      <c r="AM253" s="5">
        <f t="shared" si="27"/>
        <v>0.83333333333333337</v>
      </c>
      <c r="AN253" s="4">
        <f t="shared" si="28"/>
        <v>1.2621481761958854E-3</v>
      </c>
      <c r="AO253" s="3"/>
      <c r="AP253">
        <v>0</v>
      </c>
      <c r="AR253" t="s">
        <v>1</v>
      </c>
      <c r="AT253" s="2" t="s">
        <v>0</v>
      </c>
      <c r="AU253" s="1">
        <f t="shared" si="29"/>
        <v>1.2618040090989089</v>
      </c>
      <c r="AV253" s="1">
        <f t="shared" si="30"/>
        <v>0.9373499543905317</v>
      </c>
      <c r="AW253" s="1">
        <f t="shared" si="31"/>
        <v>0.61289589968215441</v>
      </c>
    </row>
    <row r="254" spans="1:49" x14ac:dyDescent="0.2">
      <c r="A254">
        <v>252</v>
      </c>
      <c r="B254" t="s">
        <v>7221</v>
      </c>
      <c r="C254" t="s">
        <v>7220</v>
      </c>
      <c r="D254" t="s">
        <v>7219</v>
      </c>
      <c r="F254" t="s">
        <v>7218</v>
      </c>
      <c r="G254" t="s">
        <v>5</v>
      </c>
      <c r="H254" t="s">
        <v>4</v>
      </c>
      <c r="I254" t="s">
        <v>7217</v>
      </c>
      <c r="J254">
        <v>60069912</v>
      </c>
      <c r="K254" t="s">
        <v>7216</v>
      </c>
      <c r="L254" t="s">
        <v>4089</v>
      </c>
      <c r="M254" t="s">
        <v>263</v>
      </c>
      <c r="N254">
        <v>2</v>
      </c>
      <c r="O254" t="s">
        <v>7215</v>
      </c>
      <c r="P254" t="s">
        <v>7214</v>
      </c>
      <c r="Q254" t="s">
        <v>7213</v>
      </c>
      <c r="R254" s="7">
        <v>36130</v>
      </c>
      <c r="S254" s="8">
        <f t="shared" si="24"/>
        <v>1998</v>
      </c>
      <c r="T254" s="8">
        <v>1998</v>
      </c>
      <c r="U254" s="8">
        <f t="shared" si="25"/>
        <v>24</v>
      </c>
      <c r="V254" s="7">
        <v>1998</v>
      </c>
      <c r="W254" t="s">
        <v>282</v>
      </c>
      <c r="X254" s="2">
        <v>0.65500000000000003</v>
      </c>
      <c r="Y254" s="6">
        <f t="shared" si="26"/>
        <v>1.7484850911614749E-2</v>
      </c>
      <c r="AA254">
        <v>189375</v>
      </c>
      <c r="AB254">
        <v>26051</v>
      </c>
      <c r="AD254" t="s">
        <v>2</v>
      </c>
      <c r="AE254">
        <v>40</v>
      </c>
      <c r="AF254" t="s">
        <v>6318</v>
      </c>
      <c r="AH254" t="s">
        <v>7212</v>
      </c>
      <c r="AI254" t="s">
        <v>7211</v>
      </c>
      <c r="AJ254" t="s">
        <v>7210</v>
      </c>
      <c r="AK254" t="s">
        <v>7209</v>
      </c>
      <c r="AL254">
        <v>2</v>
      </c>
      <c r="AM254" s="5">
        <f t="shared" si="27"/>
        <v>8.3333333333333329E-2</v>
      </c>
      <c r="AN254" s="4">
        <f t="shared" si="28"/>
        <v>1.2621481761958852E-4</v>
      </c>
      <c r="AO254" s="3"/>
      <c r="AP254">
        <v>0</v>
      </c>
      <c r="AR254" t="s">
        <v>1</v>
      </c>
      <c r="AT254" s="2" t="s">
        <v>0</v>
      </c>
      <c r="AU254" s="1">
        <f t="shared" si="29"/>
        <v>1.2277260083416199</v>
      </c>
      <c r="AV254" s="1">
        <f t="shared" si="30"/>
        <v>0.88055328646171693</v>
      </c>
      <c r="AW254" s="1">
        <f t="shared" si="31"/>
        <v>0.5333805645818136</v>
      </c>
    </row>
    <row r="255" spans="1:49" x14ac:dyDescent="0.2">
      <c r="A255">
        <v>253</v>
      </c>
      <c r="B255" t="s">
        <v>7208</v>
      </c>
      <c r="C255" t="s">
        <v>7207</v>
      </c>
      <c r="D255" t="s">
        <v>7206</v>
      </c>
      <c r="F255" t="s">
        <v>7205</v>
      </c>
      <c r="G255" t="s">
        <v>5</v>
      </c>
      <c r="H255" t="s">
        <v>4</v>
      </c>
      <c r="I255" t="s">
        <v>248</v>
      </c>
      <c r="J255">
        <v>60070264</v>
      </c>
      <c r="K255" t="s">
        <v>247</v>
      </c>
      <c r="L255" t="s">
        <v>246</v>
      </c>
      <c r="M255" t="s">
        <v>65</v>
      </c>
      <c r="N255">
        <v>1</v>
      </c>
      <c r="O255" t="s">
        <v>7204</v>
      </c>
      <c r="P255">
        <v>6701834327</v>
      </c>
      <c r="Q255">
        <v>60070264</v>
      </c>
      <c r="R255" s="7">
        <v>36130</v>
      </c>
      <c r="S255" s="8">
        <f t="shared" si="24"/>
        <v>1998</v>
      </c>
      <c r="T255" s="8">
        <v>1998</v>
      </c>
      <c r="U255" s="8">
        <f t="shared" si="25"/>
        <v>24</v>
      </c>
      <c r="V255" s="7">
        <v>1998</v>
      </c>
      <c r="W255" t="s">
        <v>282</v>
      </c>
      <c r="X255" s="2">
        <v>0.65500000000000003</v>
      </c>
      <c r="Y255" s="6">
        <f t="shared" si="26"/>
        <v>1.7484850911614749E-2</v>
      </c>
      <c r="AA255">
        <v>189375</v>
      </c>
      <c r="AB255">
        <v>26051</v>
      </c>
      <c r="AD255" t="s">
        <v>2</v>
      </c>
      <c r="AE255">
        <v>40</v>
      </c>
      <c r="AF255" t="s">
        <v>6277</v>
      </c>
      <c r="AH255" t="s">
        <v>254</v>
      </c>
      <c r="AI255" t="s">
        <v>7203</v>
      </c>
      <c r="AJ255" t="s">
        <v>7202</v>
      </c>
      <c r="AK255" t="s">
        <v>7201</v>
      </c>
      <c r="AL255">
        <v>11</v>
      </c>
      <c r="AM255" s="5">
        <f t="shared" si="27"/>
        <v>0.45833333333333331</v>
      </c>
      <c r="AN255" s="4">
        <f t="shared" si="28"/>
        <v>6.9418149690773695E-4</v>
      </c>
      <c r="AO255" s="3"/>
      <c r="AP255">
        <v>0</v>
      </c>
      <c r="AR255" t="s">
        <v>1</v>
      </c>
      <c r="AT255" s="2" t="s">
        <v>0</v>
      </c>
      <c r="AU255" s="1">
        <f t="shared" si="29"/>
        <v>1.2447650087202644</v>
      </c>
      <c r="AV255" s="1">
        <f t="shared" si="30"/>
        <v>0.90895162042612421</v>
      </c>
      <c r="AW255" s="1">
        <f t="shared" si="31"/>
        <v>0.57313823213198412</v>
      </c>
    </row>
    <row r="256" spans="1:49" x14ac:dyDescent="0.2">
      <c r="A256">
        <v>254</v>
      </c>
      <c r="B256" t="s">
        <v>7200</v>
      </c>
      <c r="C256" t="s">
        <v>7199</v>
      </c>
      <c r="D256" t="s">
        <v>7198</v>
      </c>
      <c r="F256" t="s">
        <v>7197</v>
      </c>
      <c r="G256" t="s">
        <v>5</v>
      </c>
      <c r="H256" t="s">
        <v>4</v>
      </c>
      <c r="I256" t="s">
        <v>7196</v>
      </c>
      <c r="J256" t="s">
        <v>7195</v>
      </c>
      <c r="K256" t="s">
        <v>7194</v>
      </c>
      <c r="L256" t="s">
        <v>7193</v>
      </c>
      <c r="M256" t="s">
        <v>66</v>
      </c>
      <c r="N256">
        <v>1</v>
      </c>
      <c r="O256" t="s">
        <v>7192</v>
      </c>
      <c r="P256">
        <v>7005447453</v>
      </c>
      <c r="Q256" t="s">
        <v>7191</v>
      </c>
      <c r="R256" s="7">
        <v>36130</v>
      </c>
      <c r="S256" s="8">
        <f t="shared" si="24"/>
        <v>1998</v>
      </c>
      <c r="T256" s="8">
        <v>1998</v>
      </c>
      <c r="U256" s="8">
        <f t="shared" si="25"/>
        <v>24</v>
      </c>
      <c r="V256" s="7">
        <v>1998</v>
      </c>
      <c r="W256" t="s">
        <v>5073</v>
      </c>
      <c r="X256" s="2">
        <v>1.218</v>
      </c>
      <c r="Y256" s="6">
        <f t="shared" si="26"/>
        <v>3.2513814366941618E-2</v>
      </c>
      <c r="AA256">
        <v>189448</v>
      </c>
      <c r="AB256">
        <v>15107</v>
      </c>
      <c r="AD256" t="s">
        <v>2</v>
      </c>
      <c r="AE256">
        <v>44</v>
      </c>
      <c r="AF256">
        <v>7</v>
      </c>
      <c r="AH256" t="s">
        <v>7190</v>
      </c>
      <c r="AI256" t="s">
        <v>7189</v>
      </c>
      <c r="AJ256" t="s">
        <v>7188</v>
      </c>
      <c r="AK256" t="s">
        <v>7187</v>
      </c>
      <c r="AL256">
        <v>35</v>
      </c>
      <c r="AM256" s="5">
        <f t="shared" si="27"/>
        <v>1.4583333333333333</v>
      </c>
      <c r="AN256" s="4">
        <f t="shared" si="28"/>
        <v>2.2087593083427995E-3</v>
      </c>
      <c r="AO256" s="3"/>
      <c r="AP256">
        <v>0</v>
      </c>
      <c r="AR256" t="s">
        <v>1</v>
      </c>
      <c r="AS256" t="s">
        <v>478</v>
      </c>
      <c r="AT256" s="2" t="s">
        <v>0</v>
      </c>
      <c r="AU256" s="1">
        <f t="shared" si="29"/>
        <v>2.342229784936197</v>
      </c>
      <c r="AV256" s="1">
        <f t="shared" si="30"/>
        <v>1.7361286837642209</v>
      </c>
      <c r="AW256" s="1">
        <f t="shared" si="31"/>
        <v>1.1300275825922446</v>
      </c>
    </row>
    <row r="257" spans="1:49" x14ac:dyDescent="0.2">
      <c r="A257">
        <v>255</v>
      </c>
      <c r="B257" t="s">
        <v>7186</v>
      </c>
      <c r="C257" t="s">
        <v>7185</v>
      </c>
      <c r="D257" t="s">
        <v>7184</v>
      </c>
      <c r="F257" t="s">
        <v>7183</v>
      </c>
      <c r="G257" t="s">
        <v>5</v>
      </c>
      <c r="H257" t="s">
        <v>4</v>
      </c>
      <c r="I257" t="s">
        <v>7182</v>
      </c>
      <c r="J257" t="s">
        <v>7181</v>
      </c>
      <c r="K257" t="s">
        <v>7180</v>
      </c>
      <c r="L257" t="s">
        <v>7179</v>
      </c>
      <c r="M257" t="s">
        <v>101</v>
      </c>
      <c r="N257">
        <v>2</v>
      </c>
      <c r="O257" t="s">
        <v>7178</v>
      </c>
      <c r="P257" t="s">
        <v>7177</v>
      </c>
      <c r="Q257" t="s">
        <v>7176</v>
      </c>
      <c r="R257" s="7">
        <v>36130</v>
      </c>
      <c r="S257" s="8">
        <f t="shared" si="24"/>
        <v>1998</v>
      </c>
      <c r="T257" s="8">
        <v>1998</v>
      </c>
      <c r="U257" s="8">
        <f t="shared" si="25"/>
        <v>24</v>
      </c>
      <c r="V257" s="7">
        <v>1998</v>
      </c>
      <c r="W257" t="s">
        <v>649</v>
      </c>
      <c r="X257" s="2">
        <v>1.6519999999999999</v>
      </c>
      <c r="Y257" s="6">
        <f t="shared" si="26"/>
        <v>4.409919649769093E-2</v>
      </c>
      <c r="AA257" t="s">
        <v>648</v>
      </c>
      <c r="AB257">
        <v>17337</v>
      </c>
      <c r="AD257" t="s">
        <v>2</v>
      </c>
      <c r="AE257">
        <v>46</v>
      </c>
      <c r="AF257">
        <v>10</v>
      </c>
      <c r="AH257" t="s">
        <v>4200</v>
      </c>
      <c r="AI257" t="s">
        <v>7175</v>
      </c>
      <c r="AJ257" t="s">
        <v>7174</v>
      </c>
      <c r="AK257" t="s">
        <v>7173</v>
      </c>
      <c r="AL257">
        <v>64</v>
      </c>
      <c r="AM257" s="5">
        <f t="shared" si="27"/>
        <v>2.6666666666666665</v>
      </c>
      <c r="AN257" s="4">
        <f t="shared" si="28"/>
        <v>4.0388741638268328E-3</v>
      </c>
      <c r="AO257" s="3"/>
      <c r="AP257">
        <v>0</v>
      </c>
      <c r="AQ257" t="s">
        <v>380</v>
      </c>
      <c r="AR257" t="s">
        <v>7172</v>
      </c>
      <c r="AS257" t="s">
        <v>379</v>
      </c>
      <c r="AT257" s="2" t="s">
        <v>0</v>
      </c>
      <c r="AU257" s="1">
        <f t="shared" si="29"/>
        <v>3.20810997975317</v>
      </c>
      <c r="AV257" s="1">
        <f t="shared" si="30"/>
        <v>2.4069035330758881</v>
      </c>
      <c r="AW257" s="1">
        <f t="shared" si="31"/>
        <v>1.605697086398606</v>
      </c>
    </row>
    <row r="258" spans="1:49" x14ac:dyDescent="0.2">
      <c r="A258">
        <v>256</v>
      </c>
      <c r="B258" t="s">
        <v>7171</v>
      </c>
      <c r="C258" t="s">
        <v>7170</v>
      </c>
      <c r="D258" t="s">
        <v>7169</v>
      </c>
      <c r="F258" t="s">
        <v>7168</v>
      </c>
      <c r="G258" t="s">
        <v>5</v>
      </c>
      <c r="H258" t="s">
        <v>4</v>
      </c>
      <c r="I258" t="s">
        <v>274</v>
      </c>
      <c r="J258" t="s">
        <v>459</v>
      </c>
      <c r="K258" t="s">
        <v>458</v>
      </c>
      <c r="L258" t="s">
        <v>457</v>
      </c>
      <c r="M258" t="s">
        <v>6</v>
      </c>
      <c r="N258">
        <v>3</v>
      </c>
      <c r="O258" t="s">
        <v>7167</v>
      </c>
      <c r="P258" t="s">
        <v>7166</v>
      </c>
      <c r="Q258" t="s">
        <v>7165</v>
      </c>
      <c r="R258" s="7">
        <v>36130</v>
      </c>
      <c r="S258" s="8">
        <f t="shared" ref="S258:S321" si="32">YEAR(R258)</f>
        <v>1998</v>
      </c>
      <c r="T258" s="8">
        <v>1998</v>
      </c>
      <c r="U258" s="8">
        <f t="shared" ref="U258:U321" si="33">2022-T258</f>
        <v>24</v>
      </c>
      <c r="V258" s="7">
        <v>1998</v>
      </c>
      <c r="W258" t="s">
        <v>649</v>
      </c>
      <c r="X258" s="2">
        <v>1.6519999999999999</v>
      </c>
      <c r="Y258" s="6">
        <f t="shared" ref="Y258:Y321" si="34">(X258-$Z$3)/($Z$2-$Z$3)</f>
        <v>4.409919649769093E-2</v>
      </c>
      <c r="AA258" t="s">
        <v>648</v>
      </c>
      <c r="AB258">
        <v>17337</v>
      </c>
      <c r="AD258" t="s">
        <v>2</v>
      </c>
      <c r="AE258">
        <v>46</v>
      </c>
      <c r="AF258">
        <v>10</v>
      </c>
      <c r="AH258" t="s">
        <v>7164</v>
      </c>
      <c r="AI258" t="s">
        <v>7163</v>
      </c>
      <c r="AJ258" t="s">
        <v>7162</v>
      </c>
      <c r="AK258" t="s">
        <v>7161</v>
      </c>
      <c r="AL258">
        <v>105</v>
      </c>
      <c r="AM258" s="5">
        <f t="shared" ref="AM258:AM321" si="35">AL258/U258</f>
        <v>4.375</v>
      </c>
      <c r="AN258" s="4">
        <f t="shared" ref="AN258:AN321" si="36">(AM258-$AO$3)/($AO$2-$AO$3)</f>
        <v>6.6262779250283984E-3</v>
      </c>
      <c r="AO258" s="3"/>
      <c r="AP258">
        <v>0</v>
      </c>
      <c r="AQ258" t="s">
        <v>17</v>
      </c>
      <c r="AR258" t="s">
        <v>7160</v>
      </c>
      <c r="AS258" t="s">
        <v>16</v>
      </c>
      <c r="AT258" s="2" t="s">
        <v>0</v>
      </c>
      <c r="AU258" s="1">
        <f t="shared" ref="AU258:AU321" si="37">(Y258*0.7+AN258*0.3)*100</f>
        <v>3.2857320925892171</v>
      </c>
      <c r="AV258" s="1">
        <f t="shared" ref="AV258:AV321" si="38">(Y258*0.5+AN258*0.5)*100</f>
        <v>2.5362737211359665</v>
      </c>
      <c r="AW258" s="1">
        <f t="shared" ref="AW258:AW321" si="39">(Y258*0.3+AN258*0.7)*100</f>
        <v>1.7868153496827157</v>
      </c>
    </row>
    <row r="259" spans="1:49" x14ac:dyDescent="0.2">
      <c r="A259">
        <v>257</v>
      </c>
      <c r="B259" t="s">
        <v>7159</v>
      </c>
      <c r="C259" t="s">
        <v>7158</v>
      </c>
      <c r="D259" t="s">
        <v>7157</v>
      </c>
      <c r="F259" t="s">
        <v>7156</v>
      </c>
      <c r="G259" t="s">
        <v>5</v>
      </c>
      <c r="H259" t="s">
        <v>4</v>
      </c>
      <c r="I259" t="s">
        <v>7155</v>
      </c>
      <c r="J259" t="s">
        <v>7154</v>
      </c>
      <c r="K259" t="s">
        <v>7153</v>
      </c>
      <c r="L259" t="s">
        <v>7152</v>
      </c>
      <c r="M259" t="s">
        <v>315</v>
      </c>
      <c r="N259">
        <v>4</v>
      </c>
      <c r="O259" t="s">
        <v>7151</v>
      </c>
      <c r="P259" t="s">
        <v>7150</v>
      </c>
      <c r="Q259" t="s">
        <v>7149</v>
      </c>
      <c r="R259" s="7">
        <v>36130</v>
      </c>
      <c r="S259" s="8">
        <f t="shared" si="32"/>
        <v>1998</v>
      </c>
      <c r="T259" s="8">
        <v>1998</v>
      </c>
      <c r="U259" s="8">
        <f t="shared" si="33"/>
        <v>24</v>
      </c>
      <c r="V259" s="7">
        <v>1998</v>
      </c>
      <c r="W259" t="s">
        <v>649</v>
      </c>
      <c r="X259" s="2">
        <v>1.6519999999999999</v>
      </c>
      <c r="Y259" s="6">
        <f t="shared" si="34"/>
        <v>4.409919649769093E-2</v>
      </c>
      <c r="AA259" t="s">
        <v>648</v>
      </c>
      <c r="AB259">
        <v>17337</v>
      </c>
      <c r="AD259" t="s">
        <v>2</v>
      </c>
      <c r="AE259">
        <v>46</v>
      </c>
      <c r="AF259">
        <v>10</v>
      </c>
      <c r="AH259" t="s">
        <v>7148</v>
      </c>
      <c r="AI259" t="s">
        <v>7147</v>
      </c>
      <c r="AJ259" t="s">
        <v>7146</v>
      </c>
      <c r="AK259" t="s">
        <v>7145</v>
      </c>
      <c r="AL259">
        <v>2</v>
      </c>
      <c r="AM259" s="5">
        <f t="shared" si="35"/>
        <v>8.3333333333333329E-2</v>
      </c>
      <c r="AN259" s="4">
        <f t="shared" si="36"/>
        <v>1.2621481761958852E-4</v>
      </c>
      <c r="AO259" s="3"/>
      <c r="AP259">
        <v>0</v>
      </c>
      <c r="AR259" t="s">
        <v>1</v>
      </c>
      <c r="AT259" s="2" t="s">
        <v>0</v>
      </c>
      <c r="AU259" s="1">
        <f t="shared" si="37"/>
        <v>3.0907301993669525</v>
      </c>
      <c r="AV259" s="1">
        <f t="shared" si="38"/>
        <v>2.2112705657655258</v>
      </c>
      <c r="AW259" s="1">
        <f t="shared" si="39"/>
        <v>1.331810932164099</v>
      </c>
    </row>
    <row r="260" spans="1:49" x14ac:dyDescent="0.2">
      <c r="A260">
        <v>258</v>
      </c>
      <c r="B260" t="s">
        <v>7144</v>
      </c>
      <c r="C260" t="s">
        <v>7143</v>
      </c>
      <c r="D260" t="s">
        <v>7142</v>
      </c>
      <c r="F260" t="s">
        <v>7141</v>
      </c>
      <c r="G260" t="s">
        <v>5</v>
      </c>
      <c r="H260" t="s">
        <v>4</v>
      </c>
      <c r="I260" t="s">
        <v>7140</v>
      </c>
      <c r="J260" t="s">
        <v>7139</v>
      </c>
      <c r="K260" t="s">
        <v>7138</v>
      </c>
      <c r="L260" t="s">
        <v>7137</v>
      </c>
      <c r="M260" t="s">
        <v>7136</v>
      </c>
      <c r="N260">
        <v>3</v>
      </c>
      <c r="O260" t="s">
        <v>7135</v>
      </c>
      <c r="P260" t="s">
        <v>7134</v>
      </c>
      <c r="Q260" t="s">
        <v>7133</v>
      </c>
      <c r="R260" s="7">
        <v>36130</v>
      </c>
      <c r="S260" s="8">
        <f t="shared" si="32"/>
        <v>1998</v>
      </c>
      <c r="T260" s="8">
        <v>1998</v>
      </c>
      <c r="U260" s="8">
        <f t="shared" si="33"/>
        <v>24</v>
      </c>
      <c r="V260" s="7">
        <v>1998</v>
      </c>
      <c r="W260" t="s">
        <v>649</v>
      </c>
      <c r="X260" s="2">
        <v>1.6519999999999999</v>
      </c>
      <c r="Y260" s="6">
        <f t="shared" si="34"/>
        <v>4.409919649769093E-2</v>
      </c>
      <c r="AA260" t="s">
        <v>648</v>
      </c>
      <c r="AB260">
        <v>17337</v>
      </c>
      <c r="AD260" t="s">
        <v>2</v>
      </c>
      <c r="AE260">
        <v>46</v>
      </c>
      <c r="AF260">
        <v>10</v>
      </c>
      <c r="AH260" t="s">
        <v>7132</v>
      </c>
      <c r="AI260" t="s">
        <v>7131</v>
      </c>
      <c r="AJ260" t="s">
        <v>7130</v>
      </c>
      <c r="AK260" t="s">
        <v>7129</v>
      </c>
      <c r="AL260">
        <v>7</v>
      </c>
      <c r="AM260" s="5">
        <f t="shared" si="35"/>
        <v>0.29166666666666669</v>
      </c>
      <c r="AN260" s="4">
        <f t="shared" si="36"/>
        <v>4.417518616685599E-4</v>
      </c>
      <c r="AO260" s="3"/>
      <c r="AP260">
        <v>0</v>
      </c>
      <c r="AQ260" t="s">
        <v>7128</v>
      </c>
      <c r="AR260">
        <v>16040</v>
      </c>
      <c r="AS260" t="s">
        <v>7127</v>
      </c>
      <c r="AT260" s="2" t="s">
        <v>0</v>
      </c>
      <c r="AU260" s="1">
        <f t="shared" si="37"/>
        <v>3.1001963106884216</v>
      </c>
      <c r="AV260" s="1">
        <f t="shared" si="38"/>
        <v>2.2270474179679747</v>
      </c>
      <c r="AW260" s="1">
        <f t="shared" si="39"/>
        <v>1.3538985252475271</v>
      </c>
    </row>
    <row r="261" spans="1:49" x14ac:dyDescent="0.2">
      <c r="A261">
        <v>259</v>
      </c>
      <c r="B261" t="s">
        <v>7126</v>
      </c>
      <c r="C261" t="s">
        <v>7125</v>
      </c>
      <c r="D261" t="s">
        <v>7124</v>
      </c>
      <c r="F261" t="s">
        <v>7123</v>
      </c>
      <c r="G261" t="s">
        <v>5</v>
      </c>
      <c r="H261" t="s">
        <v>4</v>
      </c>
      <c r="I261" t="s">
        <v>745</v>
      </c>
      <c r="J261" t="s">
        <v>7122</v>
      </c>
      <c r="K261" t="s">
        <v>7121</v>
      </c>
      <c r="L261" t="s">
        <v>7120</v>
      </c>
      <c r="M261" t="s">
        <v>7119</v>
      </c>
      <c r="N261">
        <v>3</v>
      </c>
      <c r="O261" t="s">
        <v>7118</v>
      </c>
      <c r="P261" t="s">
        <v>7117</v>
      </c>
      <c r="Q261" t="s">
        <v>7116</v>
      </c>
      <c r="R261" s="7">
        <v>36130</v>
      </c>
      <c r="S261" s="8">
        <f t="shared" si="32"/>
        <v>1998</v>
      </c>
      <c r="T261" s="8">
        <v>1998</v>
      </c>
      <c r="U261" s="8">
        <f t="shared" si="33"/>
        <v>24</v>
      </c>
      <c r="V261" s="7">
        <v>1998</v>
      </c>
      <c r="W261" t="s">
        <v>649</v>
      </c>
      <c r="X261" s="2">
        <v>1.6519999999999999</v>
      </c>
      <c r="Y261" s="6">
        <f t="shared" si="34"/>
        <v>4.409919649769093E-2</v>
      </c>
      <c r="AA261" t="s">
        <v>648</v>
      </c>
      <c r="AB261">
        <v>17337</v>
      </c>
      <c r="AD261" t="s">
        <v>2</v>
      </c>
      <c r="AE261">
        <v>46</v>
      </c>
      <c r="AF261">
        <v>10</v>
      </c>
      <c r="AH261" t="s">
        <v>7115</v>
      </c>
      <c r="AI261" t="s">
        <v>7114</v>
      </c>
      <c r="AJ261" t="s">
        <v>5771</v>
      </c>
      <c r="AK261" t="s">
        <v>7113</v>
      </c>
      <c r="AL261">
        <v>52</v>
      </c>
      <c r="AM261" s="5">
        <f t="shared" si="35"/>
        <v>2.1666666666666665</v>
      </c>
      <c r="AN261" s="4">
        <f t="shared" si="36"/>
        <v>3.2815852581093018E-3</v>
      </c>
      <c r="AO261" s="3"/>
      <c r="AP261">
        <v>0</v>
      </c>
      <c r="AQ261" t="s">
        <v>259</v>
      </c>
      <c r="AR261" t="s">
        <v>7112</v>
      </c>
      <c r="AS261" t="s">
        <v>258</v>
      </c>
      <c r="AT261" s="2" t="s">
        <v>0</v>
      </c>
      <c r="AU261" s="1">
        <f t="shared" si="37"/>
        <v>3.1853913125816438</v>
      </c>
      <c r="AV261" s="1">
        <f t="shared" si="38"/>
        <v>2.3690390877900116</v>
      </c>
      <c r="AW261" s="1">
        <f t="shared" si="39"/>
        <v>1.552686862998379</v>
      </c>
    </row>
    <row r="262" spans="1:49" x14ac:dyDescent="0.2">
      <c r="A262">
        <v>260</v>
      </c>
      <c r="B262" t="s">
        <v>7111</v>
      </c>
      <c r="C262" t="s">
        <v>7110</v>
      </c>
      <c r="D262" t="s">
        <v>7109</v>
      </c>
      <c r="F262" t="s">
        <v>7108</v>
      </c>
      <c r="G262" t="s">
        <v>5</v>
      </c>
      <c r="H262" t="s">
        <v>4</v>
      </c>
      <c r="I262" t="s">
        <v>544</v>
      </c>
      <c r="J262" t="s">
        <v>7107</v>
      </c>
      <c r="K262" t="s">
        <v>7106</v>
      </c>
      <c r="L262" t="s">
        <v>7105</v>
      </c>
      <c r="M262" t="s">
        <v>7104</v>
      </c>
      <c r="N262">
        <v>2</v>
      </c>
      <c r="O262" t="s">
        <v>7103</v>
      </c>
      <c r="P262" t="s">
        <v>7102</v>
      </c>
      <c r="Q262" t="s">
        <v>7101</v>
      </c>
      <c r="R262" s="7">
        <v>36130</v>
      </c>
      <c r="S262" s="8">
        <f t="shared" si="32"/>
        <v>1998</v>
      </c>
      <c r="T262" s="8">
        <v>1998</v>
      </c>
      <c r="U262" s="8">
        <f t="shared" si="33"/>
        <v>24</v>
      </c>
      <c r="V262" s="7">
        <v>1998</v>
      </c>
      <c r="W262" t="s">
        <v>649</v>
      </c>
      <c r="X262" s="2">
        <v>1.6519999999999999</v>
      </c>
      <c r="Y262" s="6">
        <f t="shared" si="34"/>
        <v>4.409919649769093E-2</v>
      </c>
      <c r="AA262" t="s">
        <v>648</v>
      </c>
      <c r="AB262">
        <v>17337</v>
      </c>
      <c r="AD262" t="s">
        <v>2</v>
      </c>
      <c r="AE262">
        <v>46</v>
      </c>
      <c r="AF262">
        <v>10</v>
      </c>
      <c r="AH262" t="s">
        <v>7100</v>
      </c>
      <c r="AI262" t="s">
        <v>7099</v>
      </c>
      <c r="AJ262" t="s">
        <v>7098</v>
      </c>
      <c r="AK262" t="s">
        <v>7097</v>
      </c>
      <c r="AL262">
        <v>0</v>
      </c>
      <c r="AM262" s="5">
        <f t="shared" si="35"/>
        <v>0</v>
      </c>
      <c r="AN262" s="4">
        <f t="shared" si="36"/>
        <v>0</v>
      </c>
      <c r="AO262" s="3"/>
      <c r="AP262">
        <v>0</v>
      </c>
      <c r="AR262" t="s">
        <v>7096</v>
      </c>
      <c r="AT262" s="2" t="s">
        <v>0</v>
      </c>
      <c r="AU262" s="1">
        <f t="shared" si="37"/>
        <v>3.0869437548383649</v>
      </c>
      <c r="AV262" s="1">
        <f t="shared" si="38"/>
        <v>2.2049598248845466</v>
      </c>
      <c r="AW262" s="1">
        <f t="shared" si="39"/>
        <v>1.3229758949307278</v>
      </c>
    </row>
    <row r="263" spans="1:49" x14ac:dyDescent="0.2">
      <c r="A263">
        <v>261</v>
      </c>
      <c r="B263" t="s">
        <v>7095</v>
      </c>
      <c r="C263" t="s">
        <v>7094</v>
      </c>
      <c r="D263" t="s">
        <v>7093</v>
      </c>
      <c r="F263" t="s">
        <v>7092</v>
      </c>
      <c r="G263" t="s">
        <v>5</v>
      </c>
      <c r="H263" t="s">
        <v>4</v>
      </c>
      <c r="I263" t="s">
        <v>7091</v>
      </c>
      <c r="J263" t="s">
        <v>7090</v>
      </c>
      <c r="K263" t="s">
        <v>7089</v>
      </c>
      <c r="L263" t="s">
        <v>7088</v>
      </c>
      <c r="M263" t="s">
        <v>6</v>
      </c>
      <c r="N263">
        <v>1</v>
      </c>
      <c r="O263" t="s">
        <v>7087</v>
      </c>
      <c r="P263">
        <v>7004961387</v>
      </c>
      <c r="Q263" t="s">
        <v>7086</v>
      </c>
      <c r="R263" s="7">
        <v>36130</v>
      </c>
      <c r="S263" s="8">
        <f t="shared" si="32"/>
        <v>1998</v>
      </c>
      <c r="T263" s="8">
        <v>1998</v>
      </c>
      <c r="U263" s="8">
        <f t="shared" si="33"/>
        <v>24</v>
      </c>
      <c r="V263" s="7">
        <v>1998</v>
      </c>
      <c r="W263" t="s">
        <v>649</v>
      </c>
      <c r="X263" s="2">
        <v>1.6519999999999999</v>
      </c>
      <c r="Y263" s="6">
        <f t="shared" si="34"/>
        <v>4.409919649769093E-2</v>
      </c>
      <c r="AA263" t="s">
        <v>648</v>
      </c>
      <c r="AB263">
        <v>17337</v>
      </c>
      <c r="AD263" t="s">
        <v>2</v>
      </c>
      <c r="AE263">
        <v>46</v>
      </c>
      <c r="AF263">
        <v>10</v>
      </c>
      <c r="AH263" t="s">
        <v>7085</v>
      </c>
      <c r="AI263" t="s">
        <v>7084</v>
      </c>
      <c r="AJ263" t="s">
        <v>7083</v>
      </c>
      <c r="AK263" t="s">
        <v>7082</v>
      </c>
      <c r="AL263">
        <v>224</v>
      </c>
      <c r="AM263" s="5">
        <f t="shared" si="35"/>
        <v>9.3333333333333339</v>
      </c>
      <c r="AN263" s="4">
        <f t="shared" si="36"/>
        <v>1.4136059573393917E-2</v>
      </c>
      <c r="AO263" s="3"/>
      <c r="AP263">
        <v>0</v>
      </c>
      <c r="AQ263" t="s">
        <v>178</v>
      </c>
      <c r="AR263" t="s">
        <v>7081</v>
      </c>
      <c r="AS263" t="s">
        <v>177</v>
      </c>
      <c r="AT263" s="2" t="s">
        <v>0</v>
      </c>
      <c r="AU263" s="1">
        <f t="shared" si="37"/>
        <v>3.5110255420401826</v>
      </c>
      <c r="AV263" s="1">
        <f t="shared" si="38"/>
        <v>2.9117628035542422</v>
      </c>
      <c r="AW263" s="1">
        <f t="shared" si="39"/>
        <v>2.3125000650683023</v>
      </c>
    </row>
    <row r="264" spans="1:49" x14ac:dyDescent="0.2">
      <c r="A264">
        <v>262</v>
      </c>
      <c r="B264" t="s">
        <v>7080</v>
      </c>
      <c r="C264" t="s">
        <v>7079</v>
      </c>
      <c r="D264" t="s">
        <v>7078</v>
      </c>
      <c r="F264" t="s">
        <v>7077</v>
      </c>
      <c r="G264" t="s">
        <v>5</v>
      </c>
      <c r="H264" t="s">
        <v>4</v>
      </c>
      <c r="I264" t="s">
        <v>7076</v>
      </c>
      <c r="J264" t="s">
        <v>7075</v>
      </c>
      <c r="K264" t="s">
        <v>7074</v>
      </c>
      <c r="L264" t="s">
        <v>7073</v>
      </c>
      <c r="M264" t="s">
        <v>673</v>
      </c>
      <c r="N264">
        <v>1</v>
      </c>
      <c r="O264" t="s">
        <v>7072</v>
      </c>
      <c r="P264">
        <v>7006178696</v>
      </c>
      <c r="Q264" t="s">
        <v>7071</v>
      </c>
      <c r="R264" s="7">
        <v>36130</v>
      </c>
      <c r="S264" s="8">
        <f t="shared" si="32"/>
        <v>1998</v>
      </c>
      <c r="T264" s="8">
        <v>1998</v>
      </c>
      <c r="U264" s="8">
        <f t="shared" si="33"/>
        <v>24</v>
      </c>
      <c r="V264" s="7">
        <v>1998</v>
      </c>
      <c r="W264" t="s">
        <v>649</v>
      </c>
      <c r="X264" s="2">
        <v>1.6519999999999999</v>
      </c>
      <c r="Y264" s="6">
        <f t="shared" si="34"/>
        <v>4.409919649769093E-2</v>
      </c>
      <c r="AA264" t="s">
        <v>648</v>
      </c>
      <c r="AB264">
        <v>17337</v>
      </c>
      <c r="AD264" t="s">
        <v>2</v>
      </c>
      <c r="AE264">
        <v>46</v>
      </c>
      <c r="AF264">
        <v>10</v>
      </c>
      <c r="AH264" t="s">
        <v>391</v>
      </c>
      <c r="AI264" t="s">
        <v>7070</v>
      </c>
      <c r="AJ264" t="s">
        <v>7069</v>
      </c>
      <c r="AK264" t="s">
        <v>7068</v>
      </c>
      <c r="AL264">
        <v>11</v>
      </c>
      <c r="AM264" s="5">
        <f t="shared" si="35"/>
        <v>0.45833333333333331</v>
      </c>
      <c r="AN264" s="4">
        <f t="shared" si="36"/>
        <v>6.9418149690773695E-4</v>
      </c>
      <c r="AO264" s="3"/>
      <c r="AP264">
        <v>0</v>
      </c>
      <c r="AR264" t="s">
        <v>1</v>
      </c>
      <c r="AT264" s="2" t="s">
        <v>0</v>
      </c>
      <c r="AU264" s="1">
        <f t="shared" si="37"/>
        <v>3.1077691997455972</v>
      </c>
      <c r="AV264" s="1">
        <f t="shared" si="38"/>
        <v>2.2396688997299337</v>
      </c>
      <c r="AW264" s="1">
        <f t="shared" si="39"/>
        <v>1.3715685997142693</v>
      </c>
    </row>
    <row r="265" spans="1:49" x14ac:dyDescent="0.2">
      <c r="A265">
        <v>263</v>
      </c>
      <c r="B265" t="s">
        <v>7067</v>
      </c>
      <c r="C265" t="s">
        <v>7066</v>
      </c>
      <c r="D265" t="s">
        <v>7065</v>
      </c>
      <c r="F265" t="s">
        <v>7064</v>
      </c>
      <c r="G265" t="s">
        <v>5</v>
      </c>
      <c r="H265" t="s">
        <v>4</v>
      </c>
      <c r="I265" t="s">
        <v>7063</v>
      </c>
      <c r="J265" t="s">
        <v>7062</v>
      </c>
      <c r="K265" t="s">
        <v>7061</v>
      </c>
      <c r="L265" t="s">
        <v>7060</v>
      </c>
      <c r="M265" t="s">
        <v>7059</v>
      </c>
      <c r="N265">
        <v>2</v>
      </c>
      <c r="O265" t="s">
        <v>7058</v>
      </c>
      <c r="P265" t="s">
        <v>7057</v>
      </c>
      <c r="Q265" t="s">
        <v>7056</v>
      </c>
      <c r="R265" s="7">
        <v>36130</v>
      </c>
      <c r="S265" s="8">
        <f t="shared" si="32"/>
        <v>1998</v>
      </c>
      <c r="T265" s="8">
        <v>1998</v>
      </c>
      <c r="U265" s="8">
        <f t="shared" si="33"/>
        <v>24</v>
      </c>
      <c r="V265" s="7">
        <v>1998</v>
      </c>
      <c r="W265" t="s">
        <v>649</v>
      </c>
      <c r="X265" s="2">
        <v>1.6519999999999999</v>
      </c>
      <c r="Y265" s="6">
        <f t="shared" si="34"/>
        <v>4.409919649769093E-2</v>
      </c>
      <c r="AA265" t="s">
        <v>648</v>
      </c>
      <c r="AB265">
        <v>17337</v>
      </c>
      <c r="AD265" t="s">
        <v>2</v>
      </c>
      <c r="AE265">
        <v>46</v>
      </c>
      <c r="AF265">
        <v>10</v>
      </c>
      <c r="AH265" t="s">
        <v>390</v>
      </c>
      <c r="AI265" t="s">
        <v>7055</v>
      </c>
      <c r="AJ265" t="s">
        <v>7054</v>
      </c>
      <c r="AK265" t="s">
        <v>7053</v>
      </c>
      <c r="AL265">
        <v>9</v>
      </c>
      <c r="AM265" s="5">
        <f t="shared" si="35"/>
        <v>0.375</v>
      </c>
      <c r="AN265" s="4">
        <f t="shared" si="36"/>
        <v>5.6796667928814845E-4</v>
      </c>
      <c r="AO265" s="3"/>
      <c r="AP265">
        <v>0</v>
      </c>
      <c r="AR265" t="s">
        <v>1</v>
      </c>
      <c r="AT265" s="2" t="s">
        <v>0</v>
      </c>
      <c r="AU265" s="1">
        <f t="shared" si="37"/>
        <v>3.1039827552170092</v>
      </c>
      <c r="AV265" s="1">
        <f t="shared" si="38"/>
        <v>2.2333581588489539</v>
      </c>
      <c r="AW265" s="1">
        <f t="shared" si="39"/>
        <v>1.3627335624808981</v>
      </c>
    </row>
    <row r="266" spans="1:49" x14ac:dyDescent="0.2">
      <c r="A266">
        <v>264</v>
      </c>
      <c r="B266" t="s">
        <v>7052</v>
      </c>
      <c r="C266" t="s">
        <v>7051</v>
      </c>
      <c r="F266" t="s">
        <v>7050</v>
      </c>
      <c r="G266" t="s">
        <v>5</v>
      </c>
      <c r="H266" t="s">
        <v>4</v>
      </c>
      <c r="I266" t="s">
        <v>352</v>
      </c>
      <c r="J266" t="s">
        <v>7049</v>
      </c>
      <c r="K266" t="s">
        <v>7048</v>
      </c>
      <c r="L266" t="s">
        <v>7047</v>
      </c>
      <c r="M266" t="s">
        <v>7046</v>
      </c>
      <c r="N266">
        <v>2</v>
      </c>
      <c r="O266" t="s">
        <v>7045</v>
      </c>
      <c r="P266" t="s">
        <v>7044</v>
      </c>
      <c r="Q266" t="s">
        <v>7043</v>
      </c>
      <c r="R266" s="7">
        <v>36130</v>
      </c>
      <c r="S266" s="8">
        <f t="shared" si="32"/>
        <v>1998</v>
      </c>
      <c r="T266" s="8">
        <v>1998</v>
      </c>
      <c r="U266" s="8">
        <f t="shared" si="33"/>
        <v>24</v>
      </c>
      <c r="V266" s="7">
        <v>1998</v>
      </c>
      <c r="W266" t="s">
        <v>4659</v>
      </c>
      <c r="X266" s="2">
        <v>1.137</v>
      </c>
      <c r="Y266" s="6">
        <f t="shared" si="34"/>
        <v>3.0351565628253384E-2</v>
      </c>
      <c r="AA266">
        <v>189251</v>
      </c>
      <c r="AB266">
        <v>17336</v>
      </c>
      <c r="AD266" t="s">
        <v>2</v>
      </c>
      <c r="AE266">
        <v>34</v>
      </c>
      <c r="AF266">
        <v>4</v>
      </c>
      <c r="AH266" t="s">
        <v>7042</v>
      </c>
      <c r="AI266" t="s">
        <v>7041</v>
      </c>
      <c r="AK266" t="s">
        <v>7040</v>
      </c>
      <c r="AL266">
        <v>66</v>
      </c>
      <c r="AM266" s="5">
        <f t="shared" si="35"/>
        <v>2.75</v>
      </c>
      <c r="AN266" s="4">
        <f t="shared" si="36"/>
        <v>4.1650889814464215E-3</v>
      </c>
      <c r="AO266" s="3"/>
      <c r="AP266">
        <v>0</v>
      </c>
      <c r="AQ266" t="s">
        <v>374</v>
      </c>
      <c r="AR266" t="s">
        <v>7039</v>
      </c>
      <c r="AS266" t="s">
        <v>373</v>
      </c>
      <c r="AT266" s="2" t="s">
        <v>0</v>
      </c>
      <c r="AU266" s="1">
        <f t="shared" si="37"/>
        <v>2.2495622634211294</v>
      </c>
      <c r="AV266" s="1">
        <f t="shared" si="38"/>
        <v>1.7258327304849903</v>
      </c>
      <c r="AW266" s="1">
        <f t="shared" si="39"/>
        <v>1.2021031975488512</v>
      </c>
    </row>
    <row r="267" spans="1:49" x14ac:dyDescent="0.2">
      <c r="A267">
        <v>265</v>
      </c>
      <c r="B267" t="s">
        <v>7038</v>
      </c>
      <c r="C267" t="s">
        <v>7037</v>
      </c>
      <c r="F267" t="s">
        <v>7036</v>
      </c>
      <c r="G267" t="s">
        <v>5</v>
      </c>
      <c r="H267" t="s">
        <v>4</v>
      </c>
      <c r="I267" t="s">
        <v>7035</v>
      </c>
      <c r="J267" t="s">
        <v>7034</v>
      </c>
      <c r="K267" t="s">
        <v>7033</v>
      </c>
      <c r="L267" t="s">
        <v>7032</v>
      </c>
      <c r="M267" t="s">
        <v>737</v>
      </c>
      <c r="N267">
        <v>4</v>
      </c>
      <c r="O267" t="s">
        <v>7031</v>
      </c>
      <c r="P267" t="s">
        <v>7030</v>
      </c>
      <c r="Q267" t="s">
        <v>7029</v>
      </c>
      <c r="R267" s="7">
        <v>36130</v>
      </c>
      <c r="S267" s="8">
        <f t="shared" si="32"/>
        <v>1998</v>
      </c>
      <c r="T267" s="8">
        <v>1998</v>
      </c>
      <c r="U267" s="8">
        <f t="shared" si="33"/>
        <v>24</v>
      </c>
      <c r="V267" s="7">
        <v>1998</v>
      </c>
      <c r="W267" t="s">
        <v>4659</v>
      </c>
      <c r="X267" s="2">
        <v>1.137</v>
      </c>
      <c r="Y267" s="6">
        <f t="shared" si="34"/>
        <v>3.0351565628253384E-2</v>
      </c>
      <c r="AA267">
        <v>189251</v>
      </c>
      <c r="AB267">
        <v>17336</v>
      </c>
      <c r="AD267" t="s">
        <v>2</v>
      </c>
      <c r="AE267">
        <v>34</v>
      </c>
      <c r="AF267">
        <v>4</v>
      </c>
      <c r="AH267" t="s">
        <v>7028</v>
      </c>
      <c r="AI267" t="s">
        <v>7027</v>
      </c>
      <c r="AK267" t="s">
        <v>7026</v>
      </c>
      <c r="AL267">
        <v>186</v>
      </c>
      <c r="AM267" s="5">
        <f t="shared" si="35"/>
        <v>7.75</v>
      </c>
      <c r="AN267" s="4">
        <f t="shared" si="36"/>
        <v>1.1737978038621734E-2</v>
      </c>
      <c r="AO267" s="3"/>
      <c r="AP267">
        <v>0</v>
      </c>
      <c r="AQ267" t="s">
        <v>22</v>
      </c>
      <c r="AR267" t="s">
        <v>7025</v>
      </c>
      <c r="AS267" t="s">
        <v>21</v>
      </c>
      <c r="AT267" s="2" t="s">
        <v>0</v>
      </c>
      <c r="AU267" s="1">
        <f t="shared" si="37"/>
        <v>2.4767489351363885</v>
      </c>
      <c r="AV267" s="1">
        <f t="shared" si="38"/>
        <v>2.1044771833437559</v>
      </c>
      <c r="AW267" s="1">
        <f t="shared" si="39"/>
        <v>1.7322054315511228</v>
      </c>
    </row>
    <row r="268" spans="1:49" x14ac:dyDescent="0.2">
      <c r="A268">
        <v>266</v>
      </c>
      <c r="B268" t="s">
        <v>7024</v>
      </c>
      <c r="C268" t="s">
        <v>7023</v>
      </c>
      <c r="D268" t="s">
        <v>7022</v>
      </c>
      <c r="F268" t="s">
        <v>7021</v>
      </c>
      <c r="G268" t="s">
        <v>5</v>
      </c>
      <c r="H268" t="s">
        <v>4</v>
      </c>
      <c r="I268" t="s">
        <v>7020</v>
      </c>
      <c r="J268" t="s">
        <v>994</v>
      </c>
      <c r="K268" t="s">
        <v>993</v>
      </c>
      <c r="L268" t="s">
        <v>992</v>
      </c>
      <c r="M268" t="s">
        <v>6</v>
      </c>
      <c r="N268">
        <v>2</v>
      </c>
      <c r="O268" t="s">
        <v>7019</v>
      </c>
      <c r="P268" t="s">
        <v>7018</v>
      </c>
      <c r="Q268" t="s">
        <v>7017</v>
      </c>
      <c r="R268" s="7">
        <v>36130</v>
      </c>
      <c r="S268" s="8">
        <f t="shared" si="32"/>
        <v>1998</v>
      </c>
      <c r="T268" s="8">
        <v>1998</v>
      </c>
      <c r="U268" s="8">
        <f t="shared" si="33"/>
        <v>24</v>
      </c>
      <c r="V268" s="7">
        <v>1998</v>
      </c>
      <c r="W268" t="s">
        <v>649</v>
      </c>
      <c r="X268" s="2">
        <v>1.6519999999999999</v>
      </c>
      <c r="Y268" s="6">
        <f t="shared" si="34"/>
        <v>4.409919649769093E-2</v>
      </c>
      <c r="AA268" t="s">
        <v>648</v>
      </c>
      <c r="AB268">
        <v>17337</v>
      </c>
      <c r="AD268" t="s">
        <v>2</v>
      </c>
      <c r="AE268">
        <v>46</v>
      </c>
      <c r="AF268">
        <v>10</v>
      </c>
      <c r="AH268" t="s">
        <v>7016</v>
      </c>
      <c r="AI268" t="s">
        <v>7015</v>
      </c>
      <c r="AJ268" t="s">
        <v>7014</v>
      </c>
      <c r="AK268" t="s">
        <v>7013</v>
      </c>
      <c r="AL268">
        <v>11</v>
      </c>
      <c r="AM268" s="5">
        <f t="shared" si="35"/>
        <v>0.45833333333333331</v>
      </c>
      <c r="AN268" s="4">
        <f t="shared" si="36"/>
        <v>6.9418149690773695E-4</v>
      </c>
      <c r="AO268" s="3"/>
      <c r="AP268">
        <v>0</v>
      </c>
      <c r="AQ268" t="s">
        <v>7012</v>
      </c>
      <c r="AR268">
        <v>960591</v>
      </c>
      <c r="AS268" t="s">
        <v>396</v>
      </c>
      <c r="AT268" s="2" t="s">
        <v>0</v>
      </c>
      <c r="AU268" s="1">
        <f t="shared" si="37"/>
        <v>3.1077691997455972</v>
      </c>
      <c r="AV268" s="1">
        <f t="shared" si="38"/>
        <v>2.2396688997299337</v>
      </c>
      <c r="AW268" s="1">
        <f t="shared" si="39"/>
        <v>1.3715685997142693</v>
      </c>
    </row>
    <row r="269" spans="1:49" x14ac:dyDescent="0.2">
      <c r="A269">
        <v>267</v>
      </c>
      <c r="B269" t="s">
        <v>7011</v>
      </c>
      <c r="C269" t="s">
        <v>7010</v>
      </c>
      <c r="D269" t="s">
        <v>7009</v>
      </c>
      <c r="F269" t="s">
        <v>7008</v>
      </c>
      <c r="G269" t="s">
        <v>5</v>
      </c>
      <c r="H269" t="s">
        <v>4</v>
      </c>
      <c r="I269" t="s">
        <v>1291</v>
      </c>
      <c r="J269" t="s">
        <v>7007</v>
      </c>
      <c r="K269" t="s">
        <v>7006</v>
      </c>
      <c r="L269" t="s">
        <v>3561</v>
      </c>
      <c r="M269" t="s">
        <v>208</v>
      </c>
      <c r="N269">
        <v>1</v>
      </c>
      <c r="O269" t="s">
        <v>7005</v>
      </c>
      <c r="P269">
        <v>7403250763</v>
      </c>
      <c r="Q269" t="s">
        <v>7004</v>
      </c>
      <c r="R269" s="7">
        <v>36130</v>
      </c>
      <c r="S269" s="8">
        <f t="shared" si="32"/>
        <v>1998</v>
      </c>
      <c r="T269" s="8">
        <v>1998</v>
      </c>
      <c r="U269" s="8">
        <f t="shared" si="33"/>
        <v>24</v>
      </c>
      <c r="V269" s="7">
        <v>1998</v>
      </c>
      <c r="W269" t="s">
        <v>649</v>
      </c>
      <c r="X269" s="2">
        <v>1.6519999999999999</v>
      </c>
      <c r="Y269" s="6">
        <f t="shared" si="34"/>
        <v>4.409919649769093E-2</v>
      </c>
      <c r="AA269" t="s">
        <v>648</v>
      </c>
      <c r="AB269">
        <v>17337</v>
      </c>
      <c r="AD269" t="s">
        <v>2</v>
      </c>
      <c r="AE269">
        <v>46</v>
      </c>
      <c r="AF269">
        <v>10</v>
      </c>
      <c r="AH269" t="s">
        <v>7003</v>
      </c>
      <c r="AI269" t="s">
        <v>7002</v>
      </c>
      <c r="AJ269" t="s">
        <v>4850</v>
      </c>
      <c r="AK269" t="s">
        <v>7001</v>
      </c>
      <c r="AL269">
        <v>25</v>
      </c>
      <c r="AM269" s="5">
        <f t="shared" si="35"/>
        <v>1.0416666666666667</v>
      </c>
      <c r="AN269" s="4">
        <f t="shared" si="36"/>
        <v>1.5776852202448568E-3</v>
      </c>
      <c r="AO269" s="3"/>
      <c r="AP269">
        <v>0</v>
      </c>
      <c r="AR269" t="s">
        <v>1</v>
      </c>
      <c r="AT269" s="2" t="s">
        <v>0</v>
      </c>
      <c r="AU269" s="1">
        <f t="shared" si="37"/>
        <v>3.134274311445711</v>
      </c>
      <c r="AV269" s="1">
        <f t="shared" si="38"/>
        <v>2.2838440858967894</v>
      </c>
      <c r="AW269" s="1">
        <f t="shared" si="39"/>
        <v>1.4334138603478679</v>
      </c>
    </row>
    <row r="270" spans="1:49" x14ac:dyDescent="0.2">
      <c r="A270">
        <v>268</v>
      </c>
      <c r="B270" t="s">
        <v>7000</v>
      </c>
      <c r="C270" t="s">
        <v>6999</v>
      </c>
      <c r="F270" t="s">
        <v>6998</v>
      </c>
      <c r="G270" t="s">
        <v>5</v>
      </c>
      <c r="H270" t="s">
        <v>4</v>
      </c>
      <c r="I270" t="s">
        <v>6997</v>
      </c>
      <c r="J270" t="s">
        <v>6996</v>
      </c>
      <c r="K270" t="s">
        <v>6995</v>
      </c>
      <c r="L270" t="s">
        <v>6994</v>
      </c>
      <c r="M270" t="s">
        <v>399</v>
      </c>
      <c r="N270">
        <v>4</v>
      </c>
      <c r="O270" t="s">
        <v>6993</v>
      </c>
      <c r="P270" t="s">
        <v>6992</v>
      </c>
      <c r="Q270" t="s">
        <v>6991</v>
      </c>
      <c r="R270" s="7">
        <v>36130</v>
      </c>
      <c r="S270" s="8">
        <f t="shared" si="32"/>
        <v>1998</v>
      </c>
      <c r="T270" s="8">
        <v>1998</v>
      </c>
      <c r="U270" s="8">
        <f t="shared" si="33"/>
        <v>24</v>
      </c>
      <c r="V270" s="7">
        <v>1998</v>
      </c>
      <c r="W270" t="s">
        <v>4659</v>
      </c>
      <c r="X270" s="2">
        <v>1.137</v>
      </c>
      <c r="Y270" s="6">
        <f t="shared" si="34"/>
        <v>3.0351565628253384E-2</v>
      </c>
      <c r="AA270">
        <v>189251</v>
      </c>
      <c r="AB270">
        <v>17336</v>
      </c>
      <c r="AD270" t="s">
        <v>2</v>
      </c>
      <c r="AE270">
        <v>34</v>
      </c>
      <c r="AF270">
        <v>4</v>
      </c>
      <c r="AH270" t="s">
        <v>6990</v>
      </c>
      <c r="AI270" t="s">
        <v>6989</v>
      </c>
      <c r="AK270" t="s">
        <v>6988</v>
      </c>
      <c r="AL270">
        <v>137</v>
      </c>
      <c r="AM270" s="5">
        <f t="shared" si="35"/>
        <v>5.708333333333333</v>
      </c>
      <c r="AN270" s="4">
        <f t="shared" si="36"/>
        <v>8.6457150069418152E-3</v>
      </c>
      <c r="AO270" s="3"/>
      <c r="AP270">
        <v>0</v>
      </c>
      <c r="AQ270" t="s">
        <v>22</v>
      </c>
      <c r="AR270" t="s">
        <v>6987</v>
      </c>
      <c r="AS270" t="s">
        <v>21</v>
      </c>
      <c r="AT270" s="2" t="s">
        <v>0</v>
      </c>
      <c r="AU270" s="1">
        <f t="shared" si="37"/>
        <v>2.3839810441859912</v>
      </c>
      <c r="AV270" s="1">
        <f t="shared" si="38"/>
        <v>1.94986403175976</v>
      </c>
      <c r="AW270" s="1">
        <f t="shared" si="39"/>
        <v>1.5157470193335285</v>
      </c>
    </row>
    <row r="271" spans="1:49" x14ac:dyDescent="0.2">
      <c r="A271">
        <v>269</v>
      </c>
      <c r="B271" t="s">
        <v>6986</v>
      </c>
      <c r="C271" t="s">
        <v>6985</v>
      </c>
      <c r="D271" t="s">
        <v>6984</v>
      </c>
      <c r="F271" t="s">
        <v>6983</v>
      </c>
      <c r="G271" t="s">
        <v>5</v>
      </c>
      <c r="H271" t="s">
        <v>4</v>
      </c>
      <c r="I271" t="s">
        <v>6982</v>
      </c>
      <c r="J271" t="s">
        <v>6981</v>
      </c>
      <c r="K271" t="s">
        <v>6980</v>
      </c>
      <c r="L271" t="s">
        <v>6979</v>
      </c>
      <c r="M271" t="s">
        <v>4606</v>
      </c>
      <c r="N271">
        <v>2</v>
      </c>
      <c r="O271" t="s">
        <v>6978</v>
      </c>
      <c r="P271" t="s">
        <v>6977</v>
      </c>
      <c r="Q271" t="s">
        <v>6976</v>
      </c>
      <c r="R271" s="7">
        <v>36130</v>
      </c>
      <c r="S271" s="8">
        <f t="shared" si="32"/>
        <v>1998</v>
      </c>
      <c r="T271" s="8">
        <v>1998</v>
      </c>
      <c r="U271" s="8">
        <f t="shared" si="33"/>
        <v>24</v>
      </c>
      <c r="V271" s="7">
        <v>1998</v>
      </c>
      <c r="W271" t="s">
        <v>4770</v>
      </c>
      <c r="X271" s="2">
        <v>0.82</v>
      </c>
      <c r="Y271" s="6">
        <f t="shared" si="34"/>
        <v>2.1889431675609299E-2</v>
      </c>
      <c r="AA271">
        <v>189456</v>
      </c>
      <c r="AB271">
        <v>15361</v>
      </c>
      <c r="AD271" t="s">
        <v>2</v>
      </c>
      <c r="AE271">
        <v>47</v>
      </c>
      <c r="AF271">
        <v>5</v>
      </c>
      <c r="AH271" t="s">
        <v>6975</v>
      </c>
      <c r="AI271" t="s">
        <v>6974</v>
      </c>
      <c r="AJ271" t="s">
        <v>6973</v>
      </c>
      <c r="AK271" t="s">
        <v>6972</v>
      </c>
      <c r="AL271">
        <v>13</v>
      </c>
      <c r="AM271" s="5">
        <f t="shared" si="35"/>
        <v>0.54166666666666663</v>
      </c>
      <c r="AN271" s="4">
        <f t="shared" si="36"/>
        <v>8.2039631452732545E-4</v>
      </c>
      <c r="AO271" s="3"/>
      <c r="AP271">
        <v>0</v>
      </c>
      <c r="AR271" t="s">
        <v>1</v>
      </c>
      <c r="AT271" s="2" t="s">
        <v>0</v>
      </c>
      <c r="AU271" s="1">
        <f t="shared" si="37"/>
        <v>1.5568721067284705</v>
      </c>
      <c r="AV271" s="1">
        <f t="shared" si="38"/>
        <v>1.1354913995068312</v>
      </c>
      <c r="AW271" s="1">
        <f t="shared" si="39"/>
        <v>0.71411069228519164</v>
      </c>
    </row>
    <row r="272" spans="1:49" x14ac:dyDescent="0.2">
      <c r="A272">
        <v>270</v>
      </c>
      <c r="B272" t="s">
        <v>6971</v>
      </c>
      <c r="C272" t="s">
        <v>6970</v>
      </c>
      <c r="D272" t="s">
        <v>6969</v>
      </c>
      <c r="F272" t="s">
        <v>6968</v>
      </c>
      <c r="G272" t="s">
        <v>5</v>
      </c>
      <c r="H272" t="s">
        <v>4</v>
      </c>
      <c r="I272" t="s">
        <v>2785</v>
      </c>
      <c r="J272">
        <v>60021378</v>
      </c>
      <c r="K272" t="s">
        <v>724</v>
      </c>
      <c r="L272" t="s">
        <v>723</v>
      </c>
      <c r="M272" t="s">
        <v>9</v>
      </c>
      <c r="N272">
        <v>1</v>
      </c>
      <c r="O272" t="s">
        <v>6967</v>
      </c>
      <c r="P272">
        <v>6602901083</v>
      </c>
      <c r="Q272">
        <v>60021378</v>
      </c>
      <c r="R272" s="7">
        <v>36130</v>
      </c>
      <c r="S272" s="8">
        <f t="shared" si="32"/>
        <v>1998</v>
      </c>
      <c r="T272" s="8">
        <v>1998</v>
      </c>
      <c r="U272" s="8">
        <f t="shared" si="33"/>
        <v>24</v>
      </c>
      <c r="V272" s="7">
        <v>1998</v>
      </c>
      <c r="W272" t="s">
        <v>256</v>
      </c>
      <c r="X272" s="2">
        <v>1.468</v>
      </c>
      <c r="Y272" s="6">
        <f t="shared" si="34"/>
        <v>3.9187421585115186E-2</v>
      </c>
      <c r="AA272">
        <v>906778</v>
      </c>
      <c r="AB272">
        <v>18931</v>
      </c>
      <c r="AD272" t="s">
        <v>2</v>
      </c>
      <c r="AE272">
        <v>46</v>
      </c>
      <c r="AF272">
        <v>10</v>
      </c>
      <c r="AH272" t="s">
        <v>6966</v>
      </c>
      <c r="AI272" t="s">
        <v>6965</v>
      </c>
      <c r="AJ272" t="s">
        <v>6964</v>
      </c>
      <c r="AK272" t="s">
        <v>6963</v>
      </c>
      <c r="AL272">
        <v>399</v>
      </c>
      <c r="AM272" s="5">
        <f t="shared" si="35"/>
        <v>16.625</v>
      </c>
      <c r="AN272" s="4">
        <f t="shared" si="36"/>
        <v>2.5179856115107913E-2</v>
      </c>
      <c r="AO272" s="3"/>
      <c r="AP272">
        <v>0</v>
      </c>
      <c r="AQ272" t="s">
        <v>17</v>
      </c>
      <c r="AR272" t="s">
        <v>2773</v>
      </c>
      <c r="AS272" t="s">
        <v>16</v>
      </c>
      <c r="AT272" s="2">
        <v>5.0830000000000002</v>
      </c>
      <c r="AU272" s="1">
        <f t="shared" si="37"/>
        <v>3.4985151944113002</v>
      </c>
      <c r="AV272" s="1">
        <f t="shared" si="38"/>
        <v>3.2183638850111551</v>
      </c>
      <c r="AW272" s="1">
        <f t="shared" si="39"/>
        <v>2.9382125756110091</v>
      </c>
    </row>
    <row r="273" spans="1:49" x14ac:dyDescent="0.2">
      <c r="A273">
        <v>271</v>
      </c>
      <c r="B273" t="s">
        <v>6962</v>
      </c>
      <c r="C273" t="s">
        <v>6961</v>
      </c>
      <c r="F273" t="s">
        <v>6960</v>
      </c>
      <c r="G273" t="s">
        <v>5</v>
      </c>
      <c r="H273" t="s">
        <v>4</v>
      </c>
      <c r="I273" t="s">
        <v>6959</v>
      </c>
      <c r="J273" t="s">
        <v>6958</v>
      </c>
      <c r="K273" t="s">
        <v>6957</v>
      </c>
      <c r="L273" t="s">
        <v>6956</v>
      </c>
      <c r="M273" t="s">
        <v>101</v>
      </c>
      <c r="N273">
        <v>11</v>
      </c>
      <c r="O273" t="s">
        <v>6955</v>
      </c>
      <c r="P273" t="s">
        <v>6954</v>
      </c>
      <c r="Q273" t="s">
        <v>6953</v>
      </c>
      <c r="R273" s="7">
        <v>36130</v>
      </c>
      <c r="S273" s="8">
        <f t="shared" si="32"/>
        <v>1998</v>
      </c>
      <c r="T273" s="8">
        <v>1998</v>
      </c>
      <c r="U273" s="8">
        <f t="shared" si="33"/>
        <v>24</v>
      </c>
      <c r="V273" s="7">
        <v>1998</v>
      </c>
      <c r="W273" t="s">
        <v>100</v>
      </c>
      <c r="X273" s="2">
        <v>1.774</v>
      </c>
      <c r="Y273" s="6">
        <f t="shared" si="34"/>
        <v>4.7355916820159633E-2</v>
      </c>
      <c r="AA273">
        <v>295515</v>
      </c>
      <c r="AB273">
        <v>29066</v>
      </c>
      <c r="AD273" t="s">
        <v>2</v>
      </c>
      <c r="AE273">
        <v>38</v>
      </c>
      <c r="AF273">
        <v>10</v>
      </c>
      <c r="AH273" t="s">
        <v>6952</v>
      </c>
      <c r="AI273" t="s">
        <v>6951</v>
      </c>
      <c r="AK273" t="s">
        <v>6950</v>
      </c>
      <c r="AL273">
        <v>54</v>
      </c>
      <c r="AM273" s="5">
        <f t="shared" si="35"/>
        <v>2.25</v>
      </c>
      <c r="AN273" s="4">
        <f t="shared" si="36"/>
        <v>3.4078000757288905E-3</v>
      </c>
      <c r="AO273" s="3"/>
      <c r="AP273">
        <v>0</v>
      </c>
      <c r="AR273" t="s">
        <v>1</v>
      </c>
      <c r="AT273" s="2">
        <v>3.1789999999999998</v>
      </c>
      <c r="AU273" s="1">
        <f t="shared" si="37"/>
        <v>3.4171481796830405</v>
      </c>
      <c r="AV273" s="1">
        <f t="shared" si="38"/>
        <v>2.5381858447944263</v>
      </c>
      <c r="AW273" s="1">
        <f t="shared" si="39"/>
        <v>1.6592235099058112</v>
      </c>
    </row>
    <row r="274" spans="1:49" x14ac:dyDescent="0.2">
      <c r="A274">
        <v>272</v>
      </c>
      <c r="B274" t="s">
        <v>6949</v>
      </c>
      <c r="C274" t="s">
        <v>6948</v>
      </c>
      <c r="D274" t="s">
        <v>6947</v>
      </c>
      <c r="F274" t="s">
        <v>6946</v>
      </c>
      <c r="G274" t="s">
        <v>5</v>
      </c>
      <c r="H274" t="s">
        <v>4</v>
      </c>
      <c r="I274" t="s">
        <v>6945</v>
      </c>
      <c r="J274" t="s">
        <v>6944</v>
      </c>
      <c r="K274" t="s">
        <v>6943</v>
      </c>
      <c r="L274" t="s">
        <v>6942</v>
      </c>
      <c r="M274" t="s">
        <v>101</v>
      </c>
      <c r="N274">
        <v>3</v>
      </c>
      <c r="O274" t="s">
        <v>6941</v>
      </c>
      <c r="P274" t="s">
        <v>6940</v>
      </c>
      <c r="Q274" t="s">
        <v>6939</v>
      </c>
      <c r="R274" s="7">
        <v>36130</v>
      </c>
      <c r="S274" s="8">
        <f t="shared" si="32"/>
        <v>1998</v>
      </c>
      <c r="T274" s="8">
        <v>1998</v>
      </c>
      <c r="U274" s="8">
        <f t="shared" si="33"/>
        <v>24</v>
      </c>
      <c r="V274" s="7">
        <v>1998</v>
      </c>
      <c r="W274" t="s">
        <v>4770</v>
      </c>
      <c r="X274" s="2">
        <v>0.82</v>
      </c>
      <c r="Y274" s="6">
        <f t="shared" si="34"/>
        <v>2.1889431675609299E-2</v>
      </c>
      <c r="AA274">
        <v>189456</v>
      </c>
      <c r="AB274">
        <v>15361</v>
      </c>
      <c r="AD274" t="s">
        <v>2</v>
      </c>
      <c r="AE274">
        <v>47</v>
      </c>
      <c r="AF274">
        <v>5</v>
      </c>
      <c r="AH274" t="s">
        <v>6938</v>
      </c>
      <c r="AI274" t="s">
        <v>6937</v>
      </c>
      <c r="AK274" t="s">
        <v>6936</v>
      </c>
      <c r="AL274">
        <v>1</v>
      </c>
      <c r="AM274" s="5">
        <f t="shared" si="35"/>
        <v>4.1666666666666664E-2</v>
      </c>
      <c r="AN274" s="4">
        <f t="shared" si="36"/>
        <v>6.3107408809794262E-5</v>
      </c>
      <c r="AO274" s="3"/>
      <c r="AP274">
        <v>0</v>
      </c>
      <c r="AR274" t="s">
        <v>1</v>
      </c>
      <c r="AT274" s="2" t="s">
        <v>0</v>
      </c>
      <c r="AU274" s="1">
        <f t="shared" si="37"/>
        <v>1.5341534395569445</v>
      </c>
      <c r="AV274" s="1">
        <f t="shared" si="38"/>
        <v>1.0976269542209547</v>
      </c>
      <c r="AW274" s="1">
        <f t="shared" si="39"/>
        <v>0.66110046888496454</v>
      </c>
    </row>
    <row r="275" spans="1:49" x14ac:dyDescent="0.2">
      <c r="A275">
        <v>273</v>
      </c>
      <c r="B275" t="s">
        <v>6935</v>
      </c>
      <c r="C275" t="s">
        <v>6934</v>
      </c>
      <c r="D275" t="s">
        <v>6933</v>
      </c>
      <c r="F275" t="s">
        <v>6932</v>
      </c>
      <c r="G275" t="s">
        <v>5</v>
      </c>
      <c r="H275" t="s">
        <v>4</v>
      </c>
      <c r="I275" t="s">
        <v>6931</v>
      </c>
      <c r="J275">
        <v>60027271</v>
      </c>
      <c r="K275" t="s">
        <v>386</v>
      </c>
      <c r="L275" t="s">
        <v>385</v>
      </c>
      <c r="M275" t="s">
        <v>9</v>
      </c>
      <c r="N275">
        <v>3</v>
      </c>
      <c r="O275" t="s">
        <v>6930</v>
      </c>
      <c r="P275" t="s">
        <v>6929</v>
      </c>
      <c r="Q275" t="s">
        <v>6928</v>
      </c>
      <c r="R275" s="7">
        <v>36130</v>
      </c>
      <c r="S275" s="8">
        <f t="shared" si="32"/>
        <v>1998</v>
      </c>
      <c r="T275" s="8">
        <v>1998</v>
      </c>
      <c r="U275" s="8">
        <f t="shared" si="33"/>
        <v>24</v>
      </c>
      <c r="V275" s="7">
        <v>1998</v>
      </c>
      <c r="W275" t="s">
        <v>375</v>
      </c>
      <c r="X275" s="2">
        <v>0.46</v>
      </c>
      <c r="Y275" s="6">
        <f t="shared" si="34"/>
        <v>1.2279437281439364E-2</v>
      </c>
      <c r="AA275">
        <v>933813</v>
      </c>
      <c r="AB275">
        <v>28031</v>
      </c>
      <c r="AD275" t="s">
        <v>2</v>
      </c>
      <c r="AE275">
        <v>26</v>
      </c>
      <c r="AF275">
        <v>5</v>
      </c>
      <c r="AH275" t="s">
        <v>6927</v>
      </c>
      <c r="AI275" t="s">
        <v>6926</v>
      </c>
      <c r="AJ275" t="s">
        <v>6925</v>
      </c>
      <c r="AK275" t="s">
        <v>6924</v>
      </c>
      <c r="AL275">
        <v>25</v>
      </c>
      <c r="AM275" s="5">
        <f t="shared" si="35"/>
        <v>1.0416666666666667</v>
      </c>
      <c r="AN275" s="4">
        <f t="shared" si="36"/>
        <v>1.5776852202448568E-3</v>
      </c>
      <c r="AO275" s="3"/>
      <c r="AP275">
        <v>0</v>
      </c>
      <c r="AQ275" t="s">
        <v>22</v>
      </c>
      <c r="AR275" t="s">
        <v>1</v>
      </c>
      <c r="AS275" t="s">
        <v>21</v>
      </c>
      <c r="AT275" s="2">
        <v>1.222</v>
      </c>
      <c r="AU275" s="1">
        <f t="shared" si="37"/>
        <v>0.90689116630810107</v>
      </c>
      <c r="AV275" s="1">
        <f t="shared" si="38"/>
        <v>0.69285612508421113</v>
      </c>
      <c r="AW275" s="1">
        <f t="shared" si="39"/>
        <v>0.47882108386032085</v>
      </c>
    </row>
    <row r="276" spans="1:49" x14ac:dyDescent="0.2">
      <c r="A276">
        <v>274</v>
      </c>
      <c r="B276" t="s">
        <v>6923</v>
      </c>
      <c r="C276" t="s">
        <v>6922</v>
      </c>
      <c r="D276" t="s">
        <v>6921</v>
      </c>
      <c r="F276" t="s">
        <v>6920</v>
      </c>
      <c r="G276" t="s">
        <v>5</v>
      </c>
      <c r="H276" t="s">
        <v>4</v>
      </c>
      <c r="I276" t="s">
        <v>856</v>
      </c>
      <c r="N276">
        <v>1</v>
      </c>
      <c r="O276" t="s">
        <v>413</v>
      </c>
      <c r="P276">
        <v>24512080300</v>
      </c>
      <c r="R276" s="7">
        <v>36130</v>
      </c>
      <c r="S276" s="8">
        <f t="shared" si="32"/>
        <v>1998</v>
      </c>
      <c r="T276" s="8">
        <v>1998</v>
      </c>
      <c r="U276" s="8">
        <f t="shared" si="33"/>
        <v>24</v>
      </c>
      <c r="V276" s="7">
        <v>1998</v>
      </c>
      <c r="W276" t="s">
        <v>492</v>
      </c>
      <c r="X276" s="2">
        <v>0.78200000000000003</v>
      </c>
      <c r="Y276" s="6">
        <f t="shared" si="34"/>
        <v>2.0875043378446919E-2</v>
      </c>
      <c r="AA276">
        <v>189316</v>
      </c>
      <c r="AB276">
        <v>19901</v>
      </c>
      <c r="AD276" t="s">
        <v>2</v>
      </c>
      <c r="AE276">
        <v>44</v>
      </c>
      <c r="AF276">
        <v>3</v>
      </c>
      <c r="AH276" t="s">
        <v>6919</v>
      </c>
      <c r="AI276" t="s">
        <v>6918</v>
      </c>
      <c r="AK276" t="s">
        <v>6917</v>
      </c>
      <c r="AL276">
        <v>0</v>
      </c>
      <c r="AM276" s="5">
        <f t="shared" si="35"/>
        <v>0</v>
      </c>
      <c r="AN276" s="4">
        <f t="shared" si="36"/>
        <v>0</v>
      </c>
      <c r="AO276" s="3"/>
      <c r="AP276">
        <v>0</v>
      </c>
      <c r="AR276" t="s">
        <v>1</v>
      </c>
      <c r="AT276" s="2">
        <v>3.863</v>
      </c>
      <c r="AU276" s="1">
        <f t="shared" si="37"/>
        <v>1.4612530364912841</v>
      </c>
      <c r="AV276" s="1">
        <f t="shared" si="38"/>
        <v>1.0437521689223459</v>
      </c>
      <c r="AW276" s="1">
        <f t="shared" si="39"/>
        <v>0.62625130135340756</v>
      </c>
    </row>
    <row r="277" spans="1:49" x14ac:dyDescent="0.2">
      <c r="A277">
        <v>275</v>
      </c>
      <c r="B277" t="s">
        <v>6916</v>
      </c>
      <c r="C277" t="s">
        <v>6915</v>
      </c>
      <c r="D277" t="s">
        <v>6914</v>
      </c>
      <c r="F277" t="s">
        <v>6913</v>
      </c>
      <c r="G277" t="s">
        <v>5</v>
      </c>
      <c r="H277" t="s">
        <v>4</v>
      </c>
      <c r="I277" t="s">
        <v>502</v>
      </c>
      <c r="J277" t="s">
        <v>6912</v>
      </c>
      <c r="K277" t="s">
        <v>6911</v>
      </c>
      <c r="L277" t="s">
        <v>6910</v>
      </c>
      <c r="M277" t="s">
        <v>501</v>
      </c>
      <c r="N277">
        <v>6</v>
      </c>
      <c r="O277" t="s">
        <v>6909</v>
      </c>
      <c r="P277" t="s">
        <v>6908</v>
      </c>
      <c r="Q277" t="s">
        <v>6907</v>
      </c>
      <c r="R277" s="7">
        <v>36130</v>
      </c>
      <c r="S277" s="8">
        <f t="shared" si="32"/>
        <v>1998</v>
      </c>
      <c r="T277" s="8">
        <v>1998</v>
      </c>
      <c r="U277" s="8">
        <f t="shared" si="33"/>
        <v>24</v>
      </c>
      <c r="V277" s="7">
        <v>1998</v>
      </c>
      <c r="W277" t="s">
        <v>649</v>
      </c>
      <c r="X277" s="2">
        <v>1.6519999999999999</v>
      </c>
      <c r="Y277" s="6">
        <f t="shared" si="34"/>
        <v>4.409919649769093E-2</v>
      </c>
      <c r="AA277" t="s">
        <v>648</v>
      </c>
      <c r="AB277">
        <v>17337</v>
      </c>
      <c r="AD277" t="s">
        <v>2</v>
      </c>
      <c r="AE277">
        <v>46</v>
      </c>
      <c r="AF277">
        <v>9</v>
      </c>
      <c r="AH277" t="s">
        <v>6906</v>
      </c>
      <c r="AI277" t="s">
        <v>6905</v>
      </c>
      <c r="AJ277" t="s">
        <v>6904</v>
      </c>
      <c r="AK277" t="s">
        <v>6903</v>
      </c>
      <c r="AL277">
        <v>3</v>
      </c>
      <c r="AM277" s="5">
        <f t="shared" si="35"/>
        <v>0.125</v>
      </c>
      <c r="AN277" s="4">
        <f t="shared" si="36"/>
        <v>1.893222264293828E-4</v>
      </c>
      <c r="AO277" s="3"/>
      <c r="AP277">
        <v>0</v>
      </c>
      <c r="AR277" t="s">
        <v>1</v>
      </c>
      <c r="AT277" s="2" t="s">
        <v>0</v>
      </c>
      <c r="AU277" s="1">
        <f t="shared" si="37"/>
        <v>3.0926234216312465</v>
      </c>
      <c r="AV277" s="1">
        <f t="shared" si="38"/>
        <v>2.2144259362060157</v>
      </c>
      <c r="AW277" s="1">
        <f t="shared" si="39"/>
        <v>1.3362284507807847</v>
      </c>
    </row>
    <row r="278" spans="1:49" x14ac:dyDescent="0.2">
      <c r="A278">
        <v>276</v>
      </c>
      <c r="B278" t="s">
        <v>6902</v>
      </c>
      <c r="C278" t="s">
        <v>6901</v>
      </c>
      <c r="D278" t="s">
        <v>6900</v>
      </c>
      <c r="F278" t="s">
        <v>6899</v>
      </c>
      <c r="G278" t="s">
        <v>5</v>
      </c>
      <c r="H278" t="s">
        <v>4</v>
      </c>
      <c r="I278" t="s">
        <v>6898</v>
      </c>
      <c r="J278">
        <v>60103581</v>
      </c>
      <c r="K278" t="s">
        <v>6897</v>
      </c>
      <c r="L278" t="s">
        <v>667</v>
      </c>
      <c r="M278" t="s">
        <v>27</v>
      </c>
      <c r="N278">
        <v>1</v>
      </c>
      <c r="O278" t="s">
        <v>6896</v>
      </c>
      <c r="P278">
        <v>7006472158</v>
      </c>
      <c r="Q278">
        <v>60103581</v>
      </c>
      <c r="R278" s="7">
        <v>36130</v>
      </c>
      <c r="S278" s="8">
        <f t="shared" si="32"/>
        <v>1998</v>
      </c>
      <c r="T278" s="8">
        <v>1998</v>
      </c>
      <c r="U278" s="8">
        <f t="shared" si="33"/>
        <v>24</v>
      </c>
      <c r="V278" s="7">
        <v>1998</v>
      </c>
      <c r="W278" t="s">
        <v>2191</v>
      </c>
      <c r="X278" s="2">
        <v>1.6379999999999999</v>
      </c>
      <c r="Y278" s="6">
        <f t="shared" si="34"/>
        <v>4.3725474493473214E-2</v>
      </c>
      <c r="AA278" t="s">
        <v>2190</v>
      </c>
      <c r="AB278">
        <v>17391</v>
      </c>
      <c r="AD278" t="s">
        <v>2</v>
      </c>
      <c r="AE278">
        <v>46</v>
      </c>
      <c r="AF278">
        <v>9</v>
      </c>
      <c r="AH278" t="s">
        <v>6895</v>
      </c>
      <c r="AI278" t="s">
        <v>6894</v>
      </c>
      <c r="AJ278" t="s">
        <v>6893</v>
      </c>
      <c r="AK278" t="s">
        <v>6892</v>
      </c>
      <c r="AL278">
        <v>147</v>
      </c>
      <c r="AM278" s="5">
        <f t="shared" si="35"/>
        <v>6.125</v>
      </c>
      <c r="AN278" s="4">
        <f t="shared" si="36"/>
        <v>9.2767890950397579E-3</v>
      </c>
      <c r="AO278" s="3"/>
      <c r="AP278">
        <v>0</v>
      </c>
      <c r="AR278" t="s">
        <v>1</v>
      </c>
      <c r="AT278" s="2">
        <v>4.931</v>
      </c>
      <c r="AU278" s="1">
        <f t="shared" si="37"/>
        <v>3.339086887394318</v>
      </c>
      <c r="AV278" s="1">
        <f t="shared" si="38"/>
        <v>2.6501131794256483</v>
      </c>
      <c r="AW278" s="1">
        <f t="shared" si="39"/>
        <v>1.9611394714569792</v>
      </c>
    </row>
    <row r="279" spans="1:49" x14ac:dyDescent="0.2">
      <c r="A279">
        <v>277</v>
      </c>
      <c r="B279" t="s">
        <v>6891</v>
      </c>
      <c r="C279" t="s">
        <v>6890</v>
      </c>
      <c r="D279" t="s">
        <v>6889</v>
      </c>
      <c r="F279" t="s">
        <v>6888</v>
      </c>
      <c r="G279" t="s">
        <v>5</v>
      </c>
      <c r="H279" t="s">
        <v>4</v>
      </c>
      <c r="I279" t="s">
        <v>383</v>
      </c>
      <c r="J279" t="s">
        <v>6887</v>
      </c>
      <c r="K279" t="s">
        <v>6886</v>
      </c>
      <c r="L279" t="s">
        <v>6885</v>
      </c>
      <c r="M279" t="s">
        <v>792</v>
      </c>
      <c r="N279">
        <v>4</v>
      </c>
      <c r="O279" t="s">
        <v>6884</v>
      </c>
      <c r="P279" t="s">
        <v>6883</v>
      </c>
      <c r="Q279" t="s">
        <v>6882</v>
      </c>
      <c r="R279" s="7">
        <v>36130</v>
      </c>
      <c r="S279" s="8">
        <f t="shared" si="32"/>
        <v>1998</v>
      </c>
      <c r="T279" s="8">
        <v>1998</v>
      </c>
      <c r="U279" s="8">
        <f t="shared" si="33"/>
        <v>24</v>
      </c>
      <c r="V279" s="7">
        <v>1998</v>
      </c>
      <c r="W279" t="s">
        <v>303</v>
      </c>
      <c r="X279" s="2">
        <v>1.3720000000000001</v>
      </c>
      <c r="Y279" s="6">
        <f t="shared" si="34"/>
        <v>3.662475641333654E-2</v>
      </c>
      <c r="AA279">
        <v>189480</v>
      </c>
      <c r="AB279">
        <v>17366</v>
      </c>
      <c r="AD279" t="s">
        <v>2</v>
      </c>
      <c r="AE279">
        <v>46</v>
      </c>
      <c r="AF279">
        <v>9</v>
      </c>
      <c r="AH279" t="s">
        <v>6881</v>
      </c>
      <c r="AI279" t="s">
        <v>6880</v>
      </c>
      <c r="AJ279" t="s">
        <v>6879</v>
      </c>
      <c r="AK279" t="s">
        <v>6878</v>
      </c>
      <c r="AL279">
        <v>11</v>
      </c>
      <c r="AM279" s="5">
        <f t="shared" si="35"/>
        <v>0.45833333333333331</v>
      </c>
      <c r="AN279" s="4">
        <f t="shared" si="36"/>
        <v>6.9418149690773695E-4</v>
      </c>
      <c r="AO279" s="3"/>
      <c r="AP279">
        <v>0</v>
      </c>
      <c r="AR279" t="s">
        <v>1</v>
      </c>
      <c r="AT279" s="2" t="s">
        <v>0</v>
      </c>
      <c r="AU279" s="1">
        <f t="shared" si="37"/>
        <v>2.5845583938407897</v>
      </c>
      <c r="AV279" s="1">
        <f t="shared" si="38"/>
        <v>1.865946895512214</v>
      </c>
      <c r="AW279" s="1">
        <f t="shared" si="39"/>
        <v>1.1473353971836378</v>
      </c>
    </row>
    <row r="280" spans="1:49" x14ac:dyDescent="0.2">
      <c r="A280">
        <v>278</v>
      </c>
      <c r="B280" t="s">
        <v>6877</v>
      </c>
      <c r="C280" t="s">
        <v>6876</v>
      </c>
      <c r="D280" t="s">
        <v>6875</v>
      </c>
      <c r="F280" t="s">
        <v>6874</v>
      </c>
      <c r="G280" t="s">
        <v>5</v>
      </c>
      <c r="H280" t="s">
        <v>4</v>
      </c>
      <c r="I280" t="s">
        <v>750</v>
      </c>
      <c r="J280">
        <v>60029738</v>
      </c>
      <c r="K280" t="s">
        <v>124</v>
      </c>
      <c r="L280" t="s">
        <v>123</v>
      </c>
      <c r="M280" t="s">
        <v>13</v>
      </c>
      <c r="N280">
        <v>2</v>
      </c>
      <c r="O280" t="s">
        <v>6873</v>
      </c>
      <c r="P280" t="s">
        <v>749</v>
      </c>
      <c r="Q280" t="s">
        <v>120</v>
      </c>
      <c r="R280" s="7">
        <v>36130</v>
      </c>
      <c r="S280" s="8">
        <f t="shared" si="32"/>
        <v>1998</v>
      </c>
      <c r="T280" s="8">
        <v>1998</v>
      </c>
      <c r="U280" s="8">
        <f t="shared" si="33"/>
        <v>24</v>
      </c>
      <c r="V280" s="7">
        <v>1998</v>
      </c>
      <c r="W280" t="s">
        <v>649</v>
      </c>
      <c r="X280" s="2">
        <v>1.6519999999999999</v>
      </c>
      <c r="Y280" s="6">
        <f t="shared" si="34"/>
        <v>4.409919649769093E-2</v>
      </c>
      <c r="AA280" t="s">
        <v>648</v>
      </c>
      <c r="AB280">
        <v>17337</v>
      </c>
      <c r="AD280" t="s">
        <v>2</v>
      </c>
      <c r="AE280">
        <v>46</v>
      </c>
      <c r="AF280">
        <v>9</v>
      </c>
      <c r="AH280" t="s">
        <v>6872</v>
      </c>
      <c r="AI280" t="s">
        <v>6871</v>
      </c>
      <c r="AJ280" t="s">
        <v>5116</v>
      </c>
      <c r="AK280" t="s">
        <v>6870</v>
      </c>
      <c r="AL280">
        <v>3</v>
      </c>
      <c r="AM280" s="5">
        <f t="shared" si="35"/>
        <v>0.125</v>
      </c>
      <c r="AN280" s="4">
        <f t="shared" si="36"/>
        <v>1.893222264293828E-4</v>
      </c>
      <c r="AO280" s="3"/>
      <c r="AP280">
        <v>0</v>
      </c>
      <c r="AQ280" t="s">
        <v>118</v>
      </c>
      <c r="AR280" t="s">
        <v>1</v>
      </c>
      <c r="AS280" t="s">
        <v>117</v>
      </c>
      <c r="AT280" s="2" t="s">
        <v>0</v>
      </c>
      <c r="AU280" s="1">
        <f t="shared" si="37"/>
        <v>3.0926234216312465</v>
      </c>
      <c r="AV280" s="1">
        <f t="shared" si="38"/>
        <v>2.2144259362060157</v>
      </c>
      <c r="AW280" s="1">
        <f t="shared" si="39"/>
        <v>1.3362284507807847</v>
      </c>
    </row>
    <row r="281" spans="1:49" x14ac:dyDescent="0.2">
      <c r="A281">
        <v>279</v>
      </c>
      <c r="B281" t="s">
        <v>6869</v>
      </c>
      <c r="C281" t="s">
        <v>6868</v>
      </c>
      <c r="D281" t="s">
        <v>6867</v>
      </c>
      <c r="F281" t="s">
        <v>6866</v>
      </c>
      <c r="G281" t="s">
        <v>5</v>
      </c>
      <c r="H281" t="s">
        <v>4</v>
      </c>
      <c r="I281" t="s">
        <v>6865</v>
      </c>
      <c r="J281" t="s">
        <v>6864</v>
      </c>
      <c r="K281" t="s">
        <v>6863</v>
      </c>
      <c r="L281" t="s">
        <v>6862</v>
      </c>
      <c r="M281" t="s">
        <v>279</v>
      </c>
      <c r="N281">
        <v>2</v>
      </c>
      <c r="O281" t="s">
        <v>6861</v>
      </c>
      <c r="P281" t="s">
        <v>6860</v>
      </c>
      <c r="Q281" t="s">
        <v>6859</v>
      </c>
      <c r="R281" s="7">
        <v>36130</v>
      </c>
      <c r="S281" s="8">
        <f t="shared" si="32"/>
        <v>1998</v>
      </c>
      <c r="T281" s="8">
        <v>1998</v>
      </c>
      <c r="U281" s="8">
        <f t="shared" si="33"/>
        <v>24</v>
      </c>
      <c r="V281" s="7">
        <v>1998</v>
      </c>
      <c r="W281" t="s">
        <v>2191</v>
      </c>
      <c r="X281" s="2">
        <v>1.6379999999999999</v>
      </c>
      <c r="Y281" s="6">
        <f t="shared" si="34"/>
        <v>4.3725474493473214E-2</v>
      </c>
      <c r="AA281" t="s">
        <v>2190</v>
      </c>
      <c r="AB281">
        <v>17391</v>
      </c>
      <c r="AD281" t="s">
        <v>2</v>
      </c>
      <c r="AE281">
        <v>46</v>
      </c>
      <c r="AF281">
        <v>9</v>
      </c>
      <c r="AH281" t="s">
        <v>6858</v>
      </c>
      <c r="AI281" t="s">
        <v>6857</v>
      </c>
      <c r="AJ281" t="s">
        <v>6856</v>
      </c>
      <c r="AK281" t="s">
        <v>6855</v>
      </c>
      <c r="AL281">
        <v>85</v>
      </c>
      <c r="AM281" s="5">
        <f t="shared" si="35"/>
        <v>3.5416666666666665</v>
      </c>
      <c r="AN281" s="4">
        <f t="shared" si="36"/>
        <v>5.364129748832513E-3</v>
      </c>
      <c r="AO281" s="3"/>
      <c r="AP281">
        <v>0</v>
      </c>
      <c r="AQ281" t="s">
        <v>17</v>
      </c>
      <c r="AR281" t="s">
        <v>4872</v>
      </c>
      <c r="AS281" t="s">
        <v>16</v>
      </c>
      <c r="AT281" s="2">
        <v>4.931</v>
      </c>
      <c r="AU281" s="1">
        <f t="shared" si="37"/>
        <v>3.2217071070081005</v>
      </c>
      <c r="AV281" s="1">
        <f t="shared" si="38"/>
        <v>2.4544802121152864</v>
      </c>
      <c r="AW281" s="1">
        <f t="shared" si="39"/>
        <v>1.6872533172224722</v>
      </c>
    </row>
    <row r="282" spans="1:49" x14ac:dyDescent="0.2">
      <c r="A282">
        <v>280</v>
      </c>
      <c r="B282" t="s">
        <v>6854</v>
      </c>
      <c r="C282" t="s">
        <v>6853</v>
      </c>
      <c r="D282" t="s">
        <v>6852</v>
      </c>
      <c r="F282" t="s">
        <v>6851</v>
      </c>
      <c r="G282" t="s">
        <v>5</v>
      </c>
      <c r="H282" t="s">
        <v>4</v>
      </c>
      <c r="I282" t="s">
        <v>6850</v>
      </c>
      <c r="J282">
        <v>60003500</v>
      </c>
      <c r="K282" t="s">
        <v>1656</v>
      </c>
      <c r="L282" t="s">
        <v>1655</v>
      </c>
      <c r="M282" t="s">
        <v>9</v>
      </c>
      <c r="N282">
        <v>2</v>
      </c>
      <c r="O282" t="s">
        <v>6849</v>
      </c>
      <c r="P282" t="s">
        <v>6848</v>
      </c>
      <c r="Q282" t="s">
        <v>1652</v>
      </c>
      <c r="R282" s="7">
        <v>36130</v>
      </c>
      <c r="S282" s="8">
        <f t="shared" si="32"/>
        <v>1998</v>
      </c>
      <c r="T282" s="8">
        <v>1998</v>
      </c>
      <c r="U282" s="8">
        <f t="shared" si="33"/>
        <v>24</v>
      </c>
      <c r="V282" s="7">
        <v>1998</v>
      </c>
      <c r="W282" t="s">
        <v>649</v>
      </c>
      <c r="X282" s="2">
        <v>1.6519999999999999</v>
      </c>
      <c r="Y282" s="6">
        <f t="shared" si="34"/>
        <v>4.409919649769093E-2</v>
      </c>
      <c r="AA282" t="s">
        <v>648</v>
      </c>
      <c r="AB282">
        <v>17337</v>
      </c>
      <c r="AD282" t="s">
        <v>2</v>
      </c>
      <c r="AE282">
        <v>46</v>
      </c>
      <c r="AF282">
        <v>9</v>
      </c>
      <c r="AH282" t="s">
        <v>6847</v>
      </c>
      <c r="AI282" t="s">
        <v>6846</v>
      </c>
      <c r="AK282" t="s">
        <v>6845</v>
      </c>
      <c r="AL282">
        <v>16</v>
      </c>
      <c r="AM282" s="5">
        <f t="shared" si="35"/>
        <v>0.66666666666666663</v>
      </c>
      <c r="AN282" s="4">
        <f t="shared" si="36"/>
        <v>1.0097185409567082E-3</v>
      </c>
      <c r="AO282" s="3"/>
      <c r="AP282">
        <v>0</v>
      </c>
      <c r="AR282" t="s">
        <v>6753</v>
      </c>
      <c r="AT282" s="2" t="s">
        <v>0</v>
      </c>
      <c r="AU282" s="1">
        <f t="shared" si="37"/>
        <v>3.1172353110670663</v>
      </c>
      <c r="AV282" s="1">
        <f t="shared" si="38"/>
        <v>2.2554457519323821</v>
      </c>
      <c r="AW282" s="1">
        <f t="shared" si="39"/>
        <v>1.3936561927976974</v>
      </c>
    </row>
    <row r="283" spans="1:49" x14ac:dyDescent="0.2">
      <c r="A283">
        <v>281</v>
      </c>
      <c r="B283" t="s">
        <v>6844</v>
      </c>
      <c r="C283" t="s">
        <v>6843</v>
      </c>
      <c r="D283" t="s">
        <v>6842</v>
      </c>
      <c r="F283" t="s">
        <v>6841</v>
      </c>
      <c r="G283" t="s">
        <v>5</v>
      </c>
      <c r="H283" t="s">
        <v>4</v>
      </c>
      <c r="I283" t="s">
        <v>6840</v>
      </c>
      <c r="J283">
        <v>60017161</v>
      </c>
      <c r="K283" t="s">
        <v>161</v>
      </c>
      <c r="L283" t="s">
        <v>160</v>
      </c>
      <c r="M283" t="s">
        <v>159</v>
      </c>
      <c r="N283">
        <v>1</v>
      </c>
      <c r="O283" t="s">
        <v>6839</v>
      </c>
      <c r="P283">
        <v>7102523120</v>
      </c>
      <c r="Q283">
        <v>60017161</v>
      </c>
      <c r="R283" s="7">
        <v>36130</v>
      </c>
      <c r="S283" s="8">
        <f t="shared" si="32"/>
        <v>1998</v>
      </c>
      <c r="T283" s="8">
        <v>1998</v>
      </c>
      <c r="U283" s="8">
        <f t="shared" si="33"/>
        <v>24</v>
      </c>
      <c r="V283" s="7">
        <v>1998</v>
      </c>
      <c r="W283" t="s">
        <v>303</v>
      </c>
      <c r="X283" s="2">
        <v>1.3720000000000001</v>
      </c>
      <c r="Y283" s="6">
        <f t="shared" si="34"/>
        <v>3.662475641333654E-2</v>
      </c>
      <c r="AA283">
        <v>189480</v>
      </c>
      <c r="AB283">
        <v>17366</v>
      </c>
      <c r="AD283" t="s">
        <v>2</v>
      </c>
      <c r="AE283">
        <v>46</v>
      </c>
      <c r="AF283">
        <v>9</v>
      </c>
      <c r="AH283" t="s">
        <v>6838</v>
      </c>
      <c r="AI283" t="s">
        <v>6837</v>
      </c>
      <c r="AJ283" t="s">
        <v>6836</v>
      </c>
      <c r="AK283" t="s">
        <v>6835</v>
      </c>
      <c r="AL283">
        <v>4</v>
      </c>
      <c r="AM283" s="5">
        <f t="shared" si="35"/>
        <v>0.16666666666666666</v>
      </c>
      <c r="AN283" s="4">
        <f t="shared" si="36"/>
        <v>2.5242963523917705E-4</v>
      </c>
      <c r="AO283" s="3"/>
      <c r="AP283">
        <v>0</v>
      </c>
      <c r="AR283" t="s">
        <v>1</v>
      </c>
      <c r="AT283" s="2" t="s">
        <v>0</v>
      </c>
      <c r="AU283" s="1">
        <f t="shared" si="37"/>
        <v>2.571305837990733</v>
      </c>
      <c r="AV283" s="1">
        <f t="shared" si="38"/>
        <v>1.8438593024287859</v>
      </c>
      <c r="AW283" s="1">
        <f t="shared" si="39"/>
        <v>1.1164127668668387</v>
      </c>
    </row>
    <row r="284" spans="1:49" x14ac:dyDescent="0.2">
      <c r="A284">
        <v>282</v>
      </c>
      <c r="B284" t="s">
        <v>6834</v>
      </c>
      <c r="C284" t="s">
        <v>6833</v>
      </c>
      <c r="D284" t="s">
        <v>6832</v>
      </c>
      <c r="F284" t="s">
        <v>6831</v>
      </c>
      <c r="G284" t="s">
        <v>5</v>
      </c>
      <c r="H284" t="s">
        <v>4</v>
      </c>
      <c r="I284" t="s">
        <v>6830</v>
      </c>
      <c r="J284" t="s">
        <v>6829</v>
      </c>
      <c r="K284" t="s">
        <v>6828</v>
      </c>
      <c r="L284" t="s">
        <v>6827</v>
      </c>
      <c r="M284" t="s">
        <v>235</v>
      </c>
      <c r="N284">
        <v>3</v>
      </c>
      <c r="O284" t="s">
        <v>6826</v>
      </c>
      <c r="P284" t="s">
        <v>6825</v>
      </c>
      <c r="Q284" t="s">
        <v>6824</v>
      </c>
      <c r="R284" s="7">
        <v>36130</v>
      </c>
      <c r="S284" s="8">
        <f t="shared" si="32"/>
        <v>1998</v>
      </c>
      <c r="T284" s="8">
        <v>1998</v>
      </c>
      <c r="U284" s="8">
        <f t="shared" si="33"/>
        <v>24</v>
      </c>
      <c r="V284" s="7">
        <v>1998</v>
      </c>
      <c r="W284" t="s">
        <v>649</v>
      </c>
      <c r="X284" s="2">
        <v>1.6519999999999999</v>
      </c>
      <c r="Y284" s="6">
        <f t="shared" si="34"/>
        <v>4.409919649769093E-2</v>
      </c>
      <c r="AA284" t="s">
        <v>648</v>
      </c>
      <c r="AB284">
        <v>17337</v>
      </c>
      <c r="AD284" t="s">
        <v>2</v>
      </c>
      <c r="AE284">
        <v>46</v>
      </c>
      <c r="AF284">
        <v>9</v>
      </c>
      <c r="AH284" t="s">
        <v>6823</v>
      </c>
      <c r="AI284" t="s">
        <v>6822</v>
      </c>
      <c r="AJ284" t="s">
        <v>6821</v>
      </c>
      <c r="AK284" t="s">
        <v>6820</v>
      </c>
      <c r="AL284">
        <v>11</v>
      </c>
      <c r="AM284" s="5">
        <f t="shared" si="35"/>
        <v>0.45833333333333331</v>
      </c>
      <c r="AN284" s="4">
        <f t="shared" si="36"/>
        <v>6.9418149690773695E-4</v>
      </c>
      <c r="AO284" s="3"/>
      <c r="AP284">
        <v>0</v>
      </c>
      <c r="AR284" t="s">
        <v>1</v>
      </c>
      <c r="AT284" s="2" t="s">
        <v>0</v>
      </c>
      <c r="AU284" s="1">
        <f t="shared" si="37"/>
        <v>3.1077691997455972</v>
      </c>
      <c r="AV284" s="1">
        <f t="shared" si="38"/>
        <v>2.2396688997299337</v>
      </c>
      <c r="AW284" s="1">
        <f t="shared" si="39"/>
        <v>1.3715685997142693</v>
      </c>
    </row>
    <row r="285" spans="1:49" x14ac:dyDescent="0.2">
      <c r="A285">
        <v>283</v>
      </c>
      <c r="B285" t="s">
        <v>6819</v>
      </c>
      <c r="C285" t="s">
        <v>6818</v>
      </c>
      <c r="D285" t="s">
        <v>6817</v>
      </c>
      <c r="F285" t="s">
        <v>6816</v>
      </c>
      <c r="G285" t="s">
        <v>5</v>
      </c>
      <c r="H285" t="s">
        <v>4</v>
      </c>
      <c r="I285" t="s">
        <v>6815</v>
      </c>
      <c r="J285" t="s">
        <v>4069</v>
      </c>
      <c r="K285" t="s">
        <v>4068</v>
      </c>
      <c r="L285" t="s">
        <v>4067</v>
      </c>
      <c r="M285" t="s">
        <v>4066</v>
      </c>
      <c r="N285">
        <v>2</v>
      </c>
      <c r="O285" t="s">
        <v>6814</v>
      </c>
      <c r="P285" t="s">
        <v>6813</v>
      </c>
      <c r="Q285" t="s">
        <v>6812</v>
      </c>
      <c r="R285" s="7">
        <v>36130</v>
      </c>
      <c r="S285" s="8">
        <f t="shared" si="32"/>
        <v>1998</v>
      </c>
      <c r="T285" s="8">
        <v>1998</v>
      </c>
      <c r="U285" s="8">
        <f t="shared" si="33"/>
        <v>24</v>
      </c>
      <c r="V285" s="7">
        <v>1998</v>
      </c>
      <c r="W285" t="s">
        <v>649</v>
      </c>
      <c r="X285" s="2">
        <v>1.6519999999999999</v>
      </c>
      <c r="Y285" s="6">
        <f t="shared" si="34"/>
        <v>4.409919649769093E-2</v>
      </c>
      <c r="AA285" t="s">
        <v>648</v>
      </c>
      <c r="AB285">
        <v>17337</v>
      </c>
      <c r="AD285" t="s">
        <v>2</v>
      </c>
      <c r="AE285">
        <v>46</v>
      </c>
      <c r="AF285">
        <v>9</v>
      </c>
      <c r="AH285" t="s">
        <v>6811</v>
      </c>
      <c r="AI285" t="s">
        <v>6810</v>
      </c>
      <c r="AJ285" t="s">
        <v>6809</v>
      </c>
      <c r="AK285" t="s">
        <v>6808</v>
      </c>
      <c r="AL285">
        <v>25</v>
      </c>
      <c r="AM285" s="5">
        <f t="shared" si="35"/>
        <v>1.0416666666666667</v>
      </c>
      <c r="AN285" s="4">
        <f t="shared" si="36"/>
        <v>1.5776852202448568E-3</v>
      </c>
      <c r="AO285" s="3"/>
      <c r="AP285">
        <v>0</v>
      </c>
      <c r="AR285" t="s">
        <v>1</v>
      </c>
      <c r="AT285" s="2" t="s">
        <v>0</v>
      </c>
      <c r="AU285" s="1">
        <f t="shared" si="37"/>
        <v>3.134274311445711</v>
      </c>
      <c r="AV285" s="1">
        <f t="shared" si="38"/>
        <v>2.2838440858967894</v>
      </c>
      <c r="AW285" s="1">
        <f t="shared" si="39"/>
        <v>1.4334138603478679</v>
      </c>
    </row>
    <row r="286" spans="1:49" x14ac:dyDescent="0.2">
      <c r="A286">
        <v>284</v>
      </c>
      <c r="B286" t="s">
        <v>6807</v>
      </c>
      <c r="C286" t="s">
        <v>6806</v>
      </c>
      <c r="D286" t="s">
        <v>6805</v>
      </c>
      <c r="F286" t="s">
        <v>6804</v>
      </c>
      <c r="G286" t="s">
        <v>5</v>
      </c>
      <c r="H286" t="s">
        <v>4</v>
      </c>
      <c r="I286" t="s">
        <v>6803</v>
      </c>
      <c r="J286">
        <v>60000179</v>
      </c>
      <c r="K286" t="s">
        <v>6802</v>
      </c>
      <c r="L286" t="s">
        <v>143</v>
      </c>
      <c r="M286" t="s">
        <v>36</v>
      </c>
      <c r="N286">
        <v>2</v>
      </c>
      <c r="O286" t="s">
        <v>6801</v>
      </c>
      <c r="P286" t="s">
        <v>6800</v>
      </c>
      <c r="Q286" t="s">
        <v>6799</v>
      </c>
      <c r="R286" s="7">
        <v>36130</v>
      </c>
      <c r="S286" s="8">
        <f t="shared" si="32"/>
        <v>1998</v>
      </c>
      <c r="T286" s="8">
        <v>1998</v>
      </c>
      <c r="U286" s="8">
        <f t="shared" si="33"/>
        <v>24</v>
      </c>
      <c r="V286" s="7">
        <v>1998</v>
      </c>
      <c r="W286" t="s">
        <v>6798</v>
      </c>
      <c r="X286" s="2" t="s">
        <v>0</v>
      </c>
      <c r="Y286" s="6" t="e">
        <f t="shared" si="34"/>
        <v>#VALUE!</v>
      </c>
      <c r="AA286">
        <v>10459227</v>
      </c>
      <c r="AB286">
        <v>24243</v>
      </c>
      <c r="AD286" t="s">
        <v>2</v>
      </c>
      <c r="AE286">
        <v>9</v>
      </c>
      <c r="AF286">
        <v>5</v>
      </c>
      <c r="AH286" t="s">
        <v>6797</v>
      </c>
      <c r="AI286" t="s">
        <v>6796</v>
      </c>
      <c r="AJ286" t="s">
        <v>6795</v>
      </c>
      <c r="AK286" t="s">
        <v>6794</v>
      </c>
      <c r="AL286">
        <v>104</v>
      </c>
      <c r="AM286" s="5">
        <f t="shared" si="35"/>
        <v>4.333333333333333</v>
      </c>
      <c r="AN286" s="4">
        <f t="shared" si="36"/>
        <v>6.5631705162186036E-3</v>
      </c>
      <c r="AO286" s="3"/>
      <c r="AP286">
        <v>0</v>
      </c>
      <c r="AR286" t="s">
        <v>1</v>
      </c>
      <c r="AT286" s="2" t="s">
        <v>0</v>
      </c>
      <c r="AU286" s="1" t="e">
        <f t="shared" si="37"/>
        <v>#VALUE!</v>
      </c>
      <c r="AV286" s="1" t="e">
        <f t="shared" si="38"/>
        <v>#VALUE!</v>
      </c>
      <c r="AW286" s="1" t="e">
        <f t="shared" si="39"/>
        <v>#VALUE!</v>
      </c>
    </row>
    <row r="287" spans="1:49" x14ac:dyDescent="0.2">
      <c r="A287">
        <v>285</v>
      </c>
      <c r="B287" t="s">
        <v>6793</v>
      </c>
      <c r="C287" t="s">
        <v>6792</v>
      </c>
      <c r="D287" t="s">
        <v>6791</v>
      </c>
      <c r="F287" t="s">
        <v>6790</v>
      </c>
      <c r="G287" t="s">
        <v>5</v>
      </c>
      <c r="H287" t="s">
        <v>4</v>
      </c>
      <c r="I287" t="s">
        <v>6789</v>
      </c>
      <c r="J287" t="s">
        <v>6788</v>
      </c>
      <c r="K287" t="s">
        <v>6787</v>
      </c>
      <c r="L287" t="s">
        <v>6786</v>
      </c>
      <c r="M287" t="s">
        <v>364</v>
      </c>
      <c r="N287">
        <v>3</v>
      </c>
      <c r="O287" t="s">
        <v>6785</v>
      </c>
      <c r="P287" t="s">
        <v>6784</v>
      </c>
      <c r="Q287" t="s">
        <v>6783</v>
      </c>
      <c r="R287" s="7">
        <v>36130</v>
      </c>
      <c r="S287" s="8">
        <f t="shared" si="32"/>
        <v>1998</v>
      </c>
      <c r="T287" s="8">
        <v>1998</v>
      </c>
      <c r="U287" s="8">
        <f t="shared" si="33"/>
        <v>24</v>
      </c>
      <c r="V287" s="7">
        <v>1998</v>
      </c>
      <c r="W287" t="s">
        <v>649</v>
      </c>
      <c r="X287" s="2">
        <v>1.6519999999999999</v>
      </c>
      <c r="Y287" s="6">
        <f t="shared" si="34"/>
        <v>4.409919649769093E-2</v>
      </c>
      <c r="AA287" t="s">
        <v>648</v>
      </c>
      <c r="AB287">
        <v>17337</v>
      </c>
      <c r="AD287" t="s">
        <v>2</v>
      </c>
      <c r="AE287">
        <v>46</v>
      </c>
      <c r="AF287">
        <v>9</v>
      </c>
      <c r="AH287" t="s">
        <v>6782</v>
      </c>
      <c r="AI287" t="s">
        <v>6781</v>
      </c>
      <c r="AJ287" t="s">
        <v>6780</v>
      </c>
      <c r="AK287" t="s">
        <v>6779</v>
      </c>
      <c r="AL287">
        <v>111</v>
      </c>
      <c r="AM287" s="5">
        <f t="shared" si="35"/>
        <v>4.625</v>
      </c>
      <c r="AN287" s="4">
        <f t="shared" si="36"/>
        <v>7.0049223778871636E-3</v>
      </c>
      <c r="AO287" s="3"/>
      <c r="AP287">
        <v>0</v>
      </c>
      <c r="AR287" t="s">
        <v>1</v>
      </c>
      <c r="AT287" s="2" t="s">
        <v>0</v>
      </c>
      <c r="AU287" s="1">
        <f t="shared" si="37"/>
        <v>3.2970914261749797</v>
      </c>
      <c r="AV287" s="1">
        <f t="shared" si="38"/>
        <v>2.5552059437789048</v>
      </c>
      <c r="AW287" s="1">
        <f t="shared" si="39"/>
        <v>1.8133204613828293</v>
      </c>
    </row>
    <row r="288" spans="1:49" x14ac:dyDescent="0.2">
      <c r="A288">
        <v>286</v>
      </c>
      <c r="B288" t="s">
        <v>6778</v>
      </c>
      <c r="C288" t="s">
        <v>6777</v>
      </c>
      <c r="D288" t="s">
        <v>6776</v>
      </c>
      <c r="F288" t="s">
        <v>6775</v>
      </c>
      <c r="G288" t="s">
        <v>5</v>
      </c>
      <c r="H288" t="s">
        <v>4</v>
      </c>
      <c r="I288" t="s">
        <v>6774</v>
      </c>
      <c r="J288" t="s">
        <v>6773</v>
      </c>
      <c r="K288" t="s">
        <v>6772</v>
      </c>
      <c r="L288" t="s">
        <v>6771</v>
      </c>
      <c r="M288" t="s">
        <v>637</v>
      </c>
      <c r="N288">
        <v>3</v>
      </c>
      <c r="O288" t="s">
        <v>6770</v>
      </c>
      <c r="P288" t="s">
        <v>6769</v>
      </c>
      <c r="Q288" t="s">
        <v>6768</v>
      </c>
      <c r="R288" s="7">
        <v>36130</v>
      </c>
      <c r="S288" s="8">
        <f t="shared" si="32"/>
        <v>1998</v>
      </c>
      <c r="T288" s="8">
        <v>1998</v>
      </c>
      <c r="U288" s="8">
        <f t="shared" si="33"/>
        <v>24</v>
      </c>
      <c r="V288" s="7">
        <v>1998</v>
      </c>
      <c r="W288" t="s">
        <v>649</v>
      </c>
      <c r="X288" s="2">
        <v>1.6519999999999999</v>
      </c>
      <c r="Y288" s="6">
        <f t="shared" si="34"/>
        <v>4.409919649769093E-2</v>
      </c>
      <c r="AA288" t="s">
        <v>648</v>
      </c>
      <c r="AB288">
        <v>17337</v>
      </c>
      <c r="AD288" t="s">
        <v>2</v>
      </c>
      <c r="AE288">
        <v>46</v>
      </c>
      <c r="AF288">
        <v>9</v>
      </c>
      <c r="AH288" t="s">
        <v>6767</v>
      </c>
      <c r="AI288" t="s">
        <v>6766</v>
      </c>
      <c r="AJ288" t="s">
        <v>4850</v>
      </c>
      <c r="AK288" t="s">
        <v>6765</v>
      </c>
      <c r="AL288">
        <v>423</v>
      </c>
      <c r="AM288" s="5">
        <f t="shared" si="35"/>
        <v>17.625</v>
      </c>
      <c r="AN288" s="4">
        <f t="shared" si="36"/>
        <v>2.6694433926542978E-2</v>
      </c>
      <c r="AO288" s="3"/>
      <c r="AP288">
        <v>0</v>
      </c>
      <c r="AR288" t="s">
        <v>1</v>
      </c>
      <c r="AT288" s="2" t="s">
        <v>0</v>
      </c>
      <c r="AU288" s="1">
        <f t="shared" si="37"/>
        <v>3.8877767726346546</v>
      </c>
      <c r="AV288" s="1">
        <f t="shared" si="38"/>
        <v>3.5396815212116954</v>
      </c>
      <c r="AW288" s="1">
        <f t="shared" si="39"/>
        <v>3.1915862697887363</v>
      </c>
    </row>
    <row r="289" spans="1:49" x14ac:dyDescent="0.2">
      <c r="A289">
        <v>287</v>
      </c>
      <c r="B289" t="s">
        <v>6764</v>
      </c>
      <c r="C289" t="s">
        <v>6763</v>
      </c>
      <c r="D289" t="s">
        <v>6762</v>
      </c>
      <c r="F289" t="s">
        <v>6761</v>
      </c>
      <c r="G289" t="s">
        <v>5</v>
      </c>
      <c r="H289" t="s">
        <v>4</v>
      </c>
      <c r="I289" t="s">
        <v>6760</v>
      </c>
      <c r="J289">
        <v>60003500</v>
      </c>
      <c r="K289" t="s">
        <v>1656</v>
      </c>
      <c r="L289" t="s">
        <v>1655</v>
      </c>
      <c r="M289" t="s">
        <v>9</v>
      </c>
      <c r="N289">
        <v>2</v>
      </c>
      <c r="O289" t="s">
        <v>6759</v>
      </c>
      <c r="P289" t="s">
        <v>6758</v>
      </c>
      <c r="Q289" t="s">
        <v>1652</v>
      </c>
      <c r="R289" s="7">
        <v>36130</v>
      </c>
      <c r="S289" s="8">
        <f t="shared" si="32"/>
        <v>1998</v>
      </c>
      <c r="T289" s="8">
        <v>1998</v>
      </c>
      <c r="U289" s="8">
        <f t="shared" si="33"/>
        <v>24</v>
      </c>
      <c r="V289" s="7">
        <v>1998</v>
      </c>
      <c r="W289" t="s">
        <v>649</v>
      </c>
      <c r="X289" s="2">
        <v>1.6519999999999999</v>
      </c>
      <c r="Y289" s="6">
        <f t="shared" si="34"/>
        <v>4.409919649769093E-2</v>
      </c>
      <c r="AA289" t="s">
        <v>648</v>
      </c>
      <c r="AB289">
        <v>17337</v>
      </c>
      <c r="AD289" t="s">
        <v>2</v>
      </c>
      <c r="AE289">
        <v>46</v>
      </c>
      <c r="AF289">
        <v>9</v>
      </c>
      <c r="AH289" t="s">
        <v>6757</v>
      </c>
      <c r="AI289" t="s">
        <v>6756</v>
      </c>
      <c r="AJ289" t="s">
        <v>6755</v>
      </c>
      <c r="AK289" t="s">
        <v>6754</v>
      </c>
      <c r="AL289">
        <v>3</v>
      </c>
      <c r="AM289" s="5">
        <f t="shared" si="35"/>
        <v>0.125</v>
      </c>
      <c r="AN289" s="4">
        <f t="shared" si="36"/>
        <v>1.893222264293828E-4</v>
      </c>
      <c r="AO289" s="3"/>
      <c r="AP289">
        <v>0</v>
      </c>
      <c r="AR289" t="s">
        <v>6753</v>
      </c>
      <c r="AT289" s="2" t="s">
        <v>0</v>
      </c>
      <c r="AU289" s="1">
        <f t="shared" si="37"/>
        <v>3.0926234216312465</v>
      </c>
      <c r="AV289" s="1">
        <f t="shared" si="38"/>
        <v>2.2144259362060157</v>
      </c>
      <c r="AW289" s="1">
        <f t="shared" si="39"/>
        <v>1.3362284507807847</v>
      </c>
    </row>
    <row r="290" spans="1:49" x14ac:dyDescent="0.2">
      <c r="A290">
        <v>288</v>
      </c>
      <c r="B290" t="s">
        <v>6752</v>
      </c>
      <c r="C290" t="s">
        <v>6751</v>
      </c>
      <c r="D290" t="s">
        <v>6750</v>
      </c>
      <c r="F290" t="s">
        <v>6749</v>
      </c>
      <c r="G290" t="s">
        <v>5</v>
      </c>
      <c r="H290" t="s">
        <v>4</v>
      </c>
      <c r="I290" t="s">
        <v>6748</v>
      </c>
      <c r="J290">
        <v>60074719</v>
      </c>
      <c r="K290" t="s">
        <v>5197</v>
      </c>
      <c r="L290" t="s">
        <v>5196</v>
      </c>
      <c r="M290" t="s">
        <v>9</v>
      </c>
      <c r="N290">
        <v>3</v>
      </c>
      <c r="O290" t="s">
        <v>6747</v>
      </c>
      <c r="P290" t="s">
        <v>6746</v>
      </c>
      <c r="Q290" t="s">
        <v>6745</v>
      </c>
      <c r="R290" s="7">
        <v>36130</v>
      </c>
      <c r="S290" s="8">
        <f t="shared" si="32"/>
        <v>1998</v>
      </c>
      <c r="T290" s="8">
        <v>1998</v>
      </c>
      <c r="U290" s="8">
        <f t="shared" si="33"/>
        <v>24</v>
      </c>
      <c r="V290" s="7">
        <v>1998</v>
      </c>
      <c r="W290" t="s">
        <v>492</v>
      </c>
      <c r="X290" s="2">
        <v>0.78200000000000003</v>
      </c>
      <c r="Y290" s="6">
        <f t="shared" si="34"/>
        <v>2.0875043378446919E-2</v>
      </c>
      <c r="AA290">
        <v>189316</v>
      </c>
      <c r="AB290">
        <v>19901</v>
      </c>
      <c r="AD290" t="s">
        <v>2</v>
      </c>
      <c r="AE290">
        <v>44</v>
      </c>
      <c r="AF290">
        <v>3</v>
      </c>
      <c r="AH290" t="s">
        <v>6744</v>
      </c>
      <c r="AL290">
        <v>1</v>
      </c>
      <c r="AM290" s="5">
        <f t="shared" si="35"/>
        <v>4.1666666666666664E-2</v>
      </c>
      <c r="AN290" s="4">
        <f t="shared" si="36"/>
        <v>6.3107408809794262E-5</v>
      </c>
      <c r="AO290" s="3"/>
      <c r="AP290">
        <v>0</v>
      </c>
      <c r="AR290" t="s">
        <v>1</v>
      </c>
      <c r="AT290" s="2">
        <v>3.863</v>
      </c>
      <c r="AU290" s="1">
        <f t="shared" si="37"/>
        <v>1.4631462587555779</v>
      </c>
      <c r="AV290" s="1">
        <f t="shared" si="38"/>
        <v>1.0469075393628358</v>
      </c>
      <c r="AW290" s="1">
        <f t="shared" si="39"/>
        <v>0.63066881997009316</v>
      </c>
    </row>
    <row r="291" spans="1:49" x14ac:dyDescent="0.2">
      <c r="A291">
        <v>289</v>
      </c>
      <c r="B291" t="s">
        <v>6743</v>
      </c>
      <c r="C291" t="s">
        <v>6742</v>
      </c>
      <c r="D291" t="s">
        <v>6741</v>
      </c>
      <c r="F291" t="s">
        <v>6740</v>
      </c>
      <c r="G291" t="s">
        <v>5</v>
      </c>
      <c r="H291" t="s">
        <v>4</v>
      </c>
      <c r="I291" t="s">
        <v>6739</v>
      </c>
      <c r="J291">
        <v>60016248</v>
      </c>
      <c r="K291" t="s">
        <v>6738</v>
      </c>
      <c r="L291" t="s">
        <v>6737</v>
      </c>
      <c r="M291" t="s">
        <v>6736</v>
      </c>
      <c r="N291">
        <v>1</v>
      </c>
      <c r="O291" t="s">
        <v>6735</v>
      </c>
      <c r="P291">
        <v>6506152046</v>
      </c>
      <c r="Q291">
        <v>60016248</v>
      </c>
      <c r="R291" s="7">
        <v>36130</v>
      </c>
      <c r="S291" s="8">
        <f t="shared" si="32"/>
        <v>1998</v>
      </c>
      <c r="T291" s="8">
        <v>1998</v>
      </c>
      <c r="U291" s="8">
        <f t="shared" si="33"/>
        <v>24</v>
      </c>
      <c r="V291" s="7">
        <v>1998</v>
      </c>
      <c r="W291" t="s">
        <v>303</v>
      </c>
      <c r="X291" s="2">
        <v>1.3720000000000001</v>
      </c>
      <c r="Y291" s="6">
        <f t="shared" si="34"/>
        <v>3.662475641333654E-2</v>
      </c>
      <c r="AA291">
        <v>189480</v>
      </c>
      <c r="AB291">
        <v>17366</v>
      </c>
      <c r="AD291" t="s">
        <v>2</v>
      </c>
      <c r="AE291">
        <v>46</v>
      </c>
      <c r="AF291">
        <v>9</v>
      </c>
      <c r="AH291" t="s">
        <v>6734</v>
      </c>
      <c r="AI291" t="s">
        <v>6733</v>
      </c>
      <c r="AJ291" t="s">
        <v>6732</v>
      </c>
      <c r="AK291" t="s">
        <v>6731</v>
      </c>
      <c r="AL291">
        <v>6</v>
      </c>
      <c r="AM291" s="5">
        <f t="shared" si="35"/>
        <v>0.25</v>
      </c>
      <c r="AN291" s="4">
        <f t="shared" si="36"/>
        <v>3.786444528587656E-4</v>
      </c>
      <c r="AO291" s="3"/>
      <c r="AP291">
        <v>0</v>
      </c>
      <c r="AR291" t="s">
        <v>1</v>
      </c>
      <c r="AT291" s="2" t="s">
        <v>0</v>
      </c>
      <c r="AU291" s="1">
        <f t="shared" si="37"/>
        <v>2.5750922825193205</v>
      </c>
      <c r="AV291" s="1">
        <f t="shared" si="38"/>
        <v>1.8501700433097654</v>
      </c>
      <c r="AW291" s="1">
        <f t="shared" si="39"/>
        <v>1.1252478041002099</v>
      </c>
    </row>
    <row r="292" spans="1:49" x14ac:dyDescent="0.2">
      <c r="A292">
        <v>290</v>
      </c>
      <c r="B292" t="s">
        <v>6730</v>
      </c>
      <c r="C292" t="s">
        <v>6729</v>
      </c>
      <c r="D292" t="s">
        <v>6728</v>
      </c>
      <c r="F292" t="s">
        <v>6727</v>
      </c>
      <c r="G292" t="s">
        <v>5</v>
      </c>
      <c r="H292" t="s">
        <v>4</v>
      </c>
      <c r="I292" t="s">
        <v>6726</v>
      </c>
      <c r="J292">
        <v>60103653</v>
      </c>
      <c r="K292" t="s">
        <v>6585</v>
      </c>
      <c r="L292" t="s">
        <v>427</v>
      </c>
      <c r="M292" t="s">
        <v>155</v>
      </c>
      <c r="N292">
        <v>2</v>
      </c>
      <c r="O292" t="s">
        <v>6725</v>
      </c>
      <c r="P292" t="s">
        <v>6724</v>
      </c>
      <c r="Q292" t="s">
        <v>6723</v>
      </c>
      <c r="R292" s="7">
        <v>36130</v>
      </c>
      <c r="S292" s="8">
        <f t="shared" si="32"/>
        <v>1998</v>
      </c>
      <c r="T292" s="8">
        <v>1998</v>
      </c>
      <c r="U292" s="8">
        <f t="shared" si="33"/>
        <v>24</v>
      </c>
      <c r="V292" s="7">
        <v>1998</v>
      </c>
      <c r="W292" t="s">
        <v>649</v>
      </c>
      <c r="X292" s="2">
        <v>1.6519999999999999</v>
      </c>
      <c r="Y292" s="6">
        <f t="shared" si="34"/>
        <v>4.409919649769093E-2</v>
      </c>
      <c r="AA292" t="s">
        <v>648</v>
      </c>
      <c r="AB292">
        <v>17337</v>
      </c>
      <c r="AD292" t="s">
        <v>2</v>
      </c>
      <c r="AE292">
        <v>46</v>
      </c>
      <c r="AF292">
        <v>9</v>
      </c>
      <c r="AH292" t="s">
        <v>6722</v>
      </c>
      <c r="AI292" t="s">
        <v>6721</v>
      </c>
      <c r="AJ292" t="s">
        <v>6720</v>
      </c>
      <c r="AK292" t="s">
        <v>6719</v>
      </c>
      <c r="AL292">
        <v>31</v>
      </c>
      <c r="AM292" s="5">
        <f t="shared" si="35"/>
        <v>1.2916666666666667</v>
      </c>
      <c r="AN292" s="4">
        <f t="shared" si="36"/>
        <v>1.9563296731036225E-3</v>
      </c>
      <c r="AO292" s="3"/>
      <c r="AP292">
        <v>0</v>
      </c>
      <c r="AR292" t="s">
        <v>1</v>
      </c>
      <c r="AT292" s="2" t="s">
        <v>0</v>
      </c>
      <c r="AU292" s="1">
        <f t="shared" si="37"/>
        <v>3.1456336450314737</v>
      </c>
      <c r="AV292" s="1">
        <f t="shared" si="38"/>
        <v>2.3027763085397277</v>
      </c>
      <c r="AW292" s="1">
        <f t="shared" si="39"/>
        <v>1.4599189720479813</v>
      </c>
    </row>
    <row r="293" spans="1:49" x14ac:dyDescent="0.2">
      <c r="A293">
        <v>291</v>
      </c>
      <c r="B293" t="s">
        <v>6718</v>
      </c>
      <c r="C293" t="s">
        <v>6717</v>
      </c>
      <c r="D293" t="s">
        <v>6716</v>
      </c>
      <c r="F293" t="s">
        <v>6715</v>
      </c>
      <c r="G293" t="s">
        <v>5</v>
      </c>
      <c r="H293" t="s">
        <v>4</v>
      </c>
      <c r="I293" t="s">
        <v>6714</v>
      </c>
      <c r="J293">
        <v>60003892</v>
      </c>
      <c r="K293" t="s">
        <v>47</v>
      </c>
      <c r="L293" t="s">
        <v>46</v>
      </c>
      <c r="M293" t="s">
        <v>9</v>
      </c>
      <c r="N293">
        <v>4</v>
      </c>
      <c r="O293" t="s">
        <v>6713</v>
      </c>
      <c r="P293" t="s">
        <v>6712</v>
      </c>
      <c r="Q293" t="s">
        <v>218</v>
      </c>
      <c r="R293" s="7">
        <v>36130</v>
      </c>
      <c r="S293" s="8">
        <f t="shared" si="32"/>
        <v>1998</v>
      </c>
      <c r="T293" s="8">
        <v>1998</v>
      </c>
      <c r="U293" s="8">
        <f t="shared" si="33"/>
        <v>24</v>
      </c>
      <c r="V293" s="7">
        <v>1998</v>
      </c>
      <c r="W293" t="s">
        <v>649</v>
      </c>
      <c r="X293" s="2">
        <v>1.6519999999999999</v>
      </c>
      <c r="Y293" s="6">
        <f t="shared" si="34"/>
        <v>4.409919649769093E-2</v>
      </c>
      <c r="AA293" t="s">
        <v>648</v>
      </c>
      <c r="AB293">
        <v>17337</v>
      </c>
      <c r="AD293" t="s">
        <v>2</v>
      </c>
      <c r="AE293">
        <v>46</v>
      </c>
      <c r="AF293">
        <v>9</v>
      </c>
      <c r="AH293" t="s">
        <v>6711</v>
      </c>
      <c r="AI293" t="s">
        <v>6710</v>
      </c>
      <c r="AJ293" t="s">
        <v>6709</v>
      </c>
      <c r="AK293" t="s">
        <v>6708</v>
      </c>
      <c r="AL293">
        <v>30</v>
      </c>
      <c r="AM293" s="5">
        <f t="shared" si="35"/>
        <v>1.25</v>
      </c>
      <c r="AN293" s="4">
        <f t="shared" si="36"/>
        <v>1.8932222642938281E-3</v>
      </c>
      <c r="AO293" s="3"/>
      <c r="AP293">
        <v>0</v>
      </c>
      <c r="AQ293" t="s">
        <v>350</v>
      </c>
      <c r="AR293" t="s">
        <v>6707</v>
      </c>
      <c r="AS293" t="s">
        <v>349</v>
      </c>
      <c r="AT293" s="2" t="s">
        <v>0</v>
      </c>
      <c r="AU293" s="1">
        <f t="shared" si="37"/>
        <v>3.1437404227671801</v>
      </c>
      <c r="AV293" s="1">
        <f t="shared" si="38"/>
        <v>2.2996209380992378</v>
      </c>
      <c r="AW293" s="1">
        <f t="shared" si="39"/>
        <v>1.4555014534312958</v>
      </c>
    </row>
    <row r="294" spans="1:49" x14ac:dyDescent="0.2">
      <c r="A294">
        <v>292</v>
      </c>
      <c r="B294" t="s">
        <v>6706</v>
      </c>
      <c r="C294" t="s">
        <v>6705</v>
      </c>
      <c r="D294" t="s">
        <v>6704</v>
      </c>
      <c r="F294" t="s">
        <v>6703</v>
      </c>
      <c r="G294" t="s">
        <v>5</v>
      </c>
      <c r="H294" t="s">
        <v>4</v>
      </c>
      <c r="I294" t="s">
        <v>6702</v>
      </c>
      <c r="J294">
        <v>60000745</v>
      </c>
      <c r="K294" t="s">
        <v>267</v>
      </c>
      <c r="L294" t="s">
        <v>266</v>
      </c>
      <c r="M294" t="s">
        <v>9</v>
      </c>
      <c r="N294">
        <v>2</v>
      </c>
      <c r="O294" t="s">
        <v>6701</v>
      </c>
      <c r="P294" t="s">
        <v>6700</v>
      </c>
      <c r="Q294" t="s">
        <v>469</v>
      </c>
      <c r="R294" s="7">
        <v>36130</v>
      </c>
      <c r="S294" s="8">
        <f t="shared" si="32"/>
        <v>1998</v>
      </c>
      <c r="T294" s="8">
        <v>1998</v>
      </c>
      <c r="U294" s="8">
        <f t="shared" si="33"/>
        <v>24</v>
      </c>
      <c r="V294" s="7">
        <v>1998</v>
      </c>
      <c r="W294" t="s">
        <v>649</v>
      </c>
      <c r="X294" s="2">
        <v>1.6519999999999999</v>
      </c>
      <c r="Y294" s="6">
        <f t="shared" si="34"/>
        <v>4.409919649769093E-2</v>
      </c>
      <c r="AA294" t="s">
        <v>648</v>
      </c>
      <c r="AB294">
        <v>17337</v>
      </c>
      <c r="AD294" t="s">
        <v>2</v>
      </c>
      <c r="AE294">
        <v>46</v>
      </c>
      <c r="AF294">
        <v>9</v>
      </c>
      <c r="AH294" t="s">
        <v>6699</v>
      </c>
      <c r="AI294" t="s">
        <v>6698</v>
      </c>
      <c r="AJ294" t="s">
        <v>6697</v>
      </c>
      <c r="AK294" t="s">
        <v>6696</v>
      </c>
      <c r="AL294">
        <v>41</v>
      </c>
      <c r="AM294" s="5">
        <f t="shared" si="35"/>
        <v>1.7083333333333333</v>
      </c>
      <c r="AN294" s="4">
        <f t="shared" si="36"/>
        <v>2.5874037612015652E-3</v>
      </c>
      <c r="AO294" s="3"/>
      <c r="AP294">
        <v>0</v>
      </c>
      <c r="AQ294" t="s">
        <v>17</v>
      </c>
      <c r="AR294" t="s">
        <v>468</v>
      </c>
      <c r="AS294" t="s">
        <v>16</v>
      </c>
      <c r="AT294" s="2" t="s">
        <v>0</v>
      </c>
      <c r="AU294" s="1">
        <f t="shared" si="37"/>
        <v>3.1645658676744119</v>
      </c>
      <c r="AV294" s="1">
        <f t="shared" si="38"/>
        <v>2.3343300129446245</v>
      </c>
      <c r="AW294" s="1">
        <f t="shared" si="39"/>
        <v>1.5040941582148373</v>
      </c>
    </row>
    <row r="295" spans="1:49" x14ac:dyDescent="0.2">
      <c r="A295">
        <v>293</v>
      </c>
      <c r="B295" t="s">
        <v>6695</v>
      </c>
      <c r="C295" t="s">
        <v>6694</v>
      </c>
      <c r="D295" t="s">
        <v>6693</v>
      </c>
      <c r="F295" t="s">
        <v>6692</v>
      </c>
      <c r="G295" t="s">
        <v>5</v>
      </c>
      <c r="H295" t="s">
        <v>4</v>
      </c>
      <c r="I295" t="s">
        <v>6691</v>
      </c>
      <c r="J295">
        <v>60015457</v>
      </c>
      <c r="K295" t="s">
        <v>6690</v>
      </c>
      <c r="L295" t="s">
        <v>6689</v>
      </c>
      <c r="M295" t="s">
        <v>9</v>
      </c>
      <c r="N295">
        <v>3</v>
      </c>
      <c r="O295" t="s">
        <v>6688</v>
      </c>
      <c r="P295" t="s">
        <v>6687</v>
      </c>
      <c r="Q295" t="s">
        <v>6686</v>
      </c>
      <c r="R295" s="7">
        <v>36130</v>
      </c>
      <c r="S295" s="8">
        <f t="shared" si="32"/>
        <v>1998</v>
      </c>
      <c r="T295" s="8">
        <v>1998</v>
      </c>
      <c r="U295" s="8">
        <f t="shared" si="33"/>
        <v>24</v>
      </c>
      <c r="V295" s="7">
        <v>1998</v>
      </c>
      <c r="W295" t="s">
        <v>4480</v>
      </c>
      <c r="X295" s="2">
        <v>2.141</v>
      </c>
      <c r="Y295" s="6">
        <f t="shared" si="34"/>
        <v>5.7152772216438434E-2</v>
      </c>
      <c r="AA295">
        <v>1962892</v>
      </c>
      <c r="AB295">
        <v>17360</v>
      </c>
      <c r="AD295" t="s">
        <v>2</v>
      </c>
      <c r="AE295">
        <v>36</v>
      </c>
      <c r="AF295" t="s">
        <v>5659</v>
      </c>
      <c r="AH295" t="s">
        <v>6685</v>
      </c>
      <c r="AI295" t="s">
        <v>6684</v>
      </c>
      <c r="AJ295" t="s">
        <v>6683</v>
      </c>
      <c r="AK295" t="s">
        <v>6682</v>
      </c>
      <c r="AL295">
        <v>12</v>
      </c>
      <c r="AM295" s="5">
        <f t="shared" si="35"/>
        <v>0.5</v>
      </c>
      <c r="AN295" s="4">
        <f t="shared" si="36"/>
        <v>7.572889057175312E-4</v>
      </c>
      <c r="AO295" s="3"/>
      <c r="AP295">
        <v>0</v>
      </c>
      <c r="AR295" t="s">
        <v>1</v>
      </c>
      <c r="AT295" s="2" t="s">
        <v>0</v>
      </c>
      <c r="AU295" s="1">
        <f t="shared" si="37"/>
        <v>4.0234127223222158</v>
      </c>
      <c r="AV295" s="1">
        <f t="shared" si="38"/>
        <v>2.8955030561077981</v>
      </c>
      <c r="AW295" s="1">
        <f t="shared" si="39"/>
        <v>1.7675933898933804</v>
      </c>
    </row>
    <row r="296" spans="1:49" x14ac:dyDescent="0.2">
      <c r="A296">
        <v>294</v>
      </c>
      <c r="B296" t="s">
        <v>6681</v>
      </c>
      <c r="C296" t="s">
        <v>6680</v>
      </c>
      <c r="D296" t="s">
        <v>6679</v>
      </c>
      <c r="F296" t="s">
        <v>6678</v>
      </c>
      <c r="G296" t="s">
        <v>5</v>
      </c>
      <c r="H296" t="s">
        <v>4</v>
      </c>
      <c r="I296" t="s">
        <v>498</v>
      </c>
      <c r="J296">
        <v>60031293</v>
      </c>
      <c r="K296" t="s">
        <v>528</v>
      </c>
      <c r="L296" t="s">
        <v>104</v>
      </c>
      <c r="M296" t="s">
        <v>12</v>
      </c>
      <c r="N296">
        <v>3</v>
      </c>
      <c r="O296" t="s">
        <v>527</v>
      </c>
      <c r="P296" t="s">
        <v>526</v>
      </c>
      <c r="Q296" t="s">
        <v>525</v>
      </c>
      <c r="R296" s="7">
        <v>36130</v>
      </c>
      <c r="S296" s="8">
        <f t="shared" si="32"/>
        <v>1998</v>
      </c>
      <c r="T296" s="8">
        <v>1998</v>
      </c>
      <c r="U296" s="8">
        <f t="shared" si="33"/>
        <v>24</v>
      </c>
      <c r="V296" s="7">
        <v>1998</v>
      </c>
      <c r="W296" t="s">
        <v>649</v>
      </c>
      <c r="X296" s="2">
        <v>1.6519999999999999</v>
      </c>
      <c r="Y296" s="6">
        <f t="shared" si="34"/>
        <v>4.409919649769093E-2</v>
      </c>
      <c r="AA296" t="s">
        <v>648</v>
      </c>
      <c r="AB296">
        <v>17337</v>
      </c>
      <c r="AD296" t="s">
        <v>2</v>
      </c>
      <c r="AE296">
        <v>46</v>
      </c>
      <c r="AF296">
        <v>9</v>
      </c>
      <c r="AH296" t="s">
        <v>6677</v>
      </c>
      <c r="AI296" t="s">
        <v>6676</v>
      </c>
      <c r="AJ296" t="s">
        <v>4850</v>
      </c>
      <c r="AK296" t="s">
        <v>6675</v>
      </c>
      <c r="AL296">
        <v>2</v>
      </c>
      <c r="AM296" s="5">
        <f t="shared" si="35"/>
        <v>8.3333333333333329E-2</v>
      </c>
      <c r="AN296" s="4">
        <f t="shared" si="36"/>
        <v>1.2621481761958852E-4</v>
      </c>
      <c r="AO296" s="3"/>
      <c r="AP296">
        <v>0</v>
      </c>
      <c r="AR296" t="s">
        <v>1</v>
      </c>
      <c r="AT296" s="2" t="s">
        <v>0</v>
      </c>
      <c r="AU296" s="1">
        <f t="shared" si="37"/>
        <v>3.0907301993669525</v>
      </c>
      <c r="AV296" s="1">
        <f t="shared" si="38"/>
        <v>2.2112705657655258</v>
      </c>
      <c r="AW296" s="1">
        <f t="shared" si="39"/>
        <v>1.331810932164099</v>
      </c>
    </row>
    <row r="297" spans="1:49" x14ac:dyDescent="0.2">
      <c r="A297">
        <v>295</v>
      </c>
      <c r="B297" t="s">
        <v>6674</v>
      </c>
      <c r="C297" t="s">
        <v>6673</v>
      </c>
      <c r="F297" t="s">
        <v>6672</v>
      </c>
      <c r="G297" t="s">
        <v>5</v>
      </c>
      <c r="H297" t="s">
        <v>4</v>
      </c>
      <c r="I297" t="s">
        <v>6671</v>
      </c>
      <c r="J297">
        <v>60018163</v>
      </c>
      <c r="K297" t="s">
        <v>278</v>
      </c>
      <c r="L297" t="s">
        <v>277</v>
      </c>
      <c r="M297" t="s">
        <v>276</v>
      </c>
      <c r="N297">
        <v>1</v>
      </c>
      <c r="O297" t="s">
        <v>6670</v>
      </c>
      <c r="P297">
        <v>54681212800</v>
      </c>
      <c r="Q297">
        <v>60018163</v>
      </c>
      <c r="R297" s="7">
        <v>36130</v>
      </c>
      <c r="S297" s="8">
        <f t="shared" si="32"/>
        <v>1998</v>
      </c>
      <c r="T297" s="8">
        <v>1998</v>
      </c>
      <c r="U297" s="8">
        <f t="shared" si="33"/>
        <v>24</v>
      </c>
      <c r="V297" s="7">
        <v>1998</v>
      </c>
      <c r="W297" t="s">
        <v>5801</v>
      </c>
      <c r="X297" s="2">
        <v>1.159</v>
      </c>
      <c r="Y297" s="6">
        <f t="shared" si="34"/>
        <v>3.093884306345266E-2</v>
      </c>
      <c r="AA297">
        <v>8853010</v>
      </c>
      <c r="AB297">
        <v>12998</v>
      </c>
      <c r="AD297" t="s">
        <v>2</v>
      </c>
      <c r="AE297">
        <v>45</v>
      </c>
      <c r="AF297">
        <v>5</v>
      </c>
      <c r="AH297" t="s">
        <v>6669</v>
      </c>
      <c r="AL297">
        <v>13</v>
      </c>
      <c r="AM297" s="5">
        <f t="shared" si="35"/>
        <v>0.54166666666666663</v>
      </c>
      <c r="AN297" s="4">
        <f t="shared" si="36"/>
        <v>8.2039631452732545E-4</v>
      </c>
      <c r="AO297" s="3"/>
      <c r="AP297">
        <v>0</v>
      </c>
      <c r="AR297" t="s">
        <v>1</v>
      </c>
      <c r="AT297" s="2" t="s">
        <v>0</v>
      </c>
      <c r="AU297" s="1">
        <f t="shared" si="37"/>
        <v>2.1903309038775061</v>
      </c>
      <c r="AV297" s="1">
        <f t="shared" si="38"/>
        <v>1.5879619688989994</v>
      </c>
      <c r="AW297" s="1">
        <f t="shared" si="39"/>
        <v>0.98559303392049269</v>
      </c>
    </row>
    <row r="298" spans="1:49" x14ac:dyDescent="0.2">
      <c r="A298">
        <v>296</v>
      </c>
      <c r="B298" t="s">
        <v>6668</v>
      </c>
      <c r="C298" t="s">
        <v>6667</v>
      </c>
      <c r="D298" t="s">
        <v>6666</v>
      </c>
      <c r="F298" t="s">
        <v>6665</v>
      </c>
      <c r="G298" t="s">
        <v>5</v>
      </c>
      <c r="H298" t="s">
        <v>4</v>
      </c>
      <c r="I298" t="s">
        <v>6664</v>
      </c>
      <c r="J298">
        <v>60030551</v>
      </c>
      <c r="K298" t="s">
        <v>6663</v>
      </c>
      <c r="L298" t="s">
        <v>6662</v>
      </c>
      <c r="M298" t="s">
        <v>9</v>
      </c>
      <c r="N298">
        <v>2</v>
      </c>
      <c r="O298" t="s">
        <v>6661</v>
      </c>
      <c r="P298" t="s">
        <v>6660</v>
      </c>
      <c r="Q298" t="s">
        <v>6659</v>
      </c>
      <c r="R298" s="7">
        <v>36130</v>
      </c>
      <c r="S298" s="8">
        <f t="shared" si="32"/>
        <v>1998</v>
      </c>
      <c r="T298" s="8">
        <v>1998</v>
      </c>
      <c r="U298" s="8">
        <f t="shared" si="33"/>
        <v>24</v>
      </c>
      <c r="V298" s="7">
        <v>1998</v>
      </c>
      <c r="W298" t="s">
        <v>303</v>
      </c>
      <c r="X298" s="2">
        <v>1.3720000000000001</v>
      </c>
      <c r="Y298" s="6">
        <f t="shared" si="34"/>
        <v>3.662475641333654E-2</v>
      </c>
      <c r="AA298">
        <v>189480</v>
      </c>
      <c r="AB298">
        <v>17366</v>
      </c>
      <c r="AD298" t="s">
        <v>2</v>
      </c>
      <c r="AE298">
        <v>46</v>
      </c>
      <c r="AF298">
        <v>8</v>
      </c>
      <c r="AH298" t="s">
        <v>6658</v>
      </c>
      <c r="AI298" t="s">
        <v>6657</v>
      </c>
      <c r="AJ298" t="s">
        <v>6656</v>
      </c>
      <c r="AK298" t="s">
        <v>6655</v>
      </c>
      <c r="AL298">
        <v>11</v>
      </c>
      <c r="AM298" s="5">
        <f t="shared" si="35"/>
        <v>0.45833333333333331</v>
      </c>
      <c r="AN298" s="4">
        <f t="shared" si="36"/>
        <v>6.9418149690773695E-4</v>
      </c>
      <c r="AO298" s="3"/>
      <c r="AP298">
        <v>0</v>
      </c>
      <c r="AQ298" t="s">
        <v>22</v>
      </c>
      <c r="AR298" t="s">
        <v>6654</v>
      </c>
      <c r="AS298" t="s">
        <v>21</v>
      </c>
      <c r="AT298" s="2" t="s">
        <v>0</v>
      </c>
      <c r="AU298" s="1">
        <f t="shared" si="37"/>
        <v>2.5845583938407897</v>
      </c>
      <c r="AV298" s="1">
        <f t="shared" si="38"/>
        <v>1.865946895512214</v>
      </c>
      <c r="AW298" s="1">
        <f t="shared" si="39"/>
        <v>1.1473353971836378</v>
      </c>
    </row>
    <row r="299" spans="1:49" x14ac:dyDescent="0.2">
      <c r="A299">
        <v>297</v>
      </c>
      <c r="B299" t="s">
        <v>6653</v>
      </c>
      <c r="C299" t="s">
        <v>6652</v>
      </c>
      <c r="D299" t="s">
        <v>6651</v>
      </c>
      <c r="F299" t="s">
        <v>6650</v>
      </c>
      <c r="G299" t="s">
        <v>5</v>
      </c>
      <c r="H299" t="s">
        <v>4</v>
      </c>
      <c r="I299" t="s">
        <v>6649</v>
      </c>
      <c r="J299">
        <v>60019984</v>
      </c>
      <c r="K299" t="s">
        <v>6648</v>
      </c>
      <c r="L299" t="s">
        <v>6647</v>
      </c>
      <c r="M299" t="s">
        <v>182</v>
      </c>
      <c r="N299">
        <v>3</v>
      </c>
      <c r="O299" t="s">
        <v>6646</v>
      </c>
      <c r="P299" t="s">
        <v>6645</v>
      </c>
      <c r="Q299" t="s">
        <v>6644</v>
      </c>
      <c r="R299" s="7">
        <v>36130</v>
      </c>
      <c r="S299" s="8">
        <f t="shared" si="32"/>
        <v>1998</v>
      </c>
      <c r="T299" s="8">
        <v>1998</v>
      </c>
      <c r="U299" s="8">
        <f t="shared" si="33"/>
        <v>24</v>
      </c>
      <c r="V299" s="7">
        <v>1998</v>
      </c>
      <c r="W299" t="s">
        <v>649</v>
      </c>
      <c r="X299" s="2">
        <v>1.6519999999999999</v>
      </c>
      <c r="Y299" s="6">
        <f t="shared" si="34"/>
        <v>4.409919649769093E-2</v>
      </c>
      <c r="AA299" t="s">
        <v>648</v>
      </c>
      <c r="AB299">
        <v>17337</v>
      </c>
      <c r="AD299" t="s">
        <v>2</v>
      </c>
      <c r="AE299">
        <v>46</v>
      </c>
      <c r="AF299">
        <v>8</v>
      </c>
      <c r="AH299" t="s">
        <v>6643</v>
      </c>
      <c r="AI299" t="s">
        <v>6642</v>
      </c>
      <c r="AJ299" t="s">
        <v>6641</v>
      </c>
      <c r="AK299" t="s">
        <v>6640</v>
      </c>
      <c r="AL299">
        <v>26</v>
      </c>
      <c r="AM299" s="5">
        <f t="shared" si="35"/>
        <v>1.0833333333333333</v>
      </c>
      <c r="AN299" s="4">
        <f t="shared" si="36"/>
        <v>1.6407926290546509E-3</v>
      </c>
      <c r="AO299" s="3"/>
      <c r="AP299">
        <v>0</v>
      </c>
      <c r="AR299" t="s">
        <v>1</v>
      </c>
      <c r="AT299" s="2" t="s">
        <v>0</v>
      </c>
      <c r="AU299" s="1">
        <f t="shared" si="37"/>
        <v>3.1361675337100046</v>
      </c>
      <c r="AV299" s="1">
        <f t="shared" si="38"/>
        <v>2.2869994563372789</v>
      </c>
      <c r="AW299" s="1">
        <f t="shared" si="39"/>
        <v>1.4378313789645534</v>
      </c>
    </row>
    <row r="300" spans="1:49" x14ac:dyDescent="0.2">
      <c r="A300">
        <v>298</v>
      </c>
      <c r="B300" t="s">
        <v>6639</v>
      </c>
      <c r="C300" t="s">
        <v>6638</v>
      </c>
      <c r="F300" t="s">
        <v>6637</v>
      </c>
      <c r="G300" t="s">
        <v>5</v>
      </c>
      <c r="H300" t="s">
        <v>4</v>
      </c>
      <c r="I300" t="s">
        <v>6636</v>
      </c>
      <c r="J300">
        <v>100740544</v>
      </c>
      <c r="K300" t="s">
        <v>6635</v>
      </c>
      <c r="M300" t="s">
        <v>9</v>
      </c>
      <c r="N300">
        <v>1</v>
      </c>
      <c r="O300" t="s">
        <v>6634</v>
      </c>
      <c r="P300">
        <v>7202715935</v>
      </c>
      <c r="Q300">
        <v>100740544</v>
      </c>
      <c r="R300" s="7">
        <v>36130</v>
      </c>
      <c r="S300" s="8">
        <f t="shared" si="32"/>
        <v>1998</v>
      </c>
      <c r="T300" s="8">
        <v>1998</v>
      </c>
      <c r="U300" s="8">
        <f t="shared" si="33"/>
        <v>24</v>
      </c>
      <c r="V300" s="7">
        <v>1998</v>
      </c>
      <c r="W300" t="s">
        <v>4001</v>
      </c>
      <c r="X300" s="2">
        <v>1.365</v>
      </c>
      <c r="Y300" s="6">
        <f t="shared" si="34"/>
        <v>3.6437895411227675E-2</v>
      </c>
      <c r="AA300">
        <v>189545</v>
      </c>
      <c r="AB300">
        <v>17393</v>
      </c>
      <c r="AD300" t="s">
        <v>2</v>
      </c>
      <c r="AE300">
        <v>47</v>
      </c>
      <c r="AF300">
        <v>3</v>
      </c>
      <c r="AH300" t="s">
        <v>6633</v>
      </c>
      <c r="AI300" t="s">
        <v>6632</v>
      </c>
      <c r="AK300" t="s">
        <v>6631</v>
      </c>
      <c r="AL300">
        <v>51</v>
      </c>
      <c r="AM300" s="5">
        <f t="shared" si="35"/>
        <v>2.125</v>
      </c>
      <c r="AN300" s="4">
        <f t="shared" si="36"/>
        <v>3.2184778492995079E-3</v>
      </c>
      <c r="AO300" s="3"/>
      <c r="AP300">
        <v>0</v>
      </c>
      <c r="AQ300" t="s">
        <v>317</v>
      </c>
      <c r="AR300" t="s">
        <v>1</v>
      </c>
      <c r="AS300" t="s">
        <v>316</v>
      </c>
      <c r="AT300" s="2" t="s">
        <v>0</v>
      </c>
      <c r="AU300" s="1">
        <f t="shared" si="37"/>
        <v>2.6472070142649224</v>
      </c>
      <c r="AV300" s="1">
        <f t="shared" si="38"/>
        <v>1.9828186630263593</v>
      </c>
      <c r="AW300" s="1">
        <f t="shared" si="39"/>
        <v>1.3184303117877958</v>
      </c>
    </row>
    <row r="301" spans="1:49" x14ac:dyDescent="0.2">
      <c r="A301">
        <v>299</v>
      </c>
      <c r="B301" t="s">
        <v>6630</v>
      </c>
      <c r="C301" t="s">
        <v>6629</v>
      </c>
      <c r="F301" t="s">
        <v>6628</v>
      </c>
      <c r="G301" t="s">
        <v>5</v>
      </c>
      <c r="H301" t="s">
        <v>4</v>
      </c>
      <c r="I301" t="s">
        <v>6491</v>
      </c>
      <c r="J301">
        <v>60098468</v>
      </c>
      <c r="K301" t="s">
        <v>428</v>
      </c>
      <c r="L301" t="s">
        <v>427</v>
      </c>
      <c r="M301" t="s">
        <v>155</v>
      </c>
      <c r="N301">
        <v>1</v>
      </c>
      <c r="O301" t="s">
        <v>6627</v>
      </c>
      <c r="P301">
        <v>6603445665</v>
      </c>
      <c r="Q301">
        <v>60098468</v>
      </c>
      <c r="R301" s="7">
        <v>36130</v>
      </c>
      <c r="S301" s="8">
        <f t="shared" si="32"/>
        <v>1998</v>
      </c>
      <c r="T301" s="8">
        <v>1998</v>
      </c>
      <c r="U301" s="8">
        <f t="shared" si="33"/>
        <v>24</v>
      </c>
      <c r="V301" s="7">
        <v>1998</v>
      </c>
      <c r="W301" t="s">
        <v>4001</v>
      </c>
      <c r="X301" s="2">
        <v>1.365</v>
      </c>
      <c r="Y301" s="6">
        <f t="shared" si="34"/>
        <v>3.6437895411227675E-2</v>
      </c>
      <c r="AA301">
        <v>189545</v>
      </c>
      <c r="AB301">
        <v>17393</v>
      </c>
      <c r="AD301" t="s">
        <v>2</v>
      </c>
      <c r="AE301">
        <v>47</v>
      </c>
      <c r="AF301">
        <v>3</v>
      </c>
      <c r="AH301" t="s">
        <v>6626</v>
      </c>
      <c r="AI301" t="s">
        <v>6625</v>
      </c>
      <c r="AK301" t="s">
        <v>6624</v>
      </c>
      <c r="AL301">
        <v>3</v>
      </c>
      <c r="AM301" s="5">
        <f t="shared" si="35"/>
        <v>0.125</v>
      </c>
      <c r="AN301" s="4">
        <f t="shared" si="36"/>
        <v>1.893222264293828E-4</v>
      </c>
      <c r="AO301" s="3"/>
      <c r="AP301">
        <v>0</v>
      </c>
      <c r="AR301" t="s">
        <v>1</v>
      </c>
      <c r="AT301" s="2" t="s">
        <v>0</v>
      </c>
      <c r="AU301" s="1">
        <f t="shared" si="37"/>
        <v>2.5563323455788183</v>
      </c>
      <c r="AV301" s="1">
        <f t="shared" si="38"/>
        <v>1.8313608818828528</v>
      </c>
      <c r="AW301" s="1">
        <f t="shared" si="39"/>
        <v>1.106389418186887</v>
      </c>
    </row>
    <row r="302" spans="1:49" x14ac:dyDescent="0.2">
      <c r="A302">
        <v>300</v>
      </c>
      <c r="B302" t="s">
        <v>6623</v>
      </c>
      <c r="C302" t="s">
        <v>6622</v>
      </c>
      <c r="D302" t="s">
        <v>6621</v>
      </c>
      <c r="F302" t="s">
        <v>6620</v>
      </c>
      <c r="G302" t="s">
        <v>5</v>
      </c>
      <c r="H302" t="s">
        <v>4</v>
      </c>
      <c r="I302" t="s">
        <v>6619</v>
      </c>
      <c r="J302">
        <v>60015710</v>
      </c>
      <c r="K302" t="s">
        <v>6618</v>
      </c>
      <c r="L302" t="s">
        <v>6617</v>
      </c>
      <c r="M302" t="s">
        <v>9</v>
      </c>
      <c r="N302">
        <v>4</v>
      </c>
      <c r="O302" t="s">
        <v>6616</v>
      </c>
      <c r="P302" t="s">
        <v>6615</v>
      </c>
      <c r="Q302" t="s">
        <v>6614</v>
      </c>
      <c r="R302" s="7">
        <v>36130</v>
      </c>
      <c r="S302" s="8">
        <f t="shared" si="32"/>
        <v>1998</v>
      </c>
      <c r="T302" s="8">
        <v>1998</v>
      </c>
      <c r="U302" s="8">
        <f t="shared" si="33"/>
        <v>24</v>
      </c>
      <c r="V302" s="7">
        <v>1998</v>
      </c>
      <c r="W302" t="s">
        <v>282</v>
      </c>
      <c r="X302" s="2">
        <v>0.65500000000000003</v>
      </c>
      <c r="Y302" s="6">
        <f t="shared" si="34"/>
        <v>1.7484850911614749E-2</v>
      </c>
      <c r="AA302">
        <v>189375</v>
      </c>
      <c r="AB302">
        <v>26051</v>
      </c>
      <c r="AD302" t="s">
        <v>2</v>
      </c>
      <c r="AE302">
        <v>40</v>
      </c>
      <c r="AF302">
        <v>3</v>
      </c>
      <c r="AH302" t="s">
        <v>6613</v>
      </c>
      <c r="AI302" t="s">
        <v>6612</v>
      </c>
      <c r="AJ302" t="s">
        <v>6611</v>
      </c>
      <c r="AK302" t="s">
        <v>6610</v>
      </c>
      <c r="AL302">
        <v>0</v>
      </c>
      <c r="AM302" s="5">
        <f t="shared" si="35"/>
        <v>0</v>
      </c>
      <c r="AN302" s="4">
        <f t="shared" si="36"/>
        <v>0</v>
      </c>
      <c r="AO302" s="3"/>
      <c r="AP302">
        <v>0</v>
      </c>
      <c r="AR302" t="s">
        <v>1</v>
      </c>
      <c r="AT302" s="2" t="s">
        <v>0</v>
      </c>
      <c r="AU302" s="1">
        <f t="shared" si="37"/>
        <v>1.2239395638130324</v>
      </c>
      <c r="AV302" s="1">
        <f t="shared" si="38"/>
        <v>0.87424254558073744</v>
      </c>
      <c r="AW302" s="1">
        <f t="shared" si="39"/>
        <v>0.52454552734844251</v>
      </c>
    </row>
    <row r="303" spans="1:49" x14ac:dyDescent="0.2">
      <c r="A303">
        <v>301</v>
      </c>
      <c r="B303" t="s">
        <v>6609</v>
      </c>
      <c r="C303" t="s">
        <v>6608</v>
      </c>
      <c r="D303" t="s">
        <v>6607</v>
      </c>
      <c r="F303" t="s">
        <v>6606</v>
      </c>
      <c r="G303" t="s">
        <v>5</v>
      </c>
      <c r="H303" t="s">
        <v>4</v>
      </c>
      <c r="I303" t="s">
        <v>754</v>
      </c>
      <c r="J303">
        <v>60013983</v>
      </c>
      <c r="K303" t="s">
        <v>34</v>
      </c>
      <c r="L303" t="s">
        <v>33</v>
      </c>
      <c r="M303" t="s">
        <v>32</v>
      </c>
      <c r="N303">
        <v>4</v>
      </c>
      <c r="O303" t="s">
        <v>6605</v>
      </c>
      <c r="P303" t="s">
        <v>6604</v>
      </c>
      <c r="Q303" t="s">
        <v>31</v>
      </c>
      <c r="R303" s="7">
        <v>36130</v>
      </c>
      <c r="S303" s="8">
        <f t="shared" si="32"/>
        <v>1998</v>
      </c>
      <c r="T303" s="8">
        <v>1998</v>
      </c>
      <c r="U303" s="8">
        <f t="shared" si="33"/>
        <v>24</v>
      </c>
      <c r="V303" s="7">
        <v>1998</v>
      </c>
      <c r="W303" t="s">
        <v>649</v>
      </c>
      <c r="X303" s="2">
        <v>1.6519999999999999</v>
      </c>
      <c r="Y303" s="6">
        <f t="shared" si="34"/>
        <v>4.409919649769093E-2</v>
      </c>
      <c r="AA303" t="s">
        <v>648</v>
      </c>
      <c r="AB303">
        <v>17337</v>
      </c>
      <c r="AD303" t="s">
        <v>2</v>
      </c>
      <c r="AE303">
        <v>46</v>
      </c>
      <c r="AF303">
        <v>8</v>
      </c>
      <c r="AH303" t="s">
        <v>6603</v>
      </c>
      <c r="AI303" t="s">
        <v>6602</v>
      </c>
      <c r="AK303" t="s">
        <v>6601</v>
      </c>
      <c r="AL303">
        <v>9</v>
      </c>
      <c r="AM303" s="5">
        <f t="shared" si="35"/>
        <v>0.375</v>
      </c>
      <c r="AN303" s="4">
        <f t="shared" si="36"/>
        <v>5.6796667928814845E-4</v>
      </c>
      <c r="AO303" s="3"/>
      <c r="AP303">
        <v>0</v>
      </c>
      <c r="AR303">
        <v>9040209</v>
      </c>
      <c r="AT303" s="2" t="s">
        <v>0</v>
      </c>
      <c r="AU303" s="1">
        <f t="shared" si="37"/>
        <v>3.1039827552170092</v>
      </c>
      <c r="AV303" s="1">
        <f t="shared" si="38"/>
        <v>2.2333581588489539</v>
      </c>
      <c r="AW303" s="1">
        <f t="shared" si="39"/>
        <v>1.3627335624808981</v>
      </c>
    </row>
    <row r="304" spans="1:49" x14ac:dyDescent="0.2">
      <c r="A304">
        <v>302</v>
      </c>
      <c r="B304" t="s">
        <v>6600</v>
      </c>
      <c r="C304" t="s">
        <v>6599</v>
      </c>
      <c r="F304" t="s">
        <v>6598</v>
      </c>
      <c r="G304" t="s">
        <v>5</v>
      </c>
      <c r="H304" t="s">
        <v>4</v>
      </c>
      <c r="I304" t="s">
        <v>6597</v>
      </c>
      <c r="J304">
        <v>60027090</v>
      </c>
      <c r="K304" t="s">
        <v>250</v>
      </c>
      <c r="L304" t="s">
        <v>249</v>
      </c>
      <c r="M304" t="s">
        <v>9</v>
      </c>
      <c r="N304">
        <v>3</v>
      </c>
      <c r="O304" t="s">
        <v>6596</v>
      </c>
      <c r="P304" t="s">
        <v>6595</v>
      </c>
      <c r="Q304" t="s">
        <v>6594</v>
      </c>
      <c r="R304" s="7">
        <v>36130</v>
      </c>
      <c r="S304" s="8">
        <f t="shared" si="32"/>
        <v>1998</v>
      </c>
      <c r="T304" s="8">
        <v>1998</v>
      </c>
      <c r="U304" s="8">
        <f t="shared" si="33"/>
        <v>24</v>
      </c>
      <c r="V304" s="7">
        <v>1998</v>
      </c>
      <c r="W304" t="s">
        <v>4001</v>
      </c>
      <c r="X304" s="2">
        <v>1.365</v>
      </c>
      <c r="Y304" s="6">
        <f t="shared" si="34"/>
        <v>3.6437895411227675E-2</v>
      </c>
      <c r="AA304">
        <v>189545</v>
      </c>
      <c r="AB304">
        <v>17393</v>
      </c>
      <c r="AD304" t="s">
        <v>2</v>
      </c>
      <c r="AE304">
        <v>47</v>
      </c>
      <c r="AF304">
        <v>3</v>
      </c>
      <c r="AH304" t="s">
        <v>6593</v>
      </c>
      <c r="AI304" t="s">
        <v>6592</v>
      </c>
      <c r="AK304" t="s">
        <v>6591</v>
      </c>
      <c r="AL304">
        <v>38</v>
      </c>
      <c r="AM304" s="5">
        <f t="shared" si="35"/>
        <v>1.5833333333333333</v>
      </c>
      <c r="AN304" s="4">
        <f t="shared" si="36"/>
        <v>2.3980815347721821E-3</v>
      </c>
      <c r="AO304" s="3"/>
      <c r="AP304">
        <v>0</v>
      </c>
      <c r="AQ304" t="s">
        <v>328</v>
      </c>
      <c r="AR304" t="s">
        <v>1</v>
      </c>
      <c r="AS304" t="s">
        <v>327</v>
      </c>
      <c r="AT304" s="2" t="s">
        <v>0</v>
      </c>
      <c r="AU304" s="1">
        <f t="shared" si="37"/>
        <v>2.6225951248291022</v>
      </c>
      <c r="AV304" s="1">
        <f t="shared" si="38"/>
        <v>1.9417988472999927</v>
      </c>
      <c r="AW304" s="1">
        <f t="shared" si="39"/>
        <v>1.2610025697708829</v>
      </c>
    </row>
    <row r="305" spans="1:49" x14ac:dyDescent="0.2">
      <c r="A305">
        <v>303</v>
      </c>
      <c r="B305" t="s">
        <v>6590</v>
      </c>
      <c r="C305" t="s">
        <v>6589</v>
      </c>
      <c r="D305" t="s">
        <v>6588</v>
      </c>
      <c r="F305" t="s">
        <v>6587</v>
      </c>
      <c r="G305" t="s">
        <v>5</v>
      </c>
      <c r="H305" t="s">
        <v>4</v>
      </c>
      <c r="I305" t="s">
        <v>6586</v>
      </c>
      <c r="J305">
        <v>60103653</v>
      </c>
      <c r="K305" t="s">
        <v>6585</v>
      </c>
      <c r="L305" t="s">
        <v>427</v>
      </c>
      <c r="M305" t="s">
        <v>155</v>
      </c>
      <c r="N305">
        <v>3</v>
      </c>
      <c r="O305" t="s">
        <v>6584</v>
      </c>
      <c r="P305" t="s">
        <v>6583</v>
      </c>
      <c r="Q305" t="s">
        <v>6582</v>
      </c>
      <c r="R305" s="7">
        <v>36130</v>
      </c>
      <c r="S305" s="8">
        <f t="shared" si="32"/>
        <v>1998</v>
      </c>
      <c r="T305" s="8">
        <v>1998</v>
      </c>
      <c r="U305" s="8">
        <f t="shared" si="33"/>
        <v>24</v>
      </c>
      <c r="V305" s="7">
        <v>1998</v>
      </c>
      <c r="W305" t="s">
        <v>649</v>
      </c>
      <c r="X305" s="2">
        <v>1.6519999999999999</v>
      </c>
      <c r="Y305" s="6">
        <f t="shared" si="34"/>
        <v>4.409919649769093E-2</v>
      </c>
      <c r="AA305" t="s">
        <v>648</v>
      </c>
      <c r="AB305">
        <v>17337</v>
      </c>
      <c r="AD305" t="s">
        <v>2</v>
      </c>
      <c r="AE305">
        <v>46</v>
      </c>
      <c r="AF305">
        <v>8</v>
      </c>
      <c r="AH305" t="s">
        <v>6581</v>
      </c>
      <c r="AI305" t="s">
        <v>6580</v>
      </c>
      <c r="AJ305" t="s">
        <v>6579</v>
      </c>
      <c r="AK305" t="s">
        <v>6578</v>
      </c>
      <c r="AL305">
        <v>47</v>
      </c>
      <c r="AM305" s="5">
        <f t="shared" si="35"/>
        <v>1.9583333333333333</v>
      </c>
      <c r="AN305" s="4">
        <f t="shared" si="36"/>
        <v>2.9660482140603304E-3</v>
      </c>
      <c r="AO305" s="3"/>
      <c r="AP305">
        <v>0</v>
      </c>
      <c r="AR305" t="s">
        <v>1</v>
      </c>
      <c r="AS305" t="s">
        <v>6577</v>
      </c>
      <c r="AT305" s="2" t="s">
        <v>0</v>
      </c>
      <c r="AU305" s="1">
        <f t="shared" si="37"/>
        <v>3.1759252012601746</v>
      </c>
      <c r="AV305" s="1">
        <f t="shared" si="38"/>
        <v>2.3532622355875632</v>
      </c>
      <c r="AW305" s="1">
        <f t="shared" si="39"/>
        <v>1.5305992699149511</v>
      </c>
    </row>
    <row r="306" spans="1:49" x14ac:dyDescent="0.2">
      <c r="A306">
        <v>304</v>
      </c>
      <c r="B306" t="s">
        <v>6576</v>
      </c>
      <c r="C306" t="s">
        <v>6575</v>
      </c>
      <c r="D306" t="s">
        <v>6574</v>
      </c>
      <c r="F306" t="s">
        <v>6573</v>
      </c>
      <c r="G306" t="s">
        <v>5</v>
      </c>
      <c r="H306" t="s">
        <v>4</v>
      </c>
      <c r="I306" t="s">
        <v>512</v>
      </c>
      <c r="J306">
        <v>60011357</v>
      </c>
      <c r="K306" t="s">
        <v>130</v>
      </c>
      <c r="L306" t="s">
        <v>129</v>
      </c>
      <c r="M306" t="s">
        <v>128</v>
      </c>
      <c r="N306">
        <v>2</v>
      </c>
      <c r="O306" t="s">
        <v>6572</v>
      </c>
      <c r="P306" t="s">
        <v>467</v>
      </c>
      <c r="Q306" t="s">
        <v>127</v>
      </c>
      <c r="R306" s="7">
        <v>36130</v>
      </c>
      <c r="S306" s="8">
        <f t="shared" si="32"/>
        <v>1998</v>
      </c>
      <c r="T306" s="8">
        <v>1998</v>
      </c>
      <c r="U306" s="8">
        <f t="shared" si="33"/>
        <v>24</v>
      </c>
      <c r="V306" s="7">
        <v>1998</v>
      </c>
      <c r="W306" t="s">
        <v>282</v>
      </c>
      <c r="X306" s="2">
        <v>0.65500000000000003</v>
      </c>
      <c r="Y306" s="6">
        <f t="shared" si="34"/>
        <v>1.7484850911614749E-2</v>
      </c>
      <c r="AA306">
        <v>189375</v>
      </c>
      <c r="AB306">
        <v>26051</v>
      </c>
      <c r="AD306" t="s">
        <v>2</v>
      </c>
      <c r="AE306">
        <v>40</v>
      </c>
      <c r="AF306">
        <v>3</v>
      </c>
      <c r="AH306" t="s">
        <v>371</v>
      </c>
      <c r="AI306" t="s">
        <v>6571</v>
      </c>
      <c r="AJ306" t="s">
        <v>6570</v>
      </c>
      <c r="AK306" t="s">
        <v>6569</v>
      </c>
      <c r="AL306">
        <v>9</v>
      </c>
      <c r="AM306" s="5">
        <f t="shared" si="35"/>
        <v>0.375</v>
      </c>
      <c r="AN306" s="4">
        <f t="shared" si="36"/>
        <v>5.6796667928814845E-4</v>
      </c>
      <c r="AO306" s="3"/>
      <c r="AP306">
        <v>0</v>
      </c>
      <c r="AQ306" t="s">
        <v>114</v>
      </c>
      <c r="AR306" t="s">
        <v>1</v>
      </c>
      <c r="AS306" t="s">
        <v>113</v>
      </c>
      <c r="AT306" s="2" t="s">
        <v>0</v>
      </c>
      <c r="AU306" s="1">
        <f t="shared" si="37"/>
        <v>1.2409785641916768</v>
      </c>
      <c r="AV306" s="1">
        <f t="shared" si="38"/>
        <v>0.90264087954514494</v>
      </c>
      <c r="AW306" s="1">
        <f t="shared" si="39"/>
        <v>0.56430319489861291</v>
      </c>
    </row>
    <row r="307" spans="1:49" x14ac:dyDescent="0.2">
      <c r="A307">
        <v>305</v>
      </c>
      <c r="B307" t="s">
        <v>6568</v>
      </c>
      <c r="C307" t="s">
        <v>6567</v>
      </c>
      <c r="D307" t="s">
        <v>6566</v>
      </c>
      <c r="F307" t="s">
        <v>6565</v>
      </c>
      <c r="G307" t="s">
        <v>5</v>
      </c>
      <c r="H307" t="s">
        <v>4</v>
      </c>
      <c r="I307" t="s">
        <v>6564</v>
      </c>
      <c r="J307" t="s">
        <v>6563</v>
      </c>
      <c r="K307" t="s">
        <v>6562</v>
      </c>
      <c r="L307" t="s">
        <v>6561</v>
      </c>
      <c r="M307" t="s">
        <v>6</v>
      </c>
      <c r="N307">
        <v>1</v>
      </c>
      <c r="O307" t="s">
        <v>6560</v>
      </c>
      <c r="P307">
        <v>56050028200</v>
      </c>
      <c r="Q307" t="s">
        <v>6559</v>
      </c>
      <c r="R307" s="7">
        <v>36130</v>
      </c>
      <c r="S307" s="8">
        <f t="shared" si="32"/>
        <v>1998</v>
      </c>
      <c r="T307" s="8">
        <v>1998</v>
      </c>
      <c r="U307" s="8">
        <f t="shared" si="33"/>
        <v>24</v>
      </c>
      <c r="V307" s="7">
        <v>1998</v>
      </c>
      <c r="W307" t="s">
        <v>282</v>
      </c>
      <c r="X307" s="2">
        <v>0.65500000000000003</v>
      </c>
      <c r="Y307" s="6">
        <f t="shared" si="34"/>
        <v>1.7484850911614749E-2</v>
      </c>
      <c r="AA307">
        <v>189375</v>
      </c>
      <c r="AB307">
        <v>26051</v>
      </c>
      <c r="AD307" t="s">
        <v>2</v>
      </c>
      <c r="AE307">
        <v>40</v>
      </c>
      <c r="AF307">
        <v>3</v>
      </c>
      <c r="AH307" t="s">
        <v>6558</v>
      </c>
      <c r="AI307" t="s">
        <v>6557</v>
      </c>
      <c r="AJ307" t="s">
        <v>6556</v>
      </c>
      <c r="AK307" t="s">
        <v>6555</v>
      </c>
      <c r="AL307">
        <v>0</v>
      </c>
      <c r="AM307" s="5">
        <f t="shared" si="35"/>
        <v>0</v>
      </c>
      <c r="AN307" s="4">
        <f t="shared" si="36"/>
        <v>0</v>
      </c>
      <c r="AO307" s="3"/>
      <c r="AP307">
        <v>0</v>
      </c>
      <c r="AR307" t="s">
        <v>1</v>
      </c>
      <c r="AT307" s="2" t="s">
        <v>0</v>
      </c>
      <c r="AU307" s="1">
        <f t="shared" si="37"/>
        <v>1.2239395638130324</v>
      </c>
      <c r="AV307" s="1">
        <f t="shared" si="38"/>
        <v>0.87424254558073744</v>
      </c>
      <c r="AW307" s="1">
        <f t="shared" si="39"/>
        <v>0.52454552734844251</v>
      </c>
    </row>
    <row r="308" spans="1:49" x14ac:dyDescent="0.2">
      <c r="A308">
        <v>306</v>
      </c>
      <c r="B308" t="s">
        <v>6554</v>
      </c>
      <c r="F308" t="s">
        <v>6553</v>
      </c>
      <c r="G308" t="s">
        <v>5</v>
      </c>
      <c r="H308" t="s">
        <v>4</v>
      </c>
      <c r="I308" t="s">
        <v>4504</v>
      </c>
      <c r="J308">
        <v>60009469</v>
      </c>
      <c r="K308" t="s">
        <v>6552</v>
      </c>
      <c r="L308" t="s">
        <v>751</v>
      </c>
      <c r="M308" t="s">
        <v>9</v>
      </c>
      <c r="N308">
        <v>2</v>
      </c>
      <c r="O308" t="s">
        <v>6551</v>
      </c>
      <c r="P308" t="s">
        <v>6550</v>
      </c>
      <c r="Q308" t="s">
        <v>6549</v>
      </c>
      <c r="R308" s="7">
        <v>36130</v>
      </c>
      <c r="S308" s="8">
        <f t="shared" si="32"/>
        <v>1998</v>
      </c>
      <c r="T308" s="8">
        <v>1998</v>
      </c>
      <c r="U308" s="8">
        <f t="shared" si="33"/>
        <v>24</v>
      </c>
      <c r="V308" s="7">
        <v>1998</v>
      </c>
      <c r="W308" t="s">
        <v>110</v>
      </c>
      <c r="X308" s="2">
        <v>0.13800000000000001</v>
      </c>
      <c r="Y308" s="6">
        <f t="shared" si="34"/>
        <v>3.6838311844318095E-3</v>
      </c>
      <c r="AA308">
        <v>1926225</v>
      </c>
      <c r="AB308">
        <v>18580</v>
      </c>
      <c r="AD308" t="s">
        <v>2</v>
      </c>
      <c r="AE308">
        <v>41</v>
      </c>
      <c r="AF308">
        <v>8</v>
      </c>
      <c r="AH308" t="s">
        <v>6548</v>
      </c>
      <c r="AL308">
        <v>11</v>
      </c>
      <c r="AM308" s="5">
        <f t="shared" si="35"/>
        <v>0.45833333333333331</v>
      </c>
      <c r="AN308" s="4">
        <f t="shared" si="36"/>
        <v>6.9418149690773695E-4</v>
      </c>
      <c r="AO308" s="3"/>
      <c r="AP308">
        <v>0</v>
      </c>
      <c r="AR308" t="s">
        <v>1</v>
      </c>
      <c r="AT308" s="2">
        <v>0.30599999999999999</v>
      </c>
      <c r="AU308" s="1">
        <f t="shared" si="37"/>
        <v>0.27869362781745877</v>
      </c>
      <c r="AV308" s="1">
        <f t="shared" si="38"/>
        <v>0.2189006340669773</v>
      </c>
      <c r="AW308" s="1">
        <f t="shared" si="39"/>
        <v>0.15910764031649588</v>
      </c>
    </row>
    <row r="309" spans="1:49" x14ac:dyDescent="0.2">
      <c r="A309">
        <v>307</v>
      </c>
      <c r="B309" t="s">
        <v>6547</v>
      </c>
      <c r="C309" t="s">
        <v>6546</v>
      </c>
      <c r="D309" t="s">
        <v>6545</v>
      </c>
      <c r="F309" t="s">
        <v>6544</v>
      </c>
      <c r="G309" t="s">
        <v>5</v>
      </c>
      <c r="H309" t="s">
        <v>4</v>
      </c>
      <c r="I309" t="s">
        <v>6543</v>
      </c>
      <c r="J309" t="s">
        <v>6542</v>
      </c>
      <c r="K309" t="s">
        <v>6541</v>
      </c>
      <c r="L309" t="s">
        <v>6540</v>
      </c>
      <c r="M309" t="s">
        <v>337</v>
      </c>
      <c r="N309">
        <v>2</v>
      </c>
      <c r="O309" t="s">
        <v>6539</v>
      </c>
      <c r="P309" t="s">
        <v>6538</v>
      </c>
      <c r="Q309" t="s">
        <v>6537</v>
      </c>
      <c r="R309" s="7">
        <v>36130</v>
      </c>
      <c r="S309" s="8">
        <f t="shared" si="32"/>
        <v>1998</v>
      </c>
      <c r="T309" s="8">
        <v>1998</v>
      </c>
      <c r="U309" s="8">
        <f t="shared" si="33"/>
        <v>24</v>
      </c>
      <c r="V309" s="7">
        <v>1998</v>
      </c>
      <c r="W309" t="s">
        <v>649</v>
      </c>
      <c r="X309" s="2">
        <v>1.6519999999999999</v>
      </c>
      <c r="Y309" s="6">
        <f t="shared" si="34"/>
        <v>4.409919649769093E-2</v>
      </c>
      <c r="AA309" t="s">
        <v>648</v>
      </c>
      <c r="AB309">
        <v>17337</v>
      </c>
      <c r="AD309" t="s">
        <v>2</v>
      </c>
      <c r="AE309">
        <v>46</v>
      </c>
      <c r="AF309">
        <v>8</v>
      </c>
      <c r="AH309" t="s">
        <v>6536</v>
      </c>
      <c r="AI309" t="s">
        <v>6535</v>
      </c>
      <c r="AJ309" t="s">
        <v>6534</v>
      </c>
      <c r="AK309" t="s">
        <v>6533</v>
      </c>
      <c r="AL309">
        <v>34</v>
      </c>
      <c r="AM309" s="5">
        <f t="shared" si="35"/>
        <v>1.4166666666666667</v>
      </c>
      <c r="AN309" s="4">
        <f t="shared" si="36"/>
        <v>2.1456518995330051E-3</v>
      </c>
      <c r="AO309" s="3"/>
      <c r="AP309">
        <v>0</v>
      </c>
      <c r="AR309" t="s">
        <v>1</v>
      </c>
      <c r="AT309" s="2" t="s">
        <v>0</v>
      </c>
      <c r="AU309" s="1">
        <f t="shared" si="37"/>
        <v>3.1513133118243553</v>
      </c>
      <c r="AV309" s="1">
        <f t="shared" si="38"/>
        <v>2.3122424198611968</v>
      </c>
      <c r="AW309" s="1">
        <f t="shared" si="39"/>
        <v>1.4731715278980382</v>
      </c>
    </row>
    <row r="310" spans="1:49" x14ac:dyDescent="0.2">
      <c r="A310">
        <v>308</v>
      </c>
      <c r="B310" t="s">
        <v>6532</v>
      </c>
      <c r="C310" t="s">
        <v>6531</v>
      </c>
      <c r="D310" t="s">
        <v>6530</v>
      </c>
      <c r="F310" t="s">
        <v>6529</v>
      </c>
      <c r="G310" t="s">
        <v>5</v>
      </c>
      <c r="H310" t="s">
        <v>4</v>
      </c>
      <c r="I310" t="s">
        <v>6528</v>
      </c>
      <c r="J310">
        <v>60021902</v>
      </c>
      <c r="K310" t="s">
        <v>6527</v>
      </c>
      <c r="L310" t="s">
        <v>6526</v>
      </c>
      <c r="M310" t="s">
        <v>3465</v>
      </c>
      <c r="N310">
        <v>1</v>
      </c>
      <c r="O310" t="s">
        <v>6525</v>
      </c>
      <c r="P310">
        <v>35565202000</v>
      </c>
      <c r="Q310">
        <v>60021902</v>
      </c>
      <c r="R310" s="7">
        <v>36130</v>
      </c>
      <c r="S310" s="8">
        <f t="shared" si="32"/>
        <v>1998</v>
      </c>
      <c r="T310" s="8">
        <v>1998</v>
      </c>
      <c r="U310" s="8">
        <f t="shared" si="33"/>
        <v>24</v>
      </c>
      <c r="V310" s="7">
        <v>1998</v>
      </c>
      <c r="W310" t="s">
        <v>649</v>
      </c>
      <c r="X310" s="2">
        <v>1.6519999999999999</v>
      </c>
      <c r="Y310" s="6">
        <f t="shared" si="34"/>
        <v>4.409919649769093E-2</v>
      </c>
      <c r="AA310" t="s">
        <v>648</v>
      </c>
      <c r="AB310">
        <v>17337</v>
      </c>
      <c r="AD310" t="s">
        <v>2</v>
      </c>
      <c r="AE310">
        <v>46</v>
      </c>
      <c r="AF310">
        <v>8</v>
      </c>
      <c r="AH310" t="s">
        <v>6524</v>
      </c>
      <c r="AI310" t="s">
        <v>6523</v>
      </c>
      <c r="AJ310" t="s">
        <v>5116</v>
      </c>
      <c r="AK310" t="s">
        <v>6522</v>
      </c>
      <c r="AL310">
        <v>3</v>
      </c>
      <c r="AM310" s="5">
        <f t="shared" si="35"/>
        <v>0.125</v>
      </c>
      <c r="AN310" s="4">
        <f t="shared" si="36"/>
        <v>1.893222264293828E-4</v>
      </c>
      <c r="AO310" s="3"/>
      <c r="AP310">
        <v>0</v>
      </c>
      <c r="AR310" t="s">
        <v>1</v>
      </c>
      <c r="AT310" s="2" t="s">
        <v>0</v>
      </c>
      <c r="AU310" s="1">
        <f t="shared" si="37"/>
        <v>3.0926234216312465</v>
      </c>
      <c r="AV310" s="1">
        <f t="shared" si="38"/>
        <v>2.2144259362060157</v>
      </c>
      <c r="AW310" s="1">
        <f t="shared" si="39"/>
        <v>1.3362284507807847</v>
      </c>
    </row>
    <row r="311" spans="1:49" x14ac:dyDescent="0.2">
      <c r="A311">
        <v>309</v>
      </c>
      <c r="B311" t="s">
        <v>6521</v>
      </c>
      <c r="C311" t="s">
        <v>6520</v>
      </c>
      <c r="F311" t="s">
        <v>6519</v>
      </c>
      <c r="G311" t="s">
        <v>5</v>
      </c>
      <c r="H311" t="s">
        <v>4</v>
      </c>
      <c r="I311" t="s">
        <v>6518</v>
      </c>
      <c r="J311">
        <v>101342888</v>
      </c>
      <c r="K311" t="s">
        <v>6517</v>
      </c>
      <c r="L311" t="s">
        <v>104</v>
      </c>
      <c r="M311" t="s">
        <v>12</v>
      </c>
      <c r="N311">
        <v>1</v>
      </c>
      <c r="O311" t="s">
        <v>6516</v>
      </c>
      <c r="P311">
        <v>54681534800</v>
      </c>
      <c r="Q311">
        <v>101342888</v>
      </c>
      <c r="R311" s="7">
        <v>36130</v>
      </c>
      <c r="S311" s="8">
        <f t="shared" si="32"/>
        <v>1998</v>
      </c>
      <c r="T311" s="8">
        <v>1998</v>
      </c>
      <c r="U311" s="8">
        <f t="shared" si="33"/>
        <v>24</v>
      </c>
      <c r="V311" s="7">
        <v>1998</v>
      </c>
      <c r="W311" t="s">
        <v>4001</v>
      </c>
      <c r="X311" s="2">
        <v>1.365</v>
      </c>
      <c r="Y311" s="6">
        <f t="shared" si="34"/>
        <v>3.6437895411227675E-2</v>
      </c>
      <c r="AA311">
        <v>189545</v>
      </c>
      <c r="AB311">
        <v>17393</v>
      </c>
      <c r="AD311" t="s">
        <v>2</v>
      </c>
      <c r="AE311">
        <v>47</v>
      </c>
      <c r="AF311">
        <v>3</v>
      </c>
      <c r="AH311" t="s">
        <v>6515</v>
      </c>
      <c r="AI311" t="s">
        <v>6514</v>
      </c>
      <c r="AK311" t="s">
        <v>6513</v>
      </c>
      <c r="AL311">
        <v>22</v>
      </c>
      <c r="AM311" s="5">
        <f t="shared" si="35"/>
        <v>0.91666666666666663</v>
      </c>
      <c r="AN311" s="4">
        <f t="shared" si="36"/>
        <v>1.3883629938154739E-3</v>
      </c>
      <c r="AO311" s="3"/>
      <c r="AP311">
        <v>0</v>
      </c>
      <c r="AR311" t="s">
        <v>1</v>
      </c>
      <c r="AT311" s="2" t="s">
        <v>0</v>
      </c>
      <c r="AU311" s="1">
        <f t="shared" si="37"/>
        <v>2.5923035686004012</v>
      </c>
      <c r="AV311" s="1">
        <f t="shared" si="38"/>
        <v>1.8913129202521572</v>
      </c>
      <c r="AW311" s="1">
        <f t="shared" si="39"/>
        <v>1.1903222719039133</v>
      </c>
    </row>
    <row r="312" spans="1:49" x14ac:dyDescent="0.2">
      <c r="A312">
        <v>310</v>
      </c>
      <c r="B312" t="s">
        <v>6512</v>
      </c>
      <c r="C312" t="s">
        <v>6511</v>
      </c>
      <c r="F312" t="s">
        <v>6510</v>
      </c>
      <c r="G312" t="s">
        <v>5</v>
      </c>
      <c r="H312" t="s">
        <v>4</v>
      </c>
      <c r="I312" t="s">
        <v>6509</v>
      </c>
      <c r="J312">
        <v>60022195</v>
      </c>
      <c r="K312" t="s">
        <v>220</v>
      </c>
      <c r="L312" t="s">
        <v>140</v>
      </c>
      <c r="M312" t="s">
        <v>9</v>
      </c>
      <c r="N312">
        <v>1</v>
      </c>
      <c r="O312" t="s">
        <v>6508</v>
      </c>
      <c r="P312">
        <v>7003379289</v>
      </c>
      <c r="Q312">
        <v>60022195</v>
      </c>
      <c r="R312" s="7">
        <v>36130</v>
      </c>
      <c r="S312" s="8">
        <f t="shared" si="32"/>
        <v>1998</v>
      </c>
      <c r="T312" s="8">
        <v>1998</v>
      </c>
      <c r="U312" s="8">
        <f t="shared" si="33"/>
        <v>24</v>
      </c>
      <c r="V312" s="7">
        <v>1998</v>
      </c>
      <c r="W312" t="s">
        <v>4001</v>
      </c>
      <c r="X312" s="2">
        <v>1.365</v>
      </c>
      <c r="Y312" s="6">
        <f t="shared" si="34"/>
        <v>3.6437895411227675E-2</v>
      </c>
      <c r="AA312">
        <v>189545</v>
      </c>
      <c r="AB312">
        <v>17393</v>
      </c>
      <c r="AD312" t="s">
        <v>2</v>
      </c>
      <c r="AE312">
        <v>47</v>
      </c>
      <c r="AF312">
        <v>3</v>
      </c>
      <c r="AH312" t="s">
        <v>6507</v>
      </c>
      <c r="AI312" t="s">
        <v>6506</v>
      </c>
      <c r="AK312" t="s">
        <v>6505</v>
      </c>
      <c r="AL312">
        <v>1</v>
      </c>
      <c r="AM312" s="5">
        <f t="shared" si="35"/>
        <v>4.1666666666666664E-2</v>
      </c>
      <c r="AN312" s="4">
        <f t="shared" si="36"/>
        <v>6.3107408809794262E-5</v>
      </c>
      <c r="AO312" s="3"/>
      <c r="AP312">
        <v>0</v>
      </c>
      <c r="AR312" t="s">
        <v>1</v>
      </c>
      <c r="AT312" s="2" t="s">
        <v>0</v>
      </c>
      <c r="AU312" s="1">
        <f t="shared" si="37"/>
        <v>2.5525459010502307</v>
      </c>
      <c r="AV312" s="1">
        <f t="shared" si="38"/>
        <v>1.8250501410018733</v>
      </c>
      <c r="AW312" s="1">
        <f t="shared" si="39"/>
        <v>1.0975543809535158</v>
      </c>
    </row>
    <row r="313" spans="1:49" x14ac:dyDescent="0.2">
      <c r="A313">
        <v>311</v>
      </c>
      <c r="B313" t="s">
        <v>6504</v>
      </c>
      <c r="C313" t="s">
        <v>6503</v>
      </c>
      <c r="F313" t="s">
        <v>6502</v>
      </c>
      <c r="G313" t="s">
        <v>5</v>
      </c>
      <c r="H313" t="s">
        <v>4</v>
      </c>
      <c r="I313" t="s">
        <v>6501</v>
      </c>
      <c r="J313">
        <v>60003500</v>
      </c>
      <c r="K313" t="s">
        <v>1656</v>
      </c>
      <c r="L313" t="s">
        <v>1655</v>
      </c>
      <c r="M313" t="s">
        <v>9</v>
      </c>
      <c r="N313">
        <v>1</v>
      </c>
      <c r="O313" t="s">
        <v>6500</v>
      </c>
      <c r="P313">
        <v>14070974400</v>
      </c>
      <c r="Q313">
        <v>60003500</v>
      </c>
      <c r="R313" s="7">
        <v>36130</v>
      </c>
      <c r="S313" s="8">
        <f t="shared" si="32"/>
        <v>1998</v>
      </c>
      <c r="T313" s="8">
        <v>1998</v>
      </c>
      <c r="U313" s="8">
        <f t="shared" si="33"/>
        <v>24</v>
      </c>
      <c r="V313" s="7">
        <v>1998</v>
      </c>
      <c r="W313" t="s">
        <v>4001</v>
      </c>
      <c r="X313" s="2">
        <v>1.365</v>
      </c>
      <c r="Y313" s="6">
        <f t="shared" si="34"/>
        <v>3.6437895411227675E-2</v>
      </c>
      <c r="AA313">
        <v>189545</v>
      </c>
      <c r="AB313">
        <v>17393</v>
      </c>
      <c r="AD313" t="s">
        <v>2</v>
      </c>
      <c r="AE313">
        <v>47</v>
      </c>
      <c r="AF313">
        <v>3</v>
      </c>
      <c r="AH313" t="s">
        <v>6499</v>
      </c>
      <c r="AI313" t="s">
        <v>6498</v>
      </c>
      <c r="AK313" t="s">
        <v>6497</v>
      </c>
      <c r="AL313">
        <v>10</v>
      </c>
      <c r="AM313" s="5">
        <f t="shared" si="35"/>
        <v>0.41666666666666669</v>
      </c>
      <c r="AN313" s="4">
        <f t="shared" si="36"/>
        <v>6.310740880979427E-4</v>
      </c>
      <c r="AO313" s="3"/>
      <c r="AP313">
        <v>0</v>
      </c>
      <c r="AQ313" t="s">
        <v>6496</v>
      </c>
      <c r="AR313" t="s">
        <v>1</v>
      </c>
      <c r="AS313" t="s">
        <v>6027</v>
      </c>
      <c r="AT313" s="2" t="s">
        <v>0</v>
      </c>
      <c r="AU313" s="1">
        <f t="shared" si="37"/>
        <v>2.5695849014288754</v>
      </c>
      <c r="AV313" s="1">
        <f t="shared" si="38"/>
        <v>1.8534484749662807</v>
      </c>
      <c r="AW313" s="1">
        <f t="shared" si="39"/>
        <v>1.1373120485036863</v>
      </c>
    </row>
    <row r="314" spans="1:49" x14ac:dyDescent="0.2">
      <c r="A314">
        <v>312</v>
      </c>
      <c r="B314" t="s">
        <v>6495</v>
      </c>
      <c r="C314" t="s">
        <v>6494</v>
      </c>
      <c r="D314" t="s">
        <v>6493</v>
      </c>
      <c r="F314" t="s">
        <v>6492</v>
      </c>
      <c r="G314" t="s">
        <v>5</v>
      </c>
      <c r="H314" t="s">
        <v>4</v>
      </c>
      <c r="I314" t="s">
        <v>6491</v>
      </c>
      <c r="J314">
        <v>60098468</v>
      </c>
      <c r="K314" t="s">
        <v>428</v>
      </c>
      <c r="L314" t="s">
        <v>427</v>
      </c>
      <c r="M314" t="s">
        <v>155</v>
      </c>
      <c r="N314">
        <v>2</v>
      </c>
      <c r="O314" t="s">
        <v>6490</v>
      </c>
      <c r="P314" t="s">
        <v>6489</v>
      </c>
      <c r="Q314" t="s">
        <v>426</v>
      </c>
      <c r="R314" s="7">
        <v>36130</v>
      </c>
      <c r="S314" s="8">
        <f t="shared" si="32"/>
        <v>1998</v>
      </c>
      <c r="T314" s="8">
        <v>1998</v>
      </c>
      <c r="U314" s="8">
        <f t="shared" si="33"/>
        <v>24</v>
      </c>
      <c r="V314" s="7">
        <v>1998</v>
      </c>
      <c r="W314" t="s">
        <v>4001</v>
      </c>
      <c r="X314" s="2">
        <v>1.365</v>
      </c>
      <c r="Y314" s="6">
        <f t="shared" si="34"/>
        <v>3.6437895411227675E-2</v>
      </c>
      <c r="AA314">
        <v>189545</v>
      </c>
      <c r="AB314">
        <v>17393</v>
      </c>
      <c r="AD314" t="s">
        <v>2</v>
      </c>
      <c r="AE314">
        <v>47</v>
      </c>
      <c r="AF314">
        <v>3</v>
      </c>
      <c r="AH314" t="s">
        <v>6488</v>
      </c>
      <c r="AI314" t="s">
        <v>6487</v>
      </c>
      <c r="AJ314" t="s">
        <v>6486</v>
      </c>
      <c r="AK314" t="s">
        <v>6485</v>
      </c>
      <c r="AL314">
        <v>88</v>
      </c>
      <c r="AM314" s="5">
        <f t="shared" si="35"/>
        <v>3.6666666666666665</v>
      </c>
      <c r="AN314" s="4">
        <f t="shared" si="36"/>
        <v>5.5534519752618956E-3</v>
      </c>
      <c r="AO314" s="3"/>
      <c r="AP314">
        <v>0</v>
      </c>
      <c r="AR314" t="s">
        <v>1</v>
      </c>
      <c r="AT314" s="2" t="s">
        <v>0</v>
      </c>
      <c r="AU314" s="1">
        <f t="shared" si="37"/>
        <v>2.7172562380437939</v>
      </c>
      <c r="AV314" s="1">
        <f t="shared" si="38"/>
        <v>2.0995673693244785</v>
      </c>
      <c r="AW314" s="1">
        <f t="shared" si="39"/>
        <v>1.4818785006051629</v>
      </c>
    </row>
    <row r="315" spans="1:49" x14ac:dyDescent="0.2">
      <c r="A315">
        <v>313</v>
      </c>
      <c r="B315" t="s">
        <v>6484</v>
      </c>
      <c r="C315" t="s">
        <v>6483</v>
      </c>
      <c r="D315" t="s">
        <v>6482</v>
      </c>
      <c r="F315" t="s">
        <v>6481</v>
      </c>
      <c r="G315" t="s">
        <v>5</v>
      </c>
      <c r="H315" t="s">
        <v>4</v>
      </c>
      <c r="I315" t="s">
        <v>6480</v>
      </c>
      <c r="J315" t="s">
        <v>6479</v>
      </c>
      <c r="K315" t="s">
        <v>6478</v>
      </c>
      <c r="L315" t="s">
        <v>6477</v>
      </c>
      <c r="M315" t="s">
        <v>66</v>
      </c>
      <c r="N315">
        <v>5</v>
      </c>
      <c r="O315" t="s">
        <v>6476</v>
      </c>
      <c r="P315" t="s">
        <v>6475</v>
      </c>
      <c r="Q315" t="s">
        <v>6474</v>
      </c>
      <c r="R315" s="7">
        <v>36130</v>
      </c>
      <c r="S315" s="8">
        <f t="shared" si="32"/>
        <v>1998</v>
      </c>
      <c r="T315" s="8">
        <v>1998</v>
      </c>
      <c r="U315" s="8">
        <f t="shared" si="33"/>
        <v>24</v>
      </c>
      <c r="V315" s="7">
        <v>1998</v>
      </c>
      <c r="W315" t="s">
        <v>282</v>
      </c>
      <c r="X315" s="2">
        <v>0.65500000000000003</v>
      </c>
      <c r="Y315" s="6">
        <f t="shared" si="34"/>
        <v>1.7484850911614749E-2</v>
      </c>
      <c r="AA315">
        <v>189375</v>
      </c>
      <c r="AB315">
        <v>26051</v>
      </c>
      <c r="AD315" t="s">
        <v>2</v>
      </c>
      <c r="AE315">
        <v>40</v>
      </c>
      <c r="AF315">
        <v>3</v>
      </c>
      <c r="AH315" t="s">
        <v>6473</v>
      </c>
      <c r="AI315" t="s">
        <v>6472</v>
      </c>
      <c r="AJ315" t="s">
        <v>6471</v>
      </c>
      <c r="AK315" t="s">
        <v>6470</v>
      </c>
      <c r="AL315">
        <v>11</v>
      </c>
      <c r="AM315" s="5">
        <f t="shared" si="35"/>
        <v>0.45833333333333331</v>
      </c>
      <c r="AN315" s="4">
        <f t="shared" si="36"/>
        <v>6.9418149690773695E-4</v>
      </c>
      <c r="AO315" s="3"/>
      <c r="AP315">
        <v>0</v>
      </c>
      <c r="AR315" t="s">
        <v>1</v>
      </c>
      <c r="AT315" s="2" t="s">
        <v>0</v>
      </c>
      <c r="AU315" s="1">
        <f t="shared" si="37"/>
        <v>1.2447650087202644</v>
      </c>
      <c r="AV315" s="1">
        <f t="shared" si="38"/>
        <v>0.90895162042612421</v>
      </c>
      <c r="AW315" s="1">
        <f t="shared" si="39"/>
        <v>0.57313823213198412</v>
      </c>
    </row>
    <row r="316" spans="1:49" x14ac:dyDescent="0.2">
      <c r="A316">
        <v>314</v>
      </c>
      <c r="B316" t="s">
        <v>6469</v>
      </c>
      <c r="C316" t="s">
        <v>6468</v>
      </c>
      <c r="D316" t="s">
        <v>6467</v>
      </c>
      <c r="F316" t="s">
        <v>6466</v>
      </c>
      <c r="G316" t="s">
        <v>5</v>
      </c>
      <c r="H316" t="s">
        <v>4</v>
      </c>
      <c r="I316" t="s">
        <v>6465</v>
      </c>
      <c r="J316">
        <v>60018491</v>
      </c>
      <c r="K316" t="s">
        <v>6464</v>
      </c>
      <c r="L316" t="s">
        <v>6463</v>
      </c>
      <c r="M316" t="s">
        <v>15</v>
      </c>
      <c r="N316">
        <v>1</v>
      </c>
      <c r="O316" t="s">
        <v>6462</v>
      </c>
      <c r="P316">
        <v>7402661726</v>
      </c>
      <c r="Q316">
        <v>60018491</v>
      </c>
      <c r="R316" s="7">
        <v>36130</v>
      </c>
      <c r="S316" s="8">
        <f t="shared" si="32"/>
        <v>1998</v>
      </c>
      <c r="T316" s="8">
        <v>1998</v>
      </c>
      <c r="U316" s="8">
        <f t="shared" si="33"/>
        <v>24</v>
      </c>
      <c r="V316" s="7">
        <v>1998</v>
      </c>
      <c r="W316" t="s">
        <v>256</v>
      </c>
      <c r="X316" s="2">
        <v>1.468</v>
      </c>
      <c r="Y316" s="6">
        <f t="shared" si="34"/>
        <v>3.9187421585115186E-2</v>
      </c>
      <c r="AA316">
        <v>906778</v>
      </c>
      <c r="AB316">
        <v>18931</v>
      </c>
      <c r="AD316" t="s">
        <v>2</v>
      </c>
      <c r="AE316">
        <v>46</v>
      </c>
      <c r="AF316">
        <v>8</v>
      </c>
      <c r="AH316" t="s">
        <v>6461</v>
      </c>
      <c r="AI316" t="s">
        <v>6460</v>
      </c>
      <c r="AJ316" t="s">
        <v>6459</v>
      </c>
      <c r="AK316" t="s">
        <v>6458</v>
      </c>
      <c r="AL316">
        <v>151</v>
      </c>
      <c r="AM316" s="5">
        <f t="shared" si="35"/>
        <v>6.291666666666667</v>
      </c>
      <c r="AN316" s="4">
        <f t="shared" si="36"/>
        <v>9.5292187302789353E-3</v>
      </c>
      <c r="AO316" s="3"/>
      <c r="AP316">
        <v>0</v>
      </c>
      <c r="AQ316" t="s">
        <v>317</v>
      </c>
      <c r="AR316" t="s">
        <v>1</v>
      </c>
      <c r="AS316" t="s">
        <v>316</v>
      </c>
      <c r="AT316" s="2">
        <v>5.0830000000000002</v>
      </c>
      <c r="AU316" s="1">
        <f t="shared" si="37"/>
        <v>3.0289960728664309</v>
      </c>
      <c r="AV316" s="1">
        <f t="shared" si="38"/>
        <v>2.435832015769706</v>
      </c>
      <c r="AW316" s="1">
        <f t="shared" si="39"/>
        <v>1.8426679586729813</v>
      </c>
    </row>
    <row r="317" spans="1:49" x14ac:dyDescent="0.2">
      <c r="A317">
        <v>315</v>
      </c>
      <c r="B317" t="s">
        <v>6457</v>
      </c>
      <c r="C317" t="s">
        <v>6456</v>
      </c>
      <c r="D317" t="s">
        <v>6455</v>
      </c>
      <c r="F317" t="s">
        <v>6454</v>
      </c>
      <c r="G317" t="s">
        <v>5</v>
      </c>
      <c r="H317" t="s">
        <v>4</v>
      </c>
      <c r="I317" t="s">
        <v>754</v>
      </c>
      <c r="J317">
        <v>60013983</v>
      </c>
      <c r="K317" t="s">
        <v>34</v>
      </c>
      <c r="L317" t="s">
        <v>33</v>
      </c>
      <c r="M317" t="s">
        <v>32</v>
      </c>
      <c r="N317">
        <v>2</v>
      </c>
      <c r="O317" t="s">
        <v>6453</v>
      </c>
      <c r="P317" t="s">
        <v>6452</v>
      </c>
      <c r="Q317" t="s">
        <v>4053</v>
      </c>
      <c r="R317" s="7">
        <v>36130</v>
      </c>
      <c r="S317" s="8">
        <f t="shared" si="32"/>
        <v>1998</v>
      </c>
      <c r="T317" s="8">
        <v>1998</v>
      </c>
      <c r="U317" s="8">
        <f t="shared" si="33"/>
        <v>24</v>
      </c>
      <c r="V317" s="7">
        <v>1998</v>
      </c>
      <c r="W317" t="s">
        <v>649</v>
      </c>
      <c r="X317" s="2">
        <v>1.6519999999999999</v>
      </c>
      <c r="Y317" s="6">
        <f t="shared" si="34"/>
        <v>4.409919649769093E-2</v>
      </c>
      <c r="AA317" t="s">
        <v>648</v>
      </c>
      <c r="AB317">
        <v>17337</v>
      </c>
      <c r="AD317" t="s">
        <v>2</v>
      </c>
      <c r="AE317">
        <v>46</v>
      </c>
      <c r="AF317">
        <v>8</v>
      </c>
      <c r="AH317" t="s">
        <v>6451</v>
      </c>
      <c r="AI317" t="s">
        <v>6450</v>
      </c>
      <c r="AK317" t="s">
        <v>6449</v>
      </c>
      <c r="AL317">
        <v>24</v>
      </c>
      <c r="AM317" s="5">
        <f t="shared" si="35"/>
        <v>1</v>
      </c>
      <c r="AN317" s="4">
        <f t="shared" si="36"/>
        <v>1.5145778114350624E-3</v>
      </c>
      <c r="AO317" s="3"/>
      <c r="AP317">
        <v>0</v>
      </c>
      <c r="AR317">
        <v>9040209</v>
      </c>
      <c r="AS317" t="s">
        <v>34</v>
      </c>
      <c r="AT317" s="2" t="s">
        <v>0</v>
      </c>
      <c r="AU317" s="1">
        <f t="shared" si="37"/>
        <v>3.132381089181417</v>
      </c>
      <c r="AV317" s="1">
        <f t="shared" si="38"/>
        <v>2.2806887154562996</v>
      </c>
      <c r="AW317" s="1">
        <f t="shared" si="39"/>
        <v>1.4289963417311822</v>
      </c>
    </row>
    <row r="318" spans="1:49" x14ac:dyDescent="0.2">
      <c r="A318">
        <v>316</v>
      </c>
      <c r="B318" t="s">
        <v>6448</v>
      </c>
      <c r="C318" t="s">
        <v>6447</v>
      </c>
      <c r="F318" t="s">
        <v>6446</v>
      </c>
      <c r="G318" t="s">
        <v>5</v>
      </c>
      <c r="H318" t="s">
        <v>4</v>
      </c>
      <c r="I318" t="s">
        <v>6045</v>
      </c>
      <c r="J318">
        <v>60027550</v>
      </c>
      <c r="K318" t="s">
        <v>11</v>
      </c>
      <c r="L318" t="s">
        <v>10</v>
      </c>
      <c r="M318" t="s">
        <v>9</v>
      </c>
      <c r="N318">
        <v>1</v>
      </c>
      <c r="O318" t="s">
        <v>6445</v>
      </c>
      <c r="P318">
        <v>7004515434</v>
      </c>
      <c r="Q318">
        <v>60027550</v>
      </c>
      <c r="R318" s="7">
        <v>36130</v>
      </c>
      <c r="S318" s="8">
        <f t="shared" si="32"/>
        <v>1998</v>
      </c>
      <c r="T318" s="8">
        <v>1998</v>
      </c>
      <c r="U318" s="8">
        <f t="shared" si="33"/>
        <v>24</v>
      </c>
      <c r="V318" s="7">
        <v>1998</v>
      </c>
      <c r="W318" t="s">
        <v>4001</v>
      </c>
      <c r="X318" s="2">
        <v>1.365</v>
      </c>
      <c r="Y318" s="6">
        <f t="shared" si="34"/>
        <v>3.6437895411227675E-2</v>
      </c>
      <c r="AA318">
        <v>189545</v>
      </c>
      <c r="AB318">
        <v>17393</v>
      </c>
      <c r="AD318" t="s">
        <v>2</v>
      </c>
      <c r="AE318">
        <v>47</v>
      </c>
      <c r="AF318">
        <v>3</v>
      </c>
      <c r="AH318" t="s">
        <v>6444</v>
      </c>
      <c r="AI318" t="s">
        <v>6443</v>
      </c>
      <c r="AK318" t="s">
        <v>6442</v>
      </c>
      <c r="AL318">
        <v>97</v>
      </c>
      <c r="AM318" s="5">
        <f t="shared" si="35"/>
        <v>4.041666666666667</v>
      </c>
      <c r="AN318" s="4">
        <f t="shared" si="36"/>
        <v>6.1214186545500444E-3</v>
      </c>
      <c r="AO318" s="3"/>
      <c r="AP318">
        <v>0</v>
      </c>
      <c r="AQ318" t="s">
        <v>6441</v>
      </c>
      <c r="AR318" t="s">
        <v>6440</v>
      </c>
      <c r="AS318" t="s">
        <v>6439</v>
      </c>
      <c r="AT318" s="2" t="s">
        <v>0</v>
      </c>
      <c r="AU318" s="1">
        <f t="shared" si="37"/>
        <v>2.7342952384224382</v>
      </c>
      <c r="AV318" s="1">
        <f t="shared" si="38"/>
        <v>2.1279657032888859</v>
      </c>
      <c r="AW318" s="1">
        <f t="shared" si="39"/>
        <v>1.5216361681553332</v>
      </c>
    </row>
    <row r="319" spans="1:49" x14ac:dyDescent="0.2">
      <c r="A319">
        <v>317</v>
      </c>
      <c r="B319" t="s">
        <v>6438</v>
      </c>
      <c r="C319" t="s">
        <v>6437</v>
      </c>
      <c r="D319" t="s">
        <v>6436</v>
      </c>
      <c r="F319" t="s">
        <v>6435</v>
      </c>
      <c r="G319" t="s">
        <v>5</v>
      </c>
      <c r="H319" t="s">
        <v>4</v>
      </c>
      <c r="I319" t="s">
        <v>6434</v>
      </c>
      <c r="J319" t="s">
        <v>6433</v>
      </c>
      <c r="K319" t="s">
        <v>6432</v>
      </c>
      <c r="L319" t="s">
        <v>6431</v>
      </c>
      <c r="M319" t="s">
        <v>4606</v>
      </c>
      <c r="N319">
        <v>2</v>
      </c>
      <c r="O319" t="s">
        <v>6430</v>
      </c>
      <c r="P319" t="s">
        <v>6429</v>
      </c>
      <c r="Q319" t="s">
        <v>6428</v>
      </c>
      <c r="R319" s="7">
        <v>36130</v>
      </c>
      <c r="S319" s="8">
        <f t="shared" si="32"/>
        <v>1998</v>
      </c>
      <c r="T319" s="8">
        <v>1998</v>
      </c>
      <c r="U319" s="8">
        <f t="shared" si="33"/>
        <v>24</v>
      </c>
      <c r="V319" s="7">
        <v>1998</v>
      </c>
      <c r="W319" t="s">
        <v>4770</v>
      </c>
      <c r="X319" s="2">
        <v>0.82</v>
      </c>
      <c r="Y319" s="6">
        <f t="shared" si="34"/>
        <v>2.1889431675609299E-2</v>
      </c>
      <c r="AA319">
        <v>189456</v>
      </c>
      <c r="AB319">
        <v>15361</v>
      </c>
      <c r="AD319" t="s">
        <v>2</v>
      </c>
      <c r="AE319">
        <v>47</v>
      </c>
      <c r="AF319">
        <v>4</v>
      </c>
      <c r="AH319" t="s">
        <v>6427</v>
      </c>
      <c r="AI319" t="s">
        <v>6426</v>
      </c>
      <c r="AJ319" t="s">
        <v>6425</v>
      </c>
      <c r="AK319" t="s">
        <v>6424</v>
      </c>
      <c r="AL319">
        <v>117</v>
      </c>
      <c r="AM319" s="5">
        <f t="shared" si="35"/>
        <v>4.875</v>
      </c>
      <c r="AN319" s="4">
        <f t="shared" si="36"/>
        <v>7.3835668307459298E-3</v>
      </c>
      <c r="AO319" s="3"/>
      <c r="AP319">
        <v>0</v>
      </c>
      <c r="AQ319" t="s">
        <v>118</v>
      </c>
      <c r="AR319" t="s">
        <v>6423</v>
      </c>
      <c r="AS319" t="s">
        <v>117</v>
      </c>
      <c r="AT319" s="2" t="s">
        <v>0</v>
      </c>
      <c r="AU319" s="1">
        <f t="shared" si="37"/>
        <v>1.7537672222150285</v>
      </c>
      <c r="AV319" s="1">
        <f t="shared" si="38"/>
        <v>1.4636499253177615</v>
      </c>
      <c r="AW319" s="1">
        <f t="shared" si="39"/>
        <v>1.1735326284204939</v>
      </c>
    </row>
    <row r="320" spans="1:49" x14ac:dyDescent="0.2">
      <c r="A320">
        <v>318</v>
      </c>
      <c r="B320" t="s">
        <v>6422</v>
      </c>
      <c r="C320" t="s">
        <v>6421</v>
      </c>
      <c r="D320" t="s">
        <v>6420</v>
      </c>
      <c r="F320" t="s">
        <v>6419</v>
      </c>
      <c r="G320" t="s">
        <v>5</v>
      </c>
      <c r="H320" t="s">
        <v>4</v>
      </c>
      <c r="I320" t="s">
        <v>6418</v>
      </c>
      <c r="J320">
        <v>60014264</v>
      </c>
      <c r="K320" t="s">
        <v>500</v>
      </c>
      <c r="L320" t="s">
        <v>499</v>
      </c>
      <c r="M320" t="s">
        <v>37</v>
      </c>
      <c r="N320">
        <v>2</v>
      </c>
      <c r="O320" t="s">
        <v>6417</v>
      </c>
      <c r="P320" t="s">
        <v>6416</v>
      </c>
      <c r="Q320" t="s">
        <v>6415</v>
      </c>
      <c r="R320" s="7">
        <v>36130</v>
      </c>
      <c r="S320" s="8">
        <f t="shared" si="32"/>
        <v>1998</v>
      </c>
      <c r="T320" s="8">
        <v>1998</v>
      </c>
      <c r="U320" s="8">
        <f t="shared" si="33"/>
        <v>24</v>
      </c>
      <c r="V320" s="7">
        <v>1998</v>
      </c>
      <c r="W320" t="s">
        <v>303</v>
      </c>
      <c r="X320" s="2">
        <v>1.3720000000000001</v>
      </c>
      <c r="Y320" s="6">
        <f t="shared" si="34"/>
        <v>3.662475641333654E-2</v>
      </c>
      <c r="AA320">
        <v>189480</v>
      </c>
      <c r="AB320">
        <v>17366</v>
      </c>
      <c r="AD320" t="s">
        <v>2</v>
      </c>
      <c r="AE320">
        <v>46</v>
      </c>
      <c r="AF320">
        <v>7</v>
      </c>
      <c r="AH320" t="s">
        <v>6414</v>
      </c>
      <c r="AI320" t="s">
        <v>6413</v>
      </c>
      <c r="AJ320" t="s">
        <v>6412</v>
      </c>
      <c r="AK320" t="s">
        <v>6411</v>
      </c>
      <c r="AL320">
        <v>53</v>
      </c>
      <c r="AM320" s="5">
        <f t="shared" si="35"/>
        <v>2.2083333333333335</v>
      </c>
      <c r="AN320" s="4">
        <f t="shared" si="36"/>
        <v>3.3446926669190966E-3</v>
      </c>
      <c r="AO320" s="3"/>
      <c r="AP320">
        <v>0</v>
      </c>
      <c r="AR320" t="s">
        <v>1</v>
      </c>
      <c r="AT320" s="2" t="s">
        <v>0</v>
      </c>
      <c r="AU320" s="1">
        <f t="shared" si="37"/>
        <v>2.6640737289411307</v>
      </c>
      <c r="AV320" s="1">
        <f t="shared" si="38"/>
        <v>1.9984724540127821</v>
      </c>
      <c r="AW320" s="1">
        <f t="shared" si="39"/>
        <v>1.332871179084433</v>
      </c>
    </row>
    <row r="321" spans="1:49" x14ac:dyDescent="0.2">
      <c r="A321">
        <v>319</v>
      </c>
      <c r="B321" t="s">
        <v>6410</v>
      </c>
      <c r="C321" t="s">
        <v>6409</v>
      </c>
      <c r="F321" t="s">
        <v>6408</v>
      </c>
      <c r="G321" t="s">
        <v>5</v>
      </c>
      <c r="H321" t="s">
        <v>4</v>
      </c>
      <c r="I321" t="s">
        <v>6407</v>
      </c>
      <c r="J321" t="s">
        <v>6406</v>
      </c>
      <c r="K321" t="s">
        <v>6405</v>
      </c>
      <c r="L321" t="s">
        <v>6404</v>
      </c>
      <c r="M321" t="s">
        <v>184</v>
      </c>
      <c r="N321">
        <v>9</v>
      </c>
      <c r="O321" t="s">
        <v>6403</v>
      </c>
      <c r="P321" t="s">
        <v>6402</v>
      </c>
      <c r="Q321" t="s">
        <v>6401</v>
      </c>
      <c r="R321" s="7">
        <v>36130</v>
      </c>
      <c r="S321" s="8">
        <f t="shared" si="32"/>
        <v>1998</v>
      </c>
      <c r="T321" s="8">
        <v>1998</v>
      </c>
      <c r="U321" s="8">
        <f t="shared" si="33"/>
        <v>24</v>
      </c>
      <c r="V321" s="7">
        <v>1998</v>
      </c>
      <c r="W321" t="s">
        <v>6340</v>
      </c>
      <c r="X321" s="2">
        <v>1.57</v>
      </c>
      <c r="Y321" s="6">
        <f t="shared" si="34"/>
        <v>4.1910253330130008E-2</v>
      </c>
      <c r="AA321">
        <v>8858977</v>
      </c>
      <c r="AB321">
        <v>17370</v>
      </c>
      <c r="AD321" t="s">
        <v>2</v>
      </c>
      <c r="AE321">
        <v>13</v>
      </c>
      <c r="AF321">
        <v>3</v>
      </c>
      <c r="AH321" t="s">
        <v>6400</v>
      </c>
      <c r="AI321" t="s">
        <v>6399</v>
      </c>
      <c r="AJ321" t="s">
        <v>6398</v>
      </c>
      <c r="AK321" t="s">
        <v>6397</v>
      </c>
      <c r="AL321">
        <v>10</v>
      </c>
      <c r="AM321" s="5">
        <f t="shared" si="35"/>
        <v>0.41666666666666669</v>
      </c>
      <c r="AN321" s="4">
        <f t="shared" si="36"/>
        <v>6.310740880979427E-4</v>
      </c>
      <c r="AO321" s="3"/>
      <c r="AP321">
        <v>0</v>
      </c>
      <c r="AR321" t="s">
        <v>1</v>
      </c>
      <c r="AT321" s="2">
        <v>4.1310000000000002</v>
      </c>
      <c r="AU321" s="1">
        <f t="shared" si="37"/>
        <v>2.9526499557520389</v>
      </c>
      <c r="AV321" s="1">
        <f t="shared" si="38"/>
        <v>2.1270663709113973</v>
      </c>
      <c r="AW321" s="1">
        <f t="shared" si="39"/>
        <v>1.3014827860707563</v>
      </c>
    </row>
    <row r="322" spans="1:49" x14ac:dyDescent="0.2">
      <c r="A322">
        <v>320</v>
      </c>
      <c r="B322" t="s">
        <v>6396</v>
      </c>
      <c r="C322" t="s">
        <v>6395</v>
      </c>
      <c r="D322" t="s">
        <v>6394</v>
      </c>
      <c r="F322" t="s">
        <v>6393</v>
      </c>
      <c r="G322" t="s">
        <v>5</v>
      </c>
      <c r="H322" t="s">
        <v>4</v>
      </c>
      <c r="I322" t="s">
        <v>6392</v>
      </c>
      <c r="J322">
        <v>60002947</v>
      </c>
      <c r="K322" t="s">
        <v>164</v>
      </c>
      <c r="L322" t="s">
        <v>163</v>
      </c>
      <c r="M322" t="s">
        <v>162</v>
      </c>
      <c r="N322">
        <v>2</v>
      </c>
      <c r="O322" t="s">
        <v>6391</v>
      </c>
      <c r="P322" t="s">
        <v>6390</v>
      </c>
      <c r="Q322" t="s">
        <v>6389</v>
      </c>
      <c r="R322" s="7">
        <v>36130</v>
      </c>
      <c r="S322" s="8">
        <f t="shared" ref="S322:S385" si="40">YEAR(R322)</f>
        <v>1998</v>
      </c>
      <c r="T322" s="8">
        <v>1998</v>
      </c>
      <c r="U322" s="8">
        <f t="shared" ref="U322:U385" si="41">2022-T322</f>
        <v>24</v>
      </c>
      <c r="V322" s="7">
        <v>1998</v>
      </c>
      <c r="W322" t="s">
        <v>303</v>
      </c>
      <c r="X322" s="2">
        <v>1.3720000000000001</v>
      </c>
      <c r="Y322" s="6">
        <f t="shared" ref="Y322:Y385" si="42">(X322-$Z$3)/($Z$2-$Z$3)</f>
        <v>3.662475641333654E-2</v>
      </c>
      <c r="AA322">
        <v>189480</v>
      </c>
      <c r="AB322">
        <v>17366</v>
      </c>
      <c r="AD322" t="s">
        <v>2</v>
      </c>
      <c r="AE322">
        <v>46</v>
      </c>
      <c r="AF322">
        <v>7</v>
      </c>
      <c r="AH322" t="s">
        <v>6388</v>
      </c>
      <c r="AI322" t="s">
        <v>6387</v>
      </c>
      <c r="AJ322" t="s">
        <v>6386</v>
      </c>
      <c r="AK322" t="s">
        <v>6385</v>
      </c>
      <c r="AL322">
        <v>25</v>
      </c>
      <c r="AM322" s="5">
        <f t="shared" ref="AM322:AM385" si="43">AL322/U322</f>
        <v>1.0416666666666667</v>
      </c>
      <c r="AN322" s="4">
        <f t="shared" ref="AN322:AN385" si="44">(AM322-$AO$3)/($AO$2-$AO$3)</f>
        <v>1.5776852202448568E-3</v>
      </c>
      <c r="AO322" s="3"/>
      <c r="AP322">
        <v>0</v>
      </c>
      <c r="AR322" t="s">
        <v>1</v>
      </c>
      <c r="AT322" s="2" t="s">
        <v>0</v>
      </c>
      <c r="AU322" s="1">
        <f t="shared" ref="AU322:AU385" si="45">(Y322*0.7+AN322*0.3)*100</f>
        <v>2.6110635055409031</v>
      </c>
      <c r="AV322" s="1">
        <f t="shared" ref="AV322:AV385" si="46">(Y322*0.5+AN322*0.5)*100</f>
        <v>1.91012208167907</v>
      </c>
      <c r="AW322" s="1">
        <f t="shared" ref="AW322:AW385" si="47">(Y322*0.3+AN322*0.7)*100</f>
        <v>1.2091806578172362</v>
      </c>
    </row>
    <row r="323" spans="1:49" x14ac:dyDescent="0.2">
      <c r="A323">
        <v>321</v>
      </c>
      <c r="B323" t="s">
        <v>6384</v>
      </c>
      <c r="C323" t="s">
        <v>6383</v>
      </c>
      <c r="D323" t="s">
        <v>6382</v>
      </c>
      <c r="F323" t="s">
        <v>6381</v>
      </c>
      <c r="G323" t="s">
        <v>5</v>
      </c>
      <c r="H323" t="s">
        <v>4</v>
      </c>
      <c r="I323" t="s">
        <v>683</v>
      </c>
      <c r="J323">
        <v>60020547</v>
      </c>
      <c r="K323" t="s">
        <v>137</v>
      </c>
      <c r="L323" t="s">
        <v>136</v>
      </c>
      <c r="M323" t="s">
        <v>9</v>
      </c>
      <c r="N323">
        <v>2</v>
      </c>
      <c r="O323" t="s">
        <v>6380</v>
      </c>
      <c r="P323" t="s">
        <v>6379</v>
      </c>
      <c r="Q323" t="s">
        <v>6378</v>
      </c>
      <c r="R323" s="7">
        <v>36130</v>
      </c>
      <c r="S323" s="8">
        <f t="shared" si="40"/>
        <v>1998</v>
      </c>
      <c r="T323" s="8">
        <v>1998</v>
      </c>
      <c r="U323" s="8">
        <f t="shared" si="41"/>
        <v>24</v>
      </c>
      <c r="V323" s="7">
        <v>1998</v>
      </c>
      <c r="W323" t="s">
        <v>303</v>
      </c>
      <c r="X323" s="2">
        <v>1.3720000000000001</v>
      </c>
      <c r="Y323" s="6">
        <f t="shared" si="42"/>
        <v>3.662475641333654E-2</v>
      </c>
      <c r="AA323">
        <v>189480</v>
      </c>
      <c r="AB323">
        <v>17366</v>
      </c>
      <c r="AD323" t="s">
        <v>2</v>
      </c>
      <c r="AE323">
        <v>46</v>
      </c>
      <c r="AF323">
        <v>7</v>
      </c>
      <c r="AH323" t="s">
        <v>6377</v>
      </c>
      <c r="AI323" t="s">
        <v>6376</v>
      </c>
      <c r="AJ323" t="s">
        <v>6375</v>
      </c>
      <c r="AK323" t="s">
        <v>6374</v>
      </c>
      <c r="AL323">
        <v>2</v>
      </c>
      <c r="AM323" s="5">
        <f t="shared" si="43"/>
        <v>8.3333333333333329E-2</v>
      </c>
      <c r="AN323" s="4">
        <f t="shared" si="44"/>
        <v>1.2621481761958852E-4</v>
      </c>
      <c r="AO323" s="3"/>
      <c r="AP323">
        <v>0</v>
      </c>
      <c r="AR323" t="s">
        <v>1</v>
      </c>
      <c r="AT323" s="2" t="s">
        <v>0</v>
      </c>
      <c r="AU323" s="1">
        <f t="shared" si="45"/>
        <v>2.5675193934621454</v>
      </c>
      <c r="AV323" s="1">
        <f t="shared" si="46"/>
        <v>1.8375485615478064</v>
      </c>
      <c r="AW323" s="1">
        <f t="shared" si="47"/>
        <v>1.1075777296334675</v>
      </c>
    </row>
    <row r="324" spans="1:49" x14ac:dyDescent="0.2">
      <c r="A324">
        <v>322</v>
      </c>
      <c r="B324" t="s">
        <v>6373</v>
      </c>
      <c r="C324" t="s">
        <v>6372</v>
      </c>
      <c r="D324" t="s">
        <v>6371</v>
      </c>
      <c r="F324" t="s">
        <v>6370</v>
      </c>
      <c r="G324" t="s">
        <v>5</v>
      </c>
      <c r="H324" t="s">
        <v>4</v>
      </c>
      <c r="I324" t="s">
        <v>6369</v>
      </c>
      <c r="J324" t="s">
        <v>4952</v>
      </c>
      <c r="K324" t="s">
        <v>4951</v>
      </c>
      <c r="L324" t="s">
        <v>4950</v>
      </c>
      <c r="M324" t="s">
        <v>6</v>
      </c>
      <c r="N324">
        <v>3</v>
      </c>
      <c r="O324" t="s">
        <v>6368</v>
      </c>
      <c r="P324" t="s">
        <v>6367</v>
      </c>
      <c r="Q324" t="s">
        <v>6366</v>
      </c>
      <c r="R324" s="7">
        <v>36130</v>
      </c>
      <c r="S324" s="8">
        <f t="shared" si="40"/>
        <v>1998</v>
      </c>
      <c r="T324" s="8">
        <v>1998</v>
      </c>
      <c r="U324" s="8">
        <f t="shared" si="41"/>
        <v>24</v>
      </c>
      <c r="V324" s="7">
        <v>1998</v>
      </c>
      <c r="W324" t="s">
        <v>303</v>
      </c>
      <c r="X324" s="2">
        <v>1.3720000000000001</v>
      </c>
      <c r="Y324" s="6">
        <f t="shared" si="42"/>
        <v>3.662475641333654E-2</v>
      </c>
      <c r="AA324">
        <v>189480</v>
      </c>
      <c r="AB324">
        <v>17366</v>
      </c>
      <c r="AD324" t="s">
        <v>2</v>
      </c>
      <c r="AE324">
        <v>46</v>
      </c>
      <c r="AF324">
        <v>7</v>
      </c>
      <c r="AH324" t="s">
        <v>6365</v>
      </c>
      <c r="AI324" t="s">
        <v>6364</v>
      </c>
      <c r="AJ324" t="s">
        <v>6363</v>
      </c>
      <c r="AK324" t="s">
        <v>6362</v>
      </c>
      <c r="AL324">
        <v>30</v>
      </c>
      <c r="AM324" s="5">
        <f t="shared" si="43"/>
        <v>1.25</v>
      </c>
      <c r="AN324" s="4">
        <f t="shared" si="44"/>
        <v>1.8932222642938281E-3</v>
      </c>
      <c r="AO324" s="3"/>
      <c r="AP324">
        <v>0</v>
      </c>
      <c r="AR324" t="s">
        <v>1</v>
      </c>
      <c r="AT324" s="2" t="s">
        <v>0</v>
      </c>
      <c r="AU324" s="1">
        <f t="shared" si="45"/>
        <v>2.6205296168623726</v>
      </c>
      <c r="AV324" s="1">
        <f t="shared" si="46"/>
        <v>1.9258989338815184</v>
      </c>
      <c r="AW324" s="1">
        <f t="shared" si="47"/>
        <v>1.2312682509006643</v>
      </c>
    </row>
    <row r="325" spans="1:49" x14ac:dyDescent="0.2">
      <c r="A325">
        <v>323</v>
      </c>
      <c r="B325" t="s">
        <v>6361</v>
      </c>
      <c r="C325" t="s">
        <v>6360</v>
      </c>
      <c r="D325" t="s">
        <v>6359</v>
      </c>
      <c r="F325" t="s">
        <v>6358</v>
      </c>
      <c r="G325" t="s">
        <v>5</v>
      </c>
      <c r="H325" t="s">
        <v>4</v>
      </c>
      <c r="I325" t="s">
        <v>6357</v>
      </c>
      <c r="J325" t="s">
        <v>6356</v>
      </c>
      <c r="K325" t="s">
        <v>6355</v>
      </c>
      <c r="L325" t="s">
        <v>6354</v>
      </c>
      <c r="M325" t="s">
        <v>35</v>
      </c>
      <c r="N325">
        <v>4</v>
      </c>
      <c r="O325" t="s">
        <v>6353</v>
      </c>
      <c r="P325" t="s">
        <v>6352</v>
      </c>
      <c r="Q325" t="s">
        <v>6351</v>
      </c>
      <c r="R325" s="7">
        <v>36130</v>
      </c>
      <c r="S325" s="8">
        <f t="shared" si="40"/>
        <v>1998</v>
      </c>
      <c r="T325" s="8">
        <v>1998</v>
      </c>
      <c r="U325" s="8">
        <f t="shared" si="41"/>
        <v>24</v>
      </c>
      <c r="V325" s="7">
        <v>1998</v>
      </c>
      <c r="W325" t="s">
        <v>5073</v>
      </c>
      <c r="X325" s="2">
        <v>1.218</v>
      </c>
      <c r="Y325" s="6">
        <f t="shared" si="42"/>
        <v>3.2513814366941618E-2</v>
      </c>
      <c r="AA325">
        <v>189448</v>
      </c>
      <c r="AB325">
        <v>15107</v>
      </c>
      <c r="AD325" t="s">
        <v>2</v>
      </c>
      <c r="AE325">
        <v>44</v>
      </c>
      <c r="AF325">
        <v>4</v>
      </c>
      <c r="AH325" t="s">
        <v>6350</v>
      </c>
      <c r="AI325" t="s">
        <v>6349</v>
      </c>
      <c r="AJ325" t="s">
        <v>6348</v>
      </c>
      <c r="AK325" t="s">
        <v>6347</v>
      </c>
      <c r="AL325">
        <v>82</v>
      </c>
      <c r="AM325" s="5">
        <f t="shared" si="43"/>
        <v>3.4166666666666665</v>
      </c>
      <c r="AN325" s="4">
        <f t="shared" si="44"/>
        <v>5.1748075224031303E-3</v>
      </c>
      <c r="AO325" s="3"/>
      <c r="AP325">
        <v>0</v>
      </c>
      <c r="AQ325" t="s">
        <v>17</v>
      </c>
      <c r="AR325" t="s">
        <v>964</v>
      </c>
      <c r="AS325" t="s">
        <v>16</v>
      </c>
      <c r="AT325" s="2" t="s">
        <v>0</v>
      </c>
      <c r="AU325" s="1">
        <f t="shared" si="45"/>
        <v>2.4312112313580068</v>
      </c>
      <c r="AV325" s="1">
        <f t="shared" si="46"/>
        <v>1.8844310944672376</v>
      </c>
      <c r="AW325" s="1">
        <f t="shared" si="47"/>
        <v>1.3376509575764675</v>
      </c>
    </row>
    <row r="326" spans="1:49" x14ac:dyDescent="0.2">
      <c r="A326">
        <v>324</v>
      </c>
      <c r="B326" t="s">
        <v>6346</v>
      </c>
      <c r="C326" t="s">
        <v>6345</v>
      </c>
      <c r="F326" t="s">
        <v>6344</v>
      </c>
      <c r="G326" t="s">
        <v>5</v>
      </c>
      <c r="H326" t="s">
        <v>4</v>
      </c>
      <c r="I326" t="s">
        <v>6343</v>
      </c>
      <c r="J326">
        <v>60015815</v>
      </c>
      <c r="K326" t="s">
        <v>757</v>
      </c>
      <c r="L326" t="s">
        <v>239</v>
      </c>
      <c r="M326" t="s">
        <v>37</v>
      </c>
      <c r="N326">
        <v>2</v>
      </c>
      <c r="O326" t="s">
        <v>6342</v>
      </c>
      <c r="P326" t="s">
        <v>6341</v>
      </c>
      <c r="Q326" t="s">
        <v>756</v>
      </c>
      <c r="R326" s="7">
        <v>36130</v>
      </c>
      <c r="S326" s="8">
        <f t="shared" si="40"/>
        <v>1998</v>
      </c>
      <c r="T326" s="8">
        <v>1998</v>
      </c>
      <c r="U326" s="8">
        <f t="shared" si="41"/>
        <v>24</v>
      </c>
      <c r="V326" s="7">
        <v>1998</v>
      </c>
      <c r="W326" t="s">
        <v>6340</v>
      </c>
      <c r="X326" s="2">
        <v>1.57</v>
      </c>
      <c r="Y326" s="6">
        <f t="shared" si="42"/>
        <v>4.1910253330130008E-2</v>
      </c>
      <c r="AA326">
        <v>8858977</v>
      </c>
      <c r="AB326">
        <v>17370</v>
      </c>
      <c r="AD326" t="s">
        <v>2</v>
      </c>
      <c r="AE326">
        <v>13</v>
      </c>
      <c r="AF326">
        <v>3</v>
      </c>
      <c r="AH326" t="s">
        <v>6339</v>
      </c>
      <c r="AI326" t="s">
        <v>6338</v>
      </c>
      <c r="AJ326" t="s">
        <v>6337</v>
      </c>
      <c r="AK326" t="s">
        <v>6336</v>
      </c>
      <c r="AL326">
        <v>126</v>
      </c>
      <c r="AM326" s="5">
        <f t="shared" si="43"/>
        <v>5.25</v>
      </c>
      <c r="AN326" s="4">
        <f t="shared" si="44"/>
        <v>7.9515335100340777E-3</v>
      </c>
      <c r="AO326" s="3"/>
      <c r="AP326">
        <v>0</v>
      </c>
      <c r="AR326" t="s">
        <v>1</v>
      </c>
      <c r="AT326" s="2">
        <v>4.1310000000000002</v>
      </c>
      <c r="AU326" s="1">
        <f t="shared" si="45"/>
        <v>3.1722637384101229</v>
      </c>
      <c r="AV326" s="1">
        <f t="shared" si="46"/>
        <v>2.4930893420082043</v>
      </c>
      <c r="AW326" s="1">
        <f t="shared" si="47"/>
        <v>1.8139149456062855</v>
      </c>
    </row>
    <row r="327" spans="1:49" x14ac:dyDescent="0.2">
      <c r="A327">
        <v>325</v>
      </c>
      <c r="B327" t="s">
        <v>6335</v>
      </c>
      <c r="C327" t="s">
        <v>6334</v>
      </c>
      <c r="D327" t="s">
        <v>6333</v>
      </c>
      <c r="F327" t="s">
        <v>6332</v>
      </c>
      <c r="G327" t="s">
        <v>5</v>
      </c>
      <c r="H327" t="s">
        <v>4</v>
      </c>
      <c r="I327" t="s">
        <v>466</v>
      </c>
      <c r="J327" t="s">
        <v>6323</v>
      </c>
      <c r="K327" t="s">
        <v>6322</v>
      </c>
      <c r="L327" t="s">
        <v>6321</v>
      </c>
      <c r="M327" t="s">
        <v>414</v>
      </c>
      <c r="N327">
        <v>2</v>
      </c>
      <c r="O327" t="s">
        <v>6320</v>
      </c>
      <c r="P327" t="s">
        <v>462</v>
      </c>
      <c r="Q327" t="s">
        <v>6319</v>
      </c>
      <c r="R327" s="7">
        <v>36130</v>
      </c>
      <c r="S327" s="8">
        <f t="shared" si="40"/>
        <v>1998</v>
      </c>
      <c r="T327" s="8">
        <v>1998</v>
      </c>
      <c r="U327" s="8">
        <f t="shared" si="41"/>
        <v>24</v>
      </c>
      <c r="V327" s="7">
        <v>1998</v>
      </c>
      <c r="W327" t="s">
        <v>558</v>
      </c>
      <c r="X327" s="2">
        <v>0.62</v>
      </c>
      <c r="Y327" s="6">
        <f t="shared" si="42"/>
        <v>1.6550545901070447E-2</v>
      </c>
      <c r="AA327">
        <v>189464</v>
      </c>
      <c r="AB327">
        <v>17364</v>
      </c>
      <c r="AD327" t="s">
        <v>2</v>
      </c>
      <c r="AE327">
        <v>34</v>
      </c>
      <c r="AF327" t="s">
        <v>6318</v>
      </c>
      <c r="AH327" t="s">
        <v>6331</v>
      </c>
      <c r="AI327" t="s">
        <v>6330</v>
      </c>
      <c r="AJ327" t="s">
        <v>6329</v>
      </c>
      <c r="AK327" t="s">
        <v>6328</v>
      </c>
      <c r="AL327">
        <v>12</v>
      </c>
      <c r="AM327" s="5">
        <f t="shared" si="43"/>
        <v>0.5</v>
      </c>
      <c r="AN327" s="4">
        <f t="shared" si="44"/>
        <v>7.572889057175312E-4</v>
      </c>
      <c r="AO327" s="3"/>
      <c r="AP327">
        <v>0</v>
      </c>
      <c r="AR327" t="s">
        <v>1</v>
      </c>
      <c r="AT327" s="2">
        <v>1.7</v>
      </c>
      <c r="AU327" s="1">
        <f t="shared" si="45"/>
        <v>1.1812568802464571</v>
      </c>
      <c r="AV327" s="1">
        <f t="shared" si="46"/>
        <v>0.86539174033939892</v>
      </c>
      <c r="AW327" s="1">
        <f t="shared" si="47"/>
        <v>0.54952660043234058</v>
      </c>
    </row>
    <row r="328" spans="1:49" x14ac:dyDescent="0.2">
      <c r="A328">
        <v>326</v>
      </c>
      <c r="B328" t="s">
        <v>6327</v>
      </c>
      <c r="C328" t="s">
        <v>6326</v>
      </c>
      <c r="D328" t="s">
        <v>6325</v>
      </c>
      <c r="F328" t="s">
        <v>6324</v>
      </c>
      <c r="G328" t="s">
        <v>5</v>
      </c>
      <c r="H328" t="s">
        <v>4</v>
      </c>
      <c r="I328" t="s">
        <v>466</v>
      </c>
      <c r="J328" t="s">
        <v>6323</v>
      </c>
      <c r="K328" t="s">
        <v>6322</v>
      </c>
      <c r="L328" t="s">
        <v>6321</v>
      </c>
      <c r="M328" t="s">
        <v>414</v>
      </c>
      <c r="N328">
        <v>2</v>
      </c>
      <c r="O328" t="s">
        <v>6320</v>
      </c>
      <c r="P328" t="s">
        <v>462</v>
      </c>
      <c r="Q328" t="s">
        <v>6319</v>
      </c>
      <c r="R328" s="7">
        <v>36130</v>
      </c>
      <c r="S328" s="8">
        <f t="shared" si="40"/>
        <v>1998</v>
      </c>
      <c r="T328" s="8">
        <v>1998</v>
      </c>
      <c r="U328" s="8">
        <f t="shared" si="41"/>
        <v>24</v>
      </c>
      <c r="V328" s="7">
        <v>1998</v>
      </c>
      <c r="W328" t="s">
        <v>558</v>
      </c>
      <c r="X328" s="2">
        <v>0.62</v>
      </c>
      <c r="Y328" s="6">
        <f t="shared" si="42"/>
        <v>1.6550545901070447E-2</v>
      </c>
      <c r="AA328">
        <v>189464</v>
      </c>
      <c r="AB328">
        <v>17364</v>
      </c>
      <c r="AD328" t="s">
        <v>2</v>
      </c>
      <c r="AE328">
        <v>34</v>
      </c>
      <c r="AF328" t="s">
        <v>6318</v>
      </c>
      <c r="AH328" t="s">
        <v>6317</v>
      </c>
      <c r="AI328" t="s">
        <v>6316</v>
      </c>
      <c r="AJ328" t="s">
        <v>6315</v>
      </c>
      <c r="AK328" t="s">
        <v>6314</v>
      </c>
      <c r="AL328">
        <v>5</v>
      </c>
      <c r="AM328" s="5">
        <f t="shared" si="43"/>
        <v>0.20833333333333334</v>
      </c>
      <c r="AN328" s="4">
        <f t="shared" si="44"/>
        <v>3.1553704404897135E-4</v>
      </c>
      <c r="AO328" s="3"/>
      <c r="AP328">
        <v>0</v>
      </c>
      <c r="AR328" t="s">
        <v>1</v>
      </c>
      <c r="AT328" s="2">
        <v>1.7</v>
      </c>
      <c r="AU328" s="1">
        <f t="shared" si="45"/>
        <v>1.1680043243964005</v>
      </c>
      <c r="AV328" s="1">
        <f t="shared" si="46"/>
        <v>0.84330414725597092</v>
      </c>
      <c r="AW328" s="1">
        <f t="shared" si="47"/>
        <v>0.51860397011554138</v>
      </c>
    </row>
    <row r="329" spans="1:49" x14ac:dyDescent="0.2">
      <c r="A329">
        <v>327</v>
      </c>
      <c r="B329" t="s">
        <v>6313</v>
      </c>
      <c r="C329" t="s">
        <v>6312</v>
      </c>
      <c r="F329" t="s">
        <v>6311</v>
      </c>
      <c r="G329" t="s">
        <v>5</v>
      </c>
      <c r="H329" t="s">
        <v>4</v>
      </c>
      <c r="I329" t="s">
        <v>6310</v>
      </c>
      <c r="J329" t="s">
        <v>6309</v>
      </c>
      <c r="K329" t="s">
        <v>6308</v>
      </c>
      <c r="L329" t="s">
        <v>6307</v>
      </c>
      <c r="M329" t="s">
        <v>101</v>
      </c>
      <c r="N329">
        <v>4</v>
      </c>
      <c r="O329" t="s">
        <v>6306</v>
      </c>
      <c r="P329" t="s">
        <v>6305</v>
      </c>
      <c r="Q329" t="s">
        <v>6304</v>
      </c>
      <c r="R329" s="7">
        <v>36130</v>
      </c>
      <c r="S329" s="8">
        <f t="shared" si="40"/>
        <v>1998</v>
      </c>
      <c r="T329" s="8">
        <v>1998</v>
      </c>
      <c r="U329" s="8">
        <f t="shared" si="41"/>
        <v>24</v>
      </c>
      <c r="V329" s="7">
        <v>1998</v>
      </c>
      <c r="W329" t="s">
        <v>4659</v>
      </c>
      <c r="X329" s="2">
        <v>1.137</v>
      </c>
      <c r="Y329" s="6">
        <f t="shared" si="42"/>
        <v>3.0351565628253384E-2</v>
      </c>
      <c r="AA329">
        <v>189251</v>
      </c>
      <c r="AB329">
        <v>17336</v>
      </c>
      <c r="AD329" t="s">
        <v>2</v>
      </c>
      <c r="AE329">
        <v>34</v>
      </c>
      <c r="AF329">
        <v>3</v>
      </c>
      <c r="AH329" t="s">
        <v>382</v>
      </c>
      <c r="AI329" t="s">
        <v>6303</v>
      </c>
      <c r="AK329" t="s">
        <v>6302</v>
      </c>
      <c r="AL329">
        <v>1</v>
      </c>
      <c r="AM329" s="5">
        <f t="shared" si="43"/>
        <v>4.1666666666666664E-2</v>
      </c>
      <c r="AN329" s="4">
        <f t="shared" si="44"/>
        <v>6.3107408809794262E-5</v>
      </c>
      <c r="AO329" s="3"/>
      <c r="AP329">
        <v>0</v>
      </c>
      <c r="AR329" t="s">
        <v>1</v>
      </c>
      <c r="AT329" s="2" t="s">
        <v>0</v>
      </c>
      <c r="AU329" s="1">
        <f t="shared" si="45"/>
        <v>2.1265028162420303</v>
      </c>
      <c r="AV329" s="1">
        <f t="shared" si="46"/>
        <v>1.5207336518531589</v>
      </c>
      <c r="AW329" s="1">
        <f t="shared" si="47"/>
        <v>0.91496448746428727</v>
      </c>
    </row>
    <row r="330" spans="1:49" x14ac:dyDescent="0.2">
      <c r="A330">
        <v>328</v>
      </c>
      <c r="B330" t="s">
        <v>6301</v>
      </c>
      <c r="C330" t="s">
        <v>6300</v>
      </c>
      <c r="F330" t="s">
        <v>6299</v>
      </c>
      <c r="G330" t="s">
        <v>5</v>
      </c>
      <c r="H330" t="s">
        <v>4</v>
      </c>
      <c r="I330" t="s">
        <v>6298</v>
      </c>
      <c r="J330" t="s">
        <v>6297</v>
      </c>
      <c r="K330" t="s">
        <v>6296</v>
      </c>
      <c r="L330" t="s">
        <v>6295</v>
      </c>
      <c r="M330" t="s">
        <v>6</v>
      </c>
      <c r="N330">
        <v>3</v>
      </c>
      <c r="O330" t="s">
        <v>6294</v>
      </c>
      <c r="P330" t="s">
        <v>6293</v>
      </c>
      <c r="Q330" t="s">
        <v>6292</v>
      </c>
      <c r="R330" s="7">
        <v>36130</v>
      </c>
      <c r="S330" s="8">
        <f t="shared" si="40"/>
        <v>1998</v>
      </c>
      <c r="T330" s="8">
        <v>1998</v>
      </c>
      <c r="U330" s="8">
        <f t="shared" si="41"/>
        <v>24</v>
      </c>
      <c r="V330" s="7">
        <v>1998</v>
      </c>
      <c r="W330" t="s">
        <v>5801</v>
      </c>
      <c r="X330" s="2">
        <v>1.159</v>
      </c>
      <c r="Y330" s="6">
        <f t="shared" si="42"/>
        <v>3.093884306345266E-2</v>
      </c>
      <c r="AA330">
        <v>8853010</v>
      </c>
      <c r="AB330">
        <v>12998</v>
      </c>
      <c r="AD330" t="s">
        <v>2</v>
      </c>
      <c r="AE330">
        <v>45</v>
      </c>
      <c r="AF330">
        <v>4</v>
      </c>
      <c r="AH330" t="s">
        <v>6291</v>
      </c>
      <c r="AI330" t="s">
        <v>6290</v>
      </c>
      <c r="AK330" t="s">
        <v>6289</v>
      </c>
      <c r="AL330">
        <v>253</v>
      </c>
      <c r="AM330" s="5">
        <f t="shared" si="43"/>
        <v>10.541666666666666</v>
      </c>
      <c r="AN330" s="4">
        <f t="shared" si="44"/>
        <v>1.596617442887795E-2</v>
      </c>
      <c r="AO330" s="3"/>
      <c r="AP330">
        <v>0</v>
      </c>
      <c r="AR330" t="s">
        <v>1</v>
      </c>
      <c r="AT330" s="2" t="s">
        <v>0</v>
      </c>
      <c r="AU330" s="1">
        <f t="shared" si="45"/>
        <v>2.6447042473080247</v>
      </c>
      <c r="AV330" s="1">
        <f t="shared" si="46"/>
        <v>2.3452508746165308</v>
      </c>
      <c r="AW330" s="1">
        <f t="shared" si="47"/>
        <v>2.0457975019250361</v>
      </c>
    </row>
    <row r="331" spans="1:49" x14ac:dyDescent="0.2">
      <c r="A331">
        <v>329</v>
      </c>
      <c r="B331" t="s">
        <v>6288</v>
      </c>
      <c r="C331" t="s">
        <v>6287</v>
      </c>
      <c r="F331" t="s">
        <v>6286</v>
      </c>
      <c r="G331" t="s">
        <v>5</v>
      </c>
      <c r="H331" t="s">
        <v>4</v>
      </c>
      <c r="I331" t="s">
        <v>6285</v>
      </c>
      <c r="J331" t="s">
        <v>6284</v>
      </c>
      <c r="K331" t="s">
        <v>6283</v>
      </c>
      <c r="L331" t="s">
        <v>6282</v>
      </c>
      <c r="M331" t="s">
        <v>6281</v>
      </c>
      <c r="N331">
        <v>4</v>
      </c>
      <c r="O331" t="s">
        <v>6280</v>
      </c>
      <c r="P331" t="s">
        <v>6279</v>
      </c>
      <c r="Q331" t="s">
        <v>6278</v>
      </c>
      <c r="R331" s="7">
        <v>36130</v>
      </c>
      <c r="S331" s="8">
        <f t="shared" si="40"/>
        <v>1998</v>
      </c>
      <c r="T331" s="8">
        <v>1998</v>
      </c>
      <c r="U331" s="8">
        <f t="shared" si="41"/>
        <v>24</v>
      </c>
      <c r="V331" s="7">
        <v>1998</v>
      </c>
      <c r="W331" t="s">
        <v>558</v>
      </c>
      <c r="X331" s="2">
        <v>0.62</v>
      </c>
      <c r="Y331" s="6">
        <f t="shared" si="42"/>
        <v>1.6550545901070447E-2</v>
      </c>
      <c r="AA331">
        <v>189464</v>
      </c>
      <c r="AB331">
        <v>17364</v>
      </c>
      <c r="AD331" t="s">
        <v>2</v>
      </c>
      <c r="AE331">
        <v>34</v>
      </c>
      <c r="AF331" t="s">
        <v>6277</v>
      </c>
      <c r="AH331" t="s">
        <v>6276</v>
      </c>
      <c r="AI331" t="s">
        <v>6275</v>
      </c>
      <c r="AK331" t="s">
        <v>6274</v>
      </c>
      <c r="AL331">
        <v>10</v>
      </c>
      <c r="AM331" s="5">
        <f t="shared" si="43"/>
        <v>0.41666666666666669</v>
      </c>
      <c r="AN331" s="4">
        <f t="shared" si="44"/>
        <v>6.310740880979427E-4</v>
      </c>
      <c r="AO331" s="3"/>
      <c r="AP331">
        <v>0</v>
      </c>
      <c r="AR331" t="s">
        <v>1</v>
      </c>
      <c r="AT331" s="2">
        <v>1.7</v>
      </c>
      <c r="AU331" s="1">
        <f t="shared" si="45"/>
        <v>1.1774704357178696</v>
      </c>
      <c r="AV331" s="1">
        <f t="shared" si="46"/>
        <v>0.85908099945841943</v>
      </c>
      <c r="AW331" s="1">
        <f t="shared" si="47"/>
        <v>0.54069156319896938</v>
      </c>
    </row>
    <row r="332" spans="1:49" x14ac:dyDescent="0.2">
      <c r="A332">
        <v>330</v>
      </c>
      <c r="B332" t="s">
        <v>6273</v>
      </c>
      <c r="C332" t="s">
        <v>6272</v>
      </c>
      <c r="F332" t="s">
        <v>6271</v>
      </c>
      <c r="G332" t="s">
        <v>5</v>
      </c>
      <c r="H332" t="s">
        <v>4</v>
      </c>
      <c r="I332" t="s">
        <v>6270</v>
      </c>
      <c r="J332" t="s">
        <v>6269</v>
      </c>
      <c r="K332" t="s">
        <v>6268</v>
      </c>
      <c r="L332" t="s">
        <v>6267</v>
      </c>
      <c r="M332" t="s">
        <v>6266</v>
      </c>
      <c r="N332">
        <v>3</v>
      </c>
      <c r="O332" t="s">
        <v>6265</v>
      </c>
      <c r="P332" t="s">
        <v>6264</v>
      </c>
      <c r="Q332" t="s">
        <v>6263</v>
      </c>
      <c r="R332" s="7">
        <v>36130</v>
      </c>
      <c r="S332" s="8">
        <f t="shared" si="40"/>
        <v>1998</v>
      </c>
      <c r="T332" s="8">
        <v>1998</v>
      </c>
      <c r="U332" s="8">
        <f t="shared" si="41"/>
        <v>24</v>
      </c>
      <c r="V332" s="7">
        <v>1998</v>
      </c>
      <c r="W332" t="s">
        <v>1683</v>
      </c>
      <c r="X332" s="2">
        <v>0.92900000000000005</v>
      </c>
      <c r="Y332" s="6">
        <f t="shared" si="42"/>
        <v>2.4799124422732979E-2</v>
      </c>
      <c r="AA332">
        <v>10897798</v>
      </c>
      <c r="AB332">
        <v>18896</v>
      </c>
      <c r="AD332" t="s">
        <v>2</v>
      </c>
      <c r="AE332">
        <v>2</v>
      </c>
      <c r="AF332">
        <v>7</v>
      </c>
      <c r="AH332" t="s">
        <v>6262</v>
      </c>
      <c r="AI332" t="s">
        <v>6261</v>
      </c>
      <c r="AJ332" t="s">
        <v>6260</v>
      </c>
      <c r="AK332" t="s">
        <v>6259</v>
      </c>
      <c r="AL332">
        <v>5</v>
      </c>
      <c r="AM332" s="5">
        <f t="shared" si="43"/>
        <v>0.20833333333333334</v>
      </c>
      <c r="AN332" s="4">
        <f t="shared" si="44"/>
        <v>3.1553704404897135E-4</v>
      </c>
      <c r="AO332" s="3"/>
      <c r="AP332">
        <v>0</v>
      </c>
      <c r="AQ332" t="s">
        <v>22</v>
      </c>
      <c r="AR332" t="s">
        <v>6258</v>
      </c>
      <c r="AS332" t="s">
        <v>21</v>
      </c>
      <c r="AT332" s="2">
        <v>3.4359999999999999</v>
      </c>
      <c r="AU332" s="1">
        <f t="shared" si="45"/>
        <v>1.7454048209127775</v>
      </c>
      <c r="AV332" s="1">
        <f t="shared" si="46"/>
        <v>1.2557330733390974</v>
      </c>
      <c r="AW332" s="1">
        <f t="shared" si="47"/>
        <v>0.7660613257654173</v>
      </c>
    </row>
    <row r="333" spans="1:49" x14ac:dyDescent="0.2">
      <c r="A333">
        <v>331</v>
      </c>
      <c r="B333" t="s">
        <v>6257</v>
      </c>
      <c r="C333" t="s">
        <v>6256</v>
      </c>
      <c r="D333" t="s">
        <v>6255</v>
      </c>
      <c r="F333" t="s">
        <v>6254</v>
      </c>
      <c r="G333" t="s">
        <v>5</v>
      </c>
      <c r="H333" t="s">
        <v>4</v>
      </c>
      <c r="I333" t="s">
        <v>245</v>
      </c>
      <c r="J333">
        <v>60030526</v>
      </c>
      <c r="K333" t="s">
        <v>280</v>
      </c>
      <c r="L333" t="s">
        <v>104</v>
      </c>
      <c r="M333" t="s">
        <v>12</v>
      </c>
      <c r="N333">
        <v>6</v>
      </c>
      <c r="O333" t="s">
        <v>6253</v>
      </c>
      <c r="P333" t="s">
        <v>6252</v>
      </c>
      <c r="Q333" t="s">
        <v>6251</v>
      </c>
      <c r="R333" s="7">
        <v>36130</v>
      </c>
      <c r="S333" s="8">
        <f t="shared" si="40"/>
        <v>1998</v>
      </c>
      <c r="T333" s="8">
        <v>1998</v>
      </c>
      <c r="U333" s="8">
        <f t="shared" si="41"/>
        <v>24</v>
      </c>
      <c r="V333" s="7">
        <v>1998</v>
      </c>
      <c r="W333" t="s">
        <v>649</v>
      </c>
      <c r="X333" s="2">
        <v>1.6519999999999999</v>
      </c>
      <c r="Y333" s="6">
        <f t="shared" si="42"/>
        <v>4.409919649769093E-2</v>
      </c>
      <c r="AA333" t="s">
        <v>648</v>
      </c>
      <c r="AB333">
        <v>17337</v>
      </c>
      <c r="AD333" t="s">
        <v>2</v>
      </c>
      <c r="AE333">
        <v>46</v>
      </c>
      <c r="AF333">
        <v>6</v>
      </c>
      <c r="AH333" t="s">
        <v>6250</v>
      </c>
      <c r="AI333" t="s">
        <v>6249</v>
      </c>
      <c r="AJ333" t="s">
        <v>6248</v>
      </c>
      <c r="AK333" t="s">
        <v>6247</v>
      </c>
      <c r="AL333">
        <v>64</v>
      </c>
      <c r="AM333" s="5">
        <f t="shared" si="43"/>
        <v>2.6666666666666665</v>
      </c>
      <c r="AN333" s="4">
        <f t="shared" si="44"/>
        <v>4.0388741638268328E-3</v>
      </c>
      <c r="AO333" s="3"/>
      <c r="AP333">
        <v>0</v>
      </c>
      <c r="AR333" t="s">
        <v>1</v>
      </c>
      <c r="AT333" s="2" t="s">
        <v>0</v>
      </c>
      <c r="AU333" s="1">
        <f t="shared" si="45"/>
        <v>3.20810997975317</v>
      </c>
      <c r="AV333" s="1">
        <f t="shared" si="46"/>
        <v>2.4069035330758881</v>
      </c>
      <c r="AW333" s="1">
        <f t="shared" si="47"/>
        <v>1.605697086398606</v>
      </c>
    </row>
    <row r="334" spans="1:49" x14ac:dyDescent="0.2">
      <c r="A334">
        <v>332</v>
      </c>
      <c r="B334" t="s">
        <v>6246</v>
      </c>
      <c r="C334" t="s">
        <v>6245</v>
      </c>
      <c r="D334" t="s">
        <v>6244</v>
      </c>
      <c r="F334" t="s">
        <v>6243</v>
      </c>
      <c r="G334" t="s">
        <v>5</v>
      </c>
      <c r="H334" t="s">
        <v>4</v>
      </c>
      <c r="I334" t="s">
        <v>6242</v>
      </c>
      <c r="J334">
        <v>60025555</v>
      </c>
      <c r="K334" t="s">
        <v>173</v>
      </c>
      <c r="L334" t="s">
        <v>104</v>
      </c>
      <c r="M334" t="s">
        <v>12</v>
      </c>
      <c r="N334">
        <v>3</v>
      </c>
      <c r="O334" t="s">
        <v>6241</v>
      </c>
      <c r="P334" t="s">
        <v>6240</v>
      </c>
      <c r="Q334" t="s">
        <v>370</v>
      </c>
      <c r="R334" s="7">
        <v>36130</v>
      </c>
      <c r="S334" s="8">
        <f t="shared" si="40"/>
        <v>1998</v>
      </c>
      <c r="T334" s="8">
        <v>1998</v>
      </c>
      <c r="U334" s="8">
        <f t="shared" si="41"/>
        <v>24</v>
      </c>
      <c r="V334" s="7">
        <v>1998</v>
      </c>
      <c r="W334" t="s">
        <v>649</v>
      </c>
      <c r="X334" s="2">
        <v>1.6519999999999999</v>
      </c>
      <c r="Y334" s="6">
        <f t="shared" si="42"/>
        <v>4.409919649769093E-2</v>
      </c>
      <c r="AA334" t="s">
        <v>648</v>
      </c>
      <c r="AB334">
        <v>17337</v>
      </c>
      <c r="AD334" t="s">
        <v>2</v>
      </c>
      <c r="AE334">
        <v>46</v>
      </c>
      <c r="AF334">
        <v>6</v>
      </c>
      <c r="AH334" t="s">
        <v>6239</v>
      </c>
      <c r="AI334" t="s">
        <v>6238</v>
      </c>
      <c r="AJ334" t="s">
        <v>6237</v>
      </c>
      <c r="AK334" t="s">
        <v>6236</v>
      </c>
      <c r="AL334">
        <v>7</v>
      </c>
      <c r="AM334" s="5">
        <f t="shared" si="43"/>
        <v>0.29166666666666669</v>
      </c>
      <c r="AN334" s="4">
        <f t="shared" si="44"/>
        <v>4.417518616685599E-4</v>
      </c>
      <c r="AO334" s="3"/>
      <c r="AP334">
        <v>0</v>
      </c>
      <c r="AR334" t="s">
        <v>1</v>
      </c>
      <c r="AT334" s="2" t="s">
        <v>0</v>
      </c>
      <c r="AU334" s="1">
        <f t="shared" si="45"/>
        <v>3.1001963106884216</v>
      </c>
      <c r="AV334" s="1">
        <f t="shared" si="46"/>
        <v>2.2270474179679747</v>
      </c>
      <c r="AW334" s="1">
        <f t="shared" si="47"/>
        <v>1.3538985252475271</v>
      </c>
    </row>
    <row r="335" spans="1:49" x14ac:dyDescent="0.2">
      <c r="A335">
        <v>333</v>
      </c>
      <c r="B335" t="s">
        <v>6235</v>
      </c>
      <c r="C335" t="s">
        <v>6234</v>
      </c>
      <c r="D335" t="s">
        <v>6233</v>
      </c>
      <c r="F335" t="s">
        <v>6232</v>
      </c>
      <c r="G335" t="s">
        <v>5</v>
      </c>
      <c r="H335" t="s">
        <v>4</v>
      </c>
      <c r="I335" t="s">
        <v>6231</v>
      </c>
      <c r="J335">
        <v>60025435</v>
      </c>
      <c r="K335" t="s">
        <v>6230</v>
      </c>
      <c r="L335" t="s">
        <v>69</v>
      </c>
      <c r="M335" t="s">
        <v>9</v>
      </c>
      <c r="N335">
        <v>2</v>
      </c>
      <c r="O335" t="s">
        <v>6229</v>
      </c>
      <c r="P335" t="s">
        <v>6228</v>
      </c>
      <c r="Q335" t="s">
        <v>6227</v>
      </c>
      <c r="R335" s="7">
        <v>36130</v>
      </c>
      <c r="S335" s="8">
        <f t="shared" si="40"/>
        <v>1998</v>
      </c>
      <c r="T335" s="8">
        <v>1998</v>
      </c>
      <c r="U335" s="8">
        <f t="shared" si="41"/>
        <v>24</v>
      </c>
      <c r="V335" s="7">
        <v>1998</v>
      </c>
      <c r="W335" t="s">
        <v>649</v>
      </c>
      <c r="X335" s="2">
        <v>1.6519999999999999</v>
      </c>
      <c r="Y335" s="6">
        <f t="shared" si="42"/>
        <v>4.409919649769093E-2</v>
      </c>
      <c r="AA335" t="s">
        <v>648</v>
      </c>
      <c r="AB335">
        <v>17337</v>
      </c>
      <c r="AD335" t="s">
        <v>2</v>
      </c>
      <c r="AE335">
        <v>46</v>
      </c>
      <c r="AF335">
        <v>6</v>
      </c>
      <c r="AH335" t="s">
        <v>6226</v>
      </c>
      <c r="AI335" t="s">
        <v>6225</v>
      </c>
      <c r="AJ335" t="s">
        <v>6224</v>
      </c>
      <c r="AK335" t="s">
        <v>6223</v>
      </c>
      <c r="AL335">
        <v>48</v>
      </c>
      <c r="AM335" s="5">
        <f t="shared" si="43"/>
        <v>2</v>
      </c>
      <c r="AN335" s="4">
        <f t="shared" si="44"/>
        <v>3.0291556228701248E-3</v>
      </c>
      <c r="AO335" s="3"/>
      <c r="AP335">
        <v>0</v>
      </c>
      <c r="AR335" t="s">
        <v>1</v>
      </c>
      <c r="AT335" s="2" t="s">
        <v>0</v>
      </c>
      <c r="AU335" s="1">
        <f t="shared" si="45"/>
        <v>3.1778184235244686</v>
      </c>
      <c r="AV335" s="1">
        <f t="shared" si="46"/>
        <v>2.3564176060280526</v>
      </c>
      <c r="AW335" s="1">
        <f t="shared" si="47"/>
        <v>1.5350167885316366</v>
      </c>
    </row>
    <row r="336" spans="1:49" x14ac:dyDescent="0.2">
      <c r="A336">
        <v>334</v>
      </c>
      <c r="B336" t="s">
        <v>6222</v>
      </c>
      <c r="C336" t="s">
        <v>6221</v>
      </c>
      <c r="D336" t="s">
        <v>6220</v>
      </c>
      <c r="F336" t="s">
        <v>6219</v>
      </c>
      <c r="G336" t="s">
        <v>5</v>
      </c>
      <c r="H336" t="s">
        <v>4</v>
      </c>
      <c r="I336" t="s">
        <v>6218</v>
      </c>
      <c r="J336">
        <v>60032987</v>
      </c>
      <c r="K336" t="s">
        <v>5884</v>
      </c>
      <c r="L336" t="s">
        <v>191</v>
      </c>
      <c r="M336" t="s">
        <v>27</v>
      </c>
      <c r="N336">
        <v>2</v>
      </c>
      <c r="O336" t="s">
        <v>6217</v>
      </c>
      <c r="P336" t="s">
        <v>6216</v>
      </c>
      <c r="Q336" t="s">
        <v>6215</v>
      </c>
      <c r="R336" s="7">
        <v>36130</v>
      </c>
      <c r="S336" s="8">
        <f t="shared" si="40"/>
        <v>1998</v>
      </c>
      <c r="T336" s="8">
        <v>1998</v>
      </c>
      <c r="U336" s="8">
        <f t="shared" si="41"/>
        <v>24</v>
      </c>
      <c r="V336" s="7">
        <v>1998</v>
      </c>
      <c r="W336" t="s">
        <v>649</v>
      </c>
      <c r="X336" s="2">
        <v>1.6519999999999999</v>
      </c>
      <c r="Y336" s="6">
        <f t="shared" si="42"/>
        <v>4.409919649769093E-2</v>
      </c>
      <c r="AA336" t="s">
        <v>648</v>
      </c>
      <c r="AB336">
        <v>17337</v>
      </c>
      <c r="AD336" t="s">
        <v>2</v>
      </c>
      <c r="AE336">
        <v>46</v>
      </c>
      <c r="AF336">
        <v>6</v>
      </c>
      <c r="AH336" t="s">
        <v>6214</v>
      </c>
      <c r="AI336" t="s">
        <v>6213</v>
      </c>
      <c r="AJ336" t="s">
        <v>6007</v>
      </c>
      <c r="AK336" t="s">
        <v>6212</v>
      </c>
      <c r="AL336">
        <v>98</v>
      </c>
      <c r="AM336" s="5">
        <f t="shared" si="43"/>
        <v>4.083333333333333</v>
      </c>
      <c r="AN336" s="4">
        <f t="shared" si="44"/>
        <v>6.1845260633598383E-3</v>
      </c>
      <c r="AO336" s="3"/>
      <c r="AP336">
        <v>0</v>
      </c>
      <c r="AQ336" t="s">
        <v>6211</v>
      </c>
      <c r="AR336" t="s">
        <v>1</v>
      </c>
      <c r="AS336" t="s">
        <v>6210</v>
      </c>
      <c r="AT336" s="2" t="s">
        <v>0</v>
      </c>
      <c r="AU336" s="1">
        <f t="shared" si="45"/>
        <v>3.2724795367391604</v>
      </c>
      <c r="AV336" s="1">
        <f t="shared" si="46"/>
        <v>2.5141861280525384</v>
      </c>
      <c r="AW336" s="1">
        <f t="shared" si="47"/>
        <v>1.7558927193659164</v>
      </c>
    </row>
    <row r="337" spans="1:49" x14ac:dyDescent="0.2">
      <c r="A337">
        <v>335</v>
      </c>
      <c r="B337" t="s">
        <v>6209</v>
      </c>
      <c r="C337" t="s">
        <v>6208</v>
      </c>
      <c r="D337" t="s">
        <v>6207</v>
      </c>
      <c r="F337" t="s">
        <v>6206</v>
      </c>
      <c r="G337" t="s">
        <v>5</v>
      </c>
      <c r="H337" t="s">
        <v>4</v>
      </c>
      <c r="I337" t="s">
        <v>6205</v>
      </c>
      <c r="J337">
        <v>60076351</v>
      </c>
      <c r="K337" t="s">
        <v>6204</v>
      </c>
      <c r="L337" t="s">
        <v>6203</v>
      </c>
      <c r="M337" t="s">
        <v>9</v>
      </c>
      <c r="N337">
        <v>3</v>
      </c>
      <c r="O337" t="s">
        <v>6202</v>
      </c>
      <c r="P337" t="s">
        <v>6201</v>
      </c>
      <c r="Q337" t="s">
        <v>6200</v>
      </c>
      <c r="R337" s="7">
        <v>36130</v>
      </c>
      <c r="S337" s="8">
        <f t="shared" si="40"/>
        <v>1998</v>
      </c>
      <c r="T337" s="8">
        <v>1998</v>
      </c>
      <c r="U337" s="8">
        <f t="shared" si="41"/>
        <v>24</v>
      </c>
      <c r="V337" s="7">
        <v>1998</v>
      </c>
      <c r="W337" t="s">
        <v>256</v>
      </c>
      <c r="X337" s="2">
        <v>1.468</v>
      </c>
      <c r="Y337" s="6">
        <f t="shared" si="42"/>
        <v>3.9187421585115186E-2</v>
      </c>
      <c r="AA337">
        <v>906778</v>
      </c>
      <c r="AB337">
        <v>18931</v>
      </c>
      <c r="AD337" t="s">
        <v>2</v>
      </c>
      <c r="AE337">
        <v>46</v>
      </c>
      <c r="AF337">
        <v>6</v>
      </c>
      <c r="AH337" t="s">
        <v>6199</v>
      </c>
      <c r="AI337" t="s">
        <v>6198</v>
      </c>
      <c r="AJ337" t="s">
        <v>6197</v>
      </c>
      <c r="AK337" t="s">
        <v>6196</v>
      </c>
      <c r="AL337">
        <v>28</v>
      </c>
      <c r="AM337" s="5">
        <f t="shared" si="43"/>
        <v>1.1666666666666667</v>
      </c>
      <c r="AN337" s="4">
        <f t="shared" si="44"/>
        <v>1.7670074466742396E-3</v>
      </c>
      <c r="AO337" s="3"/>
      <c r="AP337">
        <v>0</v>
      </c>
      <c r="AQ337" t="s">
        <v>17</v>
      </c>
      <c r="AR337" t="s">
        <v>6195</v>
      </c>
      <c r="AS337" t="s">
        <v>16</v>
      </c>
      <c r="AT337" s="2">
        <v>5.0830000000000002</v>
      </c>
      <c r="AU337" s="1">
        <f t="shared" si="45"/>
        <v>2.7961297343582903</v>
      </c>
      <c r="AV337" s="1">
        <f t="shared" si="46"/>
        <v>2.0477214515894713</v>
      </c>
      <c r="AW337" s="1">
        <f t="shared" si="47"/>
        <v>1.2993131688206525</v>
      </c>
    </row>
    <row r="338" spans="1:49" x14ac:dyDescent="0.2">
      <c r="A338">
        <v>336</v>
      </c>
      <c r="B338" t="s">
        <v>6194</v>
      </c>
      <c r="C338" t="s">
        <v>6193</v>
      </c>
      <c r="D338" t="s">
        <v>6192</v>
      </c>
      <c r="F338" t="s">
        <v>6191</v>
      </c>
      <c r="G338" t="s">
        <v>5</v>
      </c>
      <c r="H338" t="s">
        <v>4</v>
      </c>
      <c r="I338" t="s">
        <v>6190</v>
      </c>
      <c r="J338">
        <v>60014300</v>
      </c>
      <c r="K338" t="s">
        <v>4149</v>
      </c>
      <c r="L338" t="s">
        <v>4148</v>
      </c>
      <c r="M338" t="s">
        <v>9</v>
      </c>
      <c r="N338">
        <v>5</v>
      </c>
      <c r="O338" t="s">
        <v>6189</v>
      </c>
      <c r="P338" t="s">
        <v>6188</v>
      </c>
      <c r="Q338" t="s">
        <v>6187</v>
      </c>
      <c r="R338" s="7">
        <v>36130</v>
      </c>
      <c r="S338" s="8">
        <f t="shared" si="40"/>
        <v>1998</v>
      </c>
      <c r="T338" s="8">
        <v>1998</v>
      </c>
      <c r="U338" s="8">
        <f t="shared" si="41"/>
        <v>24</v>
      </c>
      <c r="V338" s="7">
        <v>1998</v>
      </c>
      <c r="W338" t="s">
        <v>256</v>
      </c>
      <c r="X338" s="2">
        <v>1.468</v>
      </c>
      <c r="Y338" s="6">
        <f t="shared" si="42"/>
        <v>3.9187421585115186E-2</v>
      </c>
      <c r="AA338">
        <v>906778</v>
      </c>
      <c r="AB338">
        <v>18931</v>
      </c>
      <c r="AD338" t="s">
        <v>2</v>
      </c>
      <c r="AE338">
        <v>46</v>
      </c>
      <c r="AF338">
        <v>6</v>
      </c>
      <c r="AH338" t="s">
        <v>6186</v>
      </c>
      <c r="AI338" t="s">
        <v>6185</v>
      </c>
      <c r="AJ338" t="s">
        <v>6184</v>
      </c>
      <c r="AK338" t="s">
        <v>6183</v>
      </c>
      <c r="AL338">
        <v>38</v>
      </c>
      <c r="AM338" s="5">
        <f t="shared" si="43"/>
        <v>1.5833333333333333</v>
      </c>
      <c r="AN338" s="4">
        <f t="shared" si="44"/>
        <v>2.3980815347721821E-3</v>
      </c>
      <c r="AO338" s="3"/>
      <c r="AP338">
        <v>0</v>
      </c>
      <c r="AR338" t="s">
        <v>1</v>
      </c>
      <c r="AT338" s="2">
        <v>5.0830000000000002</v>
      </c>
      <c r="AU338" s="1">
        <f t="shared" si="45"/>
        <v>2.8150619570012281</v>
      </c>
      <c r="AV338" s="1">
        <f t="shared" si="46"/>
        <v>2.0792751559943685</v>
      </c>
      <c r="AW338" s="1">
        <f t="shared" si="47"/>
        <v>1.3434883549875083</v>
      </c>
    </row>
    <row r="339" spans="1:49" x14ac:dyDescent="0.2">
      <c r="A339">
        <v>337</v>
      </c>
      <c r="B339" t="s">
        <v>6182</v>
      </c>
      <c r="C339" t="s">
        <v>6181</v>
      </c>
      <c r="D339" t="s">
        <v>6180</v>
      </c>
      <c r="F339" t="s">
        <v>6179</v>
      </c>
      <c r="G339" t="s">
        <v>5</v>
      </c>
      <c r="H339" t="s">
        <v>4</v>
      </c>
      <c r="I339" t="s">
        <v>6178</v>
      </c>
      <c r="J339">
        <v>60014982</v>
      </c>
      <c r="K339" t="s">
        <v>722</v>
      </c>
      <c r="L339" t="s">
        <v>721</v>
      </c>
      <c r="M339" t="s">
        <v>128</v>
      </c>
      <c r="N339">
        <v>2</v>
      </c>
      <c r="O339" t="s">
        <v>6177</v>
      </c>
      <c r="P339" t="s">
        <v>6176</v>
      </c>
      <c r="Q339" t="s">
        <v>720</v>
      </c>
      <c r="R339" s="7">
        <v>36130</v>
      </c>
      <c r="S339" s="8">
        <f t="shared" si="40"/>
        <v>1998</v>
      </c>
      <c r="T339" s="8">
        <v>1998</v>
      </c>
      <c r="U339" s="8">
        <f t="shared" si="41"/>
        <v>24</v>
      </c>
      <c r="V339" s="7">
        <v>1998</v>
      </c>
      <c r="W339" t="s">
        <v>649</v>
      </c>
      <c r="X339" s="2">
        <v>1.6519999999999999</v>
      </c>
      <c r="Y339" s="6">
        <f t="shared" si="42"/>
        <v>4.409919649769093E-2</v>
      </c>
      <c r="AA339" t="s">
        <v>648</v>
      </c>
      <c r="AB339">
        <v>17337</v>
      </c>
      <c r="AD339" t="s">
        <v>2</v>
      </c>
      <c r="AE339">
        <v>46</v>
      </c>
      <c r="AF339">
        <v>6</v>
      </c>
      <c r="AH339" t="s">
        <v>6175</v>
      </c>
      <c r="AI339" t="s">
        <v>6174</v>
      </c>
      <c r="AJ339" t="s">
        <v>6173</v>
      </c>
      <c r="AK339" t="s">
        <v>6172</v>
      </c>
      <c r="AL339">
        <v>33</v>
      </c>
      <c r="AM339" s="5">
        <f t="shared" si="43"/>
        <v>1.375</v>
      </c>
      <c r="AN339" s="4">
        <f t="shared" si="44"/>
        <v>2.0825444907232107E-3</v>
      </c>
      <c r="AO339" s="3"/>
      <c r="AP339">
        <v>0</v>
      </c>
      <c r="AQ339" t="s">
        <v>114</v>
      </c>
      <c r="AR339" t="s">
        <v>6171</v>
      </c>
      <c r="AS339" t="s">
        <v>113</v>
      </c>
      <c r="AT339" s="2" t="s">
        <v>0</v>
      </c>
      <c r="AU339" s="1">
        <f t="shared" si="45"/>
        <v>3.1494200895600613</v>
      </c>
      <c r="AV339" s="1">
        <f t="shared" si="46"/>
        <v>2.309087049420707</v>
      </c>
      <c r="AW339" s="1">
        <f t="shared" si="47"/>
        <v>1.4687540092813525</v>
      </c>
    </row>
    <row r="340" spans="1:49" x14ac:dyDescent="0.2">
      <c r="A340">
        <v>338</v>
      </c>
      <c r="B340" t="s">
        <v>6170</v>
      </c>
      <c r="C340" t="s">
        <v>6169</v>
      </c>
      <c r="D340" t="s">
        <v>6168</v>
      </c>
      <c r="F340" t="s">
        <v>6167</v>
      </c>
      <c r="G340" t="s">
        <v>5</v>
      </c>
      <c r="H340" t="s">
        <v>4</v>
      </c>
      <c r="I340" t="s">
        <v>6166</v>
      </c>
      <c r="J340">
        <v>60000990</v>
      </c>
      <c r="K340" t="s">
        <v>6165</v>
      </c>
      <c r="L340" t="s">
        <v>6164</v>
      </c>
      <c r="M340" t="s">
        <v>215</v>
      </c>
      <c r="N340">
        <v>4</v>
      </c>
      <c r="O340" t="s">
        <v>6163</v>
      </c>
      <c r="P340" t="s">
        <v>6162</v>
      </c>
      <c r="Q340" t="s">
        <v>6161</v>
      </c>
      <c r="R340" s="7">
        <v>36130</v>
      </c>
      <c r="S340" s="8">
        <f t="shared" si="40"/>
        <v>1998</v>
      </c>
      <c r="T340" s="8">
        <v>1998</v>
      </c>
      <c r="U340" s="8">
        <f t="shared" si="41"/>
        <v>24</v>
      </c>
      <c r="V340" s="7">
        <v>1998</v>
      </c>
      <c r="W340" t="s">
        <v>649</v>
      </c>
      <c r="X340" s="2">
        <v>1.6519999999999999</v>
      </c>
      <c r="Y340" s="6">
        <f t="shared" si="42"/>
        <v>4.409919649769093E-2</v>
      </c>
      <c r="AA340" t="s">
        <v>648</v>
      </c>
      <c r="AB340">
        <v>17337</v>
      </c>
      <c r="AD340" t="s">
        <v>2</v>
      </c>
      <c r="AE340">
        <v>46</v>
      </c>
      <c r="AF340">
        <v>6</v>
      </c>
      <c r="AH340" t="s">
        <v>6160</v>
      </c>
      <c r="AI340" t="s">
        <v>6159</v>
      </c>
      <c r="AJ340" t="s">
        <v>6158</v>
      </c>
      <c r="AK340" t="s">
        <v>6157</v>
      </c>
      <c r="AL340">
        <v>39</v>
      </c>
      <c r="AM340" s="5">
        <f t="shared" si="43"/>
        <v>1.625</v>
      </c>
      <c r="AN340" s="4">
        <f t="shared" si="44"/>
        <v>2.4611889435819764E-3</v>
      </c>
      <c r="AO340" s="3"/>
      <c r="AP340">
        <v>0</v>
      </c>
      <c r="AR340" t="s">
        <v>1</v>
      </c>
      <c r="AT340" s="2" t="s">
        <v>0</v>
      </c>
      <c r="AU340" s="1">
        <f t="shared" si="45"/>
        <v>3.1607794231458244</v>
      </c>
      <c r="AV340" s="1">
        <f t="shared" si="46"/>
        <v>2.3280192720636457</v>
      </c>
      <c r="AW340" s="1">
        <f t="shared" si="47"/>
        <v>1.4952591209814661</v>
      </c>
    </row>
    <row r="341" spans="1:49" x14ac:dyDescent="0.2">
      <c r="A341">
        <v>339</v>
      </c>
      <c r="B341" t="s">
        <v>6156</v>
      </c>
      <c r="C341" t="s">
        <v>6155</v>
      </c>
      <c r="D341" t="s">
        <v>6154</v>
      </c>
      <c r="F341" t="s">
        <v>6153</v>
      </c>
      <c r="G341" t="s">
        <v>5</v>
      </c>
      <c r="H341" t="s">
        <v>4</v>
      </c>
      <c r="I341" t="s">
        <v>365</v>
      </c>
      <c r="J341">
        <v>60025555</v>
      </c>
      <c r="K341" t="s">
        <v>173</v>
      </c>
      <c r="L341" t="s">
        <v>104</v>
      </c>
      <c r="M341" t="s">
        <v>12</v>
      </c>
      <c r="N341">
        <v>3</v>
      </c>
      <c r="O341" t="s">
        <v>6152</v>
      </c>
      <c r="P341" t="s">
        <v>6151</v>
      </c>
      <c r="Q341" t="s">
        <v>370</v>
      </c>
      <c r="R341" s="7">
        <v>36130</v>
      </c>
      <c r="S341" s="8">
        <f t="shared" si="40"/>
        <v>1998</v>
      </c>
      <c r="T341" s="8">
        <v>1998</v>
      </c>
      <c r="U341" s="8">
        <f t="shared" si="41"/>
        <v>24</v>
      </c>
      <c r="V341" s="7">
        <v>1998</v>
      </c>
      <c r="W341" t="s">
        <v>649</v>
      </c>
      <c r="X341" s="2">
        <v>1.6519999999999999</v>
      </c>
      <c r="Y341" s="6">
        <f t="shared" si="42"/>
        <v>4.409919649769093E-2</v>
      </c>
      <c r="AA341" t="s">
        <v>648</v>
      </c>
      <c r="AB341">
        <v>17337</v>
      </c>
      <c r="AD341" t="s">
        <v>2</v>
      </c>
      <c r="AE341">
        <v>46</v>
      </c>
      <c r="AF341">
        <v>6</v>
      </c>
      <c r="AH341" t="s">
        <v>6150</v>
      </c>
      <c r="AI341" t="s">
        <v>6149</v>
      </c>
      <c r="AJ341" t="s">
        <v>6148</v>
      </c>
      <c r="AK341" t="s">
        <v>6147</v>
      </c>
      <c r="AL341">
        <v>10</v>
      </c>
      <c r="AM341" s="5">
        <f t="shared" si="43"/>
        <v>0.41666666666666669</v>
      </c>
      <c r="AN341" s="4">
        <f t="shared" si="44"/>
        <v>6.310740880979427E-4</v>
      </c>
      <c r="AO341" s="3"/>
      <c r="AP341">
        <v>0</v>
      </c>
      <c r="AR341" t="s">
        <v>1</v>
      </c>
      <c r="AT341" s="2" t="s">
        <v>0</v>
      </c>
      <c r="AU341" s="1">
        <f t="shared" si="45"/>
        <v>3.1058759774813036</v>
      </c>
      <c r="AV341" s="1">
        <f t="shared" si="46"/>
        <v>2.2365135292894434</v>
      </c>
      <c r="AW341" s="1">
        <f t="shared" si="47"/>
        <v>1.3671510810975838</v>
      </c>
    </row>
    <row r="342" spans="1:49" x14ac:dyDescent="0.2">
      <c r="A342">
        <v>340</v>
      </c>
      <c r="B342" t="s">
        <v>6146</v>
      </c>
      <c r="C342" t="s">
        <v>6145</v>
      </c>
      <c r="D342" t="s">
        <v>6144</v>
      </c>
      <c r="F342" t="s">
        <v>6143</v>
      </c>
      <c r="G342" t="s">
        <v>5</v>
      </c>
      <c r="H342" t="s">
        <v>4</v>
      </c>
      <c r="I342" t="s">
        <v>6142</v>
      </c>
      <c r="J342">
        <v>60024590</v>
      </c>
      <c r="K342" t="s">
        <v>2706</v>
      </c>
      <c r="L342" t="s">
        <v>2714</v>
      </c>
      <c r="M342" t="s">
        <v>9</v>
      </c>
      <c r="N342">
        <v>3</v>
      </c>
      <c r="O342" t="s">
        <v>6141</v>
      </c>
      <c r="P342" t="s">
        <v>6140</v>
      </c>
      <c r="Q342" t="s">
        <v>6139</v>
      </c>
      <c r="R342" s="7">
        <v>36130</v>
      </c>
      <c r="S342" s="8">
        <f t="shared" si="40"/>
        <v>1998</v>
      </c>
      <c r="T342" s="8">
        <v>1998</v>
      </c>
      <c r="U342" s="8">
        <f t="shared" si="41"/>
        <v>24</v>
      </c>
      <c r="V342" s="7">
        <v>1998</v>
      </c>
      <c r="W342" t="s">
        <v>649</v>
      </c>
      <c r="X342" s="2">
        <v>1.6519999999999999</v>
      </c>
      <c r="Y342" s="6">
        <f t="shared" si="42"/>
        <v>4.409919649769093E-2</v>
      </c>
      <c r="AA342" t="s">
        <v>648</v>
      </c>
      <c r="AB342">
        <v>17337</v>
      </c>
      <c r="AD342" t="s">
        <v>2</v>
      </c>
      <c r="AE342">
        <v>46</v>
      </c>
      <c r="AF342">
        <v>6</v>
      </c>
      <c r="AH342" t="s">
        <v>6138</v>
      </c>
      <c r="AI342" t="s">
        <v>6137</v>
      </c>
      <c r="AJ342" t="s">
        <v>6136</v>
      </c>
      <c r="AK342" t="s">
        <v>6135</v>
      </c>
      <c r="AL342">
        <v>83</v>
      </c>
      <c r="AM342" s="5">
        <f t="shared" si="43"/>
        <v>3.4583333333333335</v>
      </c>
      <c r="AN342" s="4">
        <f t="shared" si="44"/>
        <v>5.2379149312129242E-3</v>
      </c>
      <c r="AO342" s="3"/>
      <c r="AP342">
        <v>0</v>
      </c>
      <c r="AR342" t="s">
        <v>1</v>
      </c>
      <c r="AT342" s="2" t="s">
        <v>0</v>
      </c>
      <c r="AU342" s="1">
        <f t="shared" si="45"/>
        <v>3.2440812027747525</v>
      </c>
      <c r="AV342" s="1">
        <f t="shared" si="46"/>
        <v>2.4668555714451927</v>
      </c>
      <c r="AW342" s="1">
        <f t="shared" si="47"/>
        <v>1.6896299401156323</v>
      </c>
    </row>
    <row r="343" spans="1:49" x14ac:dyDescent="0.2">
      <c r="A343">
        <v>341</v>
      </c>
      <c r="B343" t="s">
        <v>6134</v>
      </c>
      <c r="C343" t="s">
        <v>6133</v>
      </c>
      <c r="D343" t="s">
        <v>6132</v>
      </c>
      <c r="F343" t="s">
        <v>6131</v>
      </c>
      <c r="G343" t="s">
        <v>5</v>
      </c>
      <c r="H343" t="s">
        <v>4</v>
      </c>
      <c r="I343" t="s">
        <v>6130</v>
      </c>
      <c r="J343">
        <v>60029428</v>
      </c>
      <c r="K343" t="s">
        <v>565</v>
      </c>
      <c r="L343" t="s">
        <v>564</v>
      </c>
      <c r="M343" t="s">
        <v>37</v>
      </c>
      <c r="N343">
        <v>2</v>
      </c>
      <c r="O343" t="s">
        <v>6129</v>
      </c>
      <c r="P343" t="s">
        <v>6128</v>
      </c>
      <c r="Q343" t="s">
        <v>563</v>
      </c>
      <c r="R343" s="7">
        <v>36130</v>
      </c>
      <c r="S343" s="8">
        <f t="shared" si="40"/>
        <v>1998</v>
      </c>
      <c r="T343" s="8">
        <v>1998</v>
      </c>
      <c r="U343" s="8">
        <f t="shared" si="41"/>
        <v>24</v>
      </c>
      <c r="V343" s="7">
        <v>1998</v>
      </c>
      <c r="W343" t="s">
        <v>649</v>
      </c>
      <c r="X343" s="2">
        <v>1.6519999999999999</v>
      </c>
      <c r="Y343" s="6">
        <f t="shared" si="42"/>
        <v>4.409919649769093E-2</v>
      </c>
      <c r="AA343" t="s">
        <v>648</v>
      </c>
      <c r="AB343">
        <v>17337</v>
      </c>
      <c r="AD343" t="s">
        <v>2</v>
      </c>
      <c r="AE343">
        <v>46</v>
      </c>
      <c r="AF343">
        <v>6</v>
      </c>
      <c r="AH343" t="s">
        <v>6127</v>
      </c>
      <c r="AI343" t="s">
        <v>6126</v>
      </c>
      <c r="AJ343" t="s">
        <v>6125</v>
      </c>
      <c r="AK343" t="s">
        <v>6124</v>
      </c>
      <c r="AL343">
        <v>58</v>
      </c>
      <c r="AM343" s="5">
        <f t="shared" si="43"/>
        <v>2.4166666666666665</v>
      </c>
      <c r="AN343" s="4">
        <f t="shared" si="44"/>
        <v>3.6602297109680675E-3</v>
      </c>
      <c r="AO343" s="3"/>
      <c r="AP343">
        <v>0</v>
      </c>
      <c r="AR343" t="s">
        <v>1</v>
      </c>
      <c r="AT343" s="2" t="s">
        <v>0</v>
      </c>
      <c r="AU343" s="1">
        <f t="shared" si="45"/>
        <v>3.1967506461674073</v>
      </c>
      <c r="AV343" s="1">
        <f t="shared" si="46"/>
        <v>2.3879713104329499</v>
      </c>
      <c r="AW343" s="1">
        <f t="shared" si="47"/>
        <v>1.5791919746984926</v>
      </c>
    </row>
    <row r="344" spans="1:49" x14ac:dyDescent="0.2">
      <c r="A344">
        <v>342</v>
      </c>
      <c r="B344" t="s">
        <v>6123</v>
      </c>
      <c r="C344" t="s">
        <v>6122</v>
      </c>
      <c r="D344" t="s">
        <v>6121</v>
      </c>
      <c r="F344" t="s">
        <v>6120</v>
      </c>
      <c r="G344" t="s">
        <v>5</v>
      </c>
      <c r="H344" t="s">
        <v>4</v>
      </c>
      <c r="I344" t="s">
        <v>30</v>
      </c>
      <c r="J344">
        <v>60008950</v>
      </c>
      <c r="K344" t="s">
        <v>29</v>
      </c>
      <c r="L344" t="s">
        <v>28</v>
      </c>
      <c r="M344" t="s">
        <v>27</v>
      </c>
      <c r="N344">
        <v>3</v>
      </c>
      <c r="O344" t="s">
        <v>6119</v>
      </c>
      <c r="P344" t="s">
        <v>6118</v>
      </c>
      <c r="Q344" t="s">
        <v>6117</v>
      </c>
      <c r="R344" s="7">
        <v>36130</v>
      </c>
      <c r="S344" s="8">
        <f t="shared" si="40"/>
        <v>1998</v>
      </c>
      <c r="T344" s="8">
        <v>1998</v>
      </c>
      <c r="U344" s="8">
        <f t="shared" si="41"/>
        <v>24</v>
      </c>
      <c r="V344" s="7">
        <v>1998</v>
      </c>
      <c r="W344" t="s">
        <v>419</v>
      </c>
      <c r="X344" s="2">
        <v>1.3280000000000001</v>
      </c>
      <c r="Y344" s="6">
        <f t="shared" si="42"/>
        <v>3.5450201542937994E-2</v>
      </c>
      <c r="AA344">
        <v>7413335</v>
      </c>
      <c r="AB344">
        <v>29251</v>
      </c>
      <c r="AD344" t="s">
        <v>2</v>
      </c>
      <c r="AE344">
        <v>40</v>
      </c>
      <c r="AF344">
        <v>6</v>
      </c>
      <c r="AH344" t="s">
        <v>6116</v>
      </c>
      <c r="AI344" t="s">
        <v>6115</v>
      </c>
      <c r="AK344" t="s">
        <v>6114</v>
      </c>
      <c r="AL344">
        <v>7</v>
      </c>
      <c r="AM344" s="5">
        <f t="shared" si="43"/>
        <v>0.29166666666666669</v>
      </c>
      <c r="AN344" s="4">
        <f t="shared" si="44"/>
        <v>4.417518616685599E-4</v>
      </c>
      <c r="AO344" s="3"/>
      <c r="AP344">
        <v>0</v>
      </c>
      <c r="AR344" t="s">
        <v>1</v>
      </c>
      <c r="AT344" s="2">
        <v>2.4580000000000002</v>
      </c>
      <c r="AU344" s="1">
        <f t="shared" si="45"/>
        <v>2.4947666638557164</v>
      </c>
      <c r="AV344" s="1">
        <f t="shared" si="46"/>
        <v>1.7945976702303277</v>
      </c>
      <c r="AW344" s="1">
        <f t="shared" si="47"/>
        <v>1.0944286766049389</v>
      </c>
    </row>
    <row r="345" spans="1:49" x14ac:dyDescent="0.2">
      <c r="A345">
        <v>343</v>
      </c>
      <c r="B345" t="s">
        <v>6113</v>
      </c>
      <c r="C345" t="s">
        <v>6112</v>
      </c>
      <c r="D345" t="s">
        <v>6111</v>
      </c>
      <c r="F345" t="s">
        <v>6110</v>
      </c>
      <c r="G345" t="s">
        <v>5</v>
      </c>
      <c r="H345" t="s">
        <v>4</v>
      </c>
      <c r="I345" t="s">
        <v>5624</v>
      </c>
      <c r="J345">
        <v>60025488</v>
      </c>
      <c r="K345" t="s">
        <v>57</v>
      </c>
      <c r="L345" t="s">
        <v>56</v>
      </c>
      <c r="M345" t="s">
        <v>9</v>
      </c>
      <c r="N345">
        <v>4</v>
      </c>
      <c r="O345" t="s">
        <v>6109</v>
      </c>
      <c r="P345" t="s">
        <v>6108</v>
      </c>
      <c r="Q345" t="s">
        <v>6107</v>
      </c>
      <c r="R345" s="7">
        <v>36130</v>
      </c>
      <c r="S345" s="8">
        <f t="shared" si="40"/>
        <v>1998</v>
      </c>
      <c r="T345" s="8">
        <v>1998</v>
      </c>
      <c r="U345" s="8">
        <f t="shared" si="41"/>
        <v>24</v>
      </c>
      <c r="V345" s="7">
        <v>1998</v>
      </c>
      <c r="W345" t="s">
        <v>649</v>
      </c>
      <c r="X345" s="2">
        <v>1.6519999999999999</v>
      </c>
      <c r="Y345" s="6">
        <f t="shared" si="42"/>
        <v>4.409919649769093E-2</v>
      </c>
      <c r="AA345" t="s">
        <v>648</v>
      </c>
      <c r="AB345">
        <v>17337</v>
      </c>
      <c r="AD345" t="s">
        <v>2</v>
      </c>
      <c r="AE345">
        <v>46</v>
      </c>
      <c r="AF345">
        <v>6</v>
      </c>
      <c r="AH345" t="s">
        <v>6106</v>
      </c>
      <c r="AI345" t="s">
        <v>6105</v>
      </c>
      <c r="AJ345" t="s">
        <v>6104</v>
      </c>
      <c r="AK345" t="s">
        <v>6103</v>
      </c>
      <c r="AL345">
        <v>23</v>
      </c>
      <c r="AM345" s="5">
        <f t="shared" si="43"/>
        <v>0.95833333333333337</v>
      </c>
      <c r="AN345" s="4">
        <f t="shared" si="44"/>
        <v>1.4514704026252683E-3</v>
      </c>
      <c r="AO345" s="3"/>
      <c r="AP345">
        <v>0</v>
      </c>
      <c r="AR345" t="s">
        <v>1</v>
      </c>
      <c r="AT345" s="2" t="s">
        <v>0</v>
      </c>
      <c r="AU345" s="1">
        <f t="shared" si="45"/>
        <v>3.1304878669171234</v>
      </c>
      <c r="AV345" s="1">
        <f t="shared" si="46"/>
        <v>2.2775333450158102</v>
      </c>
      <c r="AW345" s="1">
        <f t="shared" si="47"/>
        <v>1.4245788231144967</v>
      </c>
    </row>
    <row r="346" spans="1:49" x14ac:dyDescent="0.2">
      <c r="A346">
        <v>344</v>
      </c>
      <c r="B346" t="s">
        <v>6102</v>
      </c>
      <c r="C346" t="s">
        <v>6101</v>
      </c>
      <c r="D346" t="s">
        <v>6100</v>
      </c>
      <c r="F346" t="s">
        <v>6099</v>
      </c>
      <c r="G346" t="s">
        <v>5</v>
      </c>
      <c r="H346" t="s">
        <v>4</v>
      </c>
      <c r="I346" t="s">
        <v>592</v>
      </c>
      <c r="J346">
        <v>60103444</v>
      </c>
      <c r="K346" t="s">
        <v>6098</v>
      </c>
      <c r="L346" t="s">
        <v>687</v>
      </c>
      <c r="M346" t="s">
        <v>12</v>
      </c>
      <c r="N346">
        <v>3</v>
      </c>
      <c r="O346" t="s">
        <v>6097</v>
      </c>
      <c r="P346" t="s">
        <v>6096</v>
      </c>
      <c r="Q346" t="s">
        <v>6095</v>
      </c>
      <c r="R346" s="7">
        <v>36130</v>
      </c>
      <c r="S346" s="8">
        <f t="shared" si="40"/>
        <v>1998</v>
      </c>
      <c r="T346" s="8">
        <v>1998</v>
      </c>
      <c r="U346" s="8">
        <f t="shared" si="41"/>
        <v>24</v>
      </c>
      <c r="V346" s="7">
        <v>1998</v>
      </c>
      <c r="W346" t="s">
        <v>649</v>
      </c>
      <c r="X346" s="2">
        <v>1.6519999999999999</v>
      </c>
      <c r="Y346" s="6">
        <f t="shared" si="42"/>
        <v>4.409919649769093E-2</v>
      </c>
      <c r="AA346" t="s">
        <v>648</v>
      </c>
      <c r="AB346">
        <v>17337</v>
      </c>
      <c r="AD346" t="s">
        <v>2</v>
      </c>
      <c r="AE346">
        <v>46</v>
      </c>
      <c r="AF346">
        <v>6</v>
      </c>
      <c r="AH346" t="s">
        <v>6094</v>
      </c>
      <c r="AI346" t="s">
        <v>6093</v>
      </c>
      <c r="AJ346" t="s">
        <v>6092</v>
      </c>
      <c r="AK346" t="s">
        <v>6091</v>
      </c>
      <c r="AL346">
        <v>19</v>
      </c>
      <c r="AM346" s="5">
        <f t="shared" si="43"/>
        <v>0.79166666666666663</v>
      </c>
      <c r="AN346" s="4">
        <f t="shared" si="44"/>
        <v>1.199040767386091E-3</v>
      </c>
      <c r="AO346" s="3"/>
      <c r="AP346">
        <v>0</v>
      </c>
      <c r="AR346" t="s">
        <v>1</v>
      </c>
      <c r="AT346" s="2" t="s">
        <v>0</v>
      </c>
      <c r="AU346" s="1">
        <f t="shared" si="45"/>
        <v>3.1229149778599479</v>
      </c>
      <c r="AV346" s="1">
        <f t="shared" si="46"/>
        <v>2.2649118632538512</v>
      </c>
      <c r="AW346" s="1">
        <f t="shared" si="47"/>
        <v>1.4069087486477541</v>
      </c>
    </row>
    <row r="347" spans="1:49" x14ac:dyDescent="0.2">
      <c r="A347">
        <v>345</v>
      </c>
      <c r="B347" t="s">
        <v>6090</v>
      </c>
      <c r="C347" t="s">
        <v>6089</v>
      </c>
      <c r="D347" t="s">
        <v>6088</v>
      </c>
      <c r="F347" t="s">
        <v>6087</v>
      </c>
      <c r="G347" t="s">
        <v>5</v>
      </c>
      <c r="H347" t="s">
        <v>4</v>
      </c>
      <c r="I347" t="s">
        <v>6086</v>
      </c>
      <c r="J347">
        <v>60032991</v>
      </c>
      <c r="K347" t="s">
        <v>6085</v>
      </c>
      <c r="L347" t="s">
        <v>6084</v>
      </c>
      <c r="M347" t="s">
        <v>37</v>
      </c>
      <c r="N347">
        <v>2</v>
      </c>
      <c r="O347" t="s">
        <v>6083</v>
      </c>
      <c r="P347" t="s">
        <v>6082</v>
      </c>
      <c r="Q347" t="s">
        <v>6081</v>
      </c>
      <c r="R347" s="7">
        <v>36130</v>
      </c>
      <c r="S347" s="8">
        <f t="shared" si="40"/>
        <v>1998</v>
      </c>
      <c r="T347" s="8">
        <v>1998</v>
      </c>
      <c r="U347" s="8">
        <f t="shared" si="41"/>
        <v>24</v>
      </c>
      <c r="V347" s="7">
        <v>1998</v>
      </c>
      <c r="W347" t="s">
        <v>492</v>
      </c>
      <c r="X347" s="2">
        <v>0.78200000000000003</v>
      </c>
      <c r="Y347" s="6">
        <f t="shared" si="42"/>
        <v>2.0875043378446919E-2</v>
      </c>
      <c r="AA347">
        <v>189316</v>
      </c>
      <c r="AB347">
        <v>19901</v>
      </c>
      <c r="AD347" t="s">
        <v>2</v>
      </c>
      <c r="AE347">
        <v>44</v>
      </c>
      <c r="AF347">
        <v>2</v>
      </c>
      <c r="AH347" t="s">
        <v>6080</v>
      </c>
      <c r="AI347" t="s">
        <v>6079</v>
      </c>
      <c r="AK347" t="s">
        <v>6078</v>
      </c>
      <c r="AL347">
        <v>0</v>
      </c>
      <c r="AM347" s="5">
        <f t="shared" si="43"/>
        <v>0</v>
      </c>
      <c r="AN347" s="4">
        <f t="shared" si="44"/>
        <v>0</v>
      </c>
      <c r="AO347" s="3"/>
      <c r="AP347">
        <v>0</v>
      </c>
      <c r="AQ347" t="s">
        <v>180</v>
      </c>
      <c r="AR347" t="s">
        <v>1</v>
      </c>
      <c r="AS347" t="s">
        <v>179</v>
      </c>
      <c r="AT347" s="2">
        <v>3.863</v>
      </c>
      <c r="AU347" s="1">
        <f t="shared" si="45"/>
        <v>1.4612530364912841</v>
      </c>
      <c r="AV347" s="1">
        <f t="shared" si="46"/>
        <v>1.0437521689223459</v>
      </c>
      <c r="AW347" s="1">
        <f t="shared" si="47"/>
        <v>0.62625130135340756</v>
      </c>
    </row>
    <row r="348" spans="1:49" x14ac:dyDescent="0.2">
      <c r="A348">
        <v>346</v>
      </c>
      <c r="B348" t="s">
        <v>6077</v>
      </c>
      <c r="C348" t="s">
        <v>6076</v>
      </c>
      <c r="D348" t="s">
        <v>6075</v>
      </c>
      <c r="F348" t="s">
        <v>6074</v>
      </c>
      <c r="G348" t="s">
        <v>5</v>
      </c>
      <c r="H348" t="s">
        <v>4</v>
      </c>
      <c r="I348" t="s">
        <v>971</v>
      </c>
      <c r="J348" t="s">
        <v>6073</v>
      </c>
      <c r="K348" t="s">
        <v>6072</v>
      </c>
      <c r="L348" t="s">
        <v>6071</v>
      </c>
      <c r="M348" t="s">
        <v>6070</v>
      </c>
      <c r="N348">
        <v>5</v>
      </c>
      <c r="O348" t="s">
        <v>6069</v>
      </c>
      <c r="P348" t="s">
        <v>6068</v>
      </c>
      <c r="Q348" t="s">
        <v>6067</v>
      </c>
      <c r="R348" s="7">
        <v>36130</v>
      </c>
      <c r="S348" s="8">
        <f t="shared" si="40"/>
        <v>1998</v>
      </c>
      <c r="T348" s="8">
        <v>1998</v>
      </c>
      <c r="U348" s="8">
        <f t="shared" si="41"/>
        <v>24</v>
      </c>
      <c r="V348" s="7">
        <v>1998</v>
      </c>
      <c r="W348" t="s">
        <v>649</v>
      </c>
      <c r="X348" s="2">
        <v>1.6519999999999999</v>
      </c>
      <c r="Y348" s="6">
        <f t="shared" si="42"/>
        <v>4.409919649769093E-2</v>
      </c>
      <c r="AA348" t="s">
        <v>648</v>
      </c>
      <c r="AB348">
        <v>17337</v>
      </c>
      <c r="AD348" t="s">
        <v>2</v>
      </c>
      <c r="AE348">
        <v>46</v>
      </c>
      <c r="AF348">
        <v>6</v>
      </c>
      <c r="AH348" t="s">
        <v>6066</v>
      </c>
      <c r="AI348" t="s">
        <v>6065</v>
      </c>
      <c r="AJ348" t="s">
        <v>6064</v>
      </c>
      <c r="AK348" t="s">
        <v>6063</v>
      </c>
      <c r="AL348">
        <v>53</v>
      </c>
      <c r="AM348" s="5">
        <f t="shared" si="43"/>
        <v>2.2083333333333335</v>
      </c>
      <c r="AN348" s="4">
        <f t="shared" si="44"/>
        <v>3.3446926669190966E-3</v>
      </c>
      <c r="AO348" s="3"/>
      <c r="AP348">
        <v>0</v>
      </c>
      <c r="AQ348" t="s">
        <v>17</v>
      </c>
      <c r="AR348" t="s">
        <v>964</v>
      </c>
      <c r="AS348" t="s">
        <v>16</v>
      </c>
      <c r="AT348" s="2" t="s">
        <v>0</v>
      </c>
      <c r="AU348" s="1">
        <f t="shared" si="45"/>
        <v>3.1872845348459378</v>
      </c>
      <c r="AV348" s="1">
        <f t="shared" si="46"/>
        <v>2.3721944582305015</v>
      </c>
      <c r="AW348" s="1">
        <f t="shared" si="47"/>
        <v>1.5571043816150645</v>
      </c>
    </row>
    <row r="349" spans="1:49" x14ac:dyDescent="0.2">
      <c r="A349">
        <v>347</v>
      </c>
      <c r="B349" t="s">
        <v>6062</v>
      </c>
      <c r="C349" t="s">
        <v>6061</v>
      </c>
      <c r="D349" t="s">
        <v>6060</v>
      </c>
      <c r="F349" t="s">
        <v>6059</v>
      </c>
      <c r="G349" t="s">
        <v>5</v>
      </c>
      <c r="H349" t="s">
        <v>4</v>
      </c>
      <c r="I349" t="s">
        <v>6058</v>
      </c>
      <c r="J349">
        <v>60108318</v>
      </c>
      <c r="K349" t="s">
        <v>6057</v>
      </c>
      <c r="L349" t="s">
        <v>494</v>
      </c>
      <c r="M349" t="s">
        <v>9</v>
      </c>
      <c r="N349">
        <v>2</v>
      </c>
      <c r="O349" t="s">
        <v>6056</v>
      </c>
      <c r="P349" t="s">
        <v>6055</v>
      </c>
      <c r="Q349" t="s">
        <v>6054</v>
      </c>
      <c r="R349" s="7">
        <v>36130</v>
      </c>
      <c r="S349" s="8">
        <f t="shared" si="40"/>
        <v>1998</v>
      </c>
      <c r="T349" s="8">
        <v>1998</v>
      </c>
      <c r="U349" s="8">
        <f t="shared" si="41"/>
        <v>24</v>
      </c>
      <c r="V349" s="7">
        <v>1998</v>
      </c>
      <c r="W349" t="s">
        <v>649</v>
      </c>
      <c r="X349" s="2">
        <v>1.6519999999999999</v>
      </c>
      <c r="Y349" s="6">
        <f t="shared" si="42"/>
        <v>4.409919649769093E-2</v>
      </c>
      <c r="AA349" t="s">
        <v>648</v>
      </c>
      <c r="AB349">
        <v>17337</v>
      </c>
      <c r="AD349" t="s">
        <v>2</v>
      </c>
      <c r="AE349">
        <v>46</v>
      </c>
      <c r="AF349">
        <v>6</v>
      </c>
      <c r="AH349" t="s">
        <v>6053</v>
      </c>
      <c r="AI349" t="s">
        <v>6052</v>
      </c>
      <c r="AJ349" t="s">
        <v>6051</v>
      </c>
      <c r="AK349" t="s">
        <v>6050</v>
      </c>
      <c r="AL349">
        <v>236</v>
      </c>
      <c r="AM349" s="5">
        <f t="shared" si="43"/>
        <v>9.8333333333333339</v>
      </c>
      <c r="AN349" s="4">
        <f t="shared" si="44"/>
        <v>1.4893348479111449E-2</v>
      </c>
      <c r="AO349" s="3"/>
      <c r="AP349">
        <v>0</v>
      </c>
      <c r="AR349" t="s">
        <v>1</v>
      </c>
      <c r="AT349" s="2" t="s">
        <v>0</v>
      </c>
      <c r="AU349" s="1">
        <f t="shared" si="45"/>
        <v>3.5337442092117088</v>
      </c>
      <c r="AV349" s="1">
        <f t="shared" si="46"/>
        <v>2.9496272488401192</v>
      </c>
      <c r="AW349" s="1">
        <f t="shared" si="47"/>
        <v>2.3655102884685291</v>
      </c>
    </row>
    <row r="350" spans="1:49" x14ac:dyDescent="0.2">
      <c r="A350">
        <v>348</v>
      </c>
      <c r="B350" t="s">
        <v>6049</v>
      </c>
      <c r="C350" t="s">
        <v>6048</v>
      </c>
      <c r="D350" t="s">
        <v>6047</v>
      </c>
      <c r="F350" t="s">
        <v>6046</v>
      </c>
      <c r="G350" t="s">
        <v>5</v>
      </c>
      <c r="H350" t="s">
        <v>4</v>
      </c>
      <c r="I350" t="s">
        <v>6045</v>
      </c>
      <c r="J350">
        <v>60027550</v>
      </c>
      <c r="K350" t="s">
        <v>11</v>
      </c>
      <c r="L350" t="s">
        <v>10</v>
      </c>
      <c r="M350" t="s">
        <v>9</v>
      </c>
      <c r="N350">
        <v>2</v>
      </c>
      <c r="O350" t="s">
        <v>6044</v>
      </c>
      <c r="P350" t="s">
        <v>353</v>
      </c>
      <c r="Q350" t="s">
        <v>8</v>
      </c>
      <c r="R350" s="7">
        <v>36130</v>
      </c>
      <c r="S350" s="8">
        <f t="shared" si="40"/>
        <v>1998</v>
      </c>
      <c r="T350" s="8">
        <v>1998</v>
      </c>
      <c r="U350" s="8">
        <f t="shared" si="41"/>
        <v>24</v>
      </c>
      <c r="V350" s="7">
        <v>1998</v>
      </c>
      <c r="W350" t="s">
        <v>649</v>
      </c>
      <c r="X350" s="2">
        <v>1.6519999999999999</v>
      </c>
      <c r="Y350" s="6">
        <f t="shared" si="42"/>
        <v>4.409919649769093E-2</v>
      </c>
      <c r="AA350" t="s">
        <v>648</v>
      </c>
      <c r="AB350">
        <v>17337</v>
      </c>
      <c r="AD350" t="s">
        <v>2</v>
      </c>
      <c r="AE350">
        <v>46</v>
      </c>
      <c r="AF350">
        <v>6</v>
      </c>
      <c r="AH350" t="s">
        <v>6043</v>
      </c>
      <c r="AI350" t="s">
        <v>6042</v>
      </c>
      <c r="AJ350" t="s">
        <v>6041</v>
      </c>
      <c r="AK350" t="s">
        <v>6040</v>
      </c>
      <c r="AL350">
        <v>28</v>
      </c>
      <c r="AM350" s="5">
        <f t="shared" si="43"/>
        <v>1.1666666666666667</v>
      </c>
      <c r="AN350" s="4">
        <f t="shared" si="44"/>
        <v>1.7670074466742396E-3</v>
      </c>
      <c r="AO350" s="3"/>
      <c r="AP350">
        <v>0</v>
      </c>
      <c r="AQ350" t="s">
        <v>6039</v>
      </c>
      <c r="AR350" t="s">
        <v>1</v>
      </c>
      <c r="AS350" t="s">
        <v>11</v>
      </c>
      <c r="AT350" s="2" t="s">
        <v>0</v>
      </c>
      <c r="AU350" s="1">
        <f t="shared" si="45"/>
        <v>3.1399539782385926</v>
      </c>
      <c r="AV350" s="1">
        <f t="shared" si="46"/>
        <v>2.2933101972182586</v>
      </c>
      <c r="AW350" s="1">
        <f t="shared" si="47"/>
        <v>1.4466664161979246</v>
      </c>
    </row>
    <row r="351" spans="1:49" x14ac:dyDescent="0.2">
      <c r="A351">
        <v>349</v>
      </c>
      <c r="B351" t="s">
        <v>6038</v>
      </c>
      <c r="C351" t="s">
        <v>6037</v>
      </c>
      <c r="D351" t="s">
        <v>6036</v>
      </c>
      <c r="F351" t="s">
        <v>6035</v>
      </c>
      <c r="G351" t="s">
        <v>5</v>
      </c>
      <c r="H351" t="s">
        <v>4</v>
      </c>
      <c r="I351" t="s">
        <v>6034</v>
      </c>
      <c r="J351">
        <v>60003500</v>
      </c>
      <c r="K351" t="s">
        <v>1656</v>
      </c>
      <c r="L351" t="s">
        <v>1655</v>
      </c>
      <c r="M351" t="s">
        <v>9</v>
      </c>
      <c r="N351">
        <v>2</v>
      </c>
      <c r="O351" t="s">
        <v>6033</v>
      </c>
      <c r="P351" t="s">
        <v>6032</v>
      </c>
      <c r="Q351" t="s">
        <v>1652</v>
      </c>
      <c r="R351" s="7">
        <v>36130</v>
      </c>
      <c r="S351" s="8">
        <f t="shared" si="40"/>
        <v>1998</v>
      </c>
      <c r="T351" s="8">
        <v>1998</v>
      </c>
      <c r="U351" s="8">
        <f t="shared" si="41"/>
        <v>24</v>
      </c>
      <c r="V351" s="7">
        <v>1998</v>
      </c>
      <c r="W351" t="s">
        <v>649</v>
      </c>
      <c r="X351" s="2">
        <v>1.6519999999999999</v>
      </c>
      <c r="Y351" s="6">
        <f t="shared" si="42"/>
        <v>4.409919649769093E-2</v>
      </c>
      <c r="AA351" t="s">
        <v>648</v>
      </c>
      <c r="AB351">
        <v>17337</v>
      </c>
      <c r="AD351" t="s">
        <v>2</v>
      </c>
      <c r="AE351">
        <v>46</v>
      </c>
      <c r="AF351">
        <v>6</v>
      </c>
      <c r="AH351" t="s">
        <v>6031</v>
      </c>
      <c r="AI351" t="s">
        <v>6030</v>
      </c>
      <c r="AJ351" t="s">
        <v>6029</v>
      </c>
      <c r="AK351" t="s">
        <v>6028</v>
      </c>
      <c r="AL351">
        <v>61</v>
      </c>
      <c r="AM351" s="5">
        <f t="shared" si="43"/>
        <v>2.5416666666666665</v>
      </c>
      <c r="AN351" s="4">
        <f t="shared" si="44"/>
        <v>3.8495519373974501E-3</v>
      </c>
      <c r="AO351" s="3"/>
      <c r="AP351">
        <v>0</v>
      </c>
      <c r="AR351" t="s">
        <v>1</v>
      </c>
      <c r="AS351" t="s">
        <v>6027</v>
      </c>
      <c r="AT351" s="2" t="s">
        <v>0</v>
      </c>
      <c r="AU351" s="1">
        <f t="shared" si="45"/>
        <v>3.2024303129602889</v>
      </c>
      <c r="AV351" s="1">
        <f t="shared" si="46"/>
        <v>2.397437421754419</v>
      </c>
      <c r="AW351" s="1">
        <f t="shared" si="47"/>
        <v>1.5924445305485493</v>
      </c>
    </row>
    <row r="352" spans="1:49" x14ac:dyDescent="0.2">
      <c r="A352">
        <v>350</v>
      </c>
      <c r="B352" t="s">
        <v>6026</v>
      </c>
      <c r="C352" t="s">
        <v>6025</v>
      </c>
      <c r="D352" t="s">
        <v>6024</v>
      </c>
      <c r="F352" t="s">
        <v>6023</v>
      </c>
      <c r="G352" t="s">
        <v>5</v>
      </c>
      <c r="H352" t="s">
        <v>4</v>
      </c>
      <c r="I352" t="s">
        <v>6022</v>
      </c>
      <c r="J352">
        <v>60000251</v>
      </c>
      <c r="K352" t="s">
        <v>495</v>
      </c>
      <c r="L352" t="s">
        <v>494</v>
      </c>
      <c r="M352" t="s">
        <v>9</v>
      </c>
      <c r="N352">
        <v>1</v>
      </c>
      <c r="O352" t="s">
        <v>493</v>
      </c>
      <c r="P352">
        <v>57199013289</v>
      </c>
      <c r="Q352">
        <v>60000251</v>
      </c>
      <c r="R352" s="7">
        <v>36130</v>
      </c>
      <c r="S352" s="8">
        <f t="shared" si="40"/>
        <v>1998</v>
      </c>
      <c r="T352" s="8">
        <v>1998</v>
      </c>
      <c r="U352" s="8">
        <f t="shared" si="41"/>
        <v>24</v>
      </c>
      <c r="V352" s="7">
        <v>1998</v>
      </c>
      <c r="W352" t="s">
        <v>492</v>
      </c>
      <c r="X352" s="2">
        <v>0.78200000000000003</v>
      </c>
      <c r="Y352" s="6">
        <f t="shared" si="42"/>
        <v>2.0875043378446919E-2</v>
      </c>
      <c r="AA352">
        <v>189316</v>
      </c>
      <c r="AB352">
        <v>19901</v>
      </c>
      <c r="AD352" t="s">
        <v>2</v>
      </c>
      <c r="AE352">
        <v>44</v>
      </c>
      <c r="AF352">
        <v>2</v>
      </c>
      <c r="AH352" t="s">
        <v>6021</v>
      </c>
      <c r="AI352" t="s">
        <v>6020</v>
      </c>
      <c r="AK352" t="s">
        <v>6019</v>
      </c>
      <c r="AL352">
        <v>1</v>
      </c>
      <c r="AM352" s="5">
        <f t="shared" si="43"/>
        <v>4.1666666666666664E-2</v>
      </c>
      <c r="AN352" s="4">
        <f t="shared" si="44"/>
        <v>6.3107408809794262E-5</v>
      </c>
      <c r="AO352" s="3"/>
      <c r="AP352">
        <v>0</v>
      </c>
      <c r="AR352" t="s">
        <v>1</v>
      </c>
      <c r="AT352" s="2">
        <v>3.863</v>
      </c>
      <c r="AU352" s="1">
        <f t="shared" si="45"/>
        <v>1.4631462587555779</v>
      </c>
      <c r="AV352" s="1">
        <f t="shared" si="46"/>
        <v>1.0469075393628358</v>
      </c>
      <c r="AW352" s="1">
        <f t="shared" si="47"/>
        <v>0.63066881997009316</v>
      </c>
    </row>
    <row r="353" spans="1:49" x14ac:dyDescent="0.2">
      <c r="A353">
        <v>351</v>
      </c>
      <c r="B353" t="s">
        <v>6018</v>
      </c>
      <c r="C353" t="s">
        <v>6017</v>
      </c>
      <c r="D353" t="s">
        <v>6016</v>
      </c>
      <c r="F353" t="s">
        <v>6015</v>
      </c>
      <c r="G353" t="s">
        <v>5</v>
      </c>
      <c r="H353" t="s">
        <v>4</v>
      </c>
      <c r="I353" t="s">
        <v>6014</v>
      </c>
      <c r="J353">
        <v>60015901</v>
      </c>
      <c r="K353" t="s">
        <v>6013</v>
      </c>
      <c r="L353" t="s">
        <v>895</v>
      </c>
      <c r="M353" t="s">
        <v>541</v>
      </c>
      <c r="N353">
        <v>2</v>
      </c>
      <c r="O353" t="s">
        <v>6012</v>
      </c>
      <c r="P353" t="s">
        <v>6011</v>
      </c>
      <c r="Q353" t="s">
        <v>6010</v>
      </c>
      <c r="R353" s="7">
        <v>36130</v>
      </c>
      <c r="S353" s="8">
        <f t="shared" si="40"/>
        <v>1998</v>
      </c>
      <c r="T353" s="8">
        <v>1998</v>
      </c>
      <c r="U353" s="8">
        <f t="shared" si="41"/>
        <v>24</v>
      </c>
      <c r="V353" s="7">
        <v>1998</v>
      </c>
      <c r="W353" t="s">
        <v>649</v>
      </c>
      <c r="X353" s="2">
        <v>1.6519999999999999</v>
      </c>
      <c r="Y353" s="6">
        <f t="shared" si="42"/>
        <v>4.409919649769093E-2</v>
      </c>
      <c r="AA353" t="s">
        <v>648</v>
      </c>
      <c r="AB353">
        <v>17337</v>
      </c>
      <c r="AD353" t="s">
        <v>2</v>
      </c>
      <c r="AE353">
        <v>46</v>
      </c>
      <c r="AF353">
        <v>6</v>
      </c>
      <c r="AH353" t="s">
        <v>6009</v>
      </c>
      <c r="AI353" t="s">
        <v>6008</v>
      </c>
      <c r="AJ353" t="s">
        <v>6007</v>
      </c>
      <c r="AK353" t="s">
        <v>6006</v>
      </c>
      <c r="AL353">
        <v>69</v>
      </c>
      <c r="AM353" s="5">
        <f t="shared" si="43"/>
        <v>2.875</v>
      </c>
      <c r="AN353" s="4">
        <f t="shared" si="44"/>
        <v>4.354411207875805E-3</v>
      </c>
      <c r="AO353" s="3"/>
      <c r="AP353">
        <v>0</v>
      </c>
      <c r="AR353" t="s">
        <v>1</v>
      </c>
      <c r="AT353" s="2" t="s">
        <v>0</v>
      </c>
      <c r="AU353" s="1">
        <f t="shared" si="45"/>
        <v>3.2175760910746392</v>
      </c>
      <c r="AV353" s="1">
        <f t="shared" si="46"/>
        <v>2.4226803852783365</v>
      </c>
      <c r="AW353" s="1">
        <f t="shared" si="47"/>
        <v>1.6277846794820341</v>
      </c>
    </row>
    <row r="354" spans="1:49" x14ac:dyDescent="0.2">
      <c r="A354">
        <v>352</v>
      </c>
      <c r="B354" t="s">
        <v>6005</v>
      </c>
      <c r="C354" t="s">
        <v>6004</v>
      </c>
      <c r="D354" t="s">
        <v>6003</v>
      </c>
      <c r="F354" t="s">
        <v>6002</v>
      </c>
      <c r="G354" t="s">
        <v>5</v>
      </c>
      <c r="H354" t="s">
        <v>4</v>
      </c>
      <c r="I354" t="s">
        <v>6001</v>
      </c>
      <c r="J354">
        <v>60027550</v>
      </c>
      <c r="K354" t="s">
        <v>11</v>
      </c>
      <c r="L354" t="s">
        <v>10</v>
      </c>
      <c r="M354" t="s">
        <v>9</v>
      </c>
      <c r="N354">
        <v>2</v>
      </c>
      <c r="O354" t="s">
        <v>6000</v>
      </c>
      <c r="P354" t="s">
        <v>5999</v>
      </c>
      <c r="Q354" t="s">
        <v>8</v>
      </c>
      <c r="R354" s="7">
        <v>36130</v>
      </c>
      <c r="S354" s="8">
        <f t="shared" si="40"/>
        <v>1998</v>
      </c>
      <c r="T354" s="8">
        <v>1998</v>
      </c>
      <c r="U354" s="8">
        <f t="shared" si="41"/>
        <v>24</v>
      </c>
      <c r="V354" s="7">
        <v>1998</v>
      </c>
      <c r="W354" t="s">
        <v>649</v>
      </c>
      <c r="X354" s="2">
        <v>1.6519999999999999</v>
      </c>
      <c r="Y354" s="6">
        <f t="shared" si="42"/>
        <v>4.409919649769093E-2</v>
      </c>
      <c r="AA354" t="s">
        <v>648</v>
      </c>
      <c r="AB354">
        <v>17337</v>
      </c>
      <c r="AD354" t="s">
        <v>2</v>
      </c>
      <c r="AE354">
        <v>46</v>
      </c>
      <c r="AF354">
        <v>6</v>
      </c>
      <c r="AH354" t="s">
        <v>5998</v>
      </c>
      <c r="AI354" t="s">
        <v>5997</v>
      </c>
      <c r="AJ354" t="s">
        <v>5996</v>
      </c>
      <c r="AK354" t="s">
        <v>5995</v>
      </c>
      <c r="AL354">
        <v>14</v>
      </c>
      <c r="AM354" s="5">
        <f t="shared" si="43"/>
        <v>0.58333333333333337</v>
      </c>
      <c r="AN354" s="4">
        <f t="shared" si="44"/>
        <v>8.835037233371198E-4</v>
      </c>
      <c r="AO354" s="3"/>
      <c r="AP354">
        <v>0</v>
      </c>
      <c r="AR354" t="s">
        <v>1</v>
      </c>
      <c r="AT354" s="2" t="s">
        <v>0</v>
      </c>
      <c r="AU354" s="1">
        <f t="shared" si="45"/>
        <v>3.1134488665384787</v>
      </c>
      <c r="AV354" s="1">
        <f t="shared" si="46"/>
        <v>2.2491350110514023</v>
      </c>
      <c r="AW354" s="1">
        <f t="shared" si="47"/>
        <v>1.3848211555643262</v>
      </c>
    </row>
    <row r="355" spans="1:49" x14ac:dyDescent="0.2">
      <c r="A355">
        <v>353</v>
      </c>
      <c r="B355" t="s">
        <v>5994</v>
      </c>
      <c r="C355" t="s">
        <v>5993</v>
      </c>
      <c r="D355" t="s">
        <v>5992</v>
      </c>
      <c r="F355" t="s">
        <v>5991</v>
      </c>
      <c r="G355" t="s">
        <v>5</v>
      </c>
      <c r="H355" t="s">
        <v>4</v>
      </c>
      <c r="I355" t="s">
        <v>5990</v>
      </c>
      <c r="J355">
        <v>60027709</v>
      </c>
      <c r="K355" t="s">
        <v>5989</v>
      </c>
      <c r="L355" t="s">
        <v>518</v>
      </c>
      <c r="M355" t="s">
        <v>128</v>
      </c>
      <c r="N355">
        <v>3</v>
      </c>
      <c r="O355" t="s">
        <v>5988</v>
      </c>
      <c r="P355" t="s">
        <v>5987</v>
      </c>
      <c r="Q355" t="s">
        <v>5986</v>
      </c>
      <c r="R355" s="7">
        <v>36130</v>
      </c>
      <c r="S355" s="8">
        <f t="shared" si="40"/>
        <v>1998</v>
      </c>
      <c r="T355" s="8">
        <v>1998</v>
      </c>
      <c r="U355" s="8">
        <f t="shared" si="41"/>
        <v>24</v>
      </c>
      <c r="V355" s="7">
        <v>1998</v>
      </c>
      <c r="W355" t="s">
        <v>649</v>
      </c>
      <c r="X355" s="2">
        <v>1.6519999999999999</v>
      </c>
      <c r="Y355" s="6">
        <f t="shared" si="42"/>
        <v>4.409919649769093E-2</v>
      </c>
      <c r="AA355" t="s">
        <v>648</v>
      </c>
      <c r="AB355">
        <v>17337</v>
      </c>
      <c r="AD355" t="s">
        <v>2</v>
      </c>
      <c r="AE355">
        <v>46</v>
      </c>
      <c r="AF355">
        <v>6</v>
      </c>
      <c r="AH355" t="s">
        <v>5985</v>
      </c>
      <c r="AI355" t="s">
        <v>5984</v>
      </c>
      <c r="AJ355" t="s">
        <v>5983</v>
      </c>
      <c r="AK355" t="s">
        <v>5982</v>
      </c>
      <c r="AL355">
        <v>210</v>
      </c>
      <c r="AM355" s="5">
        <f t="shared" si="43"/>
        <v>8.75</v>
      </c>
      <c r="AN355" s="4">
        <f t="shared" si="44"/>
        <v>1.3252555850056797E-2</v>
      </c>
      <c r="AO355" s="3"/>
      <c r="AP355">
        <v>0</v>
      </c>
      <c r="AR355" t="s">
        <v>5981</v>
      </c>
      <c r="AT355" s="2" t="s">
        <v>0</v>
      </c>
      <c r="AU355" s="1">
        <f t="shared" si="45"/>
        <v>3.4845204303400692</v>
      </c>
      <c r="AV355" s="1">
        <f t="shared" si="46"/>
        <v>2.8675876173873864</v>
      </c>
      <c r="AW355" s="1">
        <f t="shared" si="47"/>
        <v>2.2506548044347032</v>
      </c>
    </row>
    <row r="356" spans="1:49" x14ac:dyDescent="0.2">
      <c r="A356">
        <v>354</v>
      </c>
      <c r="B356" t="s">
        <v>5980</v>
      </c>
      <c r="C356" t="s">
        <v>5979</v>
      </c>
      <c r="D356" t="s">
        <v>5978</v>
      </c>
      <c r="F356" t="s">
        <v>5977</v>
      </c>
      <c r="G356" t="s">
        <v>5</v>
      </c>
      <c r="H356" t="s">
        <v>4</v>
      </c>
      <c r="I356" t="s">
        <v>138</v>
      </c>
      <c r="J356">
        <v>60020547</v>
      </c>
      <c r="K356" t="s">
        <v>137</v>
      </c>
      <c r="L356" t="s">
        <v>136</v>
      </c>
      <c r="M356" t="s">
        <v>9</v>
      </c>
      <c r="N356">
        <v>3</v>
      </c>
      <c r="O356" t="s">
        <v>5976</v>
      </c>
      <c r="P356" t="s">
        <v>135</v>
      </c>
      <c r="Q356" t="s">
        <v>134</v>
      </c>
      <c r="R356" s="7">
        <v>36130</v>
      </c>
      <c r="S356" s="8">
        <f t="shared" si="40"/>
        <v>1998</v>
      </c>
      <c r="T356" s="8">
        <v>1998</v>
      </c>
      <c r="U356" s="8">
        <f t="shared" si="41"/>
        <v>24</v>
      </c>
      <c r="V356" s="7">
        <v>1998</v>
      </c>
      <c r="W356" t="s">
        <v>649</v>
      </c>
      <c r="X356" s="2">
        <v>1.6519999999999999</v>
      </c>
      <c r="Y356" s="6">
        <f t="shared" si="42"/>
        <v>4.409919649769093E-2</v>
      </c>
      <c r="AA356" t="s">
        <v>648</v>
      </c>
      <c r="AB356">
        <v>17337</v>
      </c>
      <c r="AD356" t="s">
        <v>2</v>
      </c>
      <c r="AE356">
        <v>46</v>
      </c>
      <c r="AF356">
        <v>6</v>
      </c>
      <c r="AH356" t="s">
        <v>5975</v>
      </c>
      <c r="AI356" t="s">
        <v>5974</v>
      </c>
      <c r="AJ356" t="s">
        <v>5973</v>
      </c>
      <c r="AK356" t="s">
        <v>5972</v>
      </c>
      <c r="AL356">
        <v>2</v>
      </c>
      <c r="AM356" s="5">
        <f t="shared" si="43"/>
        <v>8.3333333333333329E-2</v>
      </c>
      <c r="AN356" s="4">
        <f t="shared" si="44"/>
        <v>1.2621481761958852E-4</v>
      </c>
      <c r="AO356" s="3"/>
      <c r="AP356">
        <v>0</v>
      </c>
      <c r="AQ356" t="s">
        <v>4155</v>
      </c>
      <c r="AR356" t="s">
        <v>1</v>
      </c>
      <c r="AS356" t="s">
        <v>4154</v>
      </c>
      <c r="AT356" s="2" t="s">
        <v>0</v>
      </c>
      <c r="AU356" s="1">
        <f t="shared" si="45"/>
        <v>3.0907301993669525</v>
      </c>
      <c r="AV356" s="1">
        <f t="shared" si="46"/>
        <v>2.2112705657655258</v>
      </c>
      <c r="AW356" s="1">
        <f t="shared" si="47"/>
        <v>1.331810932164099</v>
      </c>
    </row>
    <row r="357" spans="1:49" x14ac:dyDescent="0.2">
      <c r="A357">
        <v>355</v>
      </c>
      <c r="B357" t="s">
        <v>5971</v>
      </c>
      <c r="C357" t="s">
        <v>5970</v>
      </c>
      <c r="D357" t="s">
        <v>5969</v>
      </c>
      <c r="F357" t="s">
        <v>5968</v>
      </c>
      <c r="G357" t="s">
        <v>5</v>
      </c>
      <c r="H357" t="s">
        <v>4</v>
      </c>
      <c r="I357" t="s">
        <v>5357</v>
      </c>
      <c r="J357">
        <v>60017245</v>
      </c>
      <c r="K357" t="s">
        <v>5356</v>
      </c>
      <c r="L357" t="s">
        <v>434</v>
      </c>
      <c r="M357" t="s">
        <v>9</v>
      </c>
      <c r="N357">
        <v>1</v>
      </c>
      <c r="O357" t="s">
        <v>5355</v>
      </c>
      <c r="P357">
        <v>56039602600</v>
      </c>
      <c r="Q357">
        <v>60017245</v>
      </c>
      <c r="R357" s="7">
        <v>36130</v>
      </c>
      <c r="S357" s="8">
        <f t="shared" si="40"/>
        <v>1998</v>
      </c>
      <c r="T357" s="8">
        <v>1998</v>
      </c>
      <c r="U357" s="8">
        <f t="shared" si="41"/>
        <v>24</v>
      </c>
      <c r="V357" s="7">
        <v>1998</v>
      </c>
      <c r="W357" t="s">
        <v>649</v>
      </c>
      <c r="X357" s="2">
        <v>1.6519999999999999</v>
      </c>
      <c r="Y357" s="6">
        <f t="shared" si="42"/>
        <v>4.409919649769093E-2</v>
      </c>
      <c r="AA357" t="s">
        <v>648</v>
      </c>
      <c r="AB357">
        <v>17337</v>
      </c>
      <c r="AD357" t="s">
        <v>2</v>
      </c>
      <c r="AE357">
        <v>46</v>
      </c>
      <c r="AF357">
        <v>6</v>
      </c>
      <c r="AH357" t="s">
        <v>5967</v>
      </c>
      <c r="AI357" t="s">
        <v>5966</v>
      </c>
      <c r="AJ357" t="s">
        <v>4850</v>
      </c>
      <c r="AK357" t="s">
        <v>5965</v>
      </c>
      <c r="AL357">
        <v>74</v>
      </c>
      <c r="AM357" s="5">
        <f t="shared" si="43"/>
        <v>3.0833333333333335</v>
      </c>
      <c r="AN357" s="4">
        <f t="shared" si="44"/>
        <v>4.6699482519247763E-3</v>
      </c>
      <c r="AO357" s="3"/>
      <c r="AP357">
        <v>0</v>
      </c>
      <c r="AR357" t="s">
        <v>1</v>
      </c>
      <c r="AT357" s="2" t="s">
        <v>0</v>
      </c>
      <c r="AU357" s="1">
        <f t="shared" si="45"/>
        <v>3.2270422023961083</v>
      </c>
      <c r="AV357" s="1">
        <f t="shared" si="46"/>
        <v>2.4384572374807854</v>
      </c>
      <c r="AW357" s="1">
        <f t="shared" si="47"/>
        <v>1.649872272565462</v>
      </c>
    </row>
    <row r="358" spans="1:49" x14ac:dyDescent="0.2">
      <c r="A358">
        <v>356</v>
      </c>
      <c r="B358" t="s">
        <v>5964</v>
      </c>
      <c r="C358" t="s">
        <v>5963</v>
      </c>
      <c r="D358" t="s">
        <v>5962</v>
      </c>
      <c r="F358" t="s">
        <v>5961</v>
      </c>
      <c r="G358" t="s">
        <v>5</v>
      </c>
      <c r="H358" t="s">
        <v>4</v>
      </c>
      <c r="I358" t="s">
        <v>5960</v>
      </c>
      <c r="J358">
        <v>100335825</v>
      </c>
      <c r="K358" t="s">
        <v>5959</v>
      </c>
      <c r="L358" t="s">
        <v>5958</v>
      </c>
      <c r="M358" t="s">
        <v>9</v>
      </c>
      <c r="N358">
        <v>3</v>
      </c>
      <c r="O358" t="s">
        <v>5957</v>
      </c>
      <c r="P358" t="s">
        <v>5956</v>
      </c>
      <c r="Q358" t="s">
        <v>5955</v>
      </c>
      <c r="R358" s="7">
        <v>36130</v>
      </c>
      <c r="S358" s="8">
        <f t="shared" si="40"/>
        <v>1998</v>
      </c>
      <c r="T358" s="8">
        <v>1998</v>
      </c>
      <c r="U358" s="8">
        <f t="shared" si="41"/>
        <v>24</v>
      </c>
      <c r="V358" s="7">
        <v>1998</v>
      </c>
      <c r="W358" t="s">
        <v>649</v>
      </c>
      <c r="X358" s="2">
        <v>1.6519999999999999</v>
      </c>
      <c r="Y358" s="6">
        <f t="shared" si="42"/>
        <v>4.409919649769093E-2</v>
      </c>
      <c r="AA358" t="s">
        <v>648</v>
      </c>
      <c r="AB358">
        <v>17337</v>
      </c>
      <c r="AD358" t="s">
        <v>2</v>
      </c>
      <c r="AE358">
        <v>46</v>
      </c>
      <c r="AF358">
        <v>6</v>
      </c>
      <c r="AH358" t="s">
        <v>5954</v>
      </c>
      <c r="AI358" t="s">
        <v>5953</v>
      </c>
      <c r="AJ358" t="s">
        <v>5952</v>
      </c>
      <c r="AK358" t="s">
        <v>5951</v>
      </c>
      <c r="AL358">
        <v>62</v>
      </c>
      <c r="AM358" s="5">
        <f t="shared" si="43"/>
        <v>2.5833333333333335</v>
      </c>
      <c r="AN358" s="4">
        <f t="shared" si="44"/>
        <v>3.9126593462072449E-3</v>
      </c>
      <c r="AO358" s="3"/>
      <c r="AP358">
        <v>0</v>
      </c>
      <c r="AR358" t="s">
        <v>1</v>
      </c>
      <c r="AT358" s="2" t="s">
        <v>0</v>
      </c>
      <c r="AU358" s="1">
        <f t="shared" si="45"/>
        <v>3.2043235352245825</v>
      </c>
      <c r="AV358" s="1">
        <f t="shared" si="46"/>
        <v>2.4005927921949088</v>
      </c>
      <c r="AW358" s="1">
        <f t="shared" si="47"/>
        <v>1.596862049165235</v>
      </c>
    </row>
    <row r="359" spans="1:49" x14ac:dyDescent="0.2">
      <c r="A359">
        <v>357</v>
      </c>
      <c r="B359" t="s">
        <v>5950</v>
      </c>
      <c r="C359" t="s">
        <v>5949</v>
      </c>
      <c r="F359" t="s">
        <v>5948</v>
      </c>
      <c r="G359" t="s">
        <v>5</v>
      </c>
      <c r="H359" t="s">
        <v>4</v>
      </c>
      <c r="I359" t="s">
        <v>5947</v>
      </c>
      <c r="J359" t="s">
        <v>5946</v>
      </c>
      <c r="K359" t="s">
        <v>5945</v>
      </c>
      <c r="L359" t="s">
        <v>5944</v>
      </c>
      <c r="M359" t="s">
        <v>5943</v>
      </c>
      <c r="N359">
        <v>12</v>
      </c>
      <c r="O359" t="s">
        <v>5942</v>
      </c>
      <c r="P359" t="s">
        <v>5941</v>
      </c>
      <c r="Q359" t="s">
        <v>5940</v>
      </c>
      <c r="R359" s="7">
        <v>36130</v>
      </c>
      <c r="S359" s="8">
        <f t="shared" si="40"/>
        <v>1998</v>
      </c>
      <c r="T359" s="8">
        <v>1998</v>
      </c>
      <c r="U359" s="8">
        <f t="shared" si="41"/>
        <v>24</v>
      </c>
      <c r="V359" s="7">
        <v>1998</v>
      </c>
      <c r="W359" t="s">
        <v>100</v>
      </c>
      <c r="X359" s="2">
        <v>1.774</v>
      </c>
      <c r="Y359" s="6">
        <f t="shared" si="42"/>
        <v>4.7355916820159633E-2</v>
      </c>
      <c r="AA359">
        <v>295515</v>
      </c>
      <c r="AB359">
        <v>29066</v>
      </c>
      <c r="AD359" t="s">
        <v>2</v>
      </c>
      <c r="AE359">
        <v>38</v>
      </c>
      <c r="AF359">
        <v>6</v>
      </c>
      <c r="AH359" t="s">
        <v>5939</v>
      </c>
      <c r="AI359" t="s">
        <v>5938</v>
      </c>
      <c r="AK359" t="s">
        <v>5937</v>
      </c>
      <c r="AL359">
        <v>75</v>
      </c>
      <c r="AM359" s="5">
        <f t="shared" si="43"/>
        <v>3.125</v>
      </c>
      <c r="AN359" s="4">
        <f t="shared" si="44"/>
        <v>4.7330556607345703E-3</v>
      </c>
      <c r="AO359" s="3"/>
      <c r="AP359">
        <v>0</v>
      </c>
      <c r="AR359" t="s">
        <v>1</v>
      </c>
      <c r="AT359" s="2">
        <v>3.1789999999999998</v>
      </c>
      <c r="AU359" s="1">
        <f t="shared" si="45"/>
        <v>3.456905847233211</v>
      </c>
      <c r="AV359" s="1">
        <f t="shared" si="46"/>
        <v>2.6044486240447102</v>
      </c>
      <c r="AW359" s="1">
        <f t="shared" si="47"/>
        <v>1.751991400856209</v>
      </c>
    </row>
    <row r="360" spans="1:49" x14ac:dyDescent="0.2">
      <c r="A360">
        <v>358</v>
      </c>
      <c r="B360" t="s">
        <v>5936</v>
      </c>
      <c r="C360" t="s">
        <v>5935</v>
      </c>
      <c r="D360" t="s">
        <v>5934</v>
      </c>
      <c r="F360" t="s">
        <v>5933</v>
      </c>
      <c r="G360" t="s">
        <v>5</v>
      </c>
      <c r="H360" t="s">
        <v>4</v>
      </c>
      <c r="I360" t="s">
        <v>5932</v>
      </c>
      <c r="J360" t="s">
        <v>5931</v>
      </c>
      <c r="K360" t="s">
        <v>5930</v>
      </c>
      <c r="L360" t="s">
        <v>5929</v>
      </c>
      <c r="M360" t="s">
        <v>101</v>
      </c>
      <c r="N360">
        <v>2</v>
      </c>
      <c r="O360" t="s">
        <v>5928</v>
      </c>
      <c r="P360" t="s">
        <v>5927</v>
      </c>
      <c r="Q360" t="s">
        <v>5926</v>
      </c>
      <c r="R360" s="7">
        <v>36130</v>
      </c>
      <c r="S360" s="8">
        <f t="shared" si="40"/>
        <v>1998</v>
      </c>
      <c r="T360" s="8">
        <v>1998</v>
      </c>
      <c r="U360" s="8">
        <f t="shared" si="41"/>
        <v>24</v>
      </c>
      <c r="V360" s="7">
        <v>1998</v>
      </c>
      <c r="W360" t="s">
        <v>4770</v>
      </c>
      <c r="X360" s="2">
        <v>0.82</v>
      </c>
      <c r="Y360" s="6">
        <f t="shared" si="42"/>
        <v>2.1889431675609299E-2</v>
      </c>
      <c r="AA360">
        <v>189456</v>
      </c>
      <c r="AB360">
        <v>15361</v>
      </c>
      <c r="AD360" t="s">
        <v>2</v>
      </c>
      <c r="AE360">
        <v>47</v>
      </c>
      <c r="AF360">
        <v>3</v>
      </c>
      <c r="AH360" t="s">
        <v>5925</v>
      </c>
      <c r="AI360" t="s">
        <v>5924</v>
      </c>
      <c r="AJ360" t="s">
        <v>5923</v>
      </c>
      <c r="AK360" t="s">
        <v>5922</v>
      </c>
      <c r="AL360">
        <v>30</v>
      </c>
      <c r="AM360" s="5">
        <f t="shared" si="43"/>
        <v>1.25</v>
      </c>
      <c r="AN360" s="4">
        <f t="shared" si="44"/>
        <v>1.8932222642938281E-3</v>
      </c>
      <c r="AO360" s="3"/>
      <c r="AP360">
        <v>0</v>
      </c>
      <c r="AR360" t="s">
        <v>1</v>
      </c>
      <c r="AT360" s="2" t="s">
        <v>0</v>
      </c>
      <c r="AU360" s="1">
        <f t="shared" si="45"/>
        <v>1.5890568852214657</v>
      </c>
      <c r="AV360" s="1">
        <f t="shared" si="46"/>
        <v>1.1891326969951563</v>
      </c>
      <c r="AW360" s="1">
        <f t="shared" si="47"/>
        <v>0.78920850876884696</v>
      </c>
    </row>
    <row r="361" spans="1:49" x14ac:dyDescent="0.2">
      <c r="A361">
        <v>359</v>
      </c>
      <c r="B361" t="s">
        <v>5921</v>
      </c>
      <c r="C361" t="s">
        <v>5920</v>
      </c>
      <c r="E361">
        <v>9581059</v>
      </c>
      <c r="F361" t="s">
        <v>5919</v>
      </c>
      <c r="G361" t="s">
        <v>5</v>
      </c>
      <c r="H361" t="s">
        <v>4</v>
      </c>
      <c r="I361" t="s">
        <v>5918</v>
      </c>
      <c r="J361" t="s">
        <v>5917</v>
      </c>
      <c r="K361" t="s">
        <v>5916</v>
      </c>
      <c r="L361" t="s">
        <v>5915</v>
      </c>
      <c r="M361" t="s">
        <v>298</v>
      </c>
      <c r="N361">
        <v>4</v>
      </c>
      <c r="O361" t="s">
        <v>5914</v>
      </c>
      <c r="P361" t="s">
        <v>5913</v>
      </c>
      <c r="Q361" t="s">
        <v>5912</v>
      </c>
      <c r="R361" s="7">
        <v>36130</v>
      </c>
      <c r="S361" s="8">
        <f t="shared" si="40"/>
        <v>1998</v>
      </c>
      <c r="T361" s="8">
        <v>1998</v>
      </c>
      <c r="U361" s="8">
        <f t="shared" si="41"/>
        <v>24</v>
      </c>
      <c r="V361" s="7">
        <v>1998</v>
      </c>
      <c r="W361" t="s">
        <v>1131</v>
      </c>
      <c r="X361" s="2">
        <v>1.1479999999999999</v>
      </c>
      <c r="Y361" s="6">
        <f t="shared" si="42"/>
        <v>3.0645204345853019E-2</v>
      </c>
      <c r="AA361">
        <v>189294</v>
      </c>
      <c r="AB361">
        <v>16318</v>
      </c>
      <c r="AD361" t="s">
        <v>2</v>
      </c>
      <c r="AE361">
        <v>45</v>
      </c>
      <c r="AF361">
        <v>5</v>
      </c>
      <c r="AH361" t="s">
        <v>5911</v>
      </c>
      <c r="AI361" t="s">
        <v>5910</v>
      </c>
      <c r="AJ361" t="s">
        <v>5909</v>
      </c>
      <c r="AK361" t="s">
        <v>5908</v>
      </c>
      <c r="AL361">
        <v>67</v>
      </c>
      <c r="AM361" s="5">
        <f t="shared" si="43"/>
        <v>2.7916666666666665</v>
      </c>
      <c r="AN361" s="4">
        <f t="shared" si="44"/>
        <v>4.2281963902562163E-3</v>
      </c>
      <c r="AO361" s="3"/>
      <c r="AP361">
        <v>0</v>
      </c>
      <c r="AQ361" t="s">
        <v>514</v>
      </c>
      <c r="AR361" t="s">
        <v>205</v>
      </c>
      <c r="AS361" t="s">
        <v>513</v>
      </c>
      <c r="AT361" s="2" t="s">
        <v>0</v>
      </c>
      <c r="AU361" s="1">
        <f t="shared" si="45"/>
        <v>2.2720101959173977</v>
      </c>
      <c r="AV361" s="1">
        <f t="shared" si="46"/>
        <v>1.7436700368054618</v>
      </c>
      <c r="AW361" s="1">
        <f t="shared" si="47"/>
        <v>1.2153298776935255</v>
      </c>
    </row>
    <row r="362" spans="1:49" x14ac:dyDescent="0.2">
      <c r="A362">
        <v>360</v>
      </c>
      <c r="B362" t="s">
        <v>5907</v>
      </c>
      <c r="C362" t="s">
        <v>5906</v>
      </c>
      <c r="D362" t="s">
        <v>5905</v>
      </c>
      <c r="F362" t="s">
        <v>5904</v>
      </c>
      <c r="G362" t="s">
        <v>5</v>
      </c>
      <c r="H362" t="s">
        <v>4</v>
      </c>
      <c r="I362" t="s">
        <v>5903</v>
      </c>
      <c r="J362">
        <v>60003122</v>
      </c>
      <c r="K362" t="s">
        <v>146</v>
      </c>
      <c r="L362" t="s">
        <v>145</v>
      </c>
      <c r="M362" t="s">
        <v>15</v>
      </c>
      <c r="N362">
        <v>2</v>
      </c>
      <c r="O362" t="s">
        <v>5902</v>
      </c>
      <c r="P362" t="s">
        <v>5901</v>
      </c>
      <c r="Q362" t="s">
        <v>144</v>
      </c>
      <c r="R362" s="7">
        <v>36130</v>
      </c>
      <c r="S362" s="8">
        <f t="shared" si="40"/>
        <v>1998</v>
      </c>
      <c r="T362" s="8">
        <v>1998</v>
      </c>
      <c r="U362" s="8">
        <f t="shared" si="41"/>
        <v>24</v>
      </c>
      <c r="V362" s="7">
        <v>1998</v>
      </c>
      <c r="W362" t="s">
        <v>649</v>
      </c>
      <c r="X362" s="2">
        <v>1.6519999999999999</v>
      </c>
      <c r="Y362" s="6">
        <f t="shared" si="42"/>
        <v>4.409919649769093E-2</v>
      </c>
      <c r="AA362" t="s">
        <v>648</v>
      </c>
      <c r="AB362">
        <v>17337</v>
      </c>
      <c r="AD362" t="s">
        <v>2</v>
      </c>
      <c r="AE362">
        <v>46</v>
      </c>
      <c r="AF362">
        <v>5</v>
      </c>
      <c r="AH362" t="s">
        <v>5900</v>
      </c>
      <c r="AI362" t="s">
        <v>5899</v>
      </c>
      <c r="AJ362" t="s">
        <v>5898</v>
      </c>
      <c r="AK362" t="s">
        <v>5897</v>
      </c>
      <c r="AL362">
        <v>5</v>
      </c>
      <c r="AM362" s="5">
        <f t="shared" si="43"/>
        <v>0.20833333333333334</v>
      </c>
      <c r="AN362" s="4">
        <f t="shared" si="44"/>
        <v>3.1553704404897135E-4</v>
      </c>
      <c r="AO362" s="3"/>
      <c r="AP362">
        <v>0</v>
      </c>
      <c r="AR362" t="s">
        <v>1</v>
      </c>
      <c r="AT362" s="2" t="s">
        <v>0</v>
      </c>
      <c r="AU362" s="1">
        <f t="shared" si="45"/>
        <v>3.096409866159834</v>
      </c>
      <c r="AV362" s="1">
        <f t="shared" si="46"/>
        <v>2.220736677086995</v>
      </c>
      <c r="AW362" s="1">
        <f t="shared" si="47"/>
        <v>1.3450634880141559</v>
      </c>
    </row>
    <row r="363" spans="1:49" x14ac:dyDescent="0.2">
      <c r="A363">
        <v>361</v>
      </c>
      <c r="B363" t="s">
        <v>5896</v>
      </c>
      <c r="C363" t="s">
        <v>5895</v>
      </c>
      <c r="D363" t="s">
        <v>5894</v>
      </c>
      <c r="F363" t="s">
        <v>5893</v>
      </c>
      <c r="G363" t="s">
        <v>5</v>
      </c>
      <c r="H363" t="s">
        <v>4</v>
      </c>
      <c r="I363" t="s">
        <v>5892</v>
      </c>
      <c r="J363">
        <v>60032987</v>
      </c>
      <c r="K363" t="s">
        <v>5884</v>
      </c>
      <c r="L363" t="s">
        <v>191</v>
      </c>
      <c r="M363" t="s">
        <v>27</v>
      </c>
      <c r="N363">
        <v>3</v>
      </c>
      <c r="O363" t="s">
        <v>5891</v>
      </c>
      <c r="P363" t="s">
        <v>5890</v>
      </c>
      <c r="Q363" t="s">
        <v>5889</v>
      </c>
      <c r="R363" s="7">
        <v>36130</v>
      </c>
      <c r="S363" s="8">
        <f t="shared" si="40"/>
        <v>1998</v>
      </c>
      <c r="T363" s="8">
        <v>1998</v>
      </c>
      <c r="U363" s="8">
        <f t="shared" si="41"/>
        <v>24</v>
      </c>
      <c r="V363" s="7">
        <v>1998</v>
      </c>
      <c r="W363" t="s">
        <v>649</v>
      </c>
      <c r="X363" s="2">
        <v>1.6519999999999999</v>
      </c>
      <c r="Y363" s="6">
        <f t="shared" si="42"/>
        <v>4.409919649769093E-2</v>
      </c>
      <c r="AA363" t="s">
        <v>648</v>
      </c>
      <c r="AB363">
        <v>17337</v>
      </c>
      <c r="AD363" t="s">
        <v>2</v>
      </c>
      <c r="AE363">
        <v>46</v>
      </c>
      <c r="AF363">
        <v>5</v>
      </c>
      <c r="AH363" t="s">
        <v>5888</v>
      </c>
      <c r="AI363" t="s">
        <v>5887</v>
      </c>
      <c r="AJ363" t="s">
        <v>5886</v>
      </c>
      <c r="AK363" t="s">
        <v>5885</v>
      </c>
      <c r="AL363">
        <v>76</v>
      </c>
      <c r="AM363" s="5">
        <f t="shared" si="43"/>
        <v>3.1666666666666665</v>
      </c>
      <c r="AN363" s="4">
        <f t="shared" si="44"/>
        <v>4.7961630695443642E-3</v>
      </c>
      <c r="AO363" s="3"/>
      <c r="AP363">
        <v>0</v>
      </c>
      <c r="AR363" t="s">
        <v>1</v>
      </c>
      <c r="AS363" t="s">
        <v>5884</v>
      </c>
      <c r="AT363" s="2" t="s">
        <v>0</v>
      </c>
      <c r="AU363" s="1">
        <f t="shared" si="45"/>
        <v>3.2308286469246958</v>
      </c>
      <c r="AV363" s="1">
        <f t="shared" si="46"/>
        <v>2.4447679783617646</v>
      </c>
      <c r="AW363" s="1">
        <f t="shared" si="47"/>
        <v>1.6587073097988334</v>
      </c>
    </row>
    <row r="364" spans="1:49" x14ac:dyDescent="0.2">
      <c r="A364">
        <v>362</v>
      </c>
      <c r="B364" t="s">
        <v>5883</v>
      </c>
      <c r="C364" t="s">
        <v>5882</v>
      </c>
      <c r="D364" t="s">
        <v>5881</v>
      </c>
      <c r="F364" t="s">
        <v>5880</v>
      </c>
      <c r="G364" t="s">
        <v>5</v>
      </c>
      <c r="H364" t="s">
        <v>4</v>
      </c>
      <c r="I364" t="s">
        <v>5879</v>
      </c>
      <c r="J364">
        <v>60017511</v>
      </c>
      <c r="K364" t="s">
        <v>5878</v>
      </c>
      <c r="L364" t="s">
        <v>5877</v>
      </c>
      <c r="M364" t="s">
        <v>128</v>
      </c>
      <c r="N364">
        <v>1</v>
      </c>
      <c r="O364" t="s">
        <v>5876</v>
      </c>
      <c r="P364">
        <v>7005862569</v>
      </c>
      <c r="Q364">
        <v>60017511</v>
      </c>
      <c r="R364" s="7">
        <v>36130</v>
      </c>
      <c r="S364" s="8">
        <f t="shared" si="40"/>
        <v>1998</v>
      </c>
      <c r="T364" s="8">
        <v>1998</v>
      </c>
      <c r="U364" s="8">
        <f t="shared" si="41"/>
        <v>24</v>
      </c>
      <c r="V364" s="7">
        <v>1998</v>
      </c>
      <c r="W364" t="s">
        <v>649</v>
      </c>
      <c r="X364" s="2">
        <v>1.6519999999999999</v>
      </c>
      <c r="Y364" s="6">
        <f t="shared" si="42"/>
        <v>4.409919649769093E-2</v>
      </c>
      <c r="AA364" t="s">
        <v>648</v>
      </c>
      <c r="AB364">
        <v>17337</v>
      </c>
      <c r="AD364" t="s">
        <v>2</v>
      </c>
      <c r="AE364">
        <v>46</v>
      </c>
      <c r="AF364">
        <v>5</v>
      </c>
      <c r="AH364" t="s">
        <v>5875</v>
      </c>
      <c r="AI364" t="s">
        <v>5874</v>
      </c>
      <c r="AJ364" t="s">
        <v>5873</v>
      </c>
      <c r="AK364" t="s">
        <v>5872</v>
      </c>
      <c r="AL364">
        <v>40</v>
      </c>
      <c r="AM364" s="5">
        <f t="shared" si="43"/>
        <v>1.6666666666666667</v>
      </c>
      <c r="AN364" s="4">
        <f t="shared" si="44"/>
        <v>2.5242963523917708E-3</v>
      </c>
      <c r="AO364" s="3"/>
      <c r="AP364">
        <v>0</v>
      </c>
      <c r="AQ364" t="s">
        <v>114</v>
      </c>
      <c r="AR364" t="s">
        <v>5871</v>
      </c>
      <c r="AS364" t="s">
        <v>113</v>
      </c>
      <c r="AT364" s="2" t="s">
        <v>0</v>
      </c>
      <c r="AU364" s="1">
        <f t="shared" si="45"/>
        <v>3.1626726454101179</v>
      </c>
      <c r="AV364" s="1">
        <f t="shared" si="46"/>
        <v>2.3311746425041351</v>
      </c>
      <c r="AW364" s="1">
        <f t="shared" si="47"/>
        <v>1.4996766395981516</v>
      </c>
    </row>
    <row r="365" spans="1:49" x14ac:dyDescent="0.2">
      <c r="A365">
        <v>363</v>
      </c>
      <c r="B365" t="s">
        <v>5870</v>
      </c>
      <c r="C365" t="s">
        <v>5869</v>
      </c>
      <c r="F365" t="s">
        <v>5868</v>
      </c>
      <c r="G365" t="s">
        <v>5</v>
      </c>
      <c r="H365" t="s">
        <v>4</v>
      </c>
      <c r="I365" t="s">
        <v>5867</v>
      </c>
      <c r="J365">
        <v>60001558</v>
      </c>
      <c r="K365" t="s">
        <v>4381</v>
      </c>
      <c r="L365" t="s">
        <v>63</v>
      </c>
      <c r="M365" t="s">
        <v>62</v>
      </c>
      <c r="N365">
        <v>3</v>
      </c>
      <c r="O365" t="s">
        <v>5866</v>
      </c>
      <c r="P365" t="s">
        <v>5865</v>
      </c>
      <c r="Q365" t="s">
        <v>5864</v>
      </c>
      <c r="R365" s="7">
        <v>36130</v>
      </c>
      <c r="S365" s="8">
        <f t="shared" si="40"/>
        <v>1998</v>
      </c>
      <c r="T365" s="8">
        <v>1998</v>
      </c>
      <c r="U365" s="8">
        <f t="shared" si="41"/>
        <v>24</v>
      </c>
      <c r="V365" s="7">
        <v>1998</v>
      </c>
      <c r="W365" t="s">
        <v>5863</v>
      </c>
      <c r="X365" s="2">
        <v>0.76700000000000002</v>
      </c>
      <c r="Y365" s="6">
        <f t="shared" si="42"/>
        <v>2.0474626945356504E-2</v>
      </c>
      <c r="AA365">
        <v>983063</v>
      </c>
      <c r="AB365">
        <v>26048</v>
      </c>
      <c r="AD365" t="s">
        <v>2</v>
      </c>
      <c r="AE365">
        <v>44</v>
      </c>
      <c r="AF365">
        <v>2</v>
      </c>
      <c r="AH365" t="s">
        <v>443</v>
      </c>
      <c r="AI365" t="s">
        <v>5862</v>
      </c>
      <c r="AK365" t="s">
        <v>5861</v>
      </c>
      <c r="AL365">
        <v>4</v>
      </c>
      <c r="AM365" s="5">
        <f t="shared" si="43"/>
        <v>0.16666666666666666</v>
      </c>
      <c r="AN365" s="4">
        <f t="shared" si="44"/>
        <v>2.5242963523917705E-4</v>
      </c>
      <c r="AO365" s="3"/>
      <c r="AP365">
        <v>0</v>
      </c>
      <c r="AR365" t="s">
        <v>1</v>
      </c>
      <c r="AT365" s="2" t="s">
        <v>0</v>
      </c>
      <c r="AU365" s="1">
        <f t="shared" si="45"/>
        <v>1.4407967752321305</v>
      </c>
      <c r="AV365" s="1">
        <f t="shared" si="46"/>
        <v>1.0363528290297841</v>
      </c>
      <c r="AW365" s="1">
        <f t="shared" si="47"/>
        <v>0.63190888282743751</v>
      </c>
    </row>
    <row r="366" spans="1:49" x14ac:dyDescent="0.2">
      <c r="A366">
        <v>364</v>
      </c>
      <c r="B366" t="s">
        <v>5860</v>
      </c>
      <c r="C366" t="s">
        <v>5859</v>
      </c>
      <c r="D366" t="s">
        <v>5858</v>
      </c>
      <c r="F366" t="s">
        <v>5857</v>
      </c>
      <c r="G366" t="s">
        <v>5</v>
      </c>
      <c r="H366" t="s">
        <v>4</v>
      </c>
      <c r="I366" t="s">
        <v>54</v>
      </c>
      <c r="J366">
        <v>60017161</v>
      </c>
      <c r="K366" t="s">
        <v>161</v>
      </c>
      <c r="L366" t="s">
        <v>160</v>
      </c>
      <c r="M366" t="s">
        <v>159</v>
      </c>
      <c r="N366">
        <v>5</v>
      </c>
      <c r="O366" t="s">
        <v>5856</v>
      </c>
      <c r="P366" t="s">
        <v>5855</v>
      </c>
      <c r="Q366" t="s">
        <v>158</v>
      </c>
      <c r="R366" s="7">
        <v>36130</v>
      </c>
      <c r="S366" s="8">
        <f t="shared" si="40"/>
        <v>1998</v>
      </c>
      <c r="T366" s="8">
        <v>1998</v>
      </c>
      <c r="U366" s="8">
        <f t="shared" si="41"/>
        <v>24</v>
      </c>
      <c r="V366" s="7">
        <v>1998</v>
      </c>
      <c r="W366" t="s">
        <v>649</v>
      </c>
      <c r="X366" s="2">
        <v>1.6519999999999999</v>
      </c>
      <c r="Y366" s="6">
        <f t="shared" si="42"/>
        <v>4.409919649769093E-2</v>
      </c>
      <c r="AA366" t="s">
        <v>648</v>
      </c>
      <c r="AB366">
        <v>17337</v>
      </c>
      <c r="AD366" t="s">
        <v>2</v>
      </c>
      <c r="AE366">
        <v>46</v>
      </c>
      <c r="AF366">
        <v>5</v>
      </c>
      <c r="AH366" t="s">
        <v>5854</v>
      </c>
      <c r="AI366" t="s">
        <v>5853</v>
      </c>
      <c r="AJ366" t="s">
        <v>5852</v>
      </c>
      <c r="AK366" t="s">
        <v>5851</v>
      </c>
      <c r="AL366">
        <v>21</v>
      </c>
      <c r="AM366" s="5">
        <f t="shared" si="43"/>
        <v>0.875</v>
      </c>
      <c r="AN366" s="4">
        <f t="shared" si="44"/>
        <v>1.3252555850056798E-3</v>
      </c>
      <c r="AO366" s="3"/>
      <c r="AP366">
        <v>0</v>
      </c>
      <c r="AR366" t="s">
        <v>5850</v>
      </c>
      <c r="AT366" s="2" t="s">
        <v>0</v>
      </c>
      <c r="AU366" s="1">
        <f t="shared" si="45"/>
        <v>3.1267014223885359</v>
      </c>
      <c r="AV366" s="1">
        <f t="shared" si="46"/>
        <v>2.2712226041348305</v>
      </c>
      <c r="AW366" s="1">
        <f t="shared" si="47"/>
        <v>1.4157437858811253</v>
      </c>
    </row>
    <row r="367" spans="1:49" x14ac:dyDescent="0.2">
      <c r="A367">
        <v>365</v>
      </c>
      <c r="B367" t="s">
        <v>5849</v>
      </c>
      <c r="C367" t="s">
        <v>5848</v>
      </c>
      <c r="D367" t="s">
        <v>5847</v>
      </c>
      <c r="F367" t="s">
        <v>5846</v>
      </c>
      <c r="G367" t="s">
        <v>5</v>
      </c>
      <c r="H367" t="s">
        <v>4</v>
      </c>
      <c r="I367" t="s">
        <v>5845</v>
      </c>
      <c r="J367">
        <v>60019722</v>
      </c>
      <c r="K367" t="s">
        <v>5661</v>
      </c>
      <c r="L367" t="s">
        <v>40</v>
      </c>
      <c r="M367" t="s">
        <v>37</v>
      </c>
      <c r="N367">
        <v>3</v>
      </c>
      <c r="O367" t="s">
        <v>5844</v>
      </c>
      <c r="P367" t="s">
        <v>5843</v>
      </c>
      <c r="Q367" t="s">
        <v>5842</v>
      </c>
      <c r="R367" s="7">
        <v>36130</v>
      </c>
      <c r="S367" s="8">
        <f t="shared" si="40"/>
        <v>1998</v>
      </c>
      <c r="T367" s="8">
        <v>1998</v>
      </c>
      <c r="U367" s="8">
        <f t="shared" si="41"/>
        <v>24</v>
      </c>
      <c r="V367" s="7">
        <v>1998</v>
      </c>
      <c r="W367" t="s">
        <v>303</v>
      </c>
      <c r="X367" s="2">
        <v>1.3720000000000001</v>
      </c>
      <c r="Y367" s="6">
        <f t="shared" si="42"/>
        <v>3.662475641333654E-2</v>
      </c>
      <c r="AA367">
        <v>189480</v>
      </c>
      <c r="AB367">
        <v>17366</v>
      </c>
      <c r="AD367" t="s">
        <v>2</v>
      </c>
      <c r="AE367">
        <v>46</v>
      </c>
      <c r="AF367" t="s">
        <v>5659</v>
      </c>
      <c r="AH367" t="s">
        <v>5841</v>
      </c>
      <c r="AI367" t="s">
        <v>5840</v>
      </c>
      <c r="AJ367" t="s">
        <v>5839</v>
      </c>
      <c r="AK367" t="s">
        <v>5838</v>
      </c>
      <c r="AL367">
        <v>21</v>
      </c>
      <c r="AM367" s="5">
        <f t="shared" si="43"/>
        <v>0.875</v>
      </c>
      <c r="AN367" s="4">
        <f t="shared" si="44"/>
        <v>1.3252555850056798E-3</v>
      </c>
      <c r="AO367" s="3"/>
      <c r="AP367">
        <v>0</v>
      </c>
      <c r="AR367" t="s">
        <v>1</v>
      </c>
      <c r="AT367" s="2" t="s">
        <v>0</v>
      </c>
      <c r="AU367" s="1">
        <f t="shared" si="45"/>
        <v>2.6034906164837279</v>
      </c>
      <c r="AV367" s="1">
        <f t="shared" si="46"/>
        <v>1.8975005999171111</v>
      </c>
      <c r="AW367" s="1">
        <f t="shared" si="47"/>
        <v>1.1915105833504938</v>
      </c>
    </row>
    <row r="368" spans="1:49" x14ac:dyDescent="0.2">
      <c r="A368">
        <v>366</v>
      </c>
      <c r="B368" t="s">
        <v>5837</v>
      </c>
      <c r="C368" t="s">
        <v>5836</v>
      </c>
      <c r="D368" t="s">
        <v>5835</v>
      </c>
      <c r="F368" t="s">
        <v>5834</v>
      </c>
      <c r="G368" t="s">
        <v>5</v>
      </c>
      <c r="H368" t="s">
        <v>4</v>
      </c>
      <c r="I368" t="s">
        <v>5833</v>
      </c>
      <c r="J368">
        <v>60014808</v>
      </c>
      <c r="K368" t="s">
        <v>5832</v>
      </c>
      <c r="L368" t="s">
        <v>5831</v>
      </c>
      <c r="M368" t="s">
        <v>105</v>
      </c>
      <c r="N368">
        <v>3</v>
      </c>
      <c r="O368" t="s">
        <v>5830</v>
      </c>
      <c r="P368" t="s">
        <v>5829</v>
      </c>
      <c r="Q368" t="s">
        <v>5828</v>
      </c>
      <c r="R368" s="7">
        <v>36130</v>
      </c>
      <c r="S368" s="8">
        <f t="shared" si="40"/>
        <v>1998</v>
      </c>
      <c r="T368" s="8">
        <v>1998</v>
      </c>
      <c r="U368" s="8">
        <f t="shared" si="41"/>
        <v>24</v>
      </c>
      <c r="V368" s="7">
        <v>1998</v>
      </c>
      <c r="W368" t="s">
        <v>2191</v>
      </c>
      <c r="X368" s="2">
        <v>1.6379999999999999</v>
      </c>
      <c r="Y368" s="6">
        <f t="shared" si="42"/>
        <v>4.3725474493473214E-2</v>
      </c>
      <c r="AA368" t="s">
        <v>2190</v>
      </c>
      <c r="AB368">
        <v>17391</v>
      </c>
      <c r="AD368" t="s">
        <v>2</v>
      </c>
      <c r="AE368">
        <v>46</v>
      </c>
      <c r="AF368">
        <v>5</v>
      </c>
      <c r="AH368" t="s">
        <v>5827</v>
      </c>
      <c r="AI368" t="s">
        <v>5826</v>
      </c>
      <c r="AJ368" t="s">
        <v>5825</v>
      </c>
      <c r="AK368" t="s">
        <v>5824</v>
      </c>
      <c r="AL368">
        <v>32</v>
      </c>
      <c r="AM368" s="5">
        <f t="shared" si="43"/>
        <v>1.3333333333333333</v>
      </c>
      <c r="AN368" s="4">
        <f t="shared" si="44"/>
        <v>2.0194370819134164E-3</v>
      </c>
      <c r="AO368" s="3"/>
      <c r="AP368">
        <v>0</v>
      </c>
      <c r="AR368" t="s">
        <v>1</v>
      </c>
      <c r="AT368" s="2">
        <v>4.931</v>
      </c>
      <c r="AU368" s="1">
        <f t="shared" si="45"/>
        <v>3.1213663270005276</v>
      </c>
      <c r="AV368" s="1">
        <f t="shared" si="46"/>
        <v>2.2872455787693315</v>
      </c>
      <c r="AW368" s="1">
        <f t="shared" si="47"/>
        <v>1.4531248305381355</v>
      </c>
    </row>
    <row r="369" spans="1:49" x14ac:dyDescent="0.2">
      <c r="A369">
        <v>367</v>
      </c>
      <c r="B369" t="s">
        <v>5823</v>
      </c>
      <c r="C369" t="s">
        <v>5822</v>
      </c>
      <c r="D369" t="s">
        <v>5821</v>
      </c>
      <c r="F369" t="s">
        <v>5820</v>
      </c>
      <c r="G369" t="s">
        <v>5</v>
      </c>
      <c r="H369" t="s">
        <v>4</v>
      </c>
      <c r="I369" t="s">
        <v>5819</v>
      </c>
      <c r="J369">
        <v>60012370</v>
      </c>
      <c r="K369" t="s">
        <v>172</v>
      </c>
      <c r="L369" t="s">
        <v>171</v>
      </c>
      <c r="M369" t="s">
        <v>128</v>
      </c>
      <c r="N369">
        <v>2</v>
      </c>
      <c r="O369" t="s">
        <v>5818</v>
      </c>
      <c r="P369" t="s">
        <v>5817</v>
      </c>
      <c r="Q369" t="s">
        <v>372</v>
      </c>
      <c r="R369" s="7">
        <v>36130</v>
      </c>
      <c r="S369" s="8">
        <f t="shared" si="40"/>
        <v>1998</v>
      </c>
      <c r="T369" s="8">
        <v>1998</v>
      </c>
      <c r="U369" s="8">
        <f t="shared" si="41"/>
        <v>24</v>
      </c>
      <c r="V369" s="7">
        <v>1998</v>
      </c>
      <c r="W369" t="s">
        <v>649</v>
      </c>
      <c r="X369" s="2">
        <v>1.6519999999999999</v>
      </c>
      <c r="Y369" s="6">
        <f t="shared" si="42"/>
        <v>4.409919649769093E-2</v>
      </c>
      <c r="AA369" t="s">
        <v>648</v>
      </c>
      <c r="AB369">
        <v>17337</v>
      </c>
      <c r="AD369" t="s">
        <v>2</v>
      </c>
      <c r="AE369">
        <v>46</v>
      </c>
      <c r="AF369">
        <v>5</v>
      </c>
      <c r="AH369" t="s">
        <v>5816</v>
      </c>
      <c r="AI369" t="s">
        <v>5815</v>
      </c>
      <c r="AJ369" t="s">
        <v>5814</v>
      </c>
      <c r="AK369" t="s">
        <v>5813</v>
      </c>
      <c r="AL369">
        <v>27</v>
      </c>
      <c r="AM369" s="5">
        <f t="shared" si="43"/>
        <v>1.125</v>
      </c>
      <c r="AN369" s="4">
        <f t="shared" si="44"/>
        <v>1.7039000378644452E-3</v>
      </c>
      <c r="AO369" s="3"/>
      <c r="AP369">
        <v>0</v>
      </c>
      <c r="AQ369" t="s">
        <v>114</v>
      </c>
      <c r="AR369" t="s">
        <v>5812</v>
      </c>
      <c r="AS369" t="s">
        <v>113</v>
      </c>
      <c r="AT369" s="2" t="s">
        <v>0</v>
      </c>
      <c r="AU369" s="1">
        <f t="shared" si="45"/>
        <v>3.1380607559742986</v>
      </c>
      <c r="AV369" s="1">
        <f t="shared" si="46"/>
        <v>2.2901548267777687</v>
      </c>
      <c r="AW369" s="1">
        <f t="shared" si="47"/>
        <v>1.4422488975812391</v>
      </c>
    </row>
    <row r="370" spans="1:49" x14ac:dyDescent="0.2">
      <c r="A370">
        <v>368</v>
      </c>
      <c r="B370" t="s">
        <v>5811</v>
      </c>
      <c r="C370" t="s">
        <v>5810</v>
      </c>
      <c r="F370" t="s">
        <v>5809</v>
      </c>
      <c r="G370" t="s">
        <v>5</v>
      </c>
      <c r="H370" t="s">
        <v>4</v>
      </c>
      <c r="I370" t="s">
        <v>5808</v>
      </c>
      <c r="J370" t="s">
        <v>5807</v>
      </c>
      <c r="K370" t="s">
        <v>5806</v>
      </c>
      <c r="L370" t="s">
        <v>5805</v>
      </c>
      <c r="M370" t="s">
        <v>6</v>
      </c>
      <c r="N370">
        <v>2</v>
      </c>
      <c r="O370" t="s">
        <v>5804</v>
      </c>
      <c r="P370" t="s">
        <v>5803</v>
      </c>
      <c r="Q370" t="s">
        <v>5802</v>
      </c>
      <c r="R370" s="7">
        <v>36130</v>
      </c>
      <c r="S370" s="8">
        <f t="shared" si="40"/>
        <v>1998</v>
      </c>
      <c r="T370" s="8">
        <v>1998</v>
      </c>
      <c r="U370" s="8">
        <f t="shared" si="41"/>
        <v>24</v>
      </c>
      <c r="V370" s="7">
        <v>1998</v>
      </c>
      <c r="W370" t="s">
        <v>5801</v>
      </c>
      <c r="X370" s="2">
        <v>1.159</v>
      </c>
      <c r="Y370" s="6">
        <f t="shared" si="42"/>
        <v>3.093884306345266E-2</v>
      </c>
      <c r="AA370">
        <v>8853010</v>
      </c>
      <c r="AB370">
        <v>12998</v>
      </c>
      <c r="AD370" t="s">
        <v>2</v>
      </c>
      <c r="AE370">
        <v>45</v>
      </c>
      <c r="AF370">
        <v>3</v>
      </c>
      <c r="AH370" t="s">
        <v>5800</v>
      </c>
      <c r="AI370" t="s">
        <v>5799</v>
      </c>
      <c r="AK370" t="s">
        <v>5798</v>
      </c>
      <c r="AL370">
        <v>0</v>
      </c>
      <c r="AM370" s="5">
        <f t="shared" si="43"/>
        <v>0</v>
      </c>
      <c r="AN370" s="4">
        <f t="shared" si="44"/>
        <v>0</v>
      </c>
      <c r="AO370" s="3"/>
      <c r="AP370">
        <v>0</v>
      </c>
      <c r="AR370" t="s">
        <v>1</v>
      </c>
      <c r="AT370" s="2" t="s">
        <v>0</v>
      </c>
      <c r="AU370" s="1">
        <f t="shared" si="45"/>
        <v>2.1657190144416862</v>
      </c>
      <c r="AV370" s="1">
        <f t="shared" si="46"/>
        <v>1.5469421531726331</v>
      </c>
      <c r="AW370" s="1">
        <f t="shared" si="47"/>
        <v>0.92816529190357988</v>
      </c>
    </row>
    <row r="371" spans="1:49" x14ac:dyDescent="0.2">
      <c r="A371">
        <v>369</v>
      </c>
      <c r="B371" t="s">
        <v>5797</v>
      </c>
      <c r="C371" t="s">
        <v>5796</v>
      </c>
      <c r="D371" t="s">
        <v>5795</v>
      </c>
      <c r="F371" t="s">
        <v>5794</v>
      </c>
      <c r="G371" t="s">
        <v>5</v>
      </c>
      <c r="H371" t="s">
        <v>4</v>
      </c>
      <c r="I371" t="s">
        <v>5793</v>
      </c>
      <c r="J371" t="s">
        <v>5792</v>
      </c>
      <c r="K371" t="s">
        <v>5791</v>
      </c>
      <c r="L371" t="s">
        <v>5790</v>
      </c>
      <c r="M371" t="s">
        <v>50</v>
      </c>
      <c r="N371">
        <v>3</v>
      </c>
      <c r="O371" t="s">
        <v>5789</v>
      </c>
      <c r="P371" t="s">
        <v>5788</v>
      </c>
      <c r="Q371" t="s">
        <v>5787</v>
      </c>
      <c r="R371" s="7">
        <v>36130</v>
      </c>
      <c r="S371" s="8">
        <f t="shared" si="40"/>
        <v>1998</v>
      </c>
      <c r="T371" s="8">
        <v>1998</v>
      </c>
      <c r="U371" s="8">
        <f t="shared" si="41"/>
        <v>24</v>
      </c>
      <c r="V371" s="7">
        <v>1998</v>
      </c>
      <c r="W371" t="s">
        <v>303</v>
      </c>
      <c r="X371" s="2">
        <v>1.3720000000000001</v>
      </c>
      <c r="Y371" s="6">
        <f t="shared" si="42"/>
        <v>3.662475641333654E-2</v>
      </c>
      <c r="AA371">
        <v>189480</v>
      </c>
      <c r="AB371">
        <v>17366</v>
      </c>
      <c r="AD371" t="s">
        <v>2</v>
      </c>
      <c r="AE371">
        <v>46</v>
      </c>
      <c r="AF371" t="s">
        <v>5659</v>
      </c>
      <c r="AH371" t="s">
        <v>5786</v>
      </c>
      <c r="AI371" t="s">
        <v>5785</v>
      </c>
      <c r="AJ371" t="s">
        <v>5784</v>
      </c>
      <c r="AK371" t="s">
        <v>5783</v>
      </c>
      <c r="AL371">
        <v>31</v>
      </c>
      <c r="AM371" s="5">
        <f t="shared" si="43"/>
        <v>1.2916666666666667</v>
      </c>
      <c r="AN371" s="4">
        <f t="shared" si="44"/>
        <v>1.9563296731036225E-3</v>
      </c>
      <c r="AO371" s="3"/>
      <c r="AP371">
        <v>0</v>
      </c>
      <c r="AR371" t="s">
        <v>5782</v>
      </c>
      <c r="AT371" s="2" t="s">
        <v>0</v>
      </c>
      <c r="AU371" s="1">
        <f t="shared" si="45"/>
        <v>2.6224228391266662</v>
      </c>
      <c r="AV371" s="1">
        <f t="shared" si="46"/>
        <v>1.9290543043220081</v>
      </c>
      <c r="AW371" s="1">
        <f t="shared" si="47"/>
        <v>1.2356857695173498</v>
      </c>
    </row>
    <row r="372" spans="1:49" x14ac:dyDescent="0.2">
      <c r="A372">
        <v>370</v>
      </c>
      <c r="B372" t="s">
        <v>5781</v>
      </c>
      <c r="C372" t="s">
        <v>5780</v>
      </c>
      <c r="D372" t="s">
        <v>5779</v>
      </c>
      <c r="F372" t="s">
        <v>5778</v>
      </c>
      <c r="G372" t="s">
        <v>5</v>
      </c>
      <c r="H372" t="s">
        <v>4</v>
      </c>
      <c r="I372" t="s">
        <v>5777</v>
      </c>
      <c r="J372">
        <v>60031581</v>
      </c>
      <c r="K372" t="s">
        <v>75</v>
      </c>
      <c r="L372" t="s">
        <v>74</v>
      </c>
      <c r="M372" t="s">
        <v>9</v>
      </c>
      <c r="N372">
        <v>2</v>
      </c>
      <c r="O372" t="s">
        <v>5776</v>
      </c>
      <c r="P372" t="s">
        <v>5775</v>
      </c>
      <c r="Q372" t="s">
        <v>5774</v>
      </c>
      <c r="R372" s="7">
        <v>36130</v>
      </c>
      <c r="S372" s="8">
        <f t="shared" si="40"/>
        <v>1998</v>
      </c>
      <c r="T372" s="8">
        <v>1998</v>
      </c>
      <c r="U372" s="8">
        <f t="shared" si="41"/>
        <v>24</v>
      </c>
      <c r="V372" s="7">
        <v>1998</v>
      </c>
      <c r="W372" t="s">
        <v>649</v>
      </c>
      <c r="X372" s="2">
        <v>1.6519999999999999</v>
      </c>
      <c r="Y372" s="6">
        <f t="shared" si="42"/>
        <v>4.409919649769093E-2</v>
      </c>
      <c r="AA372" t="s">
        <v>648</v>
      </c>
      <c r="AB372">
        <v>17337</v>
      </c>
      <c r="AD372" t="s">
        <v>2</v>
      </c>
      <c r="AE372">
        <v>46</v>
      </c>
      <c r="AF372">
        <v>5</v>
      </c>
      <c r="AH372" t="s">
        <v>5773</v>
      </c>
      <c r="AI372" t="s">
        <v>5772</v>
      </c>
      <c r="AJ372" t="s">
        <v>5771</v>
      </c>
      <c r="AK372" t="s">
        <v>5770</v>
      </c>
      <c r="AL372">
        <v>33</v>
      </c>
      <c r="AM372" s="5">
        <f t="shared" si="43"/>
        <v>1.375</v>
      </c>
      <c r="AN372" s="4">
        <f t="shared" si="44"/>
        <v>2.0825444907232107E-3</v>
      </c>
      <c r="AO372" s="3"/>
      <c r="AP372">
        <v>0</v>
      </c>
      <c r="AR372" t="s">
        <v>1</v>
      </c>
      <c r="AT372" s="2" t="s">
        <v>0</v>
      </c>
      <c r="AU372" s="1">
        <f t="shared" si="45"/>
        <v>3.1494200895600613</v>
      </c>
      <c r="AV372" s="1">
        <f t="shared" si="46"/>
        <v>2.309087049420707</v>
      </c>
      <c r="AW372" s="1">
        <f t="shared" si="47"/>
        <v>1.4687540092813525</v>
      </c>
    </row>
    <row r="373" spans="1:49" x14ac:dyDescent="0.2">
      <c r="A373">
        <v>371</v>
      </c>
      <c r="B373" t="s">
        <v>5769</v>
      </c>
      <c r="C373" t="s">
        <v>5768</v>
      </c>
      <c r="D373" t="s">
        <v>5767</v>
      </c>
      <c r="F373" t="s">
        <v>5766</v>
      </c>
      <c r="G373" t="s">
        <v>5</v>
      </c>
      <c r="H373" t="s">
        <v>4</v>
      </c>
      <c r="I373" t="s">
        <v>4450</v>
      </c>
      <c r="J373">
        <v>100346114</v>
      </c>
      <c r="K373" t="s">
        <v>2758</v>
      </c>
      <c r="L373" t="s">
        <v>4101</v>
      </c>
      <c r="M373" t="s">
        <v>9</v>
      </c>
      <c r="N373">
        <v>1</v>
      </c>
      <c r="O373" t="s">
        <v>4449</v>
      </c>
      <c r="P373">
        <v>14121997400</v>
      </c>
      <c r="Q373">
        <v>100346114</v>
      </c>
      <c r="R373" s="7">
        <v>36130</v>
      </c>
      <c r="S373" s="8">
        <f t="shared" si="40"/>
        <v>1998</v>
      </c>
      <c r="T373" s="8">
        <v>1998</v>
      </c>
      <c r="U373" s="8">
        <f t="shared" si="41"/>
        <v>24</v>
      </c>
      <c r="V373" s="7">
        <v>1998</v>
      </c>
      <c r="W373" t="s">
        <v>256</v>
      </c>
      <c r="X373" s="2">
        <v>1.468</v>
      </c>
      <c r="Y373" s="6">
        <f t="shared" si="42"/>
        <v>3.9187421585115186E-2</v>
      </c>
      <c r="AA373">
        <v>906778</v>
      </c>
      <c r="AB373">
        <v>18931</v>
      </c>
      <c r="AD373" t="s">
        <v>2</v>
      </c>
      <c r="AE373">
        <v>46</v>
      </c>
      <c r="AF373">
        <v>5</v>
      </c>
      <c r="AH373" t="s">
        <v>5765</v>
      </c>
      <c r="AI373" t="s">
        <v>5764</v>
      </c>
      <c r="AJ373" t="s">
        <v>5763</v>
      </c>
      <c r="AK373" t="s">
        <v>5762</v>
      </c>
      <c r="AL373">
        <v>30</v>
      </c>
      <c r="AM373" s="5">
        <f t="shared" si="43"/>
        <v>1.25</v>
      </c>
      <c r="AN373" s="4">
        <f t="shared" si="44"/>
        <v>1.8932222642938281E-3</v>
      </c>
      <c r="AO373" s="3"/>
      <c r="AP373">
        <v>0</v>
      </c>
      <c r="AR373" t="s">
        <v>1</v>
      </c>
      <c r="AT373" s="2">
        <v>5.0830000000000002</v>
      </c>
      <c r="AU373" s="1">
        <f t="shared" si="45"/>
        <v>2.7999161788868778</v>
      </c>
      <c r="AV373" s="1">
        <f t="shared" si="46"/>
        <v>2.0540321924704505</v>
      </c>
      <c r="AW373" s="1">
        <f t="shared" si="47"/>
        <v>1.3081482060540237</v>
      </c>
    </row>
    <row r="374" spans="1:49" x14ac:dyDescent="0.2">
      <c r="A374">
        <v>372</v>
      </c>
      <c r="B374" t="s">
        <v>5761</v>
      </c>
      <c r="C374" t="s">
        <v>5760</v>
      </c>
      <c r="D374" t="s">
        <v>5759</v>
      </c>
      <c r="F374" t="s">
        <v>5758</v>
      </c>
      <c r="G374" t="s">
        <v>5</v>
      </c>
      <c r="H374" t="s">
        <v>4</v>
      </c>
      <c r="I374" t="s">
        <v>5757</v>
      </c>
      <c r="J374" t="s">
        <v>5756</v>
      </c>
      <c r="K374" t="s">
        <v>5755</v>
      </c>
      <c r="L374" t="s">
        <v>5754</v>
      </c>
      <c r="M374" t="s">
        <v>319</v>
      </c>
      <c r="N374">
        <v>5</v>
      </c>
      <c r="O374" t="s">
        <v>5753</v>
      </c>
      <c r="P374" t="s">
        <v>5752</v>
      </c>
      <c r="Q374" t="s">
        <v>5751</v>
      </c>
      <c r="R374" s="7">
        <v>36130</v>
      </c>
      <c r="S374" s="8">
        <f t="shared" si="40"/>
        <v>1998</v>
      </c>
      <c r="T374" s="8">
        <v>1998</v>
      </c>
      <c r="U374" s="8">
        <f t="shared" si="41"/>
        <v>24</v>
      </c>
      <c r="V374" s="7">
        <v>1998</v>
      </c>
      <c r="W374" t="s">
        <v>4133</v>
      </c>
      <c r="X374" s="2">
        <v>1.1819999999999999</v>
      </c>
      <c r="Y374" s="6">
        <f t="shared" si="42"/>
        <v>3.1552814927524625E-2</v>
      </c>
      <c r="AA374">
        <v>36951</v>
      </c>
      <c r="AB374">
        <v>27030</v>
      </c>
      <c r="AD374" t="s">
        <v>2</v>
      </c>
      <c r="AE374">
        <v>72</v>
      </c>
      <c r="AF374">
        <v>19</v>
      </c>
      <c r="AH374" t="s">
        <v>5750</v>
      </c>
      <c r="AI374" t="s">
        <v>5749</v>
      </c>
      <c r="AK374" t="s">
        <v>5748</v>
      </c>
      <c r="AL374">
        <v>53</v>
      </c>
      <c r="AM374" s="5">
        <f t="shared" si="43"/>
        <v>2.2083333333333335</v>
      </c>
      <c r="AN374" s="4">
        <f t="shared" si="44"/>
        <v>3.3446926669190966E-3</v>
      </c>
      <c r="AO374" s="3"/>
      <c r="AP374">
        <v>0</v>
      </c>
      <c r="AR374" t="s">
        <v>1</v>
      </c>
      <c r="AT374" s="2">
        <v>3.7909999999999999</v>
      </c>
      <c r="AU374" s="1">
        <f t="shared" si="45"/>
        <v>2.3090378249342964</v>
      </c>
      <c r="AV374" s="1">
        <f t="shared" si="46"/>
        <v>1.7448753797221863</v>
      </c>
      <c r="AW374" s="1">
        <f t="shared" si="47"/>
        <v>1.1807129345100755</v>
      </c>
    </row>
    <row r="375" spans="1:49" x14ac:dyDescent="0.2">
      <c r="A375">
        <v>373</v>
      </c>
      <c r="B375" t="s">
        <v>5747</v>
      </c>
      <c r="C375" t="s">
        <v>5746</v>
      </c>
      <c r="D375" t="s">
        <v>5745</v>
      </c>
      <c r="F375" t="s">
        <v>5744</v>
      </c>
      <c r="G375" t="s">
        <v>5</v>
      </c>
      <c r="H375" t="s">
        <v>4</v>
      </c>
      <c r="I375" t="s">
        <v>5743</v>
      </c>
      <c r="J375">
        <v>60023053</v>
      </c>
      <c r="K375" t="s">
        <v>4102</v>
      </c>
      <c r="L375" t="s">
        <v>4101</v>
      </c>
      <c r="M375" t="s">
        <v>9</v>
      </c>
      <c r="N375">
        <v>2</v>
      </c>
      <c r="O375" t="s">
        <v>5742</v>
      </c>
      <c r="P375" t="s">
        <v>5741</v>
      </c>
      <c r="Q375" t="s">
        <v>4098</v>
      </c>
      <c r="R375" s="7">
        <v>36130</v>
      </c>
      <c r="S375" s="8">
        <f t="shared" si="40"/>
        <v>1998</v>
      </c>
      <c r="T375" s="8">
        <v>1998</v>
      </c>
      <c r="U375" s="8">
        <f t="shared" si="41"/>
        <v>24</v>
      </c>
      <c r="V375" s="7">
        <v>1998</v>
      </c>
      <c r="W375" t="s">
        <v>4133</v>
      </c>
      <c r="X375" s="2">
        <v>1.1819999999999999</v>
      </c>
      <c r="Y375" s="6">
        <f t="shared" si="42"/>
        <v>3.1552814927524625E-2</v>
      </c>
      <c r="AA375">
        <v>36951</v>
      </c>
      <c r="AB375">
        <v>27030</v>
      </c>
      <c r="AD375" t="s">
        <v>2</v>
      </c>
      <c r="AE375">
        <v>72</v>
      </c>
      <c r="AF375">
        <v>18</v>
      </c>
      <c r="AH375" t="s">
        <v>5740</v>
      </c>
      <c r="AI375" t="s">
        <v>5739</v>
      </c>
      <c r="AK375" t="s">
        <v>5738</v>
      </c>
      <c r="AL375">
        <v>23</v>
      </c>
      <c r="AM375" s="5">
        <f t="shared" si="43"/>
        <v>0.95833333333333337</v>
      </c>
      <c r="AN375" s="4">
        <f t="shared" si="44"/>
        <v>1.4514704026252683E-3</v>
      </c>
      <c r="AO375" s="3"/>
      <c r="AP375">
        <v>0</v>
      </c>
      <c r="AR375" t="s">
        <v>1</v>
      </c>
      <c r="AT375" s="2">
        <v>3.7909999999999999</v>
      </c>
      <c r="AU375" s="1">
        <f t="shared" si="45"/>
        <v>2.2522411570054817</v>
      </c>
      <c r="AV375" s="1">
        <f t="shared" si="46"/>
        <v>1.6502142665074948</v>
      </c>
      <c r="AW375" s="1">
        <f t="shared" si="47"/>
        <v>1.0481873760095077</v>
      </c>
    </row>
    <row r="376" spans="1:49" x14ac:dyDescent="0.2">
      <c r="A376">
        <v>374</v>
      </c>
      <c r="B376" t="s">
        <v>5737</v>
      </c>
      <c r="C376" t="s">
        <v>5736</v>
      </c>
      <c r="D376" t="s">
        <v>5735</v>
      </c>
      <c r="F376" t="s">
        <v>5734</v>
      </c>
      <c r="G376" t="s">
        <v>5</v>
      </c>
      <c r="H376" t="s">
        <v>4</v>
      </c>
      <c r="I376" t="s">
        <v>5733</v>
      </c>
      <c r="J376">
        <v>60023053</v>
      </c>
      <c r="K376" t="s">
        <v>4102</v>
      </c>
      <c r="L376" t="s">
        <v>4101</v>
      </c>
      <c r="M376" t="s">
        <v>9</v>
      </c>
      <c r="N376">
        <v>3</v>
      </c>
      <c r="O376" t="s">
        <v>5732</v>
      </c>
      <c r="P376" t="s">
        <v>5731</v>
      </c>
      <c r="Q376" t="s">
        <v>5730</v>
      </c>
      <c r="R376" s="7">
        <v>36130</v>
      </c>
      <c r="S376" s="8">
        <f t="shared" si="40"/>
        <v>1998</v>
      </c>
      <c r="T376" s="8">
        <v>1998</v>
      </c>
      <c r="U376" s="8">
        <f t="shared" si="41"/>
        <v>24</v>
      </c>
      <c r="V376" s="7">
        <v>1998</v>
      </c>
      <c r="W376" t="s">
        <v>649</v>
      </c>
      <c r="X376" s="2">
        <v>1.6519999999999999</v>
      </c>
      <c r="Y376" s="6">
        <f t="shared" si="42"/>
        <v>4.409919649769093E-2</v>
      </c>
      <c r="AA376" t="s">
        <v>648</v>
      </c>
      <c r="AB376">
        <v>17337</v>
      </c>
      <c r="AD376" t="s">
        <v>2</v>
      </c>
      <c r="AE376">
        <v>46</v>
      </c>
      <c r="AF376">
        <v>5</v>
      </c>
      <c r="AH376" t="s">
        <v>5729</v>
      </c>
      <c r="AI376" t="s">
        <v>5728</v>
      </c>
      <c r="AJ376" t="s">
        <v>5727</v>
      </c>
      <c r="AK376" t="s">
        <v>5726</v>
      </c>
      <c r="AL376">
        <v>62</v>
      </c>
      <c r="AM376" s="5">
        <f t="shared" si="43"/>
        <v>2.5833333333333335</v>
      </c>
      <c r="AN376" s="4">
        <f t="shared" si="44"/>
        <v>3.9126593462072449E-3</v>
      </c>
      <c r="AO376" s="3"/>
      <c r="AP376">
        <v>0</v>
      </c>
      <c r="AR376" t="s">
        <v>1</v>
      </c>
      <c r="AT376" s="2" t="s">
        <v>0</v>
      </c>
      <c r="AU376" s="1">
        <f t="shared" si="45"/>
        <v>3.2043235352245825</v>
      </c>
      <c r="AV376" s="1">
        <f t="shared" si="46"/>
        <v>2.4005927921949088</v>
      </c>
      <c r="AW376" s="1">
        <f t="shared" si="47"/>
        <v>1.596862049165235</v>
      </c>
    </row>
    <row r="377" spans="1:49" x14ac:dyDescent="0.2">
      <c r="A377">
        <v>375</v>
      </c>
      <c r="B377" t="s">
        <v>5725</v>
      </c>
      <c r="C377" t="s">
        <v>5724</v>
      </c>
      <c r="D377" t="s">
        <v>5723</v>
      </c>
      <c r="F377" t="s">
        <v>5722</v>
      </c>
      <c r="G377" t="s">
        <v>5</v>
      </c>
      <c r="H377" t="s">
        <v>4</v>
      </c>
      <c r="I377" t="s">
        <v>5721</v>
      </c>
      <c r="J377">
        <v>60019722</v>
      </c>
      <c r="K377" t="s">
        <v>5661</v>
      </c>
      <c r="L377" t="s">
        <v>40</v>
      </c>
      <c r="M377" t="s">
        <v>37</v>
      </c>
      <c r="N377">
        <v>2</v>
      </c>
      <c r="O377" t="s">
        <v>5720</v>
      </c>
      <c r="P377" t="s">
        <v>5719</v>
      </c>
      <c r="Q377" t="s">
        <v>5718</v>
      </c>
      <c r="R377" s="7">
        <v>36130</v>
      </c>
      <c r="S377" s="8">
        <f t="shared" si="40"/>
        <v>1998</v>
      </c>
      <c r="T377" s="8">
        <v>1998</v>
      </c>
      <c r="U377" s="8">
        <f t="shared" si="41"/>
        <v>24</v>
      </c>
      <c r="V377" s="7">
        <v>1998</v>
      </c>
      <c r="W377" t="s">
        <v>649</v>
      </c>
      <c r="X377" s="2">
        <v>1.6519999999999999</v>
      </c>
      <c r="Y377" s="6">
        <f t="shared" si="42"/>
        <v>4.409919649769093E-2</v>
      </c>
      <c r="AA377" t="s">
        <v>648</v>
      </c>
      <c r="AB377">
        <v>17337</v>
      </c>
      <c r="AD377" t="s">
        <v>2</v>
      </c>
      <c r="AE377">
        <v>46</v>
      </c>
      <c r="AF377">
        <v>5</v>
      </c>
      <c r="AH377" t="s">
        <v>5717</v>
      </c>
      <c r="AI377" t="s">
        <v>5716</v>
      </c>
      <c r="AJ377" t="s">
        <v>5715</v>
      </c>
      <c r="AK377" t="s">
        <v>5714</v>
      </c>
      <c r="AL377">
        <v>2</v>
      </c>
      <c r="AM377" s="5">
        <f t="shared" si="43"/>
        <v>8.3333333333333329E-2</v>
      </c>
      <c r="AN377" s="4">
        <f t="shared" si="44"/>
        <v>1.2621481761958852E-4</v>
      </c>
      <c r="AO377" s="3"/>
      <c r="AP377">
        <v>0</v>
      </c>
      <c r="AQ377" t="s">
        <v>180</v>
      </c>
      <c r="AR377" t="s">
        <v>1</v>
      </c>
      <c r="AS377" t="s">
        <v>179</v>
      </c>
      <c r="AT377" s="2" t="s">
        <v>0</v>
      </c>
      <c r="AU377" s="1">
        <f t="shared" si="45"/>
        <v>3.0907301993669525</v>
      </c>
      <c r="AV377" s="1">
        <f t="shared" si="46"/>
        <v>2.2112705657655258</v>
      </c>
      <c r="AW377" s="1">
        <f t="shared" si="47"/>
        <v>1.331810932164099</v>
      </c>
    </row>
    <row r="378" spans="1:49" x14ac:dyDescent="0.2">
      <c r="A378">
        <v>376</v>
      </c>
      <c r="B378" t="s">
        <v>5713</v>
      </c>
      <c r="C378" t="s">
        <v>5712</v>
      </c>
      <c r="D378" t="s">
        <v>5711</v>
      </c>
      <c r="F378" t="s">
        <v>5710</v>
      </c>
      <c r="G378" t="s">
        <v>5</v>
      </c>
      <c r="H378" t="s">
        <v>4</v>
      </c>
      <c r="I378" t="s">
        <v>512</v>
      </c>
      <c r="J378">
        <v>60009037</v>
      </c>
      <c r="K378" t="s">
        <v>396</v>
      </c>
      <c r="L378" t="s">
        <v>74</v>
      </c>
      <c r="M378" t="s">
        <v>9</v>
      </c>
      <c r="N378">
        <v>2</v>
      </c>
      <c r="O378" t="s">
        <v>5709</v>
      </c>
      <c r="P378" t="s">
        <v>5708</v>
      </c>
      <c r="Q378" t="s">
        <v>1992</v>
      </c>
      <c r="R378" s="7">
        <v>36130</v>
      </c>
      <c r="S378" s="8">
        <f t="shared" si="40"/>
        <v>1998</v>
      </c>
      <c r="T378" s="8">
        <v>1998</v>
      </c>
      <c r="U378" s="8">
        <f t="shared" si="41"/>
        <v>24</v>
      </c>
      <c r="V378" s="7">
        <v>1998</v>
      </c>
      <c r="W378" t="s">
        <v>649</v>
      </c>
      <c r="X378" s="2">
        <v>1.6519999999999999</v>
      </c>
      <c r="Y378" s="6">
        <f t="shared" si="42"/>
        <v>4.409919649769093E-2</v>
      </c>
      <c r="AA378" t="s">
        <v>648</v>
      </c>
      <c r="AB378">
        <v>17337</v>
      </c>
      <c r="AD378" t="s">
        <v>2</v>
      </c>
      <c r="AE378">
        <v>46</v>
      </c>
      <c r="AF378">
        <v>5</v>
      </c>
      <c r="AH378" t="s">
        <v>5707</v>
      </c>
      <c r="AI378" t="s">
        <v>5706</v>
      </c>
      <c r="AJ378" t="s">
        <v>5705</v>
      </c>
      <c r="AK378" t="s">
        <v>5704</v>
      </c>
      <c r="AL378">
        <v>440</v>
      </c>
      <c r="AM378" s="5">
        <f t="shared" si="43"/>
        <v>18.333333333333332</v>
      </c>
      <c r="AN378" s="4">
        <f t="shared" si="44"/>
        <v>2.7767259876309475E-2</v>
      </c>
      <c r="AO378" s="3"/>
      <c r="AP378">
        <v>0</v>
      </c>
      <c r="AQ378" t="s">
        <v>350</v>
      </c>
      <c r="AR378" t="s">
        <v>1</v>
      </c>
      <c r="AS378" t="s">
        <v>349</v>
      </c>
      <c r="AT378" s="2" t="s">
        <v>0</v>
      </c>
      <c r="AU378" s="1">
        <f t="shared" si="45"/>
        <v>3.9199615511276495</v>
      </c>
      <c r="AV378" s="1">
        <f t="shared" si="46"/>
        <v>3.5933228187000203</v>
      </c>
      <c r="AW378" s="1">
        <f t="shared" si="47"/>
        <v>3.2666840862723907</v>
      </c>
    </row>
    <row r="379" spans="1:49" x14ac:dyDescent="0.2">
      <c r="A379">
        <v>377</v>
      </c>
      <c r="B379" t="s">
        <v>5703</v>
      </c>
      <c r="C379" t="s">
        <v>5702</v>
      </c>
      <c r="D379" t="s">
        <v>5701</v>
      </c>
      <c r="F379" t="s">
        <v>5700</v>
      </c>
      <c r="G379" t="s">
        <v>5</v>
      </c>
      <c r="H379" t="s">
        <v>4</v>
      </c>
      <c r="I379" t="s">
        <v>5699</v>
      </c>
      <c r="J379">
        <v>60031126</v>
      </c>
      <c r="K379" t="s">
        <v>329</v>
      </c>
      <c r="L379" t="s">
        <v>104</v>
      </c>
      <c r="M379" t="s">
        <v>12</v>
      </c>
      <c r="N379">
        <v>2</v>
      </c>
      <c r="O379" t="s">
        <v>5698</v>
      </c>
      <c r="P379" t="s">
        <v>5697</v>
      </c>
      <c r="Q379" t="s">
        <v>5696</v>
      </c>
      <c r="R379" s="7">
        <v>36130</v>
      </c>
      <c r="S379" s="8">
        <f t="shared" si="40"/>
        <v>1998</v>
      </c>
      <c r="T379" s="8">
        <v>1998</v>
      </c>
      <c r="U379" s="8">
        <f t="shared" si="41"/>
        <v>24</v>
      </c>
      <c r="V379" s="7">
        <v>1998</v>
      </c>
      <c r="W379" t="s">
        <v>649</v>
      </c>
      <c r="X379" s="2">
        <v>1.6519999999999999</v>
      </c>
      <c r="Y379" s="6">
        <f t="shared" si="42"/>
        <v>4.409919649769093E-2</v>
      </c>
      <c r="AA379" t="s">
        <v>648</v>
      </c>
      <c r="AB379">
        <v>17337</v>
      </c>
      <c r="AD379" t="s">
        <v>2</v>
      </c>
      <c r="AE379">
        <v>46</v>
      </c>
      <c r="AF379">
        <v>5</v>
      </c>
      <c r="AH379" t="s">
        <v>5695</v>
      </c>
      <c r="AI379" t="s">
        <v>5694</v>
      </c>
      <c r="AJ379" t="s">
        <v>5693</v>
      </c>
      <c r="AK379" t="s">
        <v>5692</v>
      </c>
      <c r="AL379">
        <v>478</v>
      </c>
      <c r="AM379" s="5">
        <f t="shared" si="43"/>
        <v>19.916666666666668</v>
      </c>
      <c r="AN379" s="4">
        <f t="shared" si="44"/>
        <v>3.0165341411081664E-2</v>
      </c>
      <c r="AO379" s="3"/>
      <c r="AP379">
        <v>0</v>
      </c>
      <c r="AR379" t="s">
        <v>1</v>
      </c>
      <c r="AT379" s="2" t="s">
        <v>0</v>
      </c>
      <c r="AU379" s="1">
        <f t="shared" si="45"/>
        <v>3.991903997170815</v>
      </c>
      <c r="AV379" s="1">
        <f t="shared" si="46"/>
        <v>3.7132268954386296</v>
      </c>
      <c r="AW379" s="1">
        <f t="shared" si="47"/>
        <v>3.4345497937064442</v>
      </c>
    </row>
    <row r="380" spans="1:49" x14ac:dyDescent="0.2">
      <c r="A380">
        <v>378</v>
      </c>
      <c r="B380" t="s">
        <v>5691</v>
      </c>
      <c r="C380" t="s">
        <v>5690</v>
      </c>
      <c r="D380" t="s">
        <v>5689</v>
      </c>
      <c r="F380" t="s">
        <v>5688</v>
      </c>
      <c r="G380" t="s">
        <v>5</v>
      </c>
      <c r="H380" t="s">
        <v>4</v>
      </c>
      <c r="I380" t="s">
        <v>5687</v>
      </c>
      <c r="J380" t="s">
        <v>5686</v>
      </c>
      <c r="K380" t="s">
        <v>5685</v>
      </c>
      <c r="L380" t="s">
        <v>5684</v>
      </c>
      <c r="M380" t="s">
        <v>181</v>
      </c>
      <c r="N380">
        <v>7</v>
      </c>
      <c r="O380" t="s">
        <v>5683</v>
      </c>
      <c r="P380" t="s">
        <v>5682</v>
      </c>
      <c r="Q380" t="s">
        <v>5681</v>
      </c>
      <c r="R380" s="7">
        <v>36130</v>
      </c>
      <c r="S380" s="8">
        <f t="shared" si="40"/>
        <v>1998</v>
      </c>
      <c r="T380" s="8">
        <v>1998</v>
      </c>
      <c r="U380" s="8">
        <f t="shared" si="41"/>
        <v>24</v>
      </c>
      <c r="V380" s="7">
        <v>1998</v>
      </c>
      <c r="W380" t="s">
        <v>303</v>
      </c>
      <c r="X380" s="2">
        <v>1.3720000000000001</v>
      </c>
      <c r="Y380" s="6">
        <f t="shared" si="42"/>
        <v>3.662475641333654E-2</v>
      </c>
      <c r="AA380">
        <v>189480</v>
      </c>
      <c r="AB380">
        <v>17366</v>
      </c>
      <c r="AD380" t="s">
        <v>2</v>
      </c>
      <c r="AE380">
        <v>46</v>
      </c>
      <c r="AF380" t="s">
        <v>5659</v>
      </c>
      <c r="AH380" t="s">
        <v>5680</v>
      </c>
      <c r="AI380" t="s">
        <v>5679</v>
      </c>
      <c r="AJ380" t="s">
        <v>5678</v>
      </c>
      <c r="AK380" t="s">
        <v>5677</v>
      </c>
      <c r="AL380">
        <v>9</v>
      </c>
      <c r="AM380" s="5">
        <f t="shared" si="43"/>
        <v>0.375</v>
      </c>
      <c r="AN380" s="4">
        <f t="shared" si="44"/>
        <v>5.6796667928814845E-4</v>
      </c>
      <c r="AO380" s="3"/>
      <c r="AP380">
        <v>0</v>
      </c>
      <c r="AQ380" t="s">
        <v>49</v>
      </c>
      <c r="AR380" t="s">
        <v>5676</v>
      </c>
      <c r="AS380" t="s">
        <v>48</v>
      </c>
      <c r="AT380" s="2" t="s">
        <v>0</v>
      </c>
      <c r="AU380" s="1">
        <f t="shared" si="45"/>
        <v>2.5807719493122017</v>
      </c>
      <c r="AV380" s="1">
        <f t="shared" si="46"/>
        <v>1.8596361546312346</v>
      </c>
      <c r="AW380" s="1">
        <f t="shared" si="47"/>
        <v>1.1385003599502665</v>
      </c>
    </row>
    <row r="381" spans="1:49" x14ac:dyDescent="0.2">
      <c r="A381">
        <v>379</v>
      </c>
      <c r="B381" t="s">
        <v>5675</v>
      </c>
      <c r="C381" t="s">
        <v>5674</v>
      </c>
      <c r="D381" t="s">
        <v>5673</v>
      </c>
      <c r="F381" t="s">
        <v>5672</v>
      </c>
      <c r="G381" t="s">
        <v>5</v>
      </c>
      <c r="H381" t="s">
        <v>4</v>
      </c>
      <c r="I381" t="s">
        <v>715</v>
      </c>
      <c r="J381">
        <v>60012370</v>
      </c>
      <c r="K381" t="s">
        <v>172</v>
      </c>
      <c r="L381" t="s">
        <v>171</v>
      </c>
      <c r="M381" t="s">
        <v>128</v>
      </c>
      <c r="N381">
        <v>2</v>
      </c>
      <c r="O381" t="s">
        <v>714</v>
      </c>
      <c r="P381" t="s">
        <v>713</v>
      </c>
      <c r="Q381" t="s">
        <v>372</v>
      </c>
      <c r="R381" s="7">
        <v>36130</v>
      </c>
      <c r="S381" s="8">
        <f t="shared" si="40"/>
        <v>1998</v>
      </c>
      <c r="T381" s="8">
        <v>1998</v>
      </c>
      <c r="U381" s="8">
        <f t="shared" si="41"/>
        <v>24</v>
      </c>
      <c r="V381" s="7">
        <v>1998</v>
      </c>
      <c r="W381" t="s">
        <v>303</v>
      </c>
      <c r="X381" s="2">
        <v>1.3720000000000001</v>
      </c>
      <c r="Y381" s="6">
        <f t="shared" si="42"/>
        <v>3.662475641333654E-2</v>
      </c>
      <c r="AA381">
        <v>189480</v>
      </c>
      <c r="AB381">
        <v>17366</v>
      </c>
      <c r="AD381" t="s">
        <v>2</v>
      </c>
      <c r="AE381">
        <v>46</v>
      </c>
      <c r="AF381" t="s">
        <v>7</v>
      </c>
      <c r="AH381" t="s">
        <v>5671</v>
      </c>
      <c r="AI381" t="s">
        <v>5670</v>
      </c>
      <c r="AJ381" t="s">
        <v>5669</v>
      </c>
      <c r="AK381" t="s">
        <v>5668</v>
      </c>
      <c r="AL381">
        <v>31</v>
      </c>
      <c r="AM381" s="5">
        <f t="shared" si="43"/>
        <v>1.2916666666666667</v>
      </c>
      <c r="AN381" s="4">
        <f t="shared" si="44"/>
        <v>1.9563296731036225E-3</v>
      </c>
      <c r="AO381" s="3"/>
      <c r="AP381">
        <v>0</v>
      </c>
      <c r="AQ381" t="s">
        <v>114</v>
      </c>
      <c r="AR381" t="s">
        <v>5667</v>
      </c>
      <c r="AS381" t="s">
        <v>113</v>
      </c>
      <c r="AT381" s="2" t="s">
        <v>0</v>
      </c>
      <c r="AU381" s="1">
        <f t="shared" si="45"/>
        <v>2.6224228391266662</v>
      </c>
      <c r="AV381" s="1">
        <f t="shared" si="46"/>
        <v>1.9290543043220081</v>
      </c>
      <c r="AW381" s="1">
        <f t="shared" si="47"/>
        <v>1.2356857695173498</v>
      </c>
    </row>
    <row r="382" spans="1:49" x14ac:dyDescent="0.2">
      <c r="A382">
        <v>380</v>
      </c>
      <c r="B382" t="s">
        <v>5666</v>
      </c>
      <c r="C382" t="s">
        <v>5665</v>
      </c>
      <c r="D382" t="s">
        <v>5664</v>
      </c>
      <c r="F382" t="s">
        <v>5663</v>
      </c>
      <c r="G382" t="s">
        <v>5</v>
      </c>
      <c r="H382" t="s">
        <v>4</v>
      </c>
      <c r="I382" t="s">
        <v>5662</v>
      </c>
      <c r="J382">
        <v>60019722</v>
      </c>
      <c r="K382" t="s">
        <v>5661</v>
      </c>
      <c r="L382" t="s">
        <v>40</v>
      </c>
      <c r="M382" t="s">
        <v>37</v>
      </c>
      <c r="N382">
        <v>1</v>
      </c>
      <c r="O382" t="s">
        <v>5660</v>
      </c>
      <c r="P382">
        <v>7103208487</v>
      </c>
      <c r="Q382">
        <v>60019722</v>
      </c>
      <c r="R382" s="7">
        <v>36130</v>
      </c>
      <c r="S382" s="8">
        <f t="shared" si="40"/>
        <v>1998</v>
      </c>
      <c r="T382" s="8">
        <v>1998</v>
      </c>
      <c r="U382" s="8">
        <f t="shared" si="41"/>
        <v>24</v>
      </c>
      <c r="V382" s="7">
        <v>1998</v>
      </c>
      <c r="W382" t="s">
        <v>303</v>
      </c>
      <c r="X382" s="2">
        <v>1.3720000000000001</v>
      </c>
      <c r="Y382" s="6">
        <f t="shared" si="42"/>
        <v>3.662475641333654E-2</v>
      </c>
      <c r="AA382">
        <v>189480</v>
      </c>
      <c r="AB382">
        <v>17366</v>
      </c>
      <c r="AD382" t="s">
        <v>2</v>
      </c>
      <c r="AE382">
        <v>46</v>
      </c>
      <c r="AF382" t="s">
        <v>5659</v>
      </c>
      <c r="AH382" t="s">
        <v>5658</v>
      </c>
      <c r="AI382" t="s">
        <v>5657</v>
      </c>
      <c r="AJ382" t="s">
        <v>5656</v>
      </c>
      <c r="AK382" t="s">
        <v>5655</v>
      </c>
      <c r="AL382">
        <v>107</v>
      </c>
      <c r="AM382" s="5">
        <f t="shared" si="43"/>
        <v>4.458333333333333</v>
      </c>
      <c r="AN382" s="4">
        <f t="shared" si="44"/>
        <v>6.7524927426479862E-3</v>
      </c>
      <c r="AO382" s="3"/>
      <c r="AP382">
        <v>0</v>
      </c>
      <c r="AR382" t="s">
        <v>1</v>
      </c>
      <c r="AT382" s="2" t="s">
        <v>0</v>
      </c>
      <c r="AU382" s="1">
        <f t="shared" si="45"/>
        <v>2.7663077312129971</v>
      </c>
      <c r="AV382" s="1">
        <f t="shared" si="46"/>
        <v>2.1688624577992264</v>
      </c>
      <c r="AW382" s="1">
        <f t="shared" si="47"/>
        <v>1.5714171843854552</v>
      </c>
    </row>
    <row r="383" spans="1:49" x14ac:dyDescent="0.2">
      <c r="A383">
        <v>381</v>
      </c>
      <c r="B383" t="s">
        <v>5654</v>
      </c>
      <c r="E383">
        <v>9632890</v>
      </c>
      <c r="F383" t="s">
        <v>5653</v>
      </c>
      <c r="G383" t="s">
        <v>5</v>
      </c>
      <c r="H383" t="s">
        <v>4</v>
      </c>
      <c r="I383" t="s">
        <v>5652</v>
      </c>
      <c r="J383" t="s">
        <v>5651</v>
      </c>
      <c r="K383" t="s">
        <v>5650</v>
      </c>
      <c r="L383" t="s">
        <v>5649</v>
      </c>
      <c r="M383" t="s">
        <v>5648</v>
      </c>
      <c r="N383">
        <v>6</v>
      </c>
      <c r="O383" t="s">
        <v>5647</v>
      </c>
      <c r="P383" t="s">
        <v>5646</v>
      </c>
      <c r="Q383" t="s">
        <v>5645</v>
      </c>
      <c r="R383" s="7">
        <v>36130</v>
      </c>
      <c r="S383" s="8">
        <f t="shared" si="40"/>
        <v>1998</v>
      </c>
      <c r="T383" s="8">
        <v>1998</v>
      </c>
      <c r="U383" s="8">
        <f t="shared" si="41"/>
        <v>24</v>
      </c>
      <c r="V383" s="7">
        <v>1998</v>
      </c>
      <c r="W383" t="s">
        <v>5644</v>
      </c>
      <c r="X383" s="2">
        <v>0.747</v>
      </c>
      <c r="Y383" s="6">
        <f t="shared" si="42"/>
        <v>1.9940738367902621E-2</v>
      </c>
      <c r="AA383">
        <v>62979</v>
      </c>
      <c r="AB383">
        <v>16869</v>
      </c>
      <c r="AD383" t="s">
        <v>2</v>
      </c>
      <c r="AE383">
        <v>63</v>
      </c>
      <c r="AF383">
        <v>5</v>
      </c>
      <c r="AH383" t="s">
        <v>5446</v>
      </c>
      <c r="AI383" t="s">
        <v>5643</v>
      </c>
      <c r="AJ383" t="s">
        <v>5642</v>
      </c>
      <c r="AK383" t="s">
        <v>5641</v>
      </c>
      <c r="AL383">
        <v>9</v>
      </c>
      <c r="AM383" s="5">
        <f t="shared" si="43"/>
        <v>0.375</v>
      </c>
      <c r="AN383" s="4">
        <f t="shared" si="44"/>
        <v>5.6796667928814845E-4</v>
      </c>
      <c r="AO383" s="3"/>
      <c r="AP383">
        <v>0</v>
      </c>
      <c r="AR383" t="s">
        <v>1</v>
      </c>
      <c r="AT383" s="2" t="s">
        <v>0</v>
      </c>
      <c r="AU383" s="1">
        <f t="shared" si="45"/>
        <v>1.412890686131828</v>
      </c>
      <c r="AV383" s="1">
        <f t="shared" si="46"/>
        <v>1.0254352523595385</v>
      </c>
      <c r="AW383" s="1">
        <f t="shared" si="47"/>
        <v>0.63797981858724895</v>
      </c>
    </row>
    <row r="384" spans="1:49" x14ac:dyDescent="0.2">
      <c r="A384">
        <v>382</v>
      </c>
      <c r="B384" t="s">
        <v>5640</v>
      </c>
      <c r="C384" t="s">
        <v>5639</v>
      </c>
      <c r="D384">
        <v>90677898031250</v>
      </c>
      <c r="F384" t="s">
        <v>5638</v>
      </c>
      <c r="G384" t="s">
        <v>5</v>
      </c>
      <c r="H384" t="s">
        <v>4</v>
      </c>
      <c r="I384" t="s">
        <v>5637</v>
      </c>
      <c r="J384">
        <v>60020585</v>
      </c>
      <c r="K384" t="s">
        <v>5636</v>
      </c>
      <c r="L384" t="s">
        <v>5635</v>
      </c>
      <c r="M384" t="s">
        <v>541</v>
      </c>
      <c r="N384">
        <v>2</v>
      </c>
      <c r="O384" t="s">
        <v>5634</v>
      </c>
      <c r="P384" t="s">
        <v>5633</v>
      </c>
      <c r="Q384" t="s">
        <v>5632</v>
      </c>
      <c r="R384" s="7">
        <v>36130</v>
      </c>
      <c r="S384" s="8">
        <f t="shared" si="40"/>
        <v>1998</v>
      </c>
      <c r="T384" s="8">
        <v>1998</v>
      </c>
      <c r="U384" s="8">
        <f t="shared" si="41"/>
        <v>24</v>
      </c>
      <c r="V384" s="7">
        <v>1998</v>
      </c>
      <c r="W384" t="s">
        <v>256</v>
      </c>
      <c r="X384" s="2">
        <v>1.468</v>
      </c>
      <c r="Y384" s="6">
        <f t="shared" si="42"/>
        <v>3.9187421585115186E-2</v>
      </c>
      <c r="AA384">
        <v>906778</v>
      </c>
      <c r="AB384">
        <v>18931</v>
      </c>
      <c r="AD384" t="s">
        <v>2</v>
      </c>
      <c r="AE384">
        <v>46</v>
      </c>
      <c r="AF384">
        <v>4</v>
      </c>
      <c r="AH384" t="s">
        <v>5631</v>
      </c>
      <c r="AI384" t="s">
        <v>5630</v>
      </c>
      <c r="AK384" t="s">
        <v>5629</v>
      </c>
      <c r="AL384">
        <v>49</v>
      </c>
      <c r="AM384" s="5">
        <f t="shared" si="43"/>
        <v>2.0416666666666665</v>
      </c>
      <c r="AN384" s="4">
        <f t="shared" si="44"/>
        <v>3.0922630316799191E-3</v>
      </c>
      <c r="AO384" s="3"/>
      <c r="AP384">
        <v>0</v>
      </c>
      <c r="AR384" t="s">
        <v>1</v>
      </c>
      <c r="AT384" s="2">
        <v>5.0830000000000002</v>
      </c>
      <c r="AU384" s="1">
        <f t="shared" si="45"/>
        <v>2.8358874019084603</v>
      </c>
      <c r="AV384" s="1">
        <f t="shared" si="46"/>
        <v>2.1139842308397552</v>
      </c>
      <c r="AW384" s="1">
        <f t="shared" si="47"/>
        <v>1.39208105977105</v>
      </c>
    </row>
    <row r="385" spans="1:49" x14ac:dyDescent="0.2">
      <c r="A385">
        <v>383</v>
      </c>
      <c r="B385" t="s">
        <v>5628</v>
      </c>
      <c r="C385" t="s">
        <v>5627</v>
      </c>
      <c r="D385" t="s">
        <v>5626</v>
      </c>
      <c r="F385" t="s">
        <v>5625</v>
      </c>
      <c r="G385" t="s">
        <v>5</v>
      </c>
      <c r="H385" t="s">
        <v>4</v>
      </c>
      <c r="I385" t="s">
        <v>5624</v>
      </c>
      <c r="J385">
        <v>60025488</v>
      </c>
      <c r="K385" t="s">
        <v>57</v>
      </c>
      <c r="L385" t="s">
        <v>56</v>
      </c>
      <c r="M385" t="s">
        <v>9</v>
      </c>
      <c r="N385">
        <v>2</v>
      </c>
      <c r="O385" t="s">
        <v>5623</v>
      </c>
      <c r="P385" t="s">
        <v>5622</v>
      </c>
      <c r="Q385" t="s">
        <v>5621</v>
      </c>
      <c r="R385" s="7">
        <v>36130</v>
      </c>
      <c r="S385" s="8">
        <f t="shared" si="40"/>
        <v>1998</v>
      </c>
      <c r="T385" s="8">
        <v>1998</v>
      </c>
      <c r="U385" s="8">
        <f t="shared" si="41"/>
        <v>24</v>
      </c>
      <c r="V385" s="7">
        <v>1998</v>
      </c>
      <c r="W385" t="s">
        <v>649</v>
      </c>
      <c r="X385" s="2">
        <v>1.6519999999999999</v>
      </c>
      <c r="Y385" s="6">
        <f t="shared" si="42"/>
        <v>4.409919649769093E-2</v>
      </c>
      <c r="AA385" t="s">
        <v>648</v>
      </c>
      <c r="AB385">
        <v>17337</v>
      </c>
      <c r="AD385" t="s">
        <v>2</v>
      </c>
      <c r="AE385">
        <v>46</v>
      </c>
      <c r="AF385">
        <v>4</v>
      </c>
      <c r="AH385" t="s">
        <v>5620</v>
      </c>
      <c r="AI385" t="s">
        <v>5619</v>
      </c>
      <c r="AJ385" t="s">
        <v>5618</v>
      </c>
      <c r="AK385" t="s">
        <v>5617</v>
      </c>
      <c r="AL385">
        <v>69</v>
      </c>
      <c r="AM385" s="5">
        <f t="shared" si="43"/>
        <v>2.875</v>
      </c>
      <c r="AN385" s="4">
        <f t="shared" si="44"/>
        <v>4.354411207875805E-3</v>
      </c>
      <c r="AO385" s="3"/>
      <c r="AP385">
        <v>0</v>
      </c>
      <c r="AR385" t="s">
        <v>1</v>
      </c>
      <c r="AT385" s="2" t="s">
        <v>0</v>
      </c>
      <c r="AU385" s="1">
        <f t="shared" si="45"/>
        <v>3.2175760910746392</v>
      </c>
      <c r="AV385" s="1">
        <f t="shared" si="46"/>
        <v>2.4226803852783365</v>
      </c>
      <c r="AW385" s="1">
        <f t="shared" si="47"/>
        <v>1.6277846794820341</v>
      </c>
    </row>
    <row r="386" spans="1:49" x14ac:dyDescent="0.2">
      <c r="A386">
        <v>384</v>
      </c>
      <c r="B386" t="s">
        <v>5616</v>
      </c>
      <c r="C386" t="s">
        <v>5615</v>
      </c>
      <c r="D386" t="s">
        <v>5614</v>
      </c>
      <c r="F386" t="s">
        <v>5613</v>
      </c>
      <c r="G386" t="s">
        <v>5</v>
      </c>
      <c r="H386" t="s">
        <v>4</v>
      </c>
      <c r="I386" t="s">
        <v>5612</v>
      </c>
      <c r="J386" t="s">
        <v>5606</v>
      </c>
      <c r="K386" t="s">
        <v>5611</v>
      </c>
      <c r="L386" t="s">
        <v>5610</v>
      </c>
      <c r="M386" t="s">
        <v>5609</v>
      </c>
      <c r="N386">
        <v>2</v>
      </c>
      <c r="O386" t="s">
        <v>5608</v>
      </c>
      <c r="P386" t="s">
        <v>5607</v>
      </c>
      <c r="Q386" t="s">
        <v>5606</v>
      </c>
      <c r="R386" s="7">
        <v>36130</v>
      </c>
      <c r="S386" s="8">
        <f t="shared" ref="S386:S449" si="48">YEAR(R386)</f>
        <v>1998</v>
      </c>
      <c r="T386" s="8">
        <v>1998</v>
      </c>
      <c r="U386" s="8">
        <f t="shared" ref="U386:U449" si="49">2022-T386</f>
        <v>24</v>
      </c>
      <c r="V386" s="7">
        <v>1998</v>
      </c>
      <c r="W386" t="s">
        <v>649</v>
      </c>
      <c r="X386" s="2">
        <v>1.6519999999999999</v>
      </c>
      <c r="Y386" s="6">
        <f t="shared" ref="Y386:Y449" si="50">(X386-$Z$3)/($Z$2-$Z$3)</f>
        <v>4.409919649769093E-2</v>
      </c>
      <c r="AA386" t="s">
        <v>648</v>
      </c>
      <c r="AB386">
        <v>17337</v>
      </c>
      <c r="AD386" t="s">
        <v>2</v>
      </c>
      <c r="AE386">
        <v>46</v>
      </c>
      <c r="AF386">
        <v>4</v>
      </c>
      <c r="AH386" t="s">
        <v>5605</v>
      </c>
      <c r="AI386" t="s">
        <v>5604</v>
      </c>
      <c r="AJ386" t="s">
        <v>5603</v>
      </c>
      <c r="AK386" t="s">
        <v>5602</v>
      </c>
      <c r="AL386">
        <v>5</v>
      </c>
      <c r="AM386" s="5">
        <f t="shared" ref="AM386:AM449" si="51">AL386/U386</f>
        <v>0.20833333333333334</v>
      </c>
      <c r="AN386" s="4">
        <f t="shared" ref="AN386:AN449" si="52">(AM386-$AO$3)/($AO$2-$AO$3)</f>
        <v>3.1553704404897135E-4</v>
      </c>
      <c r="AO386" s="3"/>
      <c r="AP386">
        <v>0</v>
      </c>
      <c r="AR386" t="s">
        <v>1</v>
      </c>
      <c r="AT386" s="2" t="s">
        <v>0</v>
      </c>
      <c r="AU386" s="1">
        <f t="shared" ref="AU386:AU449" si="53">(Y386*0.7+AN386*0.3)*100</f>
        <v>3.096409866159834</v>
      </c>
      <c r="AV386" s="1">
        <f t="shared" ref="AV386:AV449" si="54">(Y386*0.5+AN386*0.5)*100</f>
        <v>2.220736677086995</v>
      </c>
      <c r="AW386" s="1">
        <f t="shared" ref="AW386:AW449" si="55">(Y386*0.3+AN386*0.7)*100</f>
        <v>1.3450634880141559</v>
      </c>
    </row>
    <row r="387" spans="1:49" x14ac:dyDescent="0.2">
      <c r="A387">
        <v>385</v>
      </c>
      <c r="B387" t="s">
        <v>5601</v>
      </c>
      <c r="C387" t="s">
        <v>5600</v>
      </c>
      <c r="D387" t="s">
        <v>5599</v>
      </c>
      <c r="F387" t="s">
        <v>5598</v>
      </c>
      <c r="G387" t="s">
        <v>5</v>
      </c>
      <c r="H387" t="s">
        <v>4</v>
      </c>
      <c r="I387" t="s">
        <v>5597</v>
      </c>
      <c r="J387" t="s">
        <v>5591</v>
      </c>
      <c r="K387" t="s">
        <v>5596</v>
      </c>
      <c r="L387" t="s">
        <v>5595</v>
      </c>
      <c r="M387" t="s">
        <v>5594</v>
      </c>
      <c r="N387">
        <v>2</v>
      </c>
      <c r="O387" t="s">
        <v>5593</v>
      </c>
      <c r="P387" t="s">
        <v>5592</v>
      </c>
      <c r="Q387" t="s">
        <v>5591</v>
      </c>
      <c r="R387" s="7">
        <v>36130</v>
      </c>
      <c r="S387" s="8">
        <f t="shared" si="48"/>
        <v>1998</v>
      </c>
      <c r="T387" s="8">
        <v>1998</v>
      </c>
      <c r="U387" s="8">
        <f t="shared" si="49"/>
        <v>24</v>
      </c>
      <c r="V387" s="7">
        <v>1998</v>
      </c>
      <c r="W387" t="s">
        <v>649</v>
      </c>
      <c r="X387" s="2">
        <v>1.6519999999999999</v>
      </c>
      <c r="Y387" s="6">
        <f t="shared" si="50"/>
        <v>4.409919649769093E-2</v>
      </c>
      <c r="AA387" t="s">
        <v>648</v>
      </c>
      <c r="AB387">
        <v>17337</v>
      </c>
      <c r="AD387" t="s">
        <v>2</v>
      </c>
      <c r="AE387">
        <v>46</v>
      </c>
      <c r="AF387">
        <v>4</v>
      </c>
      <c r="AH387" t="s">
        <v>5590</v>
      </c>
      <c r="AI387" t="s">
        <v>5589</v>
      </c>
      <c r="AJ387" t="s">
        <v>5588</v>
      </c>
      <c r="AK387" t="s">
        <v>5587</v>
      </c>
      <c r="AL387">
        <v>214</v>
      </c>
      <c r="AM387" s="5">
        <f t="shared" si="51"/>
        <v>8.9166666666666661</v>
      </c>
      <c r="AN387" s="4">
        <f t="shared" si="52"/>
        <v>1.3504985485295972E-2</v>
      </c>
      <c r="AO387" s="3"/>
      <c r="AP387">
        <v>0</v>
      </c>
      <c r="AR387" t="s">
        <v>1</v>
      </c>
      <c r="AT387" s="2" t="s">
        <v>0</v>
      </c>
      <c r="AU387" s="1">
        <f t="shared" si="53"/>
        <v>3.4920933193972443</v>
      </c>
      <c r="AV387" s="1">
        <f t="shared" si="54"/>
        <v>2.8802090991493454</v>
      </c>
      <c r="AW387" s="1">
        <f t="shared" si="55"/>
        <v>2.2683248789014456</v>
      </c>
    </row>
    <row r="388" spans="1:49" x14ac:dyDescent="0.2">
      <c r="A388">
        <v>386</v>
      </c>
      <c r="B388" t="s">
        <v>5586</v>
      </c>
      <c r="C388" t="s">
        <v>5585</v>
      </c>
      <c r="F388" t="s">
        <v>5584</v>
      </c>
      <c r="G388" t="s">
        <v>5</v>
      </c>
      <c r="H388" t="s">
        <v>4</v>
      </c>
      <c r="I388" t="s">
        <v>253</v>
      </c>
      <c r="J388" t="s">
        <v>5579</v>
      </c>
      <c r="K388" t="s">
        <v>5583</v>
      </c>
      <c r="L388" t="s">
        <v>5582</v>
      </c>
      <c r="M388" t="s">
        <v>235</v>
      </c>
      <c r="N388">
        <v>2</v>
      </c>
      <c r="O388" t="s">
        <v>5581</v>
      </c>
      <c r="P388" t="s">
        <v>5580</v>
      </c>
      <c r="Q388" t="s">
        <v>5579</v>
      </c>
      <c r="R388" s="7">
        <v>36130</v>
      </c>
      <c r="S388" s="8">
        <f t="shared" si="48"/>
        <v>1998</v>
      </c>
      <c r="T388" s="8">
        <v>1998</v>
      </c>
      <c r="U388" s="8">
        <f t="shared" si="49"/>
        <v>24</v>
      </c>
      <c r="V388" s="7">
        <v>1998</v>
      </c>
      <c r="W388" t="s">
        <v>5578</v>
      </c>
      <c r="X388" s="2">
        <v>0.81499999999999995</v>
      </c>
      <c r="Y388" s="6">
        <f t="shared" si="50"/>
        <v>2.1755959531245827E-2</v>
      </c>
      <c r="AA388">
        <v>10709908</v>
      </c>
      <c r="AB388">
        <v>17316</v>
      </c>
      <c r="AD388" t="s">
        <v>2</v>
      </c>
      <c r="AE388">
        <v>5</v>
      </c>
      <c r="AF388">
        <v>4</v>
      </c>
      <c r="AH388" t="s">
        <v>5577</v>
      </c>
      <c r="AI388" t="s">
        <v>5576</v>
      </c>
      <c r="AJ388" t="s">
        <v>5575</v>
      </c>
      <c r="AK388" t="s">
        <v>5574</v>
      </c>
      <c r="AL388">
        <v>31</v>
      </c>
      <c r="AM388" s="5">
        <f t="shared" si="51"/>
        <v>1.2916666666666667</v>
      </c>
      <c r="AN388" s="4">
        <f t="shared" si="52"/>
        <v>1.9563296731036225E-3</v>
      </c>
      <c r="AO388" s="3"/>
      <c r="AP388">
        <v>0</v>
      </c>
      <c r="AR388" t="s">
        <v>1</v>
      </c>
      <c r="AT388" s="2">
        <v>3.109</v>
      </c>
      <c r="AU388" s="1">
        <f t="shared" si="53"/>
        <v>1.5816070573803167</v>
      </c>
      <c r="AV388" s="1">
        <f t="shared" si="54"/>
        <v>1.1856144602174723</v>
      </c>
      <c r="AW388" s="1">
        <f t="shared" si="55"/>
        <v>0.78962186305462834</v>
      </c>
    </row>
    <row r="389" spans="1:49" x14ac:dyDescent="0.2">
      <c r="A389">
        <v>387</v>
      </c>
      <c r="B389" t="s">
        <v>5573</v>
      </c>
      <c r="C389" t="s">
        <v>5572</v>
      </c>
      <c r="D389">
        <v>90677898031353</v>
      </c>
      <c r="F389" t="s">
        <v>5571</v>
      </c>
      <c r="G389" t="s">
        <v>5</v>
      </c>
      <c r="H389" t="s">
        <v>4</v>
      </c>
      <c r="I389" t="s">
        <v>5570</v>
      </c>
      <c r="J389">
        <v>60033316</v>
      </c>
      <c r="K389" t="s">
        <v>53</v>
      </c>
      <c r="L389" t="s">
        <v>52</v>
      </c>
      <c r="M389" t="s">
        <v>51</v>
      </c>
      <c r="N389">
        <v>3</v>
      </c>
      <c r="O389" t="s">
        <v>5569</v>
      </c>
      <c r="P389" t="s">
        <v>5568</v>
      </c>
      <c r="Q389" t="s">
        <v>5567</v>
      </c>
      <c r="R389" s="7">
        <v>36130</v>
      </c>
      <c r="S389" s="8">
        <f t="shared" si="48"/>
        <v>1998</v>
      </c>
      <c r="T389" s="8">
        <v>1998</v>
      </c>
      <c r="U389" s="8">
        <f t="shared" si="49"/>
        <v>24</v>
      </c>
      <c r="V389" s="7">
        <v>1998</v>
      </c>
      <c r="W389" t="s">
        <v>256</v>
      </c>
      <c r="X389" s="2">
        <v>1.468</v>
      </c>
      <c r="Y389" s="6">
        <f t="shared" si="50"/>
        <v>3.9187421585115186E-2</v>
      </c>
      <c r="AA389">
        <v>906778</v>
      </c>
      <c r="AB389">
        <v>18931</v>
      </c>
      <c r="AD389" t="s">
        <v>2</v>
      </c>
      <c r="AE389">
        <v>46</v>
      </c>
      <c r="AF389">
        <v>4</v>
      </c>
      <c r="AH389" t="s">
        <v>5566</v>
      </c>
      <c r="AI389" t="s">
        <v>5565</v>
      </c>
      <c r="AJ389" t="s">
        <v>5564</v>
      </c>
      <c r="AK389" t="s">
        <v>5563</v>
      </c>
      <c r="AL389">
        <v>30</v>
      </c>
      <c r="AM389" s="5">
        <f t="shared" si="51"/>
        <v>1.25</v>
      </c>
      <c r="AN389" s="4">
        <f t="shared" si="52"/>
        <v>1.8932222642938281E-3</v>
      </c>
      <c r="AO389" s="3"/>
      <c r="AP389">
        <v>0</v>
      </c>
      <c r="AR389" t="s">
        <v>1</v>
      </c>
      <c r="AT389" s="2">
        <v>5.0830000000000002</v>
      </c>
      <c r="AU389" s="1">
        <f t="shared" si="53"/>
        <v>2.7999161788868778</v>
      </c>
      <c r="AV389" s="1">
        <f t="shared" si="54"/>
        <v>2.0540321924704505</v>
      </c>
      <c r="AW389" s="1">
        <f t="shared" si="55"/>
        <v>1.3081482060540237</v>
      </c>
    </row>
    <row r="390" spans="1:49" x14ac:dyDescent="0.2">
      <c r="A390">
        <v>388</v>
      </c>
      <c r="B390" t="s">
        <v>5562</v>
      </c>
      <c r="C390" t="s">
        <v>5561</v>
      </c>
      <c r="D390" t="s">
        <v>5560</v>
      </c>
      <c r="F390" t="s">
        <v>5559</v>
      </c>
      <c r="G390" t="s">
        <v>5</v>
      </c>
      <c r="H390" t="s">
        <v>4</v>
      </c>
      <c r="I390" t="s">
        <v>5558</v>
      </c>
      <c r="J390">
        <v>60007592</v>
      </c>
      <c r="K390" t="s">
        <v>149</v>
      </c>
      <c r="L390" t="s">
        <v>148</v>
      </c>
      <c r="M390" t="s">
        <v>147</v>
      </c>
      <c r="N390">
        <v>4</v>
      </c>
      <c r="O390" t="s">
        <v>5557</v>
      </c>
      <c r="P390" t="s">
        <v>5556</v>
      </c>
      <c r="Q390" t="s">
        <v>447</v>
      </c>
      <c r="R390" s="7">
        <v>36130</v>
      </c>
      <c r="S390" s="8">
        <f t="shared" si="48"/>
        <v>1998</v>
      </c>
      <c r="T390" s="8">
        <v>1998</v>
      </c>
      <c r="U390" s="8">
        <f t="shared" si="49"/>
        <v>24</v>
      </c>
      <c r="V390" s="7">
        <v>1998</v>
      </c>
      <c r="W390" t="s">
        <v>649</v>
      </c>
      <c r="X390" s="2">
        <v>1.6519999999999999</v>
      </c>
      <c r="Y390" s="6">
        <f t="shared" si="50"/>
        <v>4.409919649769093E-2</v>
      </c>
      <c r="AA390" t="s">
        <v>648</v>
      </c>
      <c r="AB390">
        <v>17337</v>
      </c>
      <c r="AD390" t="s">
        <v>2</v>
      </c>
      <c r="AE390">
        <v>46</v>
      </c>
      <c r="AF390">
        <v>4</v>
      </c>
      <c r="AH390" t="s">
        <v>5555</v>
      </c>
      <c r="AI390" t="s">
        <v>5554</v>
      </c>
      <c r="AJ390" t="s">
        <v>5553</v>
      </c>
      <c r="AK390" t="s">
        <v>5552</v>
      </c>
      <c r="AL390">
        <v>639</v>
      </c>
      <c r="AM390" s="5">
        <f t="shared" si="51"/>
        <v>26.625</v>
      </c>
      <c r="AN390" s="4">
        <f t="shared" si="52"/>
        <v>4.0325634229458542E-2</v>
      </c>
      <c r="AO390" s="3"/>
      <c r="AP390">
        <v>0</v>
      </c>
      <c r="AQ390" t="s">
        <v>5551</v>
      </c>
      <c r="AR390" t="s">
        <v>1</v>
      </c>
      <c r="AS390" t="s">
        <v>5550</v>
      </c>
      <c r="AT390" s="2" t="s">
        <v>0</v>
      </c>
      <c r="AU390" s="1">
        <f t="shared" si="53"/>
        <v>4.2967127817221211</v>
      </c>
      <c r="AV390" s="1">
        <f t="shared" si="54"/>
        <v>4.221241536357474</v>
      </c>
      <c r="AW390" s="1">
        <f t="shared" si="55"/>
        <v>4.145770290992826</v>
      </c>
    </row>
    <row r="391" spans="1:49" x14ac:dyDescent="0.2">
      <c r="A391">
        <v>389</v>
      </c>
      <c r="B391" t="s">
        <v>5549</v>
      </c>
      <c r="C391" t="s">
        <v>5548</v>
      </c>
      <c r="D391" t="s">
        <v>5547</v>
      </c>
      <c r="F391" t="s">
        <v>5546</v>
      </c>
      <c r="G391" t="s">
        <v>5</v>
      </c>
      <c r="H391" t="s">
        <v>4</v>
      </c>
      <c r="I391" t="s">
        <v>5545</v>
      </c>
      <c r="J391" t="s">
        <v>5540</v>
      </c>
      <c r="K391" t="s">
        <v>5544</v>
      </c>
      <c r="L391" t="s">
        <v>5543</v>
      </c>
      <c r="M391" t="s">
        <v>6</v>
      </c>
      <c r="N391">
        <v>2</v>
      </c>
      <c r="O391" t="s">
        <v>5542</v>
      </c>
      <c r="P391" t="s">
        <v>5541</v>
      </c>
      <c r="Q391" t="s">
        <v>5540</v>
      </c>
      <c r="R391" s="7">
        <v>36130</v>
      </c>
      <c r="S391" s="8">
        <f t="shared" si="48"/>
        <v>1998</v>
      </c>
      <c r="T391" s="8">
        <v>1998</v>
      </c>
      <c r="U391" s="8">
        <f t="shared" si="49"/>
        <v>24</v>
      </c>
      <c r="V391" s="7">
        <v>1998</v>
      </c>
      <c r="W391" t="s">
        <v>649</v>
      </c>
      <c r="X391" s="2">
        <v>1.6519999999999999</v>
      </c>
      <c r="Y391" s="6">
        <f t="shared" si="50"/>
        <v>4.409919649769093E-2</v>
      </c>
      <c r="AA391" t="s">
        <v>648</v>
      </c>
      <c r="AB391">
        <v>17337</v>
      </c>
      <c r="AD391" t="s">
        <v>2</v>
      </c>
      <c r="AE391">
        <v>46</v>
      </c>
      <c r="AF391">
        <v>4</v>
      </c>
      <c r="AH391" t="s">
        <v>5539</v>
      </c>
      <c r="AI391" t="s">
        <v>5538</v>
      </c>
      <c r="AJ391" t="s">
        <v>5537</v>
      </c>
      <c r="AK391" t="s">
        <v>5536</v>
      </c>
      <c r="AL391">
        <v>13</v>
      </c>
      <c r="AM391" s="5">
        <f t="shared" si="51"/>
        <v>0.54166666666666663</v>
      </c>
      <c r="AN391" s="4">
        <f t="shared" si="52"/>
        <v>8.2039631452732545E-4</v>
      </c>
      <c r="AO391" s="3"/>
      <c r="AP391">
        <v>0</v>
      </c>
      <c r="AR391" t="s">
        <v>1</v>
      </c>
      <c r="AT391" s="2" t="s">
        <v>0</v>
      </c>
      <c r="AU391" s="1">
        <f t="shared" si="53"/>
        <v>3.1115556442741847</v>
      </c>
      <c r="AV391" s="1">
        <f t="shared" si="54"/>
        <v>2.2459796406109129</v>
      </c>
      <c r="AW391" s="1">
        <f t="shared" si="55"/>
        <v>1.3804036369476407</v>
      </c>
    </row>
    <row r="392" spans="1:49" x14ac:dyDescent="0.2">
      <c r="A392">
        <v>390</v>
      </c>
      <c r="B392" t="s">
        <v>5535</v>
      </c>
      <c r="C392" t="s">
        <v>5534</v>
      </c>
      <c r="F392" t="s">
        <v>5533</v>
      </c>
      <c r="G392" t="s">
        <v>5</v>
      </c>
      <c r="H392" t="s">
        <v>4</v>
      </c>
      <c r="I392" t="s">
        <v>5532</v>
      </c>
      <c r="J392">
        <v>60084668</v>
      </c>
      <c r="K392" t="s">
        <v>5531</v>
      </c>
      <c r="L392" t="s">
        <v>5530</v>
      </c>
      <c r="M392" t="s">
        <v>15</v>
      </c>
      <c r="N392">
        <v>1</v>
      </c>
      <c r="O392" t="s">
        <v>5529</v>
      </c>
      <c r="P392">
        <v>7103256004</v>
      </c>
      <c r="Q392">
        <v>60084668</v>
      </c>
      <c r="R392" s="7">
        <v>36130</v>
      </c>
      <c r="S392" s="8">
        <f t="shared" si="48"/>
        <v>1998</v>
      </c>
      <c r="T392" s="8">
        <v>1998</v>
      </c>
      <c r="U392" s="8">
        <f t="shared" si="49"/>
        <v>24</v>
      </c>
      <c r="V392" s="7">
        <v>1998</v>
      </c>
      <c r="W392" t="s">
        <v>4659</v>
      </c>
      <c r="X392" s="2">
        <v>1.137</v>
      </c>
      <c r="Y392" s="6">
        <f t="shared" si="50"/>
        <v>3.0351565628253384E-2</v>
      </c>
      <c r="AA392">
        <v>189251</v>
      </c>
      <c r="AB392">
        <v>17336</v>
      </c>
      <c r="AD392" t="s">
        <v>2</v>
      </c>
      <c r="AE392">
        <v>34</v>
      </c>
      <c r="AF392">
        <v>2</v>
      </c>
      <c r="AH392" t="s">
        <v>5528</v>
      </c>
      <c r="AI392" t="s">
        <v>5527</v>
      </c>
      <c r="AK392" t="s">
        <v>5526</v>
      </c>
      <c r="AL392">
        <v>9</v>
      </c>
      <c r="AM392" s="5">
        <f t="shared" si="51"/>
        <v>0.375</v>
      </c>
      <c r="AN392" s="4">
        <f t="shared" si="52"/>
        <v>5.6796667928814845E-4</v>
      </c>
      <c r="AO392" s="3"/>
      <c r="AP392">
        <v>0</v>
      </c>
      <c r="AR392" t="s">
        <v>1</v>
      </c>
      <c r="AT392" s="2" t="s">
        <v>0</v>
      </c>
      <c r="AU392" s="1">
        <f t="shared" si="53"/>
        <v>2.141648594356381</v>
      </c>
      <c r="AV392" s="1">
        <f t="shared" si="54"/>
        <v>1.5459766153770766</v>
      </c>
      <c r="AW392" s="1">
        <f t="shared" si="55"/>
        <v>0.95030463639777185</v>
      </c>
    </row>
    <row r="393" spans="1:49" x14ac:dyDescent="0.2">
      <c r="A393">
        <v>391</v>
      </c>
      <c r="B393" t="s">
        <v>5525</v>
      </c>
      <c r="C393" t="s">
        <v>5524</v>
      </c>
      <c r="D393" t="s">
        <v>5523</v>
      </c>
      <c r="F393" t="s">
        <v>5522</v>
      </c>
      <c r="G393" t="s">
        <v>5</v>
      </c>
      <c r="H393" t="s">
        <v>4</v>
      </c>
      <c r="I393" t="s">
        <v>5521</v>
      </c>
      <c r="J393">
        <v>60032144</v>
      </c>
      <c r="K393" t="s">
        <v>64</v>
      </c>
      <c r="L393" t="s">
        <v>63</v>
      </c>
      <c r="M393" t="s">
        <v>62</v>
      </c>
      <c r="N393">
        <v>3</v>
      </c>
      <c r="O393" t="s">
        <v>5520</v>
      </c>
      <c r="P393" t="s">
        <v>5519</v>
      </c>
      <c r="Q393" t="s">
        <v>61</v>
      </c>
      <c r="R393" s="7">
        <v>36130</v>
      </c>
      <c r="S393" s="8">
        <f t="shared" si="48"/>
        <v>1998</v>
      </c>
      <c r="T393" s="8">
        <v>1998</v>
      </c>
      <c r="U393" s="8">
        <f t="shared" si="49"/>
        <v>24</v>
      </c>
      <c r="V393" s="7">
        <v>1998</v>
      </c>
      <c r="W393" t="s">
        <v>375</v>
      </c>
      <c r="X393" s="2">
        <v>0.46</v>
      </c>
      <c r="Y393" s="6">
        <f t="shared" si="50"/>
        <v>1.2279437281439364E-2</v>
      </c>
      <c r="AA393">
        <v>933813</v>
      </c>
      <c r="AB393">
        <v>28031</v>
      </c>
      <c r="AD393" t="s">
        <v>2</v>
      </c>
      <c r="AE393">
        <v>26</v>
      </c>
      <c r="AF393">
        <v>2</v>
      </c>
      <c r="AH393" t="s">
        <v>5518</v>
      </c>
      <c r="AI393" t="s">
        <v>5517</v>
      </c>
      <c r="AJ393" t="s">
        <v>5516</v>
      </c>
      <c r="AK393" t="s">
        <v>5515</v>
      </c>
      <c r="AL393">
        <v>10</v>
      </c>
      <c r="AM393" s="5">
        <f t="shared" si="51"/>
        <v>0.41666666666666669</v>
      </c>
      <c r="AN393" s="4">
        <f t="shared" si="52"/>
        <v>6.310740880979427E-4</v>
      </c>
      <c r="AO393" s="3"/>
      <c r="AP393">
        <v>0</v>
      </c>
      <c r="AR393" t="s">
        <v>1</v>
      </c>
      <c r="AT393" s="2">
        <v>1.222</v>
      </c>
      <c r="AU393" s="1">
        <f t="shared" si="53"/>
        <v>0.87849283234369357</v>
      </c>
      <c r="AV393" s="1">
        <f t="shared" si="54"/>
        <v>0.64552556847686537</v>
      </c>
      <c r="AW393" s="1">
        <f t="shared" si="55"/>
        <v>0.41255830461003684</v>
      </c>
    </row>
    <row r="394" spans="1:49" x14ac:dyDescent="0.2">
      <c r="A394">
        <v>392</v>
      </c>
      <c r="B394" t="s">
        <v>5514</v>
      </c>
      <c r="C394" t="s">
        <v>5513</v>
      </c>
      <c r="D394" t="s">
        <v>5512</v>
      </c>
      <c r="F394" t="s">
        <v>5511</v>
      </c>
      <c r="G394" t="s">
        <v>5</v>
      </c>
      <c r="H394" t="s">
        <v>4</v>
      </c>
      <c r="I394" t="s">
        <v>5510</v>
      </c>
      <c r="J394" t="s">
        <v>5509</v>
      </c>
      <c r="K394" t="s">
        <v>5508</v>
      </c>
      <c r="L394" t="s">
        <v>5507</v>
      </c>
      <c r="M394" t="s">
        <v>235</v>
      </c>
      <c r="N394">
        <v>4</v>
      </c>
      <c r="O394" t="s">
        <v>5506</v>
      </c>
      <c r="P394" t="s">
        <v>5505</v>
      </c>
      <c r="Q394" t="s">
        <v>5504</v>
      </c>
      <c r="R394" s="7">
        <v>36130</v>
      </c>
      <c r="S394" s="8">
        <f t="shared" si="48"/>
        <v>1998</v>
      </c>
      <c r="T394" s="8">
        <v>1998</v>
      </c>
      <c r="U394" s="8">
        <f t="shared" si="49"/>
        <v>24</v>
      </c>
      <c r="V394" s="7">
        <v>1998</v>
      </c>
      <c r="W394" t="s">
        <v>649</v>
      </c>
      <c r="X394" s="2">
        <v>1.6519999999999999</v>
      </c>
      <c r="Y394" s="6">
        <f t="shared" si="50"/>
        <v>4.409919649769093E-2</v>
      </c>
      <c r="AA394" t="s">
        <v>648</v>
      </c>
      <c r="AB394">
        <v>17337</v>
      </c>
      <c r="AD394" t="s">
        <v>2</v>
      </c>
      <c r="AE394">
        <v>46</v>
      </c>
      <c r="AF394">
        <v>4</v>
      </c>
      <c r="AH394" t="s">
        <v>5503</v>
      </c>
      <c r="AI394" t="s">
        <v>5502</v>
      </c>
      <c r="AJ394" t="s">
        <v>5501</v>
      </c>
      <c r="AK394" t="s">
        <v>5500</v>
      </c>
      <c r="AL394">
        <v>14</v>
      </c>
      <c r="AM394" s="5">
        <f t="shared" si="51"/>
        <v>0.58333333333333337</v>
      </c>
      <c r="AN394" s="4">
        <f t="shared" si="52"/>
        <v>8.835037233371198E-4</v>
      </c>
      <c r="AO394" s="3"/>
      <c r="AP394">
        <v>0</v>
      </c>
      <c r="AR394" t="s">
        <v>1</v>
      </c>
      <c r="AT394" s="2" t="s">
        <v>0</v>
      </c>
      <c r="AU394" s="1">
        <f t="shared" si="53"/>
        <v>3.1134488665384787</v>
      </c>
      <c r="AV394" s="1">
        <f t="shared" si="54"/>
        <v>2.2491350110514023</v>
      </c>
      <c r="AW394" s="1">
        <f t="shared" si="55"/>
        <v>1.3848211555643262</v>
      </c>
    </row>
    <row r="395" spans="1:49" x14ac:dyDescent="0.2">
      <c r="A395">
        <v>393</v>
      </c>
      <c r="B395" t="s">
        <v>5499</v>
      </c>
      <c r="C395" t="s">
        <v>5498</v>
      </c>
      <c r="D395" t="s">
        <v>5497</v>
      </c>
      <c r="F395" t="s">
        <v>5496</v>
      </c>
      <c r="G395" t="s">
        <v>5</v>
      </c>
      <c r="H395" t="s">
        <v>4</v>
      </c>
      <c r="I395" t="s">
        <v>5495</v>
      </c>
      <c r="J395">
        <v>60020825</v>
      </c>
      <c r="K395" t="s">
        <v>5494</v>
      </c>
      <c r="L395" t="s">
        <v>5493</v>
      </c>
      <c r="M395" t="s">
        <v>65</v>
      </c>
      <c r="N395">
        <v>2</v>
      </c>
      <c r="O395" t="s">
        <v>5492</v>
      </c>
      <c r="P395" t="s">
        <v>5491</v>
      </c>
      <c r="Q395" t="s">
        <v>5490</v>
      </c>
      <c r="R395" s="7">
        <v>36130</v>
      </c>
      <c r="S395" s="8">
        <f t="shared" si="48"/>
        <v>1998</v>
      </c>
      <c r="T395" s="8">
        <v>1998</v>
      </c>
      <c r="U395" s="8">
        <f t="shared" si="49"/>
        <v>24</v>
      </c>
      <c r="V395" s="7">
        <v>1998</v>
      </c>
      <c r="W395" t="s">
        <v>649</v>
      </c>
      <c r="X395" s="2">
        <v>1.6519999999999999</v>
      </c>
      <c r="Y395" s="6">
        <f t="shared" si="50"/>
        <v>4.409919649769093E-2</v>
      </c>
      <c r="AA395" t="s">
        <v>648</v>
      </c>
      <c r="AB395">
        <v>17337</v>
      </c>
      <c r="AD395" t="s">
        <v>2</v>
      </c>
      <c r="AE395">
        <v>46</v>
      </c>
      <c r="AF395">
        <v>4</v>
      </c>
      <c r="AH395" t="s">
        <v>5489</v>
      </c>
      <c r="AI395" t="s">
        <v>5488</v>
      </c>
      <c r="AJ395" t="s">
        <v>5487</v>
      </c>
      <c r="AK395" t="s">
        <v>5486</v>
      </c>
      <c r="AL395">
        <v>9</v>
      </c>
      <c r="AM395" s="5">
        <f t="shared" si="51"/>
        <v>0.375</v>
      </c>
      <c r="AN395" s="4">
        <f t="shared" si="52"/>
        <v>5.6796667928814845E-4</v>
      </c>
      <c r="AO395" s="3"/>
      <c r="AP395">
        <v>0</v>
      </c>
      <c r="AQ395" t="s">
        <v>5485</v>
      </c>
      <c r="AR395" t="s">
        <v>1</v>
      </c>
      <c r="AS395" t="s">
        <v>5484</v>
      </c>
      <c r="AT395" s="2" t="s">
        <v>0</v>
      </c>
      <c r="AU395" s="1">
        <f t="shared" si="53"/>
        <v>3.1039827552170092</v>
      </c>
      <c r="AV395" s="1">
        <f t="shared" si="54"/>
        <v>2.2333581588489539</v>
      </c>
      <c r="AW395" s="1">
        <f t="shared" si="55"/>
        <v>1.3627335624808981</v>
      </c>
    </row>
    <row r="396" spans="1:49" x14ac:dyDescent="0.2">
      <c r="A396">
        <v>394</v>
      </c>
      <c r="B396" t="s">
        <v>5483</v>
      </c>
      <c r="C396" t="s">
        <v>5482</v>
      </c>
      <c r="F396" t="s">
        <v>5481</v>
      </c>
      <c r="G396" t="s">
        <v>5</v>
      </c>
      <c r="H396" t="s">
        <v>4</v>
      </c>
      <c r="I396" t="s">
        <v>5480</v>
      </c>
      <c r="J396">
        <v>60027271</v>
      </c>
      <c r="K396" t="s">
        <v>386</v>
      </c>
      <c r="L396" t="s">
        <v>385</v>
      </c>
      <c r="M396" t="s">
        <v>9</v>
      </c>
      <c r="N396">
        <v>2</v>
      </c>
      <c r="O396" t="s">
        <v>5479</v>
      </c>
      <c r="P396" t="s">
        <v>5478</v>
      </c>
      <c r="Q396" t="s">
        <v>384</v>
      </c>
      <c r="R396" s="7">
        <v>36130</v>
      </c>
      <c r="S396" s="8">
        <f t="shared" si="48"/>
        <v>1998</v>
      </c>
      <c r="T396" s="8">
        <v>1998</v>
      </c>
      <c r="U396" s="8">
        <f t="shared" si="49"/>
        <v>24</v>
      </c>
      <c r="V396" s="7">
        <v>1998</v>
      </c>
      <c r="W396" t="s">
        <v>4659</v>
      </c>
      <c r="X396" s="2">
        <v>1.137</v>
      </c>
      <c r="Y396" s="6">
        <f t="shared" si="50"/>
        <v>3.0351565628253384E-2</v>
      </c>
      <c r="AA396">
        <v>189251</v>
      </c>
      <c r="AB396">
        <v>17336</v>
      </c>
      <c r="AD396" t="s">
        <v>2</v>
      </c>
      <c r="AE396">
        <v>34</v>
      </c>
      <c r="AF396">
        <v>2</v>
      </c>
      <c r="AH396" t="s">
        <v>5477</v>
      </c>
      <c r="AI396" t="s">
        <v>5476</v>
      </c>
      <c r="AK396" t="s">
        <v>5475</v>
      </c>
      <c r="AL396">
        <v>352</v>
      </c>
      <c r="AM396" s="5">
        <f t="shared" si="51"/>
        <v>14.666666666666666</v>
      </c>
      <c r="AN396" s="4">
        <f t="shared" si="52"/>
        <v>2.2213807901047582E-2</v>
      </c>
      <c r="AO396" s="3"/>
      <c r="AP396">
        <v>0</v>
      </c>
      <c r="AR396" t="s">
        <v>1</v>
      </c>
      <c r="AS396" t="s">
        <v>21</v>
      </c>
      <c r="AT396" s="2" t="s">
        <v>0</v>
      </c>
      <c r="AU396" s="1">
        <f t="shared" si="53"/>
        <v>2.7910238310091642</v>
      </c>
      <c r="AV396" s="1">
        <f t="shared" si="54"/>
        <v>2.6282686764650482</v>
      </c>
      <c r="AW396" s="1">
        <f t="shared" si="55"/>
        <v>2.4655135219209323</v>
      </c>
    </row>
    <row r="397" spans="1:49" x14ac:dyDescent="0.2">
      <c r="A397">
        <v>395</v>
      </c>
      <c r="B397" t="s">
        <v>5474</v>
      </c>
      <c r="C397" t="s">
        <v>5473</v>
      </c>
      <c r="D397" t="s">
        <v>5472</v>
      </c>
      <c r="F397" t="s">
        <v>5471</v>
      </c>
      <c r="G397" t="s">
        <v>5</v>
      </c>
      <c r="H397" t="s">
        <v>4</v>
      </c>
      <c r="I397" t="s">
        <v>5470</v>
      </c>
      <c r="J397" t="s">
        <v>5469</v>
      </c>
      <c r="K397" t="s">
        <v>5468</v>
      </c>
      <c r="L397" t="s">
        <v>5467</v>
      </c>
      <c r="M397" t="s">
        <v>208</v>
      </c>
      <c r="N397">
        <v>3</v>
      </c>
      <c r="O397" t="s">
        <v>5466</v>
      </c>
      <c r="P397" t="s">
        <v>5465</v>
      </c>
      <c r="Q397" t="s">
        <v>5464</v>
      </c>
      <c r="R397" s="7">
        <v>36130</v>
      </c>
      <c r="S397" s="8">
        <f t="shared" si="48"/>
        <v>1998</v>
      </c>
      <c r="T397" s="8">
        <v>1998</v>
      </c>
      <c r="U397" s="8">
        <f t="shared" si="49"/>
        <v>24</v>
      </c>
      <c r="V397" s="7">
        <v>1998</v>
      </c>
      <c r="W397" t="s">
        <v>5463</v>
      </c>
      <c r="X397" s="2" t="s">
        <v>0</v>
      </c>
      <c r="Y397" s="6" t="e">
        <f t="shared" si="50"/>
        <v>#VALUE!</v>
      </c>
      <c r="AA397" t="s">
        <v>5462</v>
      </c>
      <c r="AB397">
        <v>18028</v>
      </c>
      <c r="AD397" t="s">
        <v>2</v>
      </c>
      <c r="AE397">
        <v>14</v>
      </c>
      <c r="AF397">
        <v>2</v>
      </c>
      <c r="AH397" t="s">
        <v>5461</v>
      </c>
      <c r="AI397" t="s">
        <v>5460</v>
      </c>
      <c r="AJ397" t="s">
        <v>5459</v>
      </c>
      <c r="AK397" t="s">
        <v>5458</v>
      </c>
      <c r="AL397">
        <v>109</v>
      </c>
      <c r="AM397" s="5">
        <f t="shared" si="51"/>
        <v>4.541666666666667</v>
      </c>
      <c r="AN397" s="4">
        <f t="shared" si="52"/>
        <v>6.8787075602675758E-3</v>
      </c>
      <c r="AO397" s="3"/>
      <c r="AP397">
        <v>0</v>
      </c>
      <c r="AR397" t="s">
        <v>1</v>
      </c>
      <c r="AS397" t="s">
        <v>360</v>
      </c>
      <c r="AT397" s="2" t="s">
        <v>0</v>
      </c>
      <c r="AU397" s="1" t="e">
        <f t="shared" si="53"/>
        <v>#VALUE!</v>
      </c>
      <c r="AV397" s="1" t="e">
        <f t="shared" si="54"/>
        <v>#VALUE!</v>
      </c>
      <c r="AW397" s="1" t="e">
        <f t="shared" si="55"/>
        <v>#VALUE!</v>
      </c>
    </row>
    <row r="398" spans="1:49" x14ac:dyDescent="0.2">
      <c r="A398">
        <v>396</v>
      </c>
      <c r="B398" t="s">
        <v>5457</v>
      </c>
      <c r="C398" t="s">
        <v>5456</v>
      </c>
      <c r="D398" t="s">
        <v>5455</v>
      </c>
      <c r="F398" t="s">
        <v>5454</v>
      </c>
      <c r="G398" t="s">
        <v>5</v>
      </c>
      <c r="H398" t="s">
        <v>4</v>
      </c>
      <c r="I398" t="s">
        <v>5453</v>
      </c>
      <c r="J398" t="s">
        <v>5447</v>
      </c>
      <c r="K398" t="s">
        <v>5452</v>
      </c>
      <c r="L398" t="s">
        <v>5451</v>
      </c>
      <c r="M398" t="s">
        <v>5450</v>
      </c>
      <c r="N398">
        <v>2</v>
      </c>
      <c r="O398" t="s">
        <v>5449</v>
      </c>
      <c r="P398" t="s">
        <v>5448</v>
      </c>
      <c r="Q398" t="s">
        <v>5447</v>
      </c>
      <c r="R398" s="7">
        <v>36130</v>
      </c>
      <c r="S398" s="8">
        <f t="shared" si="48"/>
        <v>1998</v>
      </c>
      <c r="T398" s="8">
        <v>1998</v>
      </c>
      <c r="U398" s="8">
        <f t="shared" si="49"/>
        <v>24</v>
      </c>
      <c r="V398" s="7">
        <v>1998</v>
      </c>
      <c r="W398" t="s">
        <v>649</v>
      </c>
      <c r="X398" s="2">
        <v>1.6519999999999999</v>
      </c>
      <c r="Y398" s="6">
        <f t="shared" si="50"/>
        <v>4.409919649769093E-2</v>
      </c>
      <c r="AA398" t="s">
        <v>648</v>
      </c>
      <c r="AB398">
        <v>17337</v>
      </c>
      <c r="AD398" t="s">
        <v>2</v>
      </c>
      <c r="AE398">
        <v>46</v>
      </c>
      <c r="AF398">
        <v>4</v>
      </c>
      <c r="AH398" t="s">
        <v>5446</v>
      </c>
      <c r="AI398" t="s">
        <v>5445</v>
      </c>
      <c r="AJ398" t="s">
        <v>5116</v>
      </c>
      <c r="AK398" t="s">
        <v>5444</v>
      </c>
      <c r="AL398">
        <v>15</v>
      </c>
      <c r="AM398" s="5">
        <f t="shared" si="51"/>
        <v>0.625</v>
      </c>
      <c r="AN398" s="4">
        <f t="shared" si="52"/>
        <v>9.4661113214691405E-4</v>
      </c>
      <c r="AO398" s="3"/>
      <c r="AP398">
        <v>0</v>
      </c>
      <c r="AR398" t="s">
        <v>1</v>
      </c>
      <c r="AS398" t="s">
        <v>5443</v>
      </c>
      <c r="AT398" s="2" t="s">
        <v>0</v>
      </c>
      <c r="AU398" s="1">
        <f t="shared" si="53"/>
        <v>3.1153420888027727</v>
      </c>
      <c r="AV398" s="1">
        <f t="shared" si="54"/>
        <v>2.2522903814918922</v>
      </c>
      <c r="AW398" s="1">
        <f t="shared" si="55"/>
        <v>1.3892386741810119</v>
      </c>
    </row>
    <row r="399" spans="1:49" x14ac:dyDescent="0.2">
      <c r="A399">
        <v>397</v>
      </c>
      <c r="B399" t="s">
        <v>5442</v>
      </c>
      <c r="C399" t="s">
        <v>5441</v>
      </c>
      <c r="D399" t="s">
        <v>5440</v>
      </c>
      <c r="F399" t="s">
        <v>5439</v>
      </c>
      <c r="G399" t="s">
        <v>5</v>
      </c>
      <c r="H399" t="s">
        <v>4</v>
      </c>
      <c r="I399" t="s">
        <v>5438</v>
      </c>
      <c r="J399">
        <v>60012162</v>
      </c>
      <c r="K399" t="s">
        <v>5437</v>
      </c>
      <c r="L399" t="s">
        <v>212</v>
      </c>
      <c r="M399" t="s">
        <v>195</v>
      </c>
      <c r="N399">
        <v>3</v>
      </c>
      <c r="O399" t="s">
        <v>5436</v>
      </c>
      <c r="P399" t="s">
        <v>5435</v>
      </c>
      <c r="Q399" t="s">
        <v>5434</v>
      </c>
      <c r="R399" s="7">
        <v>36130</v>
      </c>
      <c r="S399" s="8">
        <f t="shared" si="48"/>
        <v>1998</v>
      </c>
      <c r="T399" s="8">
        <v>1998</v>
      </c>
      <c r="U399" s="8">
        <f t="shared" si="49"/>
        <v>24</v>
      </c>
      <c r="V399" s="7">
        <v>1998</v>
      </c>
      <c r="W399" t="s">
        <v>649</v>
      </c>
      <c r="X399" s="2">
        <v>1.6519999999999999</v>
      </c>
      <c r="Y399" s="6">
        <f t="shared" si="50"/>
        <v>4.409919649769093E-2</v>
      </c>
      <c r="AA399" t="s">
        <v>648</v>
      </c>
      <c r="AB399">
        <v>17337</v>
      </c>
      <c r="AD399" t="s">
        <v>2</v>
      </c>
      <c r="AE399">
        <v>46</v>
      </c>
      <c r="AF399">
        <v>4</v>
      </c>
      <c r="AH399" t="s">
        <v>5433</v>
      </c>
      <c r="AI399" t="s">
        <v>5432</v>
      </c>
      <c r="AJ399" t="s">
        <v>5431</v>
      </c>
      <c r="AK399" t="s">
        <v>5430</v>
      </c>
      <c r="AL399">
        <v>11</v>
      </c>
      <c r="AM399" s="5">
        <f t="shared" si="51"/>
        <v>0.45833333333333331</v>
      </c>
      <c r="AN399" s="4">
        <f t="shared" si="52"/>
        <v>6.9418149690773695E-4</v>
      </c>
      <c r="AO399" s="3"/>
      <c r="AP399">
        <v>0</v>
      </c>
      <c r="AR399" t="s">
        <v>1</v>
      </c>
      <c r="AT399" s="2" t="s">
        <v>0</v>
      </c>
      <c r="AU399" s="1">
        <f t="shared" si="53"/>
        <v>3.1077691997455972</v>
      </c>
      <c r="AV399" s="1">
        <f t="shared" si="54"/>
        <v>2.2396688997299337</v>
      </c>
      <c r="AW399" s="1">
        <f t="shared" si="55"/>
        <v>1.3715685997142693</v>
      </c>
    </row>
    <row r="400" spans="1:49" x14ac:dyDescent="0.2">
      <c r="A400">
        <v>398</v>
      </c>
      <c r="B400" t="s">
        <v>5429</v>
      </c>
      <c r="C400" t="s">
        <v>5428</v>
      </c>
      <c r="F400" t="s">
        <v>5427</v>
      </c>
      <c r="G400" t="s">
        <v>5</v>
      </c>
      <c r="H400" t="s">
        <v>4</v>
      </c>
      <c r="I400" t="s">
        <v>5426</v>
      </c>
      <c r="J400">
        <v>60020351</v>
      </c>
      <c r="K400" t="s">
        <v>5425</v>
      </c>
      <c r="L400" t="s">
        <v>4367</v>
      </c>
      <c r="M400" t="s">
        <v>128</v>
      </c>
      <c r="N400">
        <v>2</v>
      </c>
      <c r="O400" t="s">
        <v>5424</v>
      </c>
      <c r="P400" t="s">
        <v>5423</v>
      </c>
      <c r="Q400" t="s">
        <v>5422</v>
      </c>
      <c r="R400" s="7">
        <v>36130</v>
      </c>
      <c r="S400" s="8">
        <f t="shared" si="48"/>
        <v>1998</v>
      </c>
      <c r="T400" s="8">
        <v>1998</v>
      </c>
      <c r="U400" s="8">
        <f t="shared" si="49"/>
        <v>24</v>
      </c>
      <c r="V400" s="7">
        <v>1998</v>
      </c>
      <c r="W400" t="s">
        <v>4659</v>
      </c>
      <c r="X400" s="2">
        <v>1.137</v>
      </c>
      <c r="Y400" s="6">
        <f t="shared" si="50"/>
        <v>3.0351565628253384E-2</v>
      </c>
      <c r="AA400">
        <v>189251</v>
      </c>
      <c r="AB400">
        <v>17336</v>
      </c>
      <c r="AD400" t="s">
        <v>2</v>
      </c>
      <c r="AE400">
        <v>34</v>
      </c>
      <c r="AF400">
        <v>2</v>
      </c>
      <c r="AH400" t="s">
        <v>5421</v>
      </c>
      <c r="AI400" t="s">
        <v>5420</v>
      </c>
      <c r="AK400" t="s">
        <v>5419</v>
      </c>
      <c r="AL400">
        <v>38</v>
      </c>
      <c r="AM400" s="5">
        <f t="shared" si="51"/>
        <v>1.5833333333333333</v>
      </c>
      <c r="AN400" s="4">
        <f t="shared" si="52"/>
        <v>2.3980815347721821E-3</v>
      </c>
      <c r="AO400" s="3"/>
      <c r="AP400">
        <v>0</v>
      </c>
      <c r="AR400" t="s">
        <v>1</v>
      </c>
      <c r="AT400" s="2" t="s">
        <v>0</v>
      </c>
      <c r="AU400" s="1">
        <f t="shared" si="53"/>
        <v>2.1965520400209022</v>
      </c>
      <c r="AV400" s="1">
        <f t="shared" si="54"/>
        <v>1.6374823581512783</v>
      </c>
      <c r="AW400" s="1">
        <f t="shared" si="55"/>
        <v>1.0784126762816542</v>
      </c>
    </row>
    <row r="401" spans="1:49" x14ac:dyDescent="0.2">
      <c r="A401">
        <v>399</v>
      </c>
      <c r="B401" t="s">
        <v>5418</v>
      </c>
      <c r="C401" t="s">
        <v>5417</v>
      </c>
      <c r="D401">
        <v>90677898031328</v>
      </c>
      <c r="F401" t="s">
        <v>5416</v>
      </c>
      <c r="G401" t="s">
        <v>5</v>
      </c>
      <c r="H401" t="s">
        <v>4</v>
      </c>
      <c r="I401" t="s">
        <v>314</v>
      </c>
      <c r="J401">
        <v>60022904</v>
      </c>
      <c r="K401" t="s">
        <v>5415</v>
      </c>
      <c r="L401" t="s">
        <v>437</v>
      </c>
      <c r="M401" t="s">
        <v>9</v>
      </c>
      <c r="N401">
        <v>2</v>
      </c>
      <c r="O401" t="s">
        <v>5414</v>
      </c>
      <c r="P401" t="s">
        <v>313</v>
      </c>
      <c r="Q401" t="s">
        <v>5413</v>
      </c>
      <c r="R401" s="7">
        <v>36130</v>
      </c>
      <c r="S401" s="8">
        <f t="shared" si="48"/>
        <v>1998</v>
      </c>
      <c r="T401" s="8">
        <v>1998</v>
      </c>
      <c r="U401" s="8">
        <f t="shared" si="49"/>
        <v>24</v>
      </c>
      <c r="V401" s="7">
        <v>1998</v>
      </c>
      <c r="W401" t="s">
        <v>256</v>
      </c>
      <c r="X401" s="2">
        <v>1.468</v>
      </c>
      <c r="Y401" s="6">
        <f t="shared" si="50"/>
        <v>3.9187421585115186E-2</v>
      </c>
      <c r="AA401">
        <v>906778</v>
      </c>
      <c r="AB401">
        <v>18931</v>
      </c>
      <c r="AD401" t="s">
        <v>2</v>
      </c>
      <c r="AE401">
        <v>46</v>
      </c>
      <c r="AF401">
        <v>4</v>
      </c>
      <c r="AH401" t="s">
        <v>5412</v>
      </c>
      <c r="AI401" t="s">
        <v>5411</v>
      </c>
      <c r="AJ401" t="s">
        <v>5410</v>
      </c>
      <c r="AK401" t="s">
        <v>5409</v>
      </c>
      <c r="AL401">
        <v>145</v>
      </c>
      <c r="AM401" s="5">
        <f t="shared" si="51"/>
        <v>6.041666666666667</v>
      </c>
      <c r="AN401" s="4">
        <f t="shared" si="52"/>
        <v>9.15057427742017E-3</v>
      </c>
      <c r="AO401" s="3"/>
      <c r="AP401">
        <v>0</v>
      </c>
      <c r="AQ401" t="s">
        <v>374</v>
      </c>
      <c r="AR401" t="s">
        <v>1721</v>
      </c>
      <c r="AS401" t="s">
        <v>373</v>
      </c>
      <c r="AT401" s="2">
        <v>5.0830000000000002</v>
      </c>
      <c r="AU401" s="1">
        <f t="shared" si="53"/>
        <v>3.0176367392806678</v>
      </c>
      <c r="AV401" s="1">
        <f t="shared" si="54"/>
        <v>2.4168997931267677</v>
      </c>
      <c r="AW401" s="1">
        <f t="shared" si="55"/>
        <v>1.8161628469728675</v>
      </c>
    </row>
    <row r="402" spans="1:49" x14ac:dyDescent="0.2">
      <c r="A402">
        <v>400</v>
      </c>
      <c r="B402" t="s">
        <v>5408</v>
      </c>
      <c r="C402" t="s">
        <v>5407</v>
      </c>
      <c r="D402" t="s">
        <v>5406</v>
      </c>
      <c r="F402" t="s">
        <v>5405</v>
      </c>
      <c r="G402" t="s">
        <v>5</v>
      </c>
      <c r="H402" t="s">
        <v>4</v>
      </c>
      <c r="I402" t="s">
        <v>5404</v>
      </c>
      <c r="J402">
        <v>60030821</v>
      </c>
      <c r="K402" t="s">
        <v>5403</v>
      </c>
      <c r="L402" t="s">
        <v>5402</v>
      </c>
      <c r="M402" t="s">
        <v>9</v>
      </c>
      <c r="N402">
        <v>3</v>
      </c>
      <c r="O402" t="s">
        <v>5401</v>
      </c>
      <c r="P402" t="s">
        <v>5400</v>
      </c>
      <c r="Q402" t="s">
        <v>5399</v>
      </c>
      <c r="R402" s="7">
        <v>36130</v>
      </c>
      <c r="S402" s="8">
        <f t="shared" si="48"/>
        <v>1998</v>
      </c>
      <c r="T402" s="8">
        <v>1998</v>
      </c>
      <c r="U402" s="8">
        <f t="shared" si="49"/>
        <v>24</v>
      </c>
      <c r="V402" s="7">
        <v>1998</v>
      </c>
      <c r="W402" t="s">
        <v>649</v>
      </c>
      <c r="X402" s="2">
        <v>1.6519999999999999</v>
      </c>
      <c r="Y402" s="6">
        <f t="shared" si="50"/>
        <v>4.409919649769093E-2</v>
      </c>
      <c r="AA402" t="s">
        <v>648</v>
      </c>
      <c r="AB402">
        <v>17337</v>
      </c>
      <c r="AD402" t="s">
        <v>2</v>
      </c>
      <c r="AE402">
        <v>46</v>
      </c>
      <c r="AF402">
        <v>4</v>
      </c>
      <c r="AH402" t="s">
        <v>5398</v>
      </c>
      <c r="AI402" t="s">
        <v>5397</v>
      </c>
      <c r="AJ402" t="s">
        <v>5396</v>
      </c>
      <c r="AK402" t="s">
        <v>5395</v>
      </c>
      <c r="AL402">
        <v>30</v>
      </c>
      <c r="AM402" s="5">
        <f t="shared" si="51"/>
        <v>1.25</v>
      </c>
      <c r="AN402" s="4">
        <f t="shared" si="52"/>
        <v>1.8932222642938281E-3</v>
      </c>
      <c r="AO402" s="3"/>
      <c r="AP402">
        <v>0</v>
      </c>
      <c r="AR402" t="s">
        <v>1</v>
      </c>
      <c r="AT402" s="2" t="s">
        <v>0</v>
      </c>
      <c r="AU402" s="1">
        <f t="shared" si="53"/>
        <v>3.1437404227671801</v>
      </c>
      <c r="AV402" s="1">
        <f t="shared" si="54"/>
        <v>2.2996209380992378</v>
      </c>
      <c r="AW402" s="1">
        <f t="shared" si="55"/>
        <v>1.4555014534312958</v>
      </c>
    </row>
    <row r="403" spans="1:49" x14ac:dyDescent="0.2">
      <c r="A403">
        <v>401</v>
      </c>
      <c r="B403" t="s">
        <v>5394</v>
      </c>
      <c r="C403" t="s">
        <v>5393</v>
      </c>
      <c r="D403" t="s">
        <v>5392</v>
      </c>
      <c r="F403" t="s">
        <v>5391</v>
      </c>
      <c r="G403" t="s">
        <v>5</v>
      </c>
      <c r="H403" t="s">
        <v>4</v>
      </c>
      <c r="I403" t="s">
        <v>418</v>
      </c>
      <c r="J403" t="s">
        <v>417</v>
      </c>
      <c r="K403" t="s">
        <v>416</v>
      </c>
      <c r="L403" t="s">
        <v>415</v>
      </c>
      <c r="M403" t="s">
        <v>414</v>
      </c>
      <c r="N403">
        <v>3</v>
      </c>
      <c r="O403" t="s">
        <v>5390</v>
      </c>
      <c r="P403" t="s">
        <v>5389</v>
      </c>
      <c r="Q403" t="s">
        <v>5388</v>
      </c>
      <c r="R403" s="7">
        <v>36130</v>
      </c>
      <c r="S403" s="8">
        <f t="shared" si="48"/>
        <v>1998</v>
      </c>
      <c r="T403" s="8">
        <v>1998</v>
      </c>
      <c r="U403" s="8">
        <f t="shared" si="49"/>
        <v>24</v>
      </c>
      <c r="V403" s="7">
        <v>1998</v>
      </c>
      <c r="W403" t="s">
        <v>649</v>
      </c>
      <c r="X403" s="2">
        <v>1.6519999999999999</v>
      </c>
      <c r="Y403" s="6">
        <f t="shared" si="50"/>
        <v>4.409919649769093E-2</v>
      </c>
      <c r="AA403" t="s">
        <v>648</v>
      </c>
      <c r="AB403">
        <v>17337</v>
      </c>
      <c r="AD403" t="s">
        <v>2</v>
      </c>
      <c r="AE403">
        <v>46</v>
      </c>
      <c r="AF403">
        <v>4</v>
      </c>
      <c r="AH403" t="s">
        <v>5387</v>
      </c>
      <c r="AI403" t="s">
        <v>5386</v>
      </c>
      <c r="AJ403" t="s">
        <v>5385</v>
      </c>
      <c r="AK403" t="s">
        <v>5384</v>
      </c>
      <c r="AL403">
        <v>14</v>
      </c>
      <c r="AM403" s="5">
        <f t="shared" si="51"/>
        <v>0.58333333333333337</v>
      </c>
      <c r="AN403" s="4">
        <f t="shared" si="52"/>
        <v>8.835037233371198E-4</v>
      </c>
      <c r="AO403" s="3"/>
      <c r="AP403">
        <v>0</v>
      </c>
      <c r="AR403" t="s">
        <v>1</v>
      </c>
      <c r="AT403" s="2" t="s">
        <v>0</v>
      </c>
      <c r="AU403" s="1">
        <f t="shared" si="53"/>
        <v>3.1134488665384787</v>
      </c>
      <c r="AV403" s="1">
        <f t="shared" si="54"/>
        <v>2.2491350110514023</v>
      </c>
      <c r="AW403" s="1">
        <f t="shared" si="55"/>
        <v>1.3848211555643262</v>
      </c>
    </row>
    <row r="404" spans="1:49" x14ac:dyDescent="0.2">
      <c r="A404">
        <v>402</v>
      </c>
      <c r="B404" t="s">
        <v>5383</v>
      </c>
      <c r="C404" t="s">
        <v>5382</v>
      </c>
      <c r="D404" t="s">
        <v>5381</v>
      </c>
      <c r="F404" t="s">
        <v>5380</v>
      </c>
      <c r="G404" t="s">
        <v>5</v>
      </c>
      <c r="H404" t="s">
        <v>4</v>
      </c>
      <c r="I404" t="s">
        <v>971</v>
      </c>
      <c r="J404">
        <v>60005429</v>
      </c>
      <c r="K404" t="s">
        <v>5379</v>
      </c>
      <c r="L404" t="s">
        <v>518</v>
      </c>
      <c r="M404" t="s">
        <v>128</v>
      </c>
      <c r="N404">
        <v>1</v>
      </c>
      <c r="O404" t="s">
        <v>5378</v>
      </c>
      <c r="P404">
        <v>26023218700</v>
      </c>
      <c r="Q404">
        <v>60005429</v>
      </c>
      <c r="R404" s="7">
        <v>36130</v>
      </c>
      <c r="S404" s="8">
        <f t="shared" si="48"/>
        <v>1998</v>
      </c>
      <c r="T404" s="8">
        <v>1998</v>
      </c>
      <c r="U404" s="8">
        <f t="shared" si="49"/>
        <v>24</v>
      </c>
      <c r="V404" s="7">
        <v>1998</v>
      </c>
      <c r="W404" t="s">
        <v>649</v>
      </c>
      <c r="X404" s="2">
        <v>1.6519999999999999</v>
      </c>
      <c r="Y404" s="6">
        <f t="shared" si="50"/>
        <v>4.409919649769093E-2</v>
      </c>
      <c r="AA404" t="s">
        <v>648</v>
      </c>
      <c r="AB404">
        <v>17337</v>
      </c>
      <c r="AD404" t="s">
        <v>2</v>
      </c>
      <c r="AE404">
        <v>46</v>
      </c>
      <c r="AF404">
        <v>4</v>
      </c>
      <c r="AH404" t="s">
        <v>5377</v>
      </c>
      <c r="AI404" t="s">
        <v>5376</v>
      </c>
      <c r="AJ404" t="s">
        <v>5375</v>
      </c>
      <c r="AK404" t="s">
        <v>5374</v>
      </c>
      <c r="AL404">
        <v>53</v>
      </c>
      <c r="AM404" s="5">
        <f t="shared" si="51"/>
        <v>2.2083333333333335</v>
      </c>
      <c r="AN404" s="4">
        <f t="shared" si="52"/>
        <v>3.3446926669190966E-3</v>
      </c>
      <c r="AO404" s="3"/>
      <c r="AP404">
        <v>0</v>
      </c>
      <c r="AQ404" t="s">
        <v>114</v>
      </c>
      <c r="AR404" t="s">
        <v>5373</v>
      </c>
      <c r="AS404" t="s">
        <v>113</v>
      </c>
      <c r="AT404" s="2" t="s">
        <v>0</v>
      </c>
      <c r="AU404" s="1">
        <f t="shared" si="53"/>
        <v>3.1872845348459378</v>
      </c>
      <c r="AV404" s="1">
        <f t="shared" si="54"/>
        <v>2.3721944582305015</v>
      </c>
      <c r="AW404" s="1">
        <f t="shared" si="55"/>
        <v>1.5571043816150645</v>
      </c>
    </row>
    <row r="405" spans="1:49" x14ac:dyDescent="0.2">
      <c r="A405">
        <v>403</v>
      </c>
      <c r="B405" t="s">
        <v>5372</v>
      </c>
      <c r="C405" t="s">
        <v>5371</v>
      </c>
      <c r="F405" t="s">
        <v>5370</v>
      </c>
      <c r="G405" t="s">
        <v>5</v>
      </c>
      <c r="H405" t="s">
        <v>4</v>
      </c>
      <c r="I405" t="s">
        <v>5369</v>
      </c>
      <c r="J405">
        <v>60015099</v>
      </c>
      <c r="K405" t="s">
        <v>5368</v>
      </c>
      <c r="L405" t="s">
        <v>707</v>
      </c>
      <c r="M405" t="s">
        <v>9</v>
      </c>
      <c r="N405">
        <v>2</v>
      </c>
      <c r="O405" t="s">
        <v>5367</v>
      </c>
      <c r="P405" t="s">
        <v>5366</v>
      </c>
      <c r="Q405" t="s">
        <v>5365</v>
      </c>
      <c r="R405" s="7">
        <v>36130</v>
      </c>
      <c r="S405" s="8">
        <f t="shared" si="48"/>
        <v>1998</v>
      </c>
      <c r="T405" s="8">
        <v>1998</v>
      </c>
      <c r="U405" s="8">
        <f t="shared" si="49"/>
        <v>24</v>
      </c>
      <c r="V405" s="7">
        <v>1998</v>
      </c>
      <c r="W405" t="s">
        <v>4659</v>
      </c>
      <c r="X405" s="2">
        <v>1.137</v>
      </c>
      <c r="Y405" s="6">
        <f t="shared" si="50"/>
        <v>3.0351565628253384E-2</v>
      </c>
      <c r="AA405">
        <v>189251</v>
      </c>
      <c r="AB405">
        <v>17336</v>
      </c>
      <c r="AD405" t="s">
        <v>2</v>
      </c>
      <c r="AE405">
        <v>34</v>
      </c>
      <c r="AF405">
        <v>2</v>
      </c>
      <c r="AH405" t="s">
        <v>5364</v>
      </c>
      <c r="AI405" t="s">
        <v>5363</v>
      </c>
      <c r="AK405" t="s">
        <v>5362</v>
      </c>
      <c r="AL405">
        <v>97</v>
      </c>
      <c r="AM405" s="5">
        <f t="shared" si="51"/>
        <v>4.041666666666667</v>
      </c>
      <c r="AN405" s="4">
        <f t="shared" si="52"/>
        <v>6.1214186545500444E-3</v>
      </c>
      <c r="AO405" s="3"/>
      <c r="AP405">
        <v>0</v>
      </c>
      <c r="AR405" t="s">
        <v>1</v>
      </c>
      <c r="AT405" s="2" t="s">
        <v>0</v>
      </c>
      <c r="AU405" s="1">
        <f t="shared" si="53"/>
        <v>2.3082521536142377</v>
      </c>
      <c r="AV405" s="1">
        <f t="shared" si="54"/>
        <v>1.8236492141401712</v>
      </c>
      <c r="AW405" s="1">
        <f t="shared" si="55"/>
        <v>1.3390462746661047</v>
      </c>
    </row>
    <row r="406" spans="1:49" x14ac:dyDescent="0.2">
      <c r="A406">
        <v>404</v>
      </c>
      <c r="B406" t="s">
        <v>5361</v>
      </c>
      <c r="C406" t="s">
        <v>5360</v>
      </c>
      <c r="D406" t="s">
        <v>5359</v>
      </c>
      <c r="F406" t="s">
        <v>5358</v>
      </c>
      <c r="G406" t="s">
        <v>5</v>
      </c>
      <c r="H406" t="s">
        <v>4</v>
      </c>
      <c r="I406" t="s">
        <v>5357</v>
      </c>
      <c r="J406">
        <v>60017245</v>
      </c>
      <c r="K406" t="s">
        <v>5356</v>
      </c>
      <c r="L406" t="s">
        <v>434</v>
      </c>
      <c r="M406" t="s">
        <v>9</v>
      </c>
      <c r="N406">
        <v>1</v>
      </c>
      <c r="O406" t="s">
        <v>5355</v>
      </c>
      <c r="P406">
        <v>56039602600</v>
      </c>
      <c r="Q406">
        <v>60017245</v>
      </c>
      <c r="R406" s="7">
        <v>36130</v>
      </c>
      <c r="S406" s="8">
        <f t="shared" si="48"/>
        <v>1998</v>
      </c>
      <c r="T406" s="8">
        <v>1998</v>
      </c>
      <c r="U406" s="8">
        <f t="shared" si="49"/>
        <v>24</v>
      </c>
      <c r="V406" s="7">
        <v>1998</v>
      </c>
      <c r="W406" t="s">
        <v>649</v>
      </c>
      <c r="X406" s="2">
        <v>1.6519999999999999</v>
      </c>
      <c r="Y406" s="6">
        <f t="shared" si="50"/>
        <v>4.409919649769093E-2</v>
      </c>
      <c r="AA406" t="s">
        <v>648</v>
      </c>
      <c r="AB406">
        <v>17337</v>
      </c>
      <c r="AD406" t="s">
        <v>2</v>
      </c>
      <c r="AE406">
        <v>46</v>
      </c>
      <c r="AF406">
        <v>4</v>
      </c>
      <c r="AH406" t="s">
        <v>530</v>
      </c>
      <c r="AI406" t="s">
        <v>5354</v>
      </c>
      <c r="AJ406" t="s">
        <v>4850</v>
      </c>
      <c r="AK406" t="s">
        <v>5353</v>
      </c>
      <c r="AL406">
        <v>98</v>
      </c>
      <c r="AM406" s="5">
        <f t="shared" si="51"/>
        <v>4.083333333333333</v>
      </c>
      <c r="AN406" s="4">
        <f t="shared" si="52"/>
        <v>6.1845260633598383E-3</v>
      </c>
      <c r="AO406" s="3"/>
      <c r="AP406">
        <v>0</v>
      </c>
      <c r="AR406" t="s">
        <v>1</v>
      </c>
      <c r="AT406" s="2" t="s">
        <v>0</v>
      </c>
      <c r="AU406" s="1">
        <f t="shared" si="53"/>
        <v>3.2724795367391604</v>
      </c>
      <c r="AV406" s="1">
        <f t="shared" si="54"/>
        <v>2.5141861280525384</v>
      </c>
      <c r="AW406" s="1">
        <f t="shared" si="55"/>
        <v>1.7558927193659164</v>
      </c>
    </row>
    <row r="407" spans="1:49" x14ac:dyDescent="0.2">
      <c r="A407">
        <v>405</v>
      </c>
      <c r="B407" t="s">
        <v>5352</v>
      </c>
      <c r="C407" t="s">
        <v>5351</v>
      </c>
      <c r="F407" t="s">
        <v>5350</v>
      </c>
      <c r="G407" t="s">
        <v>5</v>
      </c>
      <c r="H407" t="s">
        <v>4</v>
      </c>
      <c r="I407" t="s">
        <v>5349</v>
      </c>
      <c r="J407">
        <v>60028868</v>
      </c>
      <c r="K407" t="s">
        <v>5348</v>
      </c>
      <c r="L407" t="s">
        <v>5347</v>
      </c>
      <c r="M407" t="s">
        <v>195</v>
      </c>
      <c r="N407">
        <v>2</v>
      </c>
      <c r="O407" t="s">
        <v>5346</v>
      </c>
      <c r="P407" t="s">
        <v>5345</v>
      </c>
      <c r="Q407" t="s">
        <v>5344</v>
      </c>
      <c r="R407" s="7">
        <v>36130</v>
      </c>
      <c r="S407" s="8">
        <f t="shared" si="48"/>
        <v>1998</v>
      </c>
      <c r="T407" s="8">
        <v>1998</v>
      </c>
      <c r="U407" s="8">
        <f t="shared" si="49"/>
        <v>24</v>
      </c>
      <c r="V407" s="7">
        <v>1998</v>
      </c>
      <c r="W407" t="s">
        <v>4659</v>
      </c>
      <c r="X407" s="2">
        <v>1.137</v>
      </c>
      <c r="Y407" s="6">
        <f t="shared" si="50"/>
        <v>3.0351565628253384E-2</v>
      </c>
      <c r="AA407">
        <v>189251</v>
      </c>
      <c r="AB407">
        <v>17336</v>
      </c>
      <c r="AD407" t="s">
        <v>2</v>
      </c>
      <c r="AE407">
        <v>34</v>
      </c>
      <c r="AF407">
        <v>2</v>
      </c>
      <c r="AH407" t="s">
        <v>5343</v>
      </c>
      <c r="AI407" t="s">
        <v>5342</v>
      </c>
      <c r="AK407" t="s">
        <v>5341</v>
      </c>
      <c r="AL407">
        <v>20</v>
      </c>
      <c r="AM407" s="5">
        <f t="shared" si="51"/>
        <v>0.83333333333333337</v>
      </c>
      <c r="AN407" s="4">
        <f t="shared" si="52"/>
        <v>1.2621481761958854E-3</v>
      </c>
      <c r="AO407" s="3"/>
      <c r="AP407">
        <v>0</v>
      </c>
      <c r="AR407" t="s">
        <v>1</v>
      </c>
      <c r="AT407" s="2" t="s">
        <v>0</v>
      </c>
      <c r="AU407" s="1">
        <f t="shared" si="53"/>
        <v>2.1624740392636133</v>
      </c>
      <c r="AV407" s="1">
        <f t="shared" si="54"/>
        <v>1.5806856902224635</v>
      </c>
      <c r="AW407" s="1">
        <f t="shared" si="55"/>
        <v>0.99889734118131357</v>
      </c>
    </row>
    <row r="408" spans="1:49" x14ac:dyDescent="0.2">
      <c r="A408">
        <v>406</v>
      </c>
      <c r="B408" t="s">
        <v>5340</v>
      </c>
      <c r="C408" t="s">
        <v>5339</v>
      </c>
      <c r="F408" t="s">
        <v>5338</v>
      </c>
      <c r="G408" t="s">
        <v>5</v>
      </c>
      <c r="H408" t="s">
        <v>4</v>
      </c>
      <c r="I408" t="s">
        <v>5337</v>
      </c>
      <c r="J408">
        <v>60012752</v>
      </c>
      <c r="K408" t="s">
        <v>5336</v>
      </c>
      <c r="L408" t="s">
        <v>5335</v>
      </c>
      <c r="M408" t="s">
        <v>9</v>
      </c>
      <c r="N408">
        <v>1</v>
      </c>
      <c r="O408" t="s">
        <v>5334</v>
      </c>
      <c r="P408">
        <v>7801671390</v>
      </c>
      <c r="Q408">
        <v>60012752</v>
      </c>
      <c r="R408" s="7">
        <v>36130</v>
      </c>
      <c r="S408" s="8">
        <f t="shared" si="48"/>
        <v>1998</v>
      </c>
      <c r="T408" s="8">
        <v>1998</v>
      </c>
      <c r="U408" s="8">
        <f t="shared" si="49"/>
        <v>24</v>
      </c>
      <c r="V408" s="7">
        <v>1998</v>
      </c>
      <c r="W408" t="s">
        <v>4659</v>
      </c>
      <c r="X408" s="2">
        <v>1.137</v>
      </c>
      <c r="Y408" s="6">
        <f t="shared" si="50"/>
        <v>3.0351565628253384E-2</v>
      </c>
      <c r="AA408">
        <v>189251</v>
      </c>
      <c r="AB408">
        <v>17336</v>
      </c>
      <c r="AD408" t="s">
        <v>2</v>
      </c>
      <c r="AE408">
        <v>34</v>
      </c>
      <c r="AF408">
        <v>2</v>
      </c>
      <c r="AH408" t="s">
        <v>5333</v>
      </c>
      <c r="AI408" t="s">
        <v>5332</v>
      </c>
      <c r="AK408" t="s">
        <v>5331</v>
      </c>
      <c r="AL408">
        <v>6</v>
      </c>
      <c r="AM408" s="5">
        <f t="shared" si="51"/>
        <v>0.25</v>
      </c>
      <c r="AN408" s="4">
        <f t="shared" si="52"/>
        <v>3.786444528587656E-4</v>
      </c>
      <c r="AO408" s="3"/>
      <c r="AP408">
        <v>0</v>
      </c>
      <c r="AQ408" t="s">
        <v>328</v>
      </c>
      <c r="AR408" t="s">
        <v>1</v>
      </c>
      <c r="AS408" t="s">
        <v>327</v>
      </c>
      <c r="AT408" s="2" t="s">
        <v>0</v>
      </c>
      <c r="AU408" s="1">
        <f t="shared" si="53"/>
        <v>2.1359689275634994</v>
      </c>
      <c r="AV408" s="1">
        <f t="shared" si="54"/>
        <v>1.5365105040556075</v>
      </c>
      <c r="AW408" s="1">
        <f t="shared" si="55"/>
        <v>0.93705208054771527</v>
      </c>
    </row>
    <row r="409" spans="1:49" x14ac:dyDescent="0.2">
      <c r="A409">
        <v>407</v>
      </c>
      <c r="B409" t="s">
        <v>5330</v>
      </c>
      <c r="C409" t="s">
        <v>5329</v>
      </c>
      <c r="D409" t="s">
        <v>5328</v>
      </c>
      <c r="F409" t="s">
        <v>5327</v>
      </c>
      <c r="G409" t="s">
        <v>5</v>
      </c>
      <c r="H409" t="s">
        <v>4</v>
      </c>
      <c r="I409" t="s">
        <v>5326</v>
      </c>
      <c r="J409" t="s">
        <v>5325</v>
      </c>
      <c r="K409" t="s">
        <v>5324</v>
      </c>
      <c r="L409" t="s">
        <v>5323</v>
      </c>
      <c r="M409" t="s">
        <v>208</v>
      </c>
      <c r="N409">
        <v>3</v>
      </c>
      <c r="O409" t="s">
        <v>5322</v>
      </c>
      <c r="P409" t="s">
        <v>5321</v>
      </c>
      <c r="Q409" t="s">
        <v>5320</v>
      </c>
      <c r="R409" s="7">
        <v>36130</v>
      </c>
      <c r="S409" s="8">
        <f t="shared" si="48"/>
        <v>1998</v>
      </c>
      <c r="T409" s="8">
        <v>1998</v>
      </c>
      <c r="U409" s="8">
        <f t="shared" si="49"/>
        <v>24</v>
      </c>
      <c r="V409" s="7">
        <v>1998</v>
      </c>
      <c r="W409" t="s">
        <v>4770</v>
      </c>
      <c r="X409" s="2">
        <v>0.82</v>
      </c>
      <c r="Y409" s="6">
        <f t="shared" si="50"/>
        <v>2.1889431675609299E-2</v>
      </c>
      <c r="AA409">
        <v>189456</v>
      </c>
      <c r="AB409">
        <v>15361</v>
      </c>
      <c r="AD409" t="s">
        <v>2</v>
      </c>
      <c r="AE409">
        <v>47</v>
      </c>
      <c r="AF409">
        <v>2</v>
      </c>
      <c r="AH409" t="s">
        <v>5319</v>
      </c>
      <c r="AI409" t="s">
        <v>5318</v>
      </c>
      <c r="AJ409" t="s">
        <v>5317</v>
      </c>
      <c r="AK409" t="s">
        <v>5316</v>
      </c>
      <c r="AL409">
        <v>14</v>
      </c>
      <c r="AM409" s="5">
        <f t="shared" si="51"/>
        <v>0.58333333333333337</v>
      </c>
      <c r="AN409" s="4">
        <f t="shared" si="52"/>
        <v>8.835037233371198E-4</v>
      </c>
      <c r="AO409" s="3"/>
      <c r="AP409">
        <v>0</v>
      </c>
      <c r="AR409" t="s">
        <v>1</v>
      </c>
      <c r="AT409" s="2" t="s">
        <v>0</v>
      </c>
      <c r="AU409" s="1">
        <f t="shared" si="53"/>
        <v>1.5587653289927643</v>
      </c>
      <c r="AV409" s="1">
        <f t="shared" si="54"/>
        <v>1.1386467699473208</v>
      </c>
      <c r="AW409" s="1">
        <f t="shared" si="55"/>
        <v>0.71852821090187724</v>
      </c>
    </row>
    <row r="410" spans="1:49" x14ac:dyDescent="0.2">
      <c r="A410">
        <v>408</v>
      </c>
      <c r="B410" t="s">
        <v>5315</v>
      </c>
      <c r="C410" t="s">
        <v>5314</v>
      </c>
      <c r="D410" t="s">
        <v>5313</v>
      </c>
      <c r="F410" t="s">
        <v>5312</v>
      </c>
      <c r="G410" t="s">
        <v>5</v>
      </c>
      <c r="H410" t="s">
        <v>4</v>
      </c>
      <c r="I410" t="s">
        <v>5311</v>
      </c>
      <c r="J410">
        <v>60028634</v>
      </c>
      <c r="K410" t="s">
        <v>5310</v>
      </c>
      <c r="L410" t="s">
        <v>5309</v>
      </c>
      <c r="M410" t="s">
        <v>36</v>
      </c>
      <c r="N410">
        <v>4</v>
      </c>
      <c r="O410" t="s">
        <v>5308</v>
      </c>
      <c r="P410" t="s">
        <v>5307</v>
      </c>
      <c r="Q410" t="s">
        <v>5306</v>
      </c>
      <c r="R410" s="7">
        <v>36130</v>
      </c>
      <c r="S410" s="8">
        <f t="shared" si="48"/>
        <v>1998</v>
      </c>
      <c r="T410" s="8">
        <v>1998</v>
      </c>
      <c r="U410" s="8">
        <f t="shared" si="49"/>
        <v>24</v>
      </c>
      <c r="V410" s="7">
        <v>1998</v>
      </c>
      <c r="W410" t="s">
        <v>4770</v>
      </c>
      <c r="X410" s="2">
        <v>0.82</v>
      </c>
      <c r="Y410" s="6">
        <f t="shared" si="50"/>
        <v>2.1889431675609299E-2</v>
      </c>
      <c r="AA410">
        <v>189456</v>
      </c>
      <c r="AB410">
        <v>15361</v>
      </c>
      <c r="AD410" t="s">
        <v>2</v>
      </c>
      <c r="AE410">
        <v>47</v>
      </c>
      <c r="AF410">
        <v>2</v>
      </c>
      <c r="AH410" t="s">
        <v>5305</v>
      </c>
      <c r="AI410" t="s">
        <v>5304</v>
      </c>
      <c r="AJ410" t="s">
        <v>5303</v>
      </c>
      <c r="AK410" t="s">
        <v>5302</v>
      </c>
      <c r="AL410">
        <v>0</v>
      </c>
      <c r="AM410" s="5">
        <f t="shared" si="51"/>
        <v>0</v>
      </c>
      <c r="AN410" s="4">
        <f t="shared" si="52"/>
        <v>0</v>
      </c>
      <c r="AO410" s="3"/>
      <c r="AP410">
        <v>0</v>
      </c>
      <c r="AR410" t="s">
        <v>1</v>
      </c>
      <c r="AT410" s="2" t="s">
        <v>0</v>
      </c>
      <c r="AU410" s="1">
        <f t="shared" si="53"/>
        <v>1.5322602172926507</v>
      </c>
      <c r="AV410" s="1">
        <f t="shared" si="54"/>
        <v>1.0944715837804648</v>
      </c>
      <c r="AW410" s="1">
        <f t="shared" si="55"/>
        <v>0.65668295026827894</v>
      </c>
    </row>
    <row r="411" spans="1:49" x14ac:dyDescent="0.2">
      <c r="A411">
        <v>409</v>
      </c>
      <c r="B411" t="s">
        <v>5301</v>
      </c>
      <c r="C411" t="s">
        <v>5300</v>
      </c>
      <c r="D411" t="s">
        <v>5299</v>
      </c>
      <c r="F411" t="s">
        <v>5298</v>
      </c>
      <c r="G411" t="s">
        <v>5</v>
      </c>
      <c r="H411" t="s">
        <v>4</v>
      </c>
      <c r="I411" t="s">
        <v>5297</v>
      </c>
      <c r="J411" t="s">
        <v>5296</v>
      </c>
      <c r="K411" t="s">
        <v>5295</v>
      </c>
      <c r="L411" t="s">
        <v>5294</v>
      </c>
      <c r="M411" t="s">
        <v>208</v>
      </c>
      <c r="N411">
        <v>3</v>
      </c>
      <c r="O411" t="s">
        <v>5293</v>
      </c>
      <c r="P411" t="s">
        <v>5292</v>
      </c>
      <c r="Q411" t="s">
        <v>5291</v>
      </c>
      <c r="R411" s="7">
        <v>36130</v>
      </c>
      <c r="S411" s="8">
        <f t="shared" si="48"/>
        <v>1998</v>
      </c>
      <c r="T411" s="8">
        <v>1998</v>
      </c>
      <c r="U411" s="8">
        <f t="shared" si="49"/>
        <v>24</v>
      </c>
      <c r="V411" s="7">
        <v>1998</v>
      </c>
      <c r="W411" t="s">
        <v>4770</v>
      </c>
      <c r="X411" s="2">
        <v>0.82</v>
      </c>
      <c r="Y411" s="6">
        <f t="shared" si="50"/>
        <v>2.1889431675609299E-2</v>
      </c>
      <c r="AA411">
        <v>189456</v>
      </c>
      <c r="AB411">
        <v>15361</v>
      </c>
      <c r="AD411" t="s">
        <v>2</v>
      </c>
      <c r="AE411">
        <v>47</v>
      </c>
      <c r="AF411">
        <v>2</v>
      </c>
      <c r="AH411" t="s">
        <v>5290</v>
      </c>
      <c r="AI411" t="s">
        <v>5289</v>
      </c>
      <c r="AK411" t="s">
        <v>5288</v>
      </c>
      <c r="AL411">
        <v>3</v>
      </c>
      <c r="AM411" s="5">
        <f t="shared" si="51"/>
        <v>0.125</v>
      </c>
      <c r="AN411" s="4">
        <f t="shared" si="52"/>
        <v>1.893222264293828E-4</v>
      </c>
      <c r="AO411" s="3"/>
      <c r="AP411">
        <v>0</v>
      </c>
      <c r="AR411" t="s">
        <v>1</v>
      </c>
      <c r="AT411" s="2" t="s">
        <v>0</v>
      </c>
      <c r="AU411" s="1">
        <f t="shared" si="53"/>
        <v>1.5379398840855323</v>
      </c>
      <c r="AV411" s="1">
        <f t="shared" si="54"/>
        <v>1.1039376951019342</v>
      </c>
      <c r="AW411" s="1">
        <f t="shared" si="55"/>
        <v>0.66993550611833574</v>
      </c>
    </row>
    <row r="412" spans="1:49" x14ac:dyDescent="0.2">
      <c r="A412">
        <v>410</v>
      </c>
      <c r="B412" t="s">
        <v>5287</v>
      </c>
      <c r="C412" t="s">
        <v>5286</v>
      </c>
      <c r="D412" t="s">
        <v>5285</v>
      </c>
      <c r="F412" t="s">
        <v>5284</v>
      </c>
      <c r="G412" t="s">
        <v>5</v>
      </c>
      <c r="H412" t="s">
        <v>4</v>
      </c>
      <c r="I412" t="s">
        <v>5283</v>
      </c>
      <c r="J412">
        <v>60088533</v>
      </c>
      <c r="K412" t="s">
        <v>5282</v>
      </c>
      <c r="L412" t="s">
        <v>40</v>
      </c>
      <c r="M412" t="s">
        <v>37</v>
      </c>
      <c r="N412">
        <v>1</v>
      </c>
      <c r="O412" t="s">
        <v>5281</v>
      </c>
      <c r="P412">
        <v>6506158379</v>
      </c>
      <c r="Q412">
        <v>60088533</v>
      </c>
      <c r="R412" s="7">
        <v>36130</v>
      </c>
      <c r="S412" s="8">
        <f t="shared" si="48"/>
        <v>1998</v>
      </c>
      <c r="T412" s="8">
        <v>1998</v>
      </c>
      <c r="U412" s="8">
        <f t="shared" si="49"/>
        <v>24</v>
      </c>
      <c r="V412" s="7">
        <v>1998</v>
      </c>
      <c r="W412" t="s">
        <v>4770</v>
      </c>
      <c r="X412" s="2">
        <v>0.82</v>
      </c>
      <c r="Y412" s="6">
        <f t="shared" si="50"/>
        <v>2.1889431675609299E-2</v>
      </c>
      <c r="AA412">
        <v>189456</v>
      </c>
      <c r="AB412">
        <v>15361</v>
      </c>
      <c r="AD412" t="s">
        <v>2</v>
      </c>
      <c r="AE412">
        <v>47</v>
      </c>
      <c r="AF412">
        <v>2</v>
      </c>
      <c r="AH412" t="s">
        <v>5280</v>
      </c>
      <c r="AI412" t="s">
        <v>5279</v>
      </c>
      <c r="AJ412" t="s">
        <v>5278</v>
      </c>
      <c r="AK412" t="s">
        <v>5277</v>
      </c>
      <c r="AL412">
        <v>8</v>
      </c>
      <c r="AM412" s="5">
        <f t="shared" si="51"/>
        <v>0.33333333333333331</v>
      </c>
      <c r="AN412" s="4">
        <f t="shared" si="52"/>
        <v>5.048592704783541E-4</v>
      </c>
      <c r="AO412" s="3"/>
      <c r="AP412">
        <v>0</v>
      </c>
      <c r="AR412" t="s">
        <v>1</v>
      </c>
      <c r="AT412" s="2" t="s">
        <v>0</v>
      </c>
      <c r="AU412" s="1">
        <f t="shared" si="53"/>
        <v>1.5474059954070014</v>
      </c>
      <c r="AV412" s="1">
        <f t="shared" si="54"/>
        <v>1.1197145473043826</v>
      </c>
      <c r="AW412" s="1">
        <f t="shared" si="55"/>
        <v>0.69202309920176364</v>
      </c>
    </row>
    <row r="413" spans="1:49" x14ac:dyDescent="0.2">
      <c r="A413">
        <v>411</v>
      </c>
      <c r="B413" t="s">
        <v>5276</v>
      </c>
      <c r="C413" t="s">
        <v>5275</v>
      </c>
      <c r="D413" t="s">
        <v>5274</v>
      </c>
      <c r="F413" t="s">
        <v>5273</v>
      </c>
      <c r="G413" t="s">
        <v>5</v>
      </c>
      <c r="H413" t="s">
        <v>4</v>
      </c>
      <c r="I413" t="s">
        <v>5272</v>
      </c>
      <c r="J413" t="s">
        <v>5271</v>
      </c>
      <c r="K413" t="s">
        <v>5270</v>
      </c>
      <c r="L413" t="s">
        <v>5269</v>
      </c>
      <c r="M413" t="s">
        <v>101</v>
      </c>
      <c r="N413">
        <v>4</v>
      </c>
      <c r="O413" t="s">
        <v>5268</v>
      </c>
      <c r="P413" t="s">
        <v>5267</v>
      </c>
      <c r="Q413" t="s">
        <v>5266</v>
      </c>
      <c r="R413" s="7">
        <v>36130</v>
      </c>
      <c r="S413" s="8">
        <f t="shared" si="48"/>
        <v>1998</v>
      </c>
      <c r="T413" s="8">
        <v>1998</v>
      </c>
      <c r="U413" s="8">
        <f t="shared" si="49"/>
        <v>24</v>
      </c>
      <c r="V413" s="7">
        <v>1998</v>
      </c>
      <c r="W413" t="s">
        <v>4558</v>
      </c>
      <c r="X413" s="2">
        <v>0.82799999999999996</v>
      </c>
      <c r="Y413" s="6">
        <f t="shared" si="50"/>
        <v>2.2102987106590855E-2</v>
      </c>
      <c r="AA413">
        <v>189383</v>
      </c>
      <c r="AB413">
        <v>26052</v>
      </c>
      <c r="AD413" t="s">
        <v>2</v>
      </c>
      <c r="AE413">
        <v>45</v>
      </c>
      <c r="AF413">
        <v>3</v>
      </c>
      <c r="AH413" t="s">
        <v>5265</v>
      </c>
      <c r="AI413" t="s">
        <v>5264</v>
      </c>
      <c r="AJ413" t="s">
        <v>5263</v>
      </c>
      <c r="AK413" t="s">
        <v>5262</v>
      </c>
      <c r="AL413">
        <v>0</v>
      </c>
      <c r="AM413" s="5">
        <f t="shared" si="51"/>
        <v>0</v>
      </c>
      <c r="AN413" s="4">
        <f t="shared" si="52"/>
        <v>0</v>
      </c>
      <c r="AO413" s="3"/>
      <c r="AP413">
        <v>0</v>
      </c>
      <c r="AR413" t="s">
        <v>1</v>
      </c>
      <c r="AT413" s="2">
        <v>2.9169999999999998</v>
      </c>
      <c r="AU413" s="1">
        <f t="shared" si="53"/>
        <v>1.5472090974613597</v>
      </c>
      <c r="AV413" s="1">
        <f t="shared" si="54"/>
        <v>1.1051493553295428</v>
      </c>
      <c r="AW413" s="1">
        <f t="shared" si="55"/>
        <v>0.66308961319772564</v>
      </c>
    </row>
    <row r="414" spans="1:49" x14ac:dyDescent="0.2">
      <c r="A414">
        <v>412</v>
      </c>
      <c r="B414" t="s">
        <v>5261</v>
      </c>
      <c r="C414" t="s">
        <v>5260</v>
      </c>
      <c r="D414" t="s">
        <v>5259</v>
      </c>
      <c r="F414" t="s">
        <v>5258</v>
      </c>
      <c r="G414" t="s">
        <v>5</v>
      </c>
      <c r="H414" t="s">
        <v>4</v>
      </c>
      <c r="I414" t="s">
        <v>5257</v>
      </c>
      <c r="J414">
        <v>60001439</v>
      </c>
      <c r="K414" t="s">
        <v>286</v>
      </c>
      <c r="L414" t="s">
        <v>285</v>
      </c>
      <c r="M414" t="s">
        <v>9</v>
      </c>
      <c r="N414">
        <v>1</v>
      </c>
      <c r="O414" t="s">
        <v>5256</v>
      </c>
      <c r="P414">
        <v>55925714300</v>
      </c>
      <c r="Q414">
        <v>60001439</v>
      </c>
      <c r="R414" s="7">
        <v>36130</v>
      </c>
      <c r="S414" s="8">
        <f t="shared" si="48"/>
        <v>1998</v>
      </c>
      <c r="T414" s="8">
        <v>1998</v>
      </c>
      <c r="U414" s="8">
        <f t="shared" si="49"/>
        <v>24</v>
      </c>
      <c r="V414" s="7">
        <v>1998</v>
      </c>
      <c r="W414" t="s">
        <v>649</v>
      </c>
      <c r="X414" s="2">
        <v>1.6519999999999999</v>
      </c>
      <c r="Y414" s="6">
        <f t="shared" si="50"/>
        <v>4.409919649769093E-2</v>
      </c>
      <c r="AA414" t="s">
        <v>648</v>
      </c>
      <c r="AB414">
        <v>17337</v>
      </c>
      <c r="AD414" t="s">
        <v>2</v>
      </c>
      <c r="AE414">
        <v>46</v>
      </c>
      <c r="AF414">
        <v>3</v>
      </c>
      <c r="AH414" t="s">
        <v>5255</v>
      </c>
      <c r="AI414" t="s">
        <v>5254</v>
      </c>
      <c r="AJ414" t="s">
        <v>5253</v>
      </c>
      <c r="AK414" t="s">
        <v>5252</v>
      </c>
      <c r="AL414">
        <v>74</v>
      </c>
      <c r="AM414" s="5">
        <f t="shared" si="51"/>
        <v>3.0833333333333335</v>
      </c>
      <c r="AN414" s="4">
        <f t="shared" si="52"/>
        <v>4.6699482519247763E-3</v>
      </c>
      <c r="AO414" s="3"/>
      <c r="AP414">
        <v>0</v>
      </c>
      <c r="AR414" t="s">
        <v>1</v>
      </c>
      <c r="AT414" s="2" t="s">
        <v>0</v>
      </c>
      <c r="AU414" s="1">
        <f t="shared" si="53"/>
        <v>3.2270422023961083</v>
      </c>
      <c r="AV414" s="1">
        <f t="shared" si="54"/>
        <v>2.4384572374807854</v>
      </c>
      <c r="AW414" s="1">
        <f t="shared" si="55"/>
        <v>1.649872272565462</v>
      </c>
    </row>
    <row r="415" spans="1:49" x14ac:dyDescent="0.2">
      <c r="A415">
        <v>413</v>
      </c>
      <c r="B415" t="s">
        <v>5251</v>
      </c>
      <c r="C415" t="s">
        <v>5250</v>
      </c>
      <c r="D415" t="s">
        <v>5249</v>
      </c>
      <c r="F415" t="s">
        <v>5248</v>
      </c>
      <c r="G415" t="s">
        <v>5</v>
      </c>
      <c r="H415" t="s">
        <v>4</v>
      </c>
      <c r="I415" t="s">
        <v>5247</v>
      </c>
      <c r="J415" t="s">
        <v>5246</v>
      </c>
      <c r="K415" t="s">
        <v>5245</v>
      </c>
      <c r="L415" t="s">
        <v>5244</v>
      </c>
      <c r="M415" t="s">
        <v>5243</v>
      </c>
      <c r="N415">
        <v>2</v>
      </c>
      <c r="O415" t="s">
        <v>5242</v>
      </c>
      <c r="P415" t="s">
        <v>5241</v>
      </c>
      <c r="Q415" t="s">
        <v>5240</v>
      </c>
      <c r="R415" s="7">
        <v>36130</v>
      </c>
      <c r="S415" s="8">
        <f t="shared" si="48"/>
        <v>1998</v>
      </c>
      <c r="T415" s="8">
        <v>1998</v>
      </c>
      <c r="U415" s="8">
        <f t="shared" si="49"/>
        <v>24</v>
      </c>
      <c r="V415" s="7">
        <v>1998</v>
      </c>
      <c r="W415" t="s">
        <v>649</v>
      </c>
      <c r="X415" s="2">
        <v>1.6519999999999999</v>
      </c>
      <c r="Y415" s="6">
        <f t="shared" si="50"/>
        <v>4.409919649769093E-2</v>
      </c>
      <c r="AA415" t="s">
        <v>648</v>
      </c>
      <c r="AB415">
        <v>17337</v>
      </c>
      <c r="AD415" t="s">
        <v>2</v>
      </c>
      <c r="AE415">
        <v>46</v>
      </c>
      <c r="AF415">
        <v>3</v>
      </c>
      <c r="AH415" t="s">
        <v>5239</v>
      </c>
      <c r="AI415" t="s">
        <v>5238</v>
      </c>
      <c r="AJ415" t="s">
        <v>5237</v>
      </c>
      <c r="AK415" t="s">
        <v>5236</v>
      </c>
      <c r="AL415">
        <v>23</v>
      </c>
      <c r="AM415" s="5">
        <f t="shared" si="51"/>
        <v>0.95833333333333337</v>
      </c>
      <c r="AN415" s="4">
        <f t="shared" si="52"/>
        <v>1.4514704026252683E-3</v>
      </c>
      <c r="AO415" s="3"/>
      <c r="AP415">
        <v>0</v>
      </c>
      <c r="AR415">
        <v>9040165</v>
      </c>
      <c r="AT415" s="2" t="s">
        <v>0</v>
      </c>
      <c r="AU415" s="1">
        <f t="shared" si="53"/>
        <v>3.1304878669171234</v>
      </c>
      <c r="AV415" s="1">
        <f t="shared" si="54"/>
        <v>2.2775333450158102</v>
      </c>
      <c r="AW415" s="1">
        <f t="shared" si="55"/>
        <v>1.4245788231144967</v>
      </c>
    </row>
    <row r="416" spans="1:49" x14ac:dyDescent="0.2">
      <c r="A416">
        <v>414</v>
      </c>
      <c r="B416" t="s">
        <v>5235</v>
      </c>
      <c r="C416" t="s">
        <v>5234</v>
      </c>
      <c r="D416" t="s">
        <v>5233</v>
      </c>
      <c r="F416" t="s">
        <v>5232</v>
      </c>
      <c r="G416" t="s">
        <v>5</v>
      </c>
      <c r="H416" t="s">
        <v>4</v>
      </c>
      <c r="I416" t="s">
        <v>5231</v>
      </c>
      <c r="J416">
        <v>60014655</v>
      </c>
      <c r="K416" t="s">
        <v>5230</v>
      </c>
      <c r="L416" t="s">
        <v>5229</v>
      </c>
      <c r="M416" t="s">
        <v>147</v>
      </c>
      <c r="N416">
        <v>3</v>
      </c>
      <c r="O416" t="s">
        <v>5228</v>
      </c>
      <c r="P416" t="s">
        <v>5227</v>
      </c>
      <c r="Q416" t="s">
        <v>5226</v>
      </c>
      <c r="R416" s="7">
        <v>36130</v>
      </c>
      <c r="S416" s="8">
        <f t="shared" si="48"/>
        <v>1998</v>
      </c>
      <c r="T416" s="8">
        <v>1998</v>
      </c>
      <c r="U416" s="8">
        <f t="shared" si="49"/>
        <v>24</v>
      </c>
      <c r="V416" s="7">
        <v>1998</v>
      </c>
      <c r="W416" t="s">
        <v>649</v>
      </c>
      <c r="X416" s="2">
        <v>1.6519999999999999</v>
      </c>
      <c r="Y416" s="6">
        <f t="shared" si="50"/>
        <v>4.409919649769093E-2</v>
      </c>
      <c r="AA416" t="s">
        <v>648</v>
      </c>
      <c r="AB416">
        <v>17337</v>
      </c>
      <c r="AD416" t="s">
        <v>2</v>
      </c>
      <c r="AE416">
        <v>46</v>
      </c>
      <c r="AF416">
        <v>3</v>
      </c>
      <c r="AH416" t="s">
        <v>5225</v>
      </c>
      <c r="AI416" t="s">
        <v>5224</v>
      </c>
      <c r="AJ416" t="s">
        <v>5223</v>
      </c>
      <c r="AK416" t="s">
        <v>5222</v>
      </c>
      <c r="AL416">
        <v>9</v>
      </c>
      <c r="AM416" s="5">
        <f t="shared" si="51"/>
        <v>0.375</v>
      </c>
      <c r="AN416" s="4">
        <f t="shared" si="52"/>
        <v>5.6796667928814845E-4</v>
      </c>
      <c r="AO416" s="3"/>
      <c r="AP416">
        <v>0</v>
      </c>
      <c r="AQ416" t="s">
        <v>5221</v>
      </c>
      <c r="AR416" t="s">
        <v>5220</v>
      </c>
      <c r="AS416" t="s">
        <v>5219</v>
      </c>
      <c r="AT416" s="2" t="s">
        <v>0</v>
      </c>
      <c r="AU416" s="1">
        <f t="shared" si="53"/>
        <v>3.1039827552170092</v>
      </c>
      <c r="AV416" s="1">
        <f t="shared" si="54"/>
        <v>2.2333581588489539</v>
      </c>
      <c r="AW416" s="1">
        <f t="shared" si="55"/>
        <v>1.3627335624808981</v>
      </c>
    </row>
    <row r="417" spans="1:49" x14ac:dyDescent="0.2">
      <c r="A417">
        <v>415</v>
      </c>
      <c r="B417" t="s">
        <v>5218</v>
      </c>
      <c r="C417" t="s">
        <v>5217</v>
      </c>
      <c r="D417" t="s">
        <v>5216</v>
      </c>
      <c r="F417" t="s">
        <v>5215</v>
      </c>
      <c r="G417" t="s">
        <v>5</v>
      </c>
      <c r="H417" t="s">
        <v>4</v>
      </c>
      <c r="I417" t="s">
        <v>5214</v>
      </c>
      <c r="J417" t="s">
        <v>5213</v>
      </c>
      <c r="K417" t="s">
        <v>5212</v>
      </c>
      <c r="L417" t="s">
        <v>5211</v>
      </c>
      <c r="M417" t="s">
        <v>6</v>
      </c>
      <c r="N417">
        <v>4</v>
      </c>
      <c r="O417" t="s">
        <v>5210</v>
      </c>
      <c r="P417" t="s">
        <v>5209</v>
      </c>
      <c r="Q417" t="s">
        <v>5208</v>
      </c>
      <c r="R417" s="7">
        <v>36130</v>
      </c>
      <c r="S417" s="8">
        <f t="shared" si="48"/>
        <v>1998</v>
      </c>
      <c r="T417" s="8">
        <v>1998</v>
      </c>
      <c r="U417" s="8">
        <f t="shared" si="49"/>
        <v>24</v>
      </c>
      <c r="V417" s="7">
        <v>1998</v>
      </c>
      <c r="W417" t="s">
        <v>5073</v>
      </c>
      <c r="X417" s="2">
        <v>1.218</v>
      </c>
      <c r="Y417" s="6">
        <f t="shared" si="50"/>
        <v>3.2513814366941618E-2</v>
      </c>
      <c r="AA417">
        <v>189448</v>
      </c>
      <c r="AB417">
        <v>15107</v>
      </c>
      <c r="AD417" t="s">
        <v>2</v>
      </c>
      <c r="AE417">
        <v>44</v>
      </c>
      <c r="AF417">
        <v>2</v>
      </c>
      <c r="AH417" t="s">
        <v>5207</v>
      </c>
      <c r="AI417" t="s">
        <v>5206</v>
      </c>
      <c r="AJ417" t="s">
        <v>5205</v>
      </c>
      <c r="AK417" t="s">
        <v>5204</v>
      </c>
      <c r="AL417">
        <v>118</v>
      </c>
      <c r="AM417" s="5">
        <f t="shared" si="51"/>
        <v>4.916666666666667</v>
      </c>
      <c r="AN417" s="4">
        <f t="shared" si="52"/>
        <v>7.4466742395557246E-3</v>
      </c>
      <c r="AO417" s="3"/>
      <c r="AP417">
        <v>0</v>
      </c>
      <c r="AR417" t="s">
        <v>5203</v>
      </c>
      <c r="AT417" s="2" t="s">
        <v>0</v>
      </c>
      <c r="AU417" s="1">
        <f t="shared" si="53"/>
        <v>2.4993672328725847</v>
      </c>
      <c r="AV417" s="1">
        <f t="shared" si="54"/>
        <v>1.9980244303248671</v>
      </c>
      <c r="AW417" s="1">
        <f t="shared" si="55"/>
        <v>1.4966816277771491</v>
      </c>
    </row>
    <row r="418" spans="1:49" x14ac:dyDescent="0.2">
      <c r="A418">
        <v>416</v>
      </c>
      <c r="B418" t="s">
        <v>5202</v>
      </c>
      <c r="C418" t="s">
        <v>5201</v>
      </c>
      <c r="D418" t="s">
        <v>5200</v>
      </c>
      <c r="F418" t="s">
        <v>5199</v>
      </c>
      <c r="G418" t="s">
        <v>5</v>
      </c>
      <c r="H418" t="s">
        <v>4</v>
      </c>
      <c r="I418" t="s">
        <v>5198</v>
      </c>
      <c r="J418">
        <v>60074719</v>
      </c>
      <c r="K418" t="s">
        <v>5197</v>
      </c>
      <c r="L418" t="s">
        <v>5196</v>
      </c>
      <c r="M418" t="s">
        <v>9</v>
      </c>
      <c r="N418">
        <v>2</v>
      </c>
      <c r="O418" t="s">
        <v>5195</v>
      </c>
      <c r="P418" t="s">
        <v>5194</v>
      </c>
      <c r="Q418" t="s">
        <v>5193</v>
      </c>
      <c r="R418" s="7">
        <v>36130</v>
      </c>
      <c r="S418" s="8">
        <f t="shared" si="48"/>
        <v>1998</v>
      </c>
      <c r="T418" s="8">
        <v>1998</v>
      </c>
      <c r="U418" s="8">
        <f t="shared" si="49"/>
        <v>24</v>
      </c>
      <c r="V418" s="7">
        <v>1998</v>
      </c>
      <c r="W418" t="s">
        <v>492</v>
      </c>
      <c r="X418" s="2">
        <v>0.78200000000000003</v>
      </c>
      <c r="Y418" s="6">
        <f t="shared" si="50"/>
        <v>2.0875043378446919E-2</v>
      </c>
      <c r="AA418">
        <v>189316</v>
      </c>
      <c r="AB418">
        <v>19901</v>
      </c>
      <c r="AD418" t="s">
        <v>2</v>
      </c>
      <c r="AE418">
        <v>44</v>
      </c>
      <c r="AF418">
        <v>1</v>
      </c>
      <c r="AH418" t="s">
        <v>5192</v>
      </c>
      <c r="AI418" t="s">
        <v>5191</v>
      </c>
      <c r="AK418" t="s">
        <v>5190</v>
      </c>
      <c r="AL418">
        <v>6</v>
      </c>
      <c r="AM418" s="5">
        <f t="shared" si="51"/>
        <v>0.25</v>
      </c>
      <c r="AN418" s="4">
        <f t="shared" si="52"/>
        <v>3.786444528587656E-4</v>
      </c>
      <c r="AO418" s="3"/>
      <c r="AP418">
        <v>0</v>
      </c>
      <c r="AR418" t="s">
        <v>1</v>
      </c>
      <c r="AT418" s="2">
        <v>3.863</v>
      </c>
      <c r="AU418" s="1">
        <f t="shared" si="53"/>
        <v>1.4726123700770473</v>
      </c>
      <c r="AV418" s="1">
        <f t="shared" si="54"/>
        <v>1.0626843915652842</v>
      </c>
      <c r="AW418" s="1">
        <f t="shared" si="55"/>
        <v>0.65275641305352117</v>
      </c>
    </row>
    <row r="419" spans="1:49" x14ac:dyDescent="0.2">
      <c r="A419">
        <v>417</v>
      </c>
      <c r="B419" t="s">
        <v>5189</v>
      </c>
      <c r="C419" t="s">
        <v>5188</v>
      </c>
      <c r="D419" t="s">
        <v>5187</v>
      </c>
      <c r="F419" t="s">
        <v>5186</v>
      </c>
      <c r="G419" t="s">
        <v>5</v>
      </c>
      <c r="H419" t="s">
        <v>4</v>
      </c>
      <c r="I419" t="s">
        <v>5185</v>
      </c>
      <c r="J419">
        <v>60010491</v>
      </c>
      <c r="K419" t="s">
        <v>5184</v>
      </c>
      <c r="L419" t="s">
        <v>5183</v>
      </c>
      <c r="M419" t="s">
        <v>9</v>
      </c>
      <c r="N419">
        <v>3</v>
      </c>
      <c r="O419" t="s">
        <v>5182</v>
      </c>
      <c r="P419" t="s">
        <v>5181</v>
      </c>
      <c r="Q419" t="s">
        <v>5180</v>
      </c>
      <c r="R419" s="7">
        <v>36130</v>
      </c>
      <c r="S419" s="8">
        <f t="shared" si="48"/>
        <v>1998</v>
      </c>
      <c r="T419" s="8">
        <v>1998</v>
      </c>
      <c r="U419" s="8">
        <f t="shared" si="49"/>
        <v>24</v>
      </c>
      <c r="V419" s="7">
        <v>1998</v>
      </c>
      <c r="W419" t="s">
        <v>649</v>
      </c>
      <c r="X419" s="2">
        <v>1.6519999999999999</v>
      </c>
      <c r="Y419" s="6">
        <f t="shared" si="50"/>
        <v>4.409919649769093E-2</v>
      </c>
      <c r="AA419" t="s">
        <v>648</v>
      </c>
      <c r="AB419">
        <v>17337</v>
      </c>
      <c r="AD419" t="s">
        <v>2</v>
      </c>
      <c r="AE419">
        <v>46</v>
      </c>
      <c r="AF419">
        <v>3</v>
      </c>
      <c r="AH419" t="s">
        <v>5179</v>
      </c>
      <c r="AI419" t="s">
        <v>5178</v>
      </c>
      <c r="AJ419" t="s">
        <v>5177</v>
      </c>
      <c r="AK419" t="s">
        <v>5176</v>
      </c>
      <c r="AL419">
        <v>8</v>
      </c>
      <c r="AM419" s="5">
        <f t="shared" si="51"/>
        <v>0.33333333333333331</v>
      </c>
      <c r="AN419" s="4">
        <f t="shared" si="52"/>
        <v>5.048592704783541E-4</v>
      </c>
      <c r="AO419" s="3"/>
      <c r="AP419">
        <v>0</v>
      </c>
      <c r="AQ419" t="s">
        <v>17</v>
      </c>
      <c r="AR419" t="s">
        <v>5175</v>
      </c>
      <c r="AS419" t="s">
        <v>16</v>
      </c>
      <c r="AT419" s="2" t="s">
        <v>0</v>
      </c>
      <c r="AU419" s="1">
        <f t="shared" si="53"/>
        <v>3.1020895329527156</v>
      </c>
      <c r="AV419" s="1">
        <f t="shared" si="54"/>
        <v>2.2302027884084641</v>
      </c>
      <c r="AW419" s="1">
        <f t="shared" si="55"/>
        <v>1.3583160438642126</v>
      </c>
    </row>
    <row r="420" spans="1:49" x14ac:dyDescent="0.2">
      <c r="A420">
        <v>418</v>
      </c>
      <c r="B420" t="s">
        <v>5174</v>
      </c>
      <c r="C420" t="s">
        <v>5173</v>
      </c>
      <c r="D420" t="s">
        <v>5172</v>
      </c>
      <c r="F420" t="s">
        <v>5171</v>
      </c>
      <c r="G420" t="s">
        <v>5</v>
      </c>
      <c r="H420" t="s">
        <v>4</v>
      </c>
      <c r="I420" t="s">
        <v>754</v>
      </c>
      <c r="J420">
        <v>60013983</v>
      </c>
      <c r="K420" t="s">
        <v>34</v>
      </c>
      <c r="L420" t="s">
        <v>33</v>
      </c>
      <c r="M420" t="s">
        <v>32</v>
      </c>
      <c r="N420">
        <v>2</v>
      </c>
      <c r="O420" t="s">
        <v>5170</v>
      </c>
      <c r="P420" t="s">
        <v>5169</v>
      </c>
      <c r="Q420" t="s">
        <v>4053</v>
      </c>
      <c r="R420" s="7">
        <v>36130</v>
      </c>
      <c r="S420" s="8">
        <f t="shared" si="48"/>
        <v>1998</v>
      </c>
      <c r="T420" s="8">
        <v>1998</v>
      </c>
      <c r="U420" s="8">
        <f t="shared" si="49"/>
        <v>24</v>
      </c>
      <c r="V420" s="7">
        <v>1998</v>
      </c>
      <c r="W420" t="s">
        <v>649</v>
      </c>
      <c r="X420" s="2">
        <v>1.6519999999999999</v>
      </c>
      <c r="Y420" s="6">
        <f t="shared" si="50"/>
        <v>4.409919649769093E-2</v>
      </c>
      <c r="AA420" t="s">
        <v>648</v>
      </c>
      <c r="AB420">
        <v>17337</v>
      </c>
      <c r="AD420" t="s">
        <v>2</v>
      </c>
      <c r="AE420">
        <v>46</v>
      </c>
      <c r="AF420">
        <v>3</v>
      </c>
      <c r="AH420" t="s">
        <v>5168</v>
      </c>
      <c r="AI420" t="s">
        <v>5167</v>
      </c>
      <c r="AJ420" t="s">
        <v>5166</v>
      </c>
      <c r="AK420" t="s">
        <v>5165</v>
      </c>
      <c r="AL420">
        <v>3</v>
      </c>
      <c r="AM420" s="5">
        <f t="shared" si="51"/>
        <v>0.125</v>
      </c>
      <c r="AN420" s="4">
        <f t="shared" si="52"/>
        <v>1.893222264293828E-4</v>
      </c>
      <c r="AO420" s="3"/>
      <c r="AP420">
        <v>0</v>
      </c>
      <c r="AQ420" t="s">
        <v>5164</v>
      </c>
      <c r="AR420" t="s">
        <v>1</v>
      </c>
      <c r="AS420" t="s">
        <v>5163</v>
      </c>
      <c r="AT420" s="2" t="s">
        <v>0</v>
      </c>
      <c r="AU420" s="1">
        <f t="shared" si="53"/>
        <v>3.0926234216312465</v>
      </c>
      <c r="AV420" s="1">
        <f t="shared" si="54"/>
        <v>2.2144259362060157</v>
      </c>
      <c r="AW420" s="1">
        <f t="shared" si="55"/>
        <v>1.3362284507807847</v>
      </c>
    </row>
    <row r="421" spans="1:49" x14ac:dyDescent="0.2">
      <c r="A421">
        <v>419</v>
      </c>
      <c r="B421" t="s">
        <v>5162</v>
      </c>
      <c r="C421" t="s">
        <v>5161</v>
      </c>
      <c r="D421" t="s">
        <v>5160</v>
      </c>
      <c r="F421" t="s">
        <v>5159</v>
      </c>
      <c r="G421" t="s">
        <v>5</v>
      </c>
      <c r="H421" t="s">
        <v>4</v>
      </c>
      <c r="I421" t="s">
        <v>5158</v>
      </c>
      <c r="J421">
        <v>60033191</v>
      </c>
      <c r="K421" t="s">
        <v>546</v>
      </c>
      <c r="L421" t="s">
        <v>427</v>
      </c>
      <c r="M421" t="s">
        <v>155</v>
      </c>
      <c r="N421">
        <v>1</v>
      </c>
      <c r="O421" t="s">
        <v>5157</v>
      </c>
      <c r="P421">
        <v>6602972521</v>
      </c>
      <c r="Q421">
        <v>60033191</v>
      </c>
      <c r="R421" s="7">
        <v>36130</v>
      </c>
      <c r="S421" s="8">
        <f t="shared" si="48"/>
        <v>1998</v>
      </c>
      <c r="T421" s="8">
        <v>1998</v>
      </c>
      <c r="U421" s="8">
        <f t="shared" si="49"/>
        <v>24</v>
      </c>
      <c r="V421" s="7">
        <v>1998</v>
      </c>
      <c r="W421" t="s">
        <v>649</v>
      </c>
      <c r="X421" s="2">
        <v>1.6519999999999999</v>
      </c>
      <c r="Y421" s="6">
        <f t="shared" si="50"/>
        <v>4.409919649769093E-2</v>
      </c>
      <c r="AA421" t="s">
        <v>648</v>
      </c>
      <c r="AB421">
        <v>17337</v>
      </c>
      <c r="AD421" t="s">
        <v>2</v>
      </c>
      <c r="AE421">
        <v>46</v>
      </c>
      <c r="AF421">
        <v>3</v>
      </c>
      <c r="AH421" t="s">
        <v>496</v>
      </c>
      <c r="AI421" t="s">
        <v>5156</v>
      </c>
      <c r="AK421" t="s">
        <v>5155</v>
      </c>
      <c r="AL421">
        <v>11</v>
      </c>
      <c r="AM421" s="5">
        <f t="shared" si="51"/>
        <v>0.45833333333333331</v>
      </c>
      <c r="AN421" s="4">
        <f t="shared" si="52"/>
        <v>6.9418149690773695E-4</v>
      </c>
      <c r="AO421" s="3"/>
      <c r="AP421">
        <v>0</v>
      </c>
      <c r="AR421" t="s">
        <v>1</v>
      </c>
      <c r="AT421" s="2" t="s">
        <v>0</v>
      </c>
      <c r="AU421" s="1">
        <f t="shared" si="53"/>
        <v>3.1077691997455972</v>
      </c>
      <c r="AV421" s="1">
        <f t="shared" si="54"/>
        <v>2.2396688997299337</v>
      </c>
      <c r="AW421" s="1">
        <f t="shared" si="55"/>
        <v>1.3715685997142693</v>
      </c>
    </row>
    <row r="422" spans="1:49" x14ac:dyDescent="0.2">
      <c r="A422">
        <v>420</v>
      </c>
      <c r="B422" t="s">
        <v>5154</v>
      </c>
      <c r="C422" t="s">
        <v>5153</v>
      </c>
      <c r="D422" t="s">
        <v>5152</v>
      </c>
      <c r="F422" t="s">
        <v>5151</v>
      </c>
      <c r="G422" t="s">
        <v>5</v>
      </c>
      <c r="H422" t="s">
        <v>4</v>
      </c>
      <c r="I422" t="s">
        <v>5150</v>
      </c>
      <c r="J422">
        <v>60012708</v>
      </c>
      <c r="K422" t="s">
        <v>42</v>
      </c>
      <c r="L422" t="s">
        <v>41</v>
      </c>
      <c r="M422" t="s">
        <v>9</v>
      </c>
      <c r="N422">
        <v>3</v>
      </c>
      <c r="O422" t="s">
        <v>5149</v>
      </c>
      <c r="P422" t="s">
        <v>5148</v>
      </c>
      <c r="Q422" t="s">
        <v>169</v>
      </c>
      <c r="R422" s="7">
        <v>36130</v>
      </c>
      <c r="S422" s="8">
        <f t="shared" si="48"/>
        <v>1998</v>
      </c>
      <c r="T422" s="8">
        <v>1998</v>
      </c>
      <c r="U422" s="8">
        <f t="shared" si="49"/>
        <v>24</v>
      </c>
      <c r="V422" s="7">
        <v>1998</v>
      </c>
      <c r="W422" t="s">
        <v>2191</v>
      </c>
      <c r="X422" s="2">
        <v>1.6379999999999999</v>
      </c>
      <c r="Y422" s="6">
        <f t="shared" si="50"/>
        <v>4.3725474493473214E-2</v>
      </c>
      <c r="AA422" t="s">
        <v>2190</v>
      </c>
      <c r="AB422">
        <v>17391</v>
      </c>
      <c r="AD422" t="s">
        <v>2</v>
      </c>
      <c r="AE422">
        <v>46</v>
      </c>
      <c r="AF422">
        <v>3</v>
      </c>
      <c r="AH422" t="s">
        <v>5147</v>
      </c>
      <c r="AI422" t="s">
        <v>5146</v>
      </c>
      <c r="AJ422" t="s">
        <v>5145</v>
      </c>
      <c r="AK422" t="s">
        <v>5144</v>
      </c>
      <c r="AL422">
        <v>197</v>
      </c>
      <c r="AM422" s="5">
        <f t="shared" si="51"/>
        <v>8.2083333333333339</v>
      </c>
      <c r="AN422" s="4">
        <f t="shared" si="52"/>
        <v>1.2432159535529471E-2</v>
      </c>
      <c r="AO422" s="3"/>
      <c r="AP422">
        <v>0</v>
      </c>
      <c r="AQ422" t="s">
        <v>17</v>
      </c>
      <c r="AR422" t="s">
        <v>5143</v>
      </c>
      <c r="AS422" t="s">
        <v>16</v>
      </c>
      <c r="AT422" s="2">
        <v>4.931</v>
      </c>
      <c r="AU422" s="1">
        <f t="shared" si="53"/>
        <v>3.4337480006090089</v>
      </c>
      <c r="AV422" s="1">
        <f t="shared" si="54"/>
        <v>2.8078817014501345</v>
      </c>
      <c r="AW422" s="1">
        <f t="shared" si="55"/>
        <v>2.1820154022912592</v>
      </c>
    </row>
    <row r="423" spans="1:49" x14ac:dyDescent="0.2">
      <c r="A423">
        <v>421</v>
      </c>
      <c r="B423" t="s">
        <v>5142</v>
      </c>
      <c r="C423" t="s">
        <v>5141</v>
      </c>
      <c r="D423" t="s">
        <v>5140</v>
      </c>
      <c r="F423" t="s">
        <v>5139</v>
      </c>
      <c r="G423" t="s">
        <v>5</v>
      </c>
      <c r="H423" t="s">
        <v>4</v>
      </c>
      <c r="I423" t="s">
        <v>5138</v>
      </c>
      <c r="J423" t="s">
        <v>5137</v>
      </c>
      <c r="K423" t="s">
        <v>5136</v>
      </c>
      <c r="L423" t="s">
        <v>5135</v>
      </c>
      <c r="M423" t="s">
        <v>5134</v>
      </c>
      <c r="N423">
        <v>21</v>
      </c>
      <c r="O423" t="s">
        <v>5133</v>
      </c>
      <c r="P423" t="s">
        <v>5132</v>
      </c>
      <c r="Q423" t="s">
        <v>5131</v>
      </c>
      <c r="R423" s="7">
        <v>36130</v>
      </c>
      <c r="S423" s="8">
        <f t="shared" si="48"/>
        <v>1998</v>
      </c>
      <c r="T423" s="8">
        <v>1998</v>
      </c>
      <c r="U423" s="8">
        <f t="shared" si="49"/>
        <v>24</v>
      </c>
      <c r="V423" s="7">
        <v>1998</v>
      </c>
      <c r="W423" t="s">
        <v>5130</v>
      </c>
      <c r="X423" s="2">
        <v>0.50600000000000001</v>
      </c>
      <c r="Y423" s="6">
        <f t="shared" si="50"/>
        <v>1.35073810095833E-2</v>
      </c>
      <c r="AA423">
        <v>10638210</v>
      </c>
      <c r="AB423">
        <v>12300</v>
      </c>
      <c r="AD423" t="s">
        <v>2</v>
      </c>
      <c r="AE423">
        <v>6</v>
      </c>
      <c r="AF423">
        <v>1</v>
      </c>
      <c r="AH423" s="10">
        <v>42887</v>
      </c>
      <c r="AI423" t="s">
        <v>5129</v>
      </c>
      <c r="AJ423" t="s">
        <v>5128</v>
      </c>
      <c r="AK423" t="s">
        <v>5127</v>
      </c>
      <c r="AL423">
        <v>2</v>
      </c>
      <c r="AM423" s="5">
        <f t="shared" si="51"/>
        <v>8.3333333333333329E-2</v>
      </c>
      <c r="AN423" s="4">
        <f t="shared" si="52"/>
        <v>1.2621481761958852E-4</v>
      </c>
      <c r="AO423" s="3"/>
      <c r="AP423">
        <v>0</v>
      </c>
      <c r="AQ423" t="s">
        <v>49</v>
      </c>
      <c r="AR423" t="s">
        <v>1</v>
      </c>
      <c r="AS423" t="s">
        <v>48</v>
      </c>
      <c r="AT423" s="2" t="s">
        <v>0</v>
      </c>
      <c r="AU423" s="1">
        <f t="shared" si="53"/>
        <v>0.94930311519941857</v>
      </c>
      <c r="AV423" s="1">
        <f t="shared" si="54"/>
        <v>0.68167979136014445</v>
      </c>
      <c r="AW423" s="1">
        <f t="shared" si="55"/>
        <v>0.41405646752087016</v>
      </c>
    </row>
    <row r="424" spans="1:49" x14ac:dyDescent="0.2">
      <c r="A424">
        <v>422</v>
      </c>
      <c r="B424" t="s">
        <v>5126</v>
      </c>
      <c r="C424" t="s">
        <v>5125</v>
      </c>
      <c r="D424" t="s">
        <v>5124</v>
      </c>
      <c r="F424" t="s">
        <v>5123</v>
      </c>
      <c r="G424" t="s">
        <v>5</v>
      </c>
      <c r="H424" t="s">
        <v>4</v>
      </c>
      <c r="I424" t="s">
        <v>5122</v>
      </c>
      <c r="J424">
        <v>60021080</v>
      </c>
      <c r="K424" t="s">
        <v>5121</v>
      </c>
      <c r="L424" t="s">
        <v>5120</v>
      </c>
      <c r="M424" t="s">
        <v>9</v>
      </c>
      <c r="N424">
        <v>1</v>
      </c>
      <c r="O424" t="s">
        <v>5119</v>
      </c>
      <c r="P424">
        <v>6701843222</v>
      </c>
      <c r="Q424">
        <v>60021080</v>
      </c>
      <c r="R424" s="7">
        <v>36130</v>
      </c>
      <c r="S424" s="8">
        <f t="shared" si="48"/>
        <v>1998</v>
      </c>
      <c r="T424" s="8">
        <v>1998</v>
      </c>
      <c r="U424" s="8">
        <f t="shared" si="49"/>
        <v>24</v>
      </c>
      <c r="V424" s="7">
        <v>1998</v>
      </c>
      <c r="W424" t="s">
        <v>649</v>
      </c>
      <c r="X424" s="2">
        <v>1.6519999999999999</v>
      </c>
      <c r="Y424" s="6">
        <f t="shared" si="50"/>
        <v>4.409919649769093E-2</v>
      </c>
      <c r="AA424" t="s">
        <v>648</v>
      </c>
      <c r="AB424">
        <v>17337</v>
      </c>
      <c r="AD424" t="s">
        <v>2</v>
      </c>
      <c r="AE424">
        <v>46</v>
      </c>
      <c r="AF424">
        <v>3</v>
      </c>
      <c r="AH424" t="s">
        <v>5118</v>
      </c>
      <c r="AI424" t="s">
        <v>5117</v>
      </c>
      <c r="AJ424" t="s">
        <v>5116</v>
      </c>
      <c r="AK424" t="s">
        <v>5115</v>
      </c>
      <c r="AL424">
        <v>7</v>
      </c>
      <c r="AM424" s="5">
        <f t="shared" si="51"/>
        <v>0.29166666666666669</v>
      </c>
      <c r="AN424" s="4">
        <f t="shared" si="52"/>
        <v>4.417518616685599E-4</v>
      </c>
      <c r="AO424" s="3"/>
      <c r="AP424">
        <v>0</v>
      </c>
      <c r="AR424" t="s">
        <v>1</v>
      </c>
      <c r="AT424" s="2" t="s">
        <v>0</v>
      </c>
      <c r="AU424" s="1">
        <f t="shared" si="53"/>
        <v>3.1001963106884216</v>
      </c>
      <c r="AV424" s="1">
        <f t="shared" si="54"/>
        <v>2.2270474179679747</v>
      </c>
      <c r="AW424" s="1">
        <f t="shared" si="55"/>
        <v>1.3538985252475271</v>
      </c>
    </row>
    <row r="425" spans="1:49" x14ac:dyDescent="0.2">
      <c r="A425">
        <v>423</v>
      </c>
      <c r="B425" t="s">
        <v>5114</v>
      </c>
      <c r="C425" t="s">
        <v>5113</v>
      </c>
      <c r="D425" t="s">
        <v>5112</v>
      </c>
      <c r="F425" t="s">
        <v>5111</v>
      </c>
      <c r="G425" t="s">
        <v>5</v>
      </c>
      <c r="H425" t="s">
        <v>4</v>
      </c>
      <c r="I425" t="s">
        <v>5110</v>
      </c>
      <c r="J425">
        <v>60025063</v>
      </c>
      <c r="K425" t="s">
        <v>5109</v>
      </c>
      <c r="L425" t="s">
        <v>5108</v>
      </c>
      <c r="M425" t="s">
        <v>51</v>
      </c>
      <c r="N425">
        <v>2</v>
      </c>
      <c r="O425" t="s">
        <v>5107</v>
      </c>
      <c r="P425" t="s">
        <v>5106</v>
      </c>
      <c r="Q425" t="s">
        <v>5105</v>
      </c>
      <c r="R425" s="7">
        <v>36130</v>
      </c>
      <c r="S425" s="8">
        <f t="shared" si="48"/>
        <v>1998</v>
      </c>
      <c r="T425" s="8">
        <v>1998</v>
      </c>
      <c r="U425" s="8">
        <f t="shared" si="49"/>
        <v>24</v>
      </c>
      <c r="V425" s="7">
        <v>1998</v>
      </c>
      <c r="W425" t="s">
        <v>649</v>
      </c>
      <c r="X425" s="2">
        <v>1.6519999999999999</v>
      </c>
      <c r="Y425" s="6">
        <f t="shared" si="50"/>
        <v>4.409919649769093E-2</v>
      </c>
      <c r="AA425" t="s">
        <v>648</v>
      </c>
      <c r="AB425">
        <v>17337</v>
      </c>
      <c r="AD425" t="s">
        <v>2</v>
      </c>
      <c r="AE425">
        <v>46</v>
      </c>
      <c r="AF425">
        <v>3</v>
      </c>
      <c r="AH425" t="s">
        <v>5104</v>
      </c>
      <c r="AI425" t="s">
        <v>5103</v>
      </c>
      <c r="AJ425" t="s">
        <v>5102</v>
      </c>
      <c r="AK425" t="s">
        <v>5101</v>
      </c>
      <c r="AL425">
        <v>22</v>
      </c>
      <c r="AM425" s="5">
        <f t="shared" si="51"/>
        <v>0.91666666666666663</v>
      </c>
      <c r="AN425" s="4">
        <f t="shared" si="52"/>
        <v>1.3883629938154739E-3</v>
      </c>
      <c r="AO425" s="3"/>
      <c r="AP425">
        <v>0</v>
      </c>
      <c r="AR425" t="s">
        <v>1</v>
      </c>
      <c r="AT425" s="2" t="s">
        <v>0</v>
      </c>
      <c r="AU425" s="1">
        <f t="shared" si="53"/>
        <v>3.1285946446528294</v>
      </c>
      <c r="AV425" s="1">
        <f t="shared" si="54"/>
        <v>2.2743779745753203</v>
      </c>
      <c r="AW425" s="1">
        <f t="shared" si="55"/>
        <v>1.420161304497811</v>
      </c>
    </row>
    <row r="426" spans="1:49" x14ac:dyDescent="0.2">
      <c r="A426">
        <v>424</v>
      </c>
      <c r="B426" t="s">
        <v>5100</v>
      </c>
      <c r="C426" t="s">
        <v>5099</v>
      </c>
      <c r="F426" t="s">
        <v>5098</v>
      </c>
      <c r="G426" t="s">
        <v>5</v>
      </c>
      <c r="H426" t="s">
        <v>4</v>
      </c>
      <c r="I426" t="s">
        <v>5097</v>
      </c>
      <c r="J426">
        <v>60076904</v>
      </c>
      <c r="K426" t="s">
        <v>5096</v>
      </c>
      <c r="L426" t="s">
        <v>5095</v>
      </c>
      <c r="M426" t="s">
        <v>9</v>
      </c>
      <c r="N426">
        <v>2</v>
      </c>
      <c r="O426" t="s">
        <v>5094</v>
      </c>
      <c r="P426" t="s">
        <v>5093</v>
      </c>
      <c r="Q426" t="s">
        <v>5092</v>
      </c>
      <c r="R426" s="7">
        <v>36130</v>
      </c>
      <c r="S426" s="8">
        <f t="shared" si="48"/>
        <v>1998</v>
      </c>
      <c r="T426" s="8">
        <v>1998</v>
      </c>
      <c r="U426" s="8">
        <f t="shared" si="49"/>
        <v>24</v>
      </c>
      <c r="V426" s="7">
        <v>1998</v>
      </c>
      <c r="W426" t="s">
        <v>1593</v>
      </c>
      <c r="X426" s="2">
        <v>0.39600000000000002</v>
      </c>
      <c r="Y426" s="6">
        <f t="shared" si="50"/>
        <v>1.0570993833586931E-2</v>
      </c>
      <c r="AA426">
        <v>8858985</v>
      </c>
      <c r="AB426">
        <v>25993</v>
      </c>
      <c r="AD426" t="s">
        <v>2</v>
      </c>
      <c r="AE426">
        <v>13</v>
      </c>
      <c r="AF426">
        <v>3</v>
      </c>
      <c r="AH426" t="s">
        <v>87</v>
      </c>
      <c r="AI426" t="s">
        <v>5091</v>
      </c>
      <c r="AK426" t="s">
        <v>5090</v>
      </c>
      <c r="AL426">
        <v>11</v>
      </c>
      <c r="AM426" s="5">
        <f t="shared" si="51"/>
        <v>0.45833333333333331</v>
      </c>
      <c r="AN426" s="4">
        <f t="shared" si="52"/>
        <v>6.9418149690773695E-4</v>
      </c>
      <c r="AO426" s="3"/>
      <c r="AP426">
        <v>0</v>
      </c>
      <c r="AR426" t="s">
        <v>1</v>
      </c>
      <c r="AT426" s="2" t="s">
        <v>0</v>
      </c>
      <c r="AU426" s="1">
        <f t="shared" si="53"/>
        <v>0.76079501325831722</v>
      </c>
      <c r="AV426" s="1">
        <f t="shared" si="54"/>
        <v>0.56325876652473339</v>
      </c>
      <c r="AW426" s="1">
        <f t="shared" si="55"/>
        <v>0.3657225197911495</v>
      </c>
    </row>
    <row r="427" spans="1:49" x14ac:dyDescent="0.2">
      <c r="A427">
        <v>425</v>
      </c>
      <c r="B427" t="s">
        <v>5089</v>
      </c>
      <c r="C427" t="s">
        <v>5088</v>
      </c>
      <c r="D427" t="s">
        <v>5087</v>
      </c>
      <c r="F427" t="s">
        <v>5086</v>
      </c>
      <c r="G427" t="s">
        <v>5</v>
      </c>
      <c r="H427" t="s">
        <v>4</v>
      </c>
      <c r="I427" t="s">
        <v>1689</v>
      </c>
      <c r="J427" t="s">
        <v>2873</v>
      </c>
      <c r="K427" t="s">
        <v>2872</v>
      </c>
      <c r="L427" t="s">
        <v>2871</v>
      </c>
      <c r="M427" t="s">
        <v>6</v>
      </c>
      <c r="N427">
        <v>3</v>
      </c>
      <c r="O427" t="s">
        <v>5085</v>
      </c>
      <c r="P427" t="s">
        <v>5084</v>
      </c>
      <c r="Q427" t="s">
        <v>5083</v>
      </c>
      <c r="R427" s="7">
        <v>36130</v>
      </c>
      <c r="S427" s="8">
        <f t="shared" si="48"/>
        <v>1998</v>
      </c>
      <c r="T427" s="8">
        <v>1998</v>
      </c>
      <c r="U427" s="8">
        <f t="shared" si="49"/>
        <v>24</v>
      </c>
      <c r="V427" s="7">
        <v>1998</v>
      </c>
      <c r="W427" t="s">
        <v>5073</v>
      </c>
      <c r="X427" s="2">
        <v>1.218</v>
      </c>
      <c r="Y427" s="6">
        <f t="shared" si="50"/>
        <v>3.2513814366941618E-2</v>
      </c>
      <c r="AA427">
        <v>189448</v>
      </c>
      <c r="AB427">
        <v>15107</v>
      </c>
      <c r="AD427" t="s">
        <v>2</v>
      </c>
      <c r="AE427">
        <v>44</v>
      </c>
      <c r="AF427">
        <v>2</v>
      </c>
      <c r="AH427" t="s">
        <v>5082</v>
      </c>
      <c r="AI427" t="s">
        <v>5081</v>
      </c>
      <c r="AJ427" t="s">
        <v>5080</v>
      </c>
      <c r="AK427" t="s">
        <v>5079</v>
      </c>
      <c r="AL427">
        <v>5916</v>
      </c>
      <c r="AM427" s="5">
        <f t="shared" si="51"/>
        <v>246.5</v>
      </c>
      <c r="AN427" s="4">
        <f t="shared" si="52"/>
        <v>0.37334343051874291</v>
      </c>
      <c r="AO427" s="3"/>
      <c r="AP427">
        <v>0</v>
      </c>
      <c r="AR427" t="s">
        <v>1</v>
      </c>
      <c r="AT427" s="2" t="s">
        <v>0</v>
      </c>
      <c r="AU427" s="1">
        <f t="shared" si="53"/>
        <v>13.4762699212482</v>
      </c>
      <c r="AV427" s="1">
        <f t="shared" si="54"/>
        <v>20.292862244284226</v>
      </c>
      <c r="AW427" s="1">
        <f t="shared" si="55"/>
        <v>27.109454567320252</v>
      </c>
    </row>
    <row r="428" spans="1:49" x14ac:dyDescent="0.2">
      <c r="A428">
        <v>426</v>
      </c>
      <c r="B428" t="s">
        <v>5078</v>
      </c>
      <c r="C428" t="s">
        <v>5077</v>
      </c>
      <c r="D428" t="s">
        <v>5076</v>
      </c>
      <c r="F428" t="s">
        <v>5075</v>
      </c>
      <c r="G428" t="s">
        <v>5</v>
      </c>
      <c r="H428" t="s">
        <v>4</v>
      </c>
      <c r="I428" t="s">
        <v>2887</v>
      </c>
      <c r="J428">
        <v>60003269</v>
      </c>
      <c r="K428" t="s">
        <v>154</v>
      </c>
      <c r="L428" t="s">
        <v>26</v>
      </c>
      <c r="M428" t="s">
        <v>9</v>
      </c>
      <c r="N428">
        <v>2</v>
      </c>
      <c r="O428" t="s">
        <v>5074</v>
      </c>
      <c r="P428" t="s">
        <v>2885</v>
      </c>
      <c r="Q428" t="s">
        <v>153</v>
      </c>
      <c r="R428" s="7">
        <v>36130</v>
      </c>
      <c r="S428" s="8">
        <f t="shared" si="48"/>
        <v>1998</v>
      </c>
      <c r="T428" s="8">
        <v>1998</v>
      </c>
      <c r="U428" s="8">
        <f t="shared" si="49"/>
        <v>24</v>
      </c>
      <c r="V428" s="7">
        <v>1998</v>
      </c>
      <c r="W428" t="s">
        <v>5073</v>
      </c>
      <c r="X428" s="2">
        <v>1.218</v>
      </c>
      <c r="Y428" s="6">
        <f t="shared" si="50"/>
        <v>3.2513814366941618E-2</v>
      </c>
      <c r="AA428">
        <v>189448</v>
      </c>
      <c r="AB428">
        <v>15107</v>
      </c>
      <c r="AD428" t="s">
        <v>2</v>
      </c>
      <c r="AE428">
        <v>44</v>
      </c>
      <c r="AF428">
        <v>2</v>
      </c>
      <c r="AH428" t="s">
        <v>5072</v>
      </c>
      <c r="AI428" t="s">
        <v>5071</v>
      </c>
      <c r="AJ428" t="s">
        <v>5070</v>
      </c>
      <c r="AK428" t="s">
        <v>5069</v>
      </c>
      <c r="AL428">
        <v>646</v>
      </c>
      <c r="AM428" s="5">
        <f t="shared" si="51"/>
        <v>26.916666666666668</v>
      </c>
      <c r="AN428" s="4">
        <f t="shared" si="52"/>
        <v>4.0767386091127102E-2</v>
      </c>
      <c r="AO428" s="3"/>
      <c r="AP428">
        <v>0</v>
      </c>
      <c r="AQ428" t="s">
        <v>22</v>
      </c>
      <c r="AR428" t="s">
        <v>5068</v>
      </c>
      <c r="AS428" t="s">
        <v>21</v>
      </c>
      <c r="AT428" s="2" t="s">
        <v>0</v>
      </c>
      <c r="AU428" s="1">
        <f t="shared" si="53"/>
        <v>3.498988588419726</v>
      </c>
      <c r="AV428" s="1">
        <f t="shared" si="54"/>
        <v>3.6640600229034357</v>
      </c>
      <c r="AW428" s="1">
        <f t="shared" si="55"/>
        <v>3.8291314573871458</v>
      </c>
    </row>
    <row r="429" spans="1:49" x14ac:dyDescent="0.2">
      <c r="A429">
        <v>427</v>
      </c>
      <c r="B429" t="s">
        <v>5067</v>
      </c>
      <c r="C429" t="s">
        <v>5066</v>
      </c>
      <c r="D429" t="s">
        <v>5065</v>
      </c>
      <c r="F429" t="s">
        <v>5064</v>
      </c>
      <c r="G429" t="s">
        <v>5</v>
      </c>
      <c r="H429" t="s">
        <v>4</v>
      </c>
      <c r="I429" t="s">
        <v>5063</v>
      </c>
      <c r="J429" t="s">
        <v>5059</v>
      </c>
      <c r="K429" t="s">
        <v>5062</v>
      </c>
      <c r="L429" t="s">
        <v>545</v>
      </c>
      <c r="M429" t="s">
        <v>50</v>
      </c>
      <c r="N429">
        <v>2</v>
      </c>
      <c r="O429" t="s">
        <v>5061</v>
      </c>
      <c r="P429" t="s">
        <v>5060</v>
      </c>
      <c r="Q429" t="s">
        <v>5059</v>
      </c>
      <c r="R429" s="7">
        <v>36130</v>
      </c>
      <c r="S429" s="8">
        <f t="shared" si="48"/>
        <v>1998</v>
      </c>
      <c r="T429" s="8">
        <v>1998</v>
      </c>
      <c r="U429" s="8">
        <f t="shared" si="49"/>
        <v>24</v>
      </c>
      <c r="V429" s="7">
        <v>1998</v>
      </c>
      <c r="W429" t="s">
        <v>649</v>
      </c>
      <c r="X429" s="2">
        <v>1.6519999999999999</v>
      </c>
      <c r="Y429" s="6">
        <f t="shared" si="50"/>
        <v>4.409919649769093E-2</v>
      </c>
      <c r="AA429" t="s">
        <v>648</v>
      </c>
      <c r="AB429">
        <v>17337</v>
      </c>
      <c r="AD429" t="s">
        <v>2</v>
      </c>
      <c r="AE429">
        <v>46</v>
      </c>
      <c r="AF429">
        <v>3</v>
      </c>
      <c r="AH429" t="s">
        <v>5058</v>
      </c>
      <c r="AI429" t="s">
        <v>5057</v>
      </c>
      <c r="AJ429" t="s">
        <v>5056</v>
      </c>
      <c r="AK429" t="s">
        <v>5055</v>
      </c>
      <c r="AL429">
        <v>68</v>
      </c>
      <c r="AM429" s="5">
        <f t="shared" si="51"/>
        <v>2.8333333333333335</v>
      </c>
      <c r="AN429" s="4">
        <f t="shared" si="52"/>
        <v>4.2913037990660102E-3</v>
      </c>
      <c r="AO429" s="3"/>
      <c r="AP429">
        <v>0</v>
      </c>
      <c r="AR429" t="s">
        <v>1</v>
      </c>
      <c r="AT429" s="2" t="s">
        <v>0</v>
      </c>
      <c r="AU429" s="1">
        <f t="shared" si="53"/>
        <v>3.2156828688103456</v>
      </c>
      <c r="AV429" s="1">
        <f t="shared" si="54"/>
        <v>2.4195250148378471</v>
      </c>
      <c r="AW429" s="1">
        <f t="shared" si="55"/>
        <v>1.6233671608653486</v>
      </c>
    </row>
    <row r="430" spans="1:49" x14ac:dyDescent="0.2">
      <c r="A430">
        <v>428</v>
      </c>
      <c r="B430" t="s">
        <v>5054</v>
      </c>
      <c r="C430" t="s">
        <v>5053</v>
      </c>
      <c r="D430" t="s">
        <v>5052</v>
      </c>
      <c r="F430" t="s">
        <v>5051</v>
      </c>
      <c r="G430" t="s">
        <v>5</v>
      </c>
      <c r="H430" t="s">
        <v>4</v>
      </c>
      <c r="I430" t="s">
        <v>5050</v>
      </c>
      <c r="J430" t="s">
        <v>5049</v>
      </c>
      <c r="K430" t="s">
        <v>5048</v>
      </c>
      <c r="L430" t="s">
        <v>5047</v>
      </c>
      <c r="M430" t="s">
        <v>101</v>
      </c>
      <c r="N430">
        <v>4</v>
      </c>
      <c r="O430" t="s">
        <v>5046</v>
      </c>
      <c r="P430" t="s">
        <v>5045</v>
      </c>
      <c r="Q430" t="s">
        <v>5044</v>
      </c>
      <c r="R430" s="7">
        <v>36130</v>
      </c>
      <c r="S430" s="8">
        <f t="shared" si="48"/>
        <v>1998</v>
      </c>
      <c r="T430" s="8">
        <v>1998</v>
      </c>
      <c r="U430" s="8">
        <f t="shared" si="49"/>
        <v>24</v>
      </c>
      <c r="V430" s="7">
        <v>1998</v>
      </c>
      <c r="W430" t="s">
        <v>4558</v>
      </c>
      <c r="X430" s="2">
        <v>0.82799999999999996</v>
      </c>
      <c r="Y430" s="6">
        <f t="shared" si="50"/>
        <v>2.2102987106590855E-2</v>
      </c>
      <c r="AA430">
        <v>189383</v>
      </c>
      <c r="AB430">
        <v>26052</v>
      </c>
      <c r="AD430" t="s">
        <v>2</v>
      </c>
      <c r="AE430">
        <v>45</v>
      </c>
      <c r="AF430">
        <v>3</v>
      </c>
      <c r="AH430" t="s">
        <v>5043</v>
      </c>
      <c r="AI430" t="s">
        <v>5042</v>
      </c>
      <c r="AK430" t="s">
        <v>5041</v>
      </c>
      <c r="AL430">
        <v>20</v>
      </c>
      <c r="AM430" s="5">
        <f t="shared" si="51"/>
        <v>0.83333333333333337</v>
      </c>
      <c r="AN430" s="4">
        <f t="shared" si="52"/>
        <v>1.2621481761958854E-3</v>
      </c>
      <c r="AO430" s="3"/>
      <c r="AP430">
        <v>0</v>
      </c>
      <c r="AR430" t="s">
        <v>1</v>
      </c>
      <c r="AT430" s="2">
        <v>2.9169999999999998</v>
      </c>
      <c r="AU430" s="1">
        <f t="shared" si="53"/>
        <v>1.5850735427472364</v>
      </c>
      <c r="AV430" s="1">
        <f t="shared" si="54"/>
        <v>1.1682567641393371</v>
      </c>
      <c r="AW430" s="1">
        <f t="shared" si="55"/>
        <v>0.75143998553143765</v>
      </c>
    </row>
    <row r="431" spans="1:49" x14ac:dyDescent="0.2">
      <c r="A431">
        <v>429</v>
      </c>
      <c r="B431" t="s">
        <v>5040</v>
      </c>
      <c r="C431" t="s">
        <v>5039</v>
      </c>
      <c r="D431" t="s">
        <v>5038</v>
      </c>
      <c r="F431" t="s">
        <v>5037</v>
      </c>
      <c r="G431" t="s">
        <v>5</v>
      </c>
      <c r="H431" t="s">
        <v>4</v>
      </c>
      <c r="I431" t="s">
        <v>5036</v>
      </c>
      <c r="J431">
        <v>60032179</v>
      </c>
      <c r="K431" t="s">
        <v>44</v>
      </c>
      <c r="L431" t="s">
        <v>43</v>
      </c>
      <c r="M431" t="s">
        <v>9</v>
      </c>
      <c r="N431">
        <v>2</v>
      </c>
      <c r="O431" t="s">
        <v>5035</v>
      </c>
      <c r="P431" t="s">
        <v>5034</v>
      </c>
      <c r="Q431" t="s">
        <v>81</v>
      </c>
      <c r="R431" s="7">
        <v>36130</v>
      </c>
      <c r="S431" s="8">
        <f t="shared" si="48"/>
        <v>1998</v>
      </c>
      <c r="T431" s="8">
        <v>1998</v>
      </c>
      <c r="U431" s="8">
        <f t="shared" si="49"/>
        <v>24</v>
      </c>
      <c r="V431" s="7">
        <v>1998</v>
      </c>
      <c r="W431" t="s">
        <v>649</v>
      </c>
      <c r="X431" s="2">
        <v>1.6519999999999999</v>
      </c>
      <c r="Y431" s="6">
        <f t="shared" si="50"/>
        <v>4.409919649769093E-2</v>
      </c>
      <c r="AA431" t="s">
        <v>648</v>
      </c>
      <c r="AB431">
        <v>17337</v>
      </c>
      <c r="AD431" t="s">
        <v>2</v>
      </c>
      <c r="AE431">
        <v>46</v>
      </c>
      <c r="AF431">
        <v>3</v>
      </c>
      <c r="AH431" t="s">
        <v>5033</v>
      </c>
      <c r="AI431" t="s">
        <v>5032</v>
      </c>
      <c r="AJ431" t="s">
        <v>5031</v>
      </c>
      <c r="AK431" t="s">
        <v>5030</v>
      </c>
      <c r="AL431">
        <v>11</v>
      </c>
      <c r="AM431" s="5">
        <f t="shared" si="51"/>
        <v>0.45833333333333331</v>
      </c>
      <c r="AN431" s="4">
        <f t="shared" si="52"/>
        <v>6.9418149690773695E-4</v>
      </c>
      <c r="AO431" s="3"/>
      <c r="AP431">
        <v>0</v>
      </c>
      <c r="AR431" t="s">
        <v>1</v>
      </c>
      <c r="AT431" s="2" t="s">
        <v>0</v>
      </c>
      <c r="AU431" s="1">
        <f t="shared" si="53"/>
        <v>3.1077691997455972</v>
      </c>
      <c r="AV431" s="1">
        <f t="shared" si="54"/>
        <v>2.2396688997299337</v>
      </c>
      <c r="AW431" s="1">
        <f t="shared" si="55"/>
        <v>1.3715685997142693</v>
      </c>
    </row>
    <row r="432" spans="1:49" x14ac:dyDescent="0.2">
      <c r="A432">
        <v>430</v>
      </c>
      <c r="B432" t="s">
        <v>5029</v>
      </c>
      <c r="C432" t="s">
        <v>5028</v>
      </c>
      <c r="D432" t="s">
        <v>5027</v>
      </c>
      <c r="F432" t="s">
        <v>5026</v>
      </c>
      <c r="G432" t="s">
        <v>5</v>
      </c>
      <c r="H432" t="s">
        <v>4</v>
      </c>
      <c r="I432" t="s">
        <v>5025</v>
      </c>
      <c r="J432">
        <v>60017592</v>
      </c>
      <c r="K432" t="s">
        <v>549</v>
      </c>
      <c r="L432" t="s">
        <v>198</v>
      </c>
      <c r="M432" t="s">
        <v>15</v>
      </c>
      <c r="N432">
        <v>4</v>
      </c>
      <c r="O432" t="s">
        <v>5024</v>
      </c>
      <c r="P432" t="s">
        <v>5023</v>
      </c>
      <c r="Q432" t="s">
        <v>5022</v>
      </c>
      <c r="R432" s="7">
        <v>36130</v>
      </c>
      <c r="S432" s="8">
        <f t="shared" si="48"/>
        <v>1998</v>
      </c>
      <c r="T432" s="8">
        <v>1998</v>
      </c>
      <c r="U432" s="8">
        <f t="shared" si="49"/>
        <v>24</v>
      </c>
      <c r="V432" s="7">
        <v>1998</v>
      </c>
      <c r="W432" t="s">
        <v>492</v>
      </c>
      <c r="X432" s="2">
        <v>0.78200000000000003</v>
      </c>
      <c r="Y432" s="6">
        <f t="shared" si="50"/>
        <v>2.0875043378446919E-2</v>
      </c>
      <c r="AA432">
        <v>189316</v>
      </c>
      <c r="AB432">
        <v>19901</v>
      </c>
      <c r="AD432" t="s">
        <v>2</v>
      </c>
      <c r="AE432">
        <v>44</v>
      </c>
      <c r="AF432">
        <v>1</v>
      </c>
      <c r="AH432" s="10">
        <v>44531</v>
      </c>
      <c r="AI432" t="s">
        <v>5021</v>
      </c>
      <c r="AK432" t="s">
        <v>5020</v>
      </c>
      <c r="AL432">
        <v>39</v>
      </c>
      <c r="AM432" s="5">
        <f t="shared" si="51"/>
        <v>1.625</v>
      </c>
      <c r="AN432" s="4">
        <f t="shared" si="52"/>
        <v>2.4611889435819764E-3</v>
      </c>
      <c r="AO432" s="3"/>
      <c r="AP432">
        <v>0</v>
      </c>
      <c r="AR432" t="s">
        <v>1</v>
      </c>
      <c r="AT432" s="2">
        <v>3.863</v>
      </c>
      <c r="AU432" s="1">
        <f t="shared" si="53"/>
        <v>1.5350887047987434</v>
      </c>
      <c r="AV432" s="1">
        <f t="shared" si="54"/>
        <v>1.1668116161014448</v>
      </c>
      <c r="AW432" s="1">
        <f t="shared" si="55"/>
        <v>0.79853452740414588</v>
      </c>
    </row>
    <row r="433" spans="1:49" x14ac:dyDescent="0.2">
      <c r="A433">
        <v>431</v>
      </c>
      <c r="B433" t="s">
        <v>5019</v>
      </c>
      <c r="C433" t="s">
        <v>5018</v>
      </c>
      <c r="D433" t="s">
        <v>5017</v>
      </c>
      <c r="F433" t="s">
        <v>5016</v>
      </c>
      <c r="G433" t="s">
        <v>5</v>
      </c>
      <c r="H433" t="s">
        <v>4</v>
      </c>
      <c r="I433" t="s">
        <v>275</v>
      </c>
      <c r="J433">
        <v>60012370</v>
      </c>
      <c r="K433" t="s">
        <v>172</v>
      </c>
      <c r="L433" t="s">
        <v>171</v>
      </c>
      <c r="M433" t="s">
        <v>128</v>
      </c>
      <c r="N433">
        <v>2</v>
      </c>
      <c r="O433" t="s">
        <v>5015</v>
      </c>
      <c r="P433" t="s">
        <v>5014</v>
      </c>
      <c r="Q433" t="s">
        <v>372</v>
      </c>
      <c r="R433" s="7">
        <v>36130</v>
      </c>
      <c r="S433" s="8">
        <f t="shared" si="48"/>
        <v>1998</v>
      </c>
      <c r="T433" s="8">
        <v>1998</v>
      </c>
      <c r="U433" s="8">
        <f t="shared" si="49"/>
        <v>24</v>
      </c>
      <c r="V433" s="7">
        <v>1998</v>
      </c>
      <c r="W433" t="s">
        <v>649</v>
      </c>
      <c r="X433" s="2">
        <v>1.6519999999999999</v>
      </c>
      <c r="Y433" s="6">
        <f t="shared" si="50"/>
        <v>4.409919649769093E-2</v>
      </c>
      <c r="AA433" t="s">
        <v>648</v>
      </c>
      <c r="AB433">
        <v>17337</v>
      </c>
      <c r="AD433" t="s">
        <v>2</v>
      </c>
      <c r="AE433">
        <v>46</v>
      </c>
      <c r="AF433">
        <v>3</v>
      </c>
      <c r="AH433" t="s">
        <v>5013</v>
      </c>
      <c r="AI433" t="s">
        <v>5012</v>
      </c>
      <c r="AJ433" t="s">
        <v>4850</v>
      </c>
      <c r="AK433" t="s">
        <v>5011</v>
      </c>
      <c r="AL433">
        <v>58</v>
      </c>
      <c r="AM433" s="5">
        <f t="shared" si="51"/>
        <v>2.4166666666666665</v>
      </c>
      <c r="AN433" s="4">
        <f t="shared" si="52"/>
        <v>3.6602297109680675E-3</v>
      </c>
      <c r="AO433" s="3"/>
      <c r="AP433">
        <v>0</v>
      </c>
      <c r="AQ433" t="s">
        <v>114</v>
      </c>
      <c r="AR433" t="s">
        <v>5010</v>
      </c>
      <c r="AS433" t="s">
        <v>113</v>
      </c>
      <c r="AT433" s="2" t="s">
        <v>0</v>
      </c>
      <c r="AU433" s="1">
        <f t="shared" si="53"/>
        <v>3.1967506461674073</v>
      </c>
      <c r="AV433" s="1">
        <f t="shared" si="54"/>
        <v>2.3879713104329499</v>
      </c>
      <c r="AW433" s="1">
        <f t="shared" si="55"/>
        <v>1.5791919746984926</v>
      </c>
    </row>
    <row r="434" spans="1:49" x14ac:dyDescent="0.2">
      <c r="A434">
        <v>432</v>
      </c>
      <c r="B434" t="s">
        <v>5009</v>
      </c>
      <c r="C434" t="s">
        <v>5008</v>
      </c>
      <c r="F434" t="s">
        <v>5007</v>
      </c>
      <c r="G434" t="s">
        <v>5</v>
      </c>
      <c r="H434" t="s">
        <v>4</v>
      </c>
      <c r="I434" t="s">
        <v>5006</v>
      </c>
      <c r="J434">
        <v>100749954</v>
      </c>
      <c r="K434" t="s">
        <v>5005</v>
      </c>
      <c r="L434" t="s">
        <v>5004</v>
      </c>
      <c r="M434" t="s">
        <v>9</v>
      </c>
      <c r="N434">
        <v>1</v>
      </c>
      <c r="O434" t="s">
        <v>5003</v>
      </c>
      <c r="P434">
        <v>8266831600</v>
      </c>
      <c r="Q434">
        <v>100749954</v>
      </c>
      <c r="R434" s="7">
        <v>36130</v>
      </c>
      <c r="S434" s="8">
        <f t="shared" si="48"/>
        <v>1998</v>
      </c>
      <c r="T434" s="8">
        <v>1998</v>
      </c>
      <c r="U434" s="8">
        <f t="shared" si="49"/>
        <v>24</v>
      </c>
      <c r="V434" s="7">
        <v>1998</v>
      </c>
      <c r="W434" t="s">
        <v>55</v>
      </c>
      <c r="X434" s="2">
        <v>0.88100000000000001</v>
      </c>
      <c r="Y434" s="6">
        <f t="shared" si="50"/>
        <v>2.3517791836843653E-2</v>
      </c>
      <c r="AA434">
        <v>10459243</v>
      </c>
      <c r="AB434">
        <v>17248</v>
      </c>
      <c r="AD434" t="s">
        <v>2</v>
      </c>
      <c r="AE434">
        <v>40</v>
      </c>
      <c r="AF434">
        <v>1</v>
      </c>
      <c r="AH434" t="s">
        <v>5002</v>
      </c>
      <c r="AI434" t="s">
        <v>5001</v>
      </c>
      <c r="AJ434" t="s">
        <v>5000</v>
      </c>
      <c r="AK434" t="s">
        <v>4999</v>
      </c>
      <c r="AL434">
        <v>3</v>
      </c>
      <c r="AM434" s="5">
        <f t="shared" si="51"/>
        <v>0.125</v>
      </c>
      <c r="AN434" s="4">
        <f t="shared" si="52"/>
        <v>1.893222264293828E-4</v>
      </c>
      <c r="AO434" s="3"/>
      <c r="AP434">
        <v>0</v>
      </c>
      <c r="AR434" t="s">
        <v>1</v>
      </c>
      <c r="AT434" s="2" t="s">
        <v>0</v>
      </c>
      <c r="AU434" s="1">
        <f t="shared" si="53"/>
        <v>1.6519250953719371</v>
      </c>
      <c r="AV434" s="1">
        <f t="shared" si="54"/>
        <v>1.1853557031636519</v>
      </c>
      <c r="AW434" s="1">
        <f t="shared" si="55"/>
        <v>0.71878631095536638</v>
      </c>
    </row>
    <row r="435" spans="1:49" x14ac:dyDescent="0.2">
      <c r="A435">
        <v>433</v>
      </c>
      <c r="B435" t="s">
        <v>4998</v>
      </c>
      <c r="C435" t="s">
        <v>4997</v>
      </c>
      <c r="F435" t="s">
        <v>4996</v>
      </c>
      <c r="G435" t="s">
        <v>5</v>
      </c>
      <c r="H435" t="s">
        <v>4</v>
      </c>
      <c r="I435" t="s">
        <v>4995</v>
      </c>
      <c r="J435">
        <v>60025778</v>
      </c>
      <c r="K435" t="s">
        <v>409</v>
      </c>
      <c r="L435" t="s">
        <v>408</v>
      </c>
      <c r="M435" t="s">
        <v>9</v>
      </c>
      <c r="N435">
        <v>3</v>
      </c>
      <c r="O435" t="s">
        <v>4994</v>
      </c>
      <c r="P435" t="s">
        <v>4993</v>
      </c>
      <c r="Q435" t="s">
        <v>407</v>
      </c>
      <c r="R435" s="7">
        <v>36130</v>
      </c>
      <c r="S435" s="8">
        <f t="shared" si="48"/>
        <v>1998</v>
      </c>
      <c r="T435" s="8">
        <v>1998</v>
      </c>
      <c r="U435" s="8">
        <f t="shared" si="49"/>
        <v>24</v>
      </c>
      <c r="V435" s="7">
        <v>1998</v>
      </c>
      <c r="W435" t="s">
        <v>55</v>
      </c>
      <c r="X435" s="2">
        <v>0.88100000000000001</v>
      </c>
      <c r="Y435" s="6">
        <f t="shared" si="50"/>
        <v>2.3517791836843653E-2</v>
      </c>
      <c r="AA435">
        <v>10459243</v>
      </c>
      <c r="AB435">
        <v>17248</v>
      </c>
      <c r="AD435" t="s">
        <v>2</v>
      </c>
      <c r="AE435">
        <v>40</v>
      </c>
      <c r="AF435">
        <v>1</v>
      </c>
      <c r="AH435" t="s">
        <v>107</v>
      </c>
      <c r="AI435" t="s">
        <v>4992</v>
      </c>
      <c r="AJ435" t="s">
        <v>4991</v>
      </c>
      <c r="AK435" t="s">
        <v>4990</v>
      </c>
      <c r="AL435">
        <v>49</v>
      </c>
      <c r="AM435" s="5">
        <f t="shared" si="51"/>
        <v>2.0416666666666665</v>
      </c>
      <c r="AN435" s="4">
        <f t="shared" si="52"/>
        <v>3.0922630316799191E-3</v>
      </c>
      <c r="AO435" s="3"/>
      <c r="AP435">
        <v>0</v>
      </c>
      <c r="AQ435" t="s">
        <v>4989</v>
      </c>
      <c r="AR435" t="s">
        <v>1</v>
      </c>
      <c r="AS435" t="s">
        <v>4988</v>
      </c>
      <c r="AT435" s="2" t="s">
        <v>0</v>
      </c>
      <c r="AU435" s="1">
        <f t="shared" si="53"/>
        <v>1.7390133195294533</v>
      </c>
      <c r="AV435" s="1">
        <f t="shared" si="54"/>
        <v>1.3305027434261787</v>
      </c>
      <c r="AW435" s="1">
        <f t="shared" si="55"/>
        <v>0.9219921673229039</v>
      </c>
    </row>
    <row r="436" spans="1:49" x14ac:dyDescent="0.2">
      <c r="A436">
        <v>434</v>
      </c>
      <c r="B436" t="s">
        <v>4987</v>
      </c>
      <c r="C436" t="s">
        <v>4986</v>
      </c>
      <c r="F436" t="s">
        <v>4985</v>
      </c>
      <c r="G436" t="s">
        <v>5</v>
      </c>
      <c r="H436" t="s">
        <v>4</v>
      </c>
      <c r="I436" t="s">
        <v>4984</v>
      </c>
      <c r="J436" t="s">
        <v>4983</v>
      </c>
      <c r="K436" t="s">
        <v>4982</v>
      </c>
      <c r="L436" t="s">
        <v>4981</v>
      </c>
      <c r="M436" t="s">
        <v>4606</v>
      </c>
      <c r="N436">
        <v>2</v>
      </c>
      <c r="O436" t="s">
        <v>4980</v>
      </c>
      <c r="P436" t="s">
        <v>4979</v>
      </c>
      <c r="Q436" t="s">
        <v>4978</v>
      </c>
      <c r="R436" s="7">
        <v>36130</v>
      </c>
      <c r="S436" s="8">
        <f t="shared" si="48"/>
        <v>1998</v>
      </c>
      <c r="T436" s="8">
        <v>1998</v>
      </c>
      <c r="U436" s="8">
        <f t="shared" si="49"/>
        <v>24</v>
      </c>
      <c r="V436" s="7">
        <v>1998</v>
      </c>
      <c r="W436" t="s">
        <v>55</v>
      </c>
      <c r="X436" s="2">
        <v>0.88100000000000001</v>
      </c>
      <c r="Y436" s="6">
        <f t="shared" si="50"/>
        <v>2.3517791836843653E-2</v>
      </c>
      <c r="AA436">
        <v>10459243</v>
      </c>
      <c r="AB436">
        <v>17248</v>
      </c>
      <c r="AD436" t="s">
        <v>2</v>
      </c>
      <c r="AE436">
        <v>40</v>
      </c>
      <c r="AF436">
        <v>1</v>
      </c>
      <c r="AH436" s="10">
        <v>44378</v>
      </c>
      <c r="AI436" t="s">
        <v>4977</v>
      </c>
      <c r="AJ436" t="s">
        <v>4976</v>
      </c>
      <c r="AK436" t="s">
        <v>4975</v>
      </c>
      <c r="AL436">
        <v>52</v>
      </c>
      <c r="AM436" s="5">
        <f t="shared" si="51"/>
        <v>2.1666666666666665</v>
      </c>
      <c r="AN436" s="4">
        <f t="shared" si="52"/>
        <v>3.2815852581093018E-3</v>
      </c>
      <c r="AO436" s="3"/>
      <c r="AP436">
        <v>0</v>
      </c>
      <c r="AR436" t="s">
        <v>1</v>
      </c>
      <c r="AT436" s="2" t="s">
        <v>0</v>
      </c>
      <c r="AU436" s="1">
        <f t="shared" si="53"/>
        <v>1.7446929863223346</v>
      </c>
      <c r="AV436" s="1">
        <f t="shared" si="54"/>
        <v>1.3399688547476478</v>
      </c>
      <c r="AW436" s="1">
        <f t="shared" si="55"/>
        <v>0.93524472317296081</v>
      </c>
    </row>
    <row r="437" spans="1:49" x14ac:dyDescent="0.2">
      <c r="A437">
        <v>435</v>
      </c>
      <c r="B437" t="s">
        <v>4974</v>
      </c>
      <c r="C437" t="s">
        <v>4973</v>
      </c>
      <c r="D437" t="s">
        <v>4972</v>
      </c>
      <c r="F437" t="s">
        <v>4971</v>
      </c>
      <c r="G437" t="s">
        <v>5</v>
      </c>
      <c r="H437" t="s">
        <v>4</v>
      </c>
      <c r="I437" t="s">
        <v>4970</v>
      </c>
      <c r="J437" t="s">
        <v>4969</v>
      </c>
      <c r="K437" t="s">
        <v>4968</v>
      </c>
      <c r="L437" t="s">
        <v>4967</v>
      </c>
      <c r="M437" t="s">
        <v>4966</v>
      </c>
      <c r="N437">
        <v>3</v>
      </c>
      <c r="O437" t="s">
        <v>4965</v>
      </c>
      <c r="P437" t="s">
        <v>4964</v>
      </c>
      <c r="Q437" t="s">
        <v>4963</v>
      </c>
      <c r="R437" s="7">
        <v>36130</v>
      </c>
      <c r="S437" s="8">
        <f t="shared" si="48"/>
        <v>1998</v>
      </c>
      <c r="T437" s="8">
        <v>1998</v>
      </c>
      <c r="U437" s="8">
        <f t="shared" si="49"/>
        <v>24</v>
      </c>
      <c r="V437" s="7">
        <v>1998</v>
      </c>
      <c r="W437" t="s">
        <v>649</v>
      </c>
      <c r="X437" s="2">
        <v>1.6519999999999999</v>
      </c>
      <c r="Y437" s="6">
        <f t="shared" si="50"/>
        <v>4.409919649769093E-2</v>
      </c>
      <c r="AA437" t="s">
        <v>648</v>
      </c>
      <c r="AB437">
        <v>17337</v>
      </c>
      <c r="AD437" t="s">
        <v>2</v>
      </c>
      <c r="AE437">
        <v>46</v>
      </c>
      <c r="AF437">
        <v>2</v>
      </c>
      <c r="AH437" t="s">
        <v>4962</v>
      </c>
      <c r="AI437" t="s">
        <v>4961</v>
      </c>
      <c r="AJ437" t="s">
        <v>4960</v>
      </c>
      <c r="AK437" t="s">
        <v>4959</v>
      </c>
      <c r="AL437">
        <v>5</v>
      </c>
      <c r="AM437" s="5">
        <f t="shared" si="51"/>
        <v>0.20833333333333334</v>
      </c>
      <c r="AN437" s="4">
        <f t="shared" si="52"/>
        <v>3.1553704404897135E-4</v>
      </c>
      <c r="AO437" s="3"/>
      <c r="AP437">
        <v>0</v>
      </c>
      <c r="AQ437" t="s">
        <v>374</v>
      </c>
      <c r="AR437" t="s">
        <v>4958</v>
      </c>
      <c r="AS437" t="s">
        <v>373</v>
      </c>
      <c r="AT437" s="2" t="s">
        <v>0</v>
      </c>
      <c r="AU437" s="1">
        <f t="shared" si="53"/>
        <v>3.096409866159834</v>
      </c>
      <c r="AV437" s="1">
        <f t="shared" si="54"/>
        <v>2.220736677086995</v>
      </c>
      <c r="AW437" s="1">
        <f t="shared" si="55"/>
        <v>1.3450634880141559</v>
      </c>
    </row>
    <row r="438" spans="1:49" x14ac:dyDescent="0.2">
      <c r="A438">
        <v>436</v>
      </c>
      <c r="B438" t="s">
        <v>4957</v>
      </c>
      <c r="C438" t="s">
        <v>4956</v>
      </c>
      <c r="D438" t="s">
        <v>4955</v>
      </c>
      <c r="F438" t="s">
        <v>4954</v>
      </c>
      <c r="G438" t="s">
        <v>5</v>
      </c>
      <c r="H438" t="s">
        <v>4</v>
      </c>
      <c r="I438" t="s">
        <v>4953</v>
      </c>
      <c r="J438" t="s">
        <v>4952</v>
      </c>
      <c r="K438" t="s">
        <v>4951</v>
      </c>
      <c r="L438" t="s">
        <v>4950</v>
      </c>
      <c r="M438" t="s">
        <v>6</v>
      </c>
      <c r="N438">
        <v>3</v>
      </c>
      <c r="O438" t="s">
        <v>4949</v>
      </c>
      <c r="P438" t="s">
        <v>4948</v>
      </c>
      <c r="Q438" t="s">
        <v>4947</v>
      </c>
      <c r="R438" s="7">
        <v>36130</v>
      </c>
      <c r="S438" s="8">
        <f t="shared" si="48"/>
        <v>1998</v>
      </c>
      <c r="T438" s="8">
        <v>1998</v>
      </c>
      <c r="U438" s="8">
        <f t="shared" si="49"/>
        <v>24</v>
      </c>
      <c r="V438" s="7">
        <v>1998</v>
      </c>
      <c r="W438" t="s">
        <v>649</v>
      </c>
      <c r="X438" s="2">
        <v>1.6519999999999999</v>
      </c>
      <c r="Y438" s="6">
        <f t="shared" si="50"/>
        <v>4.409919649769093E-2</v>
      </c>
      <c r="AA438" t="s">
        <v>648</v>
      </c>
      <c r="AB438">
        <v>17337</v>
      </c>
      <c r="AD438" t="s">
        <v>2</v>
      </c>
      <c r="AE438">
        <v>46</v>
      </c>
      <c r="AF438">
        <v>2</v>
      </c>
      <c r="AH438" t="s">
        <v>4946</v>
      </c>
      <c r="AI438" t="s">
        <v>4945</v>
      </c>
      <c r="AJ438" t="s">
        <v>4850</v>
      </c>
      <c r="AK438" t="s">
        <v>4944</v>
      </c>
      <c r="AL438">
        <v>189</v>
      </c>
      <c r="AM438" s="5">
        <f t="shared" si="51"/>
        <v>7.875</v>
      </c>
      <c r="AN438" s="4">
        <f t="shared" si="52"/>
        <v>1.1927300265051117E-2</v>
      </c>
      <c r="AO438" s="3"/>
      <c r="AP438">
        <v>0</v>
      </c>
      <c r="AQ438" t="s">
        <v>22</v>
      </c>
      <c r="AR438" t="s">
        <v>4943</v>
      </c>
      <c r="AS438" t="s">
        <v>21</v>
      </c>
      <c r="AT438" s="2" t="s">
        <v>0</v>
      </c>
      <c r="AU438" s="1">
        <f t="shared" si="53"/>
        <v>3.4447627627898982</v>
      </c>
      <c r="AV438" s="1">
        <f t="shared" si="54"/>
        <v>2.8013248381371021</v>
      </c>
      <c r="AW438" s="1">
        <f t="shared" si="55"/>
        <v>2.1578869134843059</v>
      </c>
    </row>
    <row r="439" spans="1:49" x14ac:dyDescent="0.2">
      <c r="A439">
        <v>437</v>
      </c>
      <c r="B439" t="s">
        <v>4942</v>
      </c>
      <c r="C439" t="s">
        <v>4941</v>
      </c>
      <c r="F439" t="s">
        <v>4940</v>
      </c>
      <c r="G439" t="s">
        <v>5</v>
      </c>
      <c r="H439" t="s">
        <v>4</v>
      </c>
      <c r="I439" t="s">
        <v>1718</v>
      </c>
      <c r="J439" t="s">
        <v>4939</v>
      </c>
      <c r="K439" t="s">
        <v>4938</v>
      </c>
      <c r="L439" t="s">
        <v>4937</v>
      </c>
      <c r="M439" t="s">
        <v>729</v>
      </c>
      <c r="N439">
        <v>4</v>
      </c>
      <c r="O439" t="s">
        <v>4936</v>
      </c>
      <c r="P439" t="s">
        <v>4935</v>
      </c>
      <c r="Q439" t="s">
        <v>4934</v>
      </c>
      <c r="R439" s="7">
        <v>36130</v>
      </c>
      <c r="S439" s="8">
        <f t="shared" si="48"/>
        <v>1998</v>
      </c>
      <c r="T439" s="8">
        <v>1998</v>
      </c>
      <c r="U439" s="8">
        <f t="shared" si="49"/>
        <v>24</v>
      </c>
      <c r="V439" s="7">
        <v>1998</v>
      </c>
      <c r="W439" t="s">
        <v>2176</v>
      </c>
      <c r="X439" s="2">
        <v>2.823</v>
      </c>
      <c r="Y439" s="6">
        <f t="shared" si="50"/>
        <v>7.5358372707615917E-2</v>
      </c>
      <c r="AA439">
        <v>1636804</v>
      </c>
      <c r="AB439">
        <v>17249</v>
      </c>
      <c r="AD439" t="s">
        <v>2</v>
      </c>
      <c r="AE439">
        <v>36</v>
      </c>
      <c r="AF439">
        <v>2</v>
      </c>
      <c r="AH439" t="s">
        <v>4933</v>
      </c>
      <c r="AI439" t="s">
        <v>4932</v>
      </c>
      <c r="AK439" t="s">
        <v>4931</v>
      </c>
      <c r="AL439">
        <v>21</v>
      </c>
      <c r="AM439" s="5">
        <f t="shared" si="51"/>
        <v>0.875</v>
      </c>
      <c r="AN439" s="4">
        <f t="shared" si="52"/>
        <v>1.3252555850056798E-3</v>
      </c>
      <c r="AO439" s="3"/>
      <c r="AP439">
        <v>0</v>
      </c>
      <c r="AQ439" t="s">
        <v>4930</v>
      </c>
      <c r="AR439" t="s">
        <v>1</v>
      </c>
      <c r="AS439" t="s">
        <v>4929</v>
      </c>
      <c r="AT439" s="2">
        <v>9.6189999999999998</v>
      </c>
      <c r="AU439" s="1">
        <f t="shared" si="53"/>
        <v>5.3148437570832847</v>
      </c>
      <c r="AV439" s="1">
        <f t="shared" si="54"/>
        <v>3.8341814146310798</v>
      </c>
      <c r="AW439" s="1">
        <f t="shared" si="55"/>
        <v>2.3535190721788752</v>
      </c>
    </row>
    <row r="440" spans="1:49" x14ac:dyDescent="0.2">
      <c r="A440">
        <v>438</v>
      </c>
      <c r="B440" t="s">
        <v>4928</v>
      </c>
      <c r="C440" t="s">
        <v>4927</v>
      </c>
      <c r="D440" t="s">
        <v>4926</v>
      </c>
      <c r="F440" t="s">
        <v>4925</v>
      </c>
      <c r="G440" t="s">
        <v>5</v>
      </c>
      <c r="H440" t="s">
        <v>4</v>
      </c>
      <c r="I440" t="s">
        <v>4924</v>
      </c>
      <c r="J440">
        <v>60027271</v>
      </c>
      <c r="K440" t="s">
        <v>386</v>
      </c>
      <c r="L440" t="s">
        <v>385</v>
      </c>
      <c r="M440" t="s">
        <v>9</v>
      </c>
      <c r="N440">
        <v>2</v>
      </c>
      <c r="O440" t="s">
        <v>4923</v>
      </c>
      <c r="P440" t="s">
        <v>4922</v>
      </c>
      <c r="Q440" t="s">
        <v>384</v>
      </c>
      <c r="R440" s="7">
        <v>36130</v>
      </c>
      <c r="S440" s="8">
        <f t="shared" si="48"/>
        <v>1998</v>
      </c>
      <c r="T440" s="8">
        <v>1998</v>
      </c>
      <c r="U440" s="8">
        <f t="shared" si="49"/>
        <v>24</v>
      </c>
      <c r="V440" s="7">
        <v>1998</v>
      </c>
      <c r="W440" t="s">
        <v>649</v>
      </c>
      <c r="X440" s="2">
        <v>1.6519999999999999</v>
      </c>
      <c r="Y440" s="6">
        <f t="shared" si="50"/>
        <v>4.409919649769093E-2</v>
      </c>
      <c r="AA440" t="s">
        <v>648</v>
      </c>
      <c r="AB440">
        <v>17337</v>
      </c>
      <c r="AD440" t="s">
        <v>2</v>
      </c>
      <c r="AE440">
        <v>46</v>
      </c>
      <c r="AF440">
        <v>2</v>
      </c>
      <c r="AH440" t="s">
        <v>4921</v>
      </c>
      <c r="AI440" t="s">
        <v>4920</v>
      </c>
      <c r="AK440" t="s">
        <v>4919</v>
      </c>
      <c r="AL440">
        <v>56</v>
      </c>
      <c r="AM440" s="5">
        <f t="shared" si="51"/>
        <v>2.3333333333333335</v>
      </c>
      <c r="AN440" s="4">
        <f t="shared" si="52"/>
        <v>3.5340148933484792E-3</v>
      </c>
      <c r="AO440" s="3"/>
      <c r="AP440">
        <v>0</v>
      </c>
      <c r="AQ440" t="s">
        <v>22</v>
      </c>
      <c r="AR440" t="s">
        <v>1</v>
      </c>
      <c r="AS440" t="s">
        <v>21</v>
      </c>
      <c r="AT440" s="2" t="s">
        <v>0</v>
      </c>
      <c r="AU440" s="1">
        <f t="shared" si="53"/>
        <v>3.1929642016388198</v>
      </c>
      <c r="AV440" s="1">
        <f t="shared" si="54"/>
        <v>2.3816605695519706</v>
      </c>
      <c r="AW440" s="1">
        <f t="shared" si="55"/>
        <v>1.5703569374651214</v>
      </c>
    </row>
    <row r="441" spans="1:49" x14ac:dyDescent="0.2">
      <c r="A441">
        <v>439</v>
      </c>
      <c r="B441" t="s">
        <v>4918</v>
      </c>
      <c r="C441" t="s">
        <v>4917</v>
      </c>
      <c r="D441" t="s">
        <v>4916</v>
      </c>
      <c r="F441" t="s">
        <v>4915</v>
      </c>
      <c r="G441" t="s">
        <v>5</v>
      </c>
      <c r="H441" t="s">
        <v>4</v>
      </c>
      <c r="I441" t="s">
        <v>4914</v>
      </c>
      <c r="J441" t="s">
        <v>4913</v>
      </c>
      <c r="K441" t="s">
        <v>4912</v>
      </c>
      <c r="L441" t="s">
        <v>4911</v>
      </c>
      <c r="M441" t="s">
        <v>4910</v>
      </c>
      <c r="N441">
        <v>3</v>
      </c>
      <c r="O441" t="s">
        <v>4909</v>
      </c>
      <c r="P441" t="s">
        <v>4908</v>
      </c>
      <c r="Q441" t="s">
        <v>4907</v>
      </c>
      <c r="R441" s="7">
        <v>36130</v>
      </c>
      <c r="S441" s="8">
        <f t="shared" si="48"/>
        <v>1998</v>
      </c>
      <c r="T441" s="8">
        <v>1998</v>
      </c>
      <c r="U441" s="8">
        <f t="shared" si="49"/>
        <v>24</v>
      </c>
      <c r="V441" s="7">
        <v>1998</v>
      </c>
      <c r="W441" t="s">
        <v>375</v>
      </c>
      <c r="X441" s="2">
        <v>0.46</v>
      </c>
      <c r="Y441" s="6">
        <f t="shared" si="50"/>
        <v>1.2279437281439364E-2</v>
      </c>
      <c r="AA441">
        <v>933813</v>
      </c>
      <c r="AB441">
        <v>28031</v>
      </c>
      <c r="AD441" t="s">
        <v>2</v>
      </c>
      <c r="AE441">
        <v>26</v>
      </c>
      <c r="AF441">
        <v>1</v>
      </c>
      <c r="AH441" t="s">
        <v>4906</v>
      </c>
      <c r="AI441" t="s">
        <v>4905</v>
      </c>
      <c r="AK441" t="s">
        <v>4904</v>
      </c>
      <c r="AL441">
        <v>1</v>
      </c>
      <c r="AM441" s="5">
        <f t="shared" si="51"/>
        <v>4.1666666666666664E-2</v>
      </c>
      <c r="AN441" s="4">
        <f t="shared" si="52"/>
        <v>6.3107408809794262E-5</v>
      </c>
      <c r="AO441" s="3"/>
      <c r="AP441">
        <v>0</v>
      </c>
      <c r="AQ441" t="s">
        <v>4903</v>
      </c>
      <c r="AR441" t="s">
        <v>4902</v>
      </c>
      <c r="AS441" t="s">
        <v>4901</v>
      </c>
      <c r="AT441" s="2">
        <v>1.222</v>
      </c>
      <c r="AU441" s="1">
        <f t="shared" si="53"/>
        <v>0.8614538319650491</v>
      </c>
      <c r="AV441" s="1">
        <f t="shared" si="54"/>
        <v>0.61712723451245788</v>
      </c>
      <c r="AW441" s="1">
        <f t="shared" si="55"/>
        <v>0.37280063705986649</v>
      </c>
    </row>
    <row r="442" spans="1:49" x14ac:dyDescent="0.2">
      <c r="A442">
        <v>440</v>
      </c>
      <c r="B442" t="s">
        <v>4900</v>
      </c>
      <c r="C442" t="s">
        <v>4899</v>
      </c>
      <c r="D442" t="s">
        <v>4898</v>
      </c>
      <c r="F442" t="s">
        <v>4897</v>
      </c>
      <c r="G442" t="s">
        <v>5</v>
      </c>
      <c r="H442" t="s">
        <v>4</v>
      </c>
      <c r="I442" t="s">
        <v>4896</v>
      </c>
      <c r="J442" t="s">
        <v>4895</v>
      </c>
      <c r="K442" t="s">
        <v>4894</v>
      </c>
      <c r="L442" t="s">
        <v>4893</v>
      </c>
      <c r="M442" t="s">
        <v>150</v>
      </c>
      <c r="N442">
        <v>2</v>
      </c>
      <c r="O442" t="s">
        <v>4892</v>
      </c>
      <c r="P442" t="s">
        <v>4891</v>
      </c>
      <c r="Q442" t="s">
        <v>4890</v>
      </c>
      <c r="R442" s="7">
        <v>36130</v>
      </c>
      <c r="S442" s="8">
        <f t="shared" si="48"/>
        <v>1998</v>
      </c>
      <c r="T442" s="8">
        <v>1998</v>
      </c>
      <c r="U442" s="8">
        <f t="shared" si="49"/>
        <v>24</v>
      </c>
      <c r="V442" s="7">
        <v>1998</v>
      </c>
      <c r="W442" t="s">
        <v>282</v>
      </c>
      <c r="X442" s="2">
        <v>0.65500000000000003</v>
      </c>
      <c r="Y442" s="6">
        <f t="shared" si="50"/>
        <v>1.7484850911614749E-2</v>
      </c>
      <c r="AA442">
        <v>189375</v>
      </c>
      <c r="AB442">
        <v>26051</v>
      </c>
      <c r="AD442" t="s">
        <v>2</v>
      </c>
      <c r="AE442">
        <v>40</v>
      </c>
      <c r="AF442">
        <v>1</v>
      </c>
      <c r="AH442" t="s">
        <v>4889</v>
      </c>
      <c r="AI442" t="s">
        <v>4888</v>
      </c>
      <c r="AJ442" t="s">
        <v>4887</v>
      </c>
      <c r="AK442" t="s">
        <v>4886</v>
      </c>
      <c r="AL442">
        <v>10</v>
      </c>
      <c r="AM442" s="5">
        <f t="shared" si="51"/>
        <v>0.41666666666666669</v>
      </c>
      <c r="AN442" s="4">
        <f t="shared" si="52"/>
        <v>6.310740880979427E-4</v>
      </c>
      <c r="AO442" s="3"/>
      <c r="AP442">
        <v>0</v>
      </c>
      <c r="AR442" t="s">
        <v>1</v>
      </c>
      <c r="AT442" s="2" t="s">
        <v>0</v>
      </c>
      <c r="AU442" s="1">
        <f t="shared" si="53"/>
        <v>1.2428717864559706</v>
      </c>
      <c r="AV442" s="1">
        <f t="shared" si="54"/>
        <v>0.90579624998563468</v>
      </c>
      <c r="AW442" s="1">
        <f t="shared" si="55"/>
        <v>0.56872071351529851</v>
      </c>
    </row>
    <row r="443" spans="1:49" x14ac:dyDescent="0.2">
      <c r="A443">
        <v>441</v>
      </c>
      <c r="B443" t="s">
        <v>4885</v>
      </c>
      <c r="C443" t="s">
        <v>4884</v>
      </c>
      <c r="D443" t="s">
        <v>4883</v>
      </c>
      <c r="F443" t="s">
        <v>4882</v>
      </c>
      <c r="G443" t="s">
        <v>5</v>
      </c>
      <c r="H443" t="s">
        <v>4</v>
      </c>
      <c r="I443" t="s">
        <v>257</v>
      </c>
      <c r="J443" t="s">
        <v>4881</v>
      </c>
      <c r="K443" t="s">
        <v>4880</v>
      </c>
      <c r="L443" t="s">
        <v>4879</v>
      </c>
      <c r="M443" t="s">
        <v>6</v>
      </c>
      <c r="N443">
        <v>1</v>
      </c>
      <c r="O443" t="s">
        <v>4878</v>
      </c>
      <c r="P443">
        <v>55665154800</v>
      </c>
      <c r="Q443" t="s">
        <v>4877</v>
      </c>
      <c r="R443" s="7">
        <v>36130</v>
      </c>
      <c r="S443" s="8">
        <f t="shared" si="48"/>
        <v>1998</v>
      </c>
      <c r="T443" s="8">
        <v>1998</v>
      </c>
      <c r="U443" s="8">
        <f t="shared" si="49"/>
        <v>24</v>
      </c>
      <c r="V443" s="7">
        <v>1998</v>
      </c>
      <c r="W443" t="s">
        <v>2191</v>
      </c>
      <c r="X443" s="2">
        <v>1.6379999999999999</v>
      </c>
      <c r="Y443" s="6">
        <f t="shared" si="50"/>
        <v>4.3725474493473214E-2</v>
      </c>
      <c r="AA443" t="s">
        <v>2190</v>
      </c>
      <c r="AB443">
        <v>17391</v>
      </c>
      <c r="AD443" t="s">
        <v>2</v>
      </c>
      <c r="AE443">
        <v>46</v>
      </c>
      <c r="AF443">
        <v>2</v>
      </c>
      <c r="AH443" t="s">
        <v>4876</v>
      </c>
      <c r="AI443" t="s">
        <v>4875</v>
      </c>
      <c r="AJ443" t="s">
        <v>4874</v>
      </c>
      <c r="AK443" t="s">
        <v>4873</v>
      </c>
      <c r="AL443">
        <v>105</v>
      </c>
      <c r="AM443" s="5">
        <f t="shared" si="51"/>
        <v>4.375</v>
      </c>
      <c r="AN443" s="4">
        <f t="shared" si="52"/>
        <v>6.6262779250283984E-3</v>
      </c>
      <c r="AO443" s="3"/>
      <c r="AP443">
        <v>0</v>
      </c>
      <c r="AQ443" t="s">
        <v>17</v>
      </c>
      <c r="AR443" t="s">
        <v>4872</v>
      </c>
      <c r="AS443" t="s">
        <v>16</v>
      </c>
      <c r="AT443" s="2">
        <v>4.931</v>
      </c>
      <c r="AU443" s="1">
        <f t="shared" si="53"/>
        <v>3.2595715522939765</v>
      </c>
      <c r="AV443" s="1">
        <f t="shared" si="54"/>
        <v>2.5175876209250809</v>
      </c>
      <c r="AW443" s="1">
        <f t="shared" si="55"/>
        <v>1.7756036895561842</v>
      </c>
    </row>
    <row r="444" spans="1:49" x14ac:dyDescent="0.2">
      <c r="A444">
        <v>442</v>
      </c>
      <c r="B444" t="s">
        <v>4871</v>
      </c>
      <c r="C444" t="s">
        <v>4870</v>
      </c>
      <c r="D444" t="s">
        <v>4869</v>
      </c>
      <c r="F444" t="s">
        <v>4868</v>
      </c>
      <c r="G444" t="s">
        <v>5</v>
      </c>
      <c r="H444" t="s">
        <v>4</v>
      </c>
      <c r="I444" t="s">
        <v>425</v>
      </c>
      <c r="J444">
        <v>60003892</v>
      </c>
      <c r="K444" t="s">
        <v>47</v>
      </c>
      <c r="L444" t="s">
        <v>46</v>
      </c>
      <c r="M444" t="s">
        <v>9</v>
      </c>
      <c r="N444">
        <v>3</v>
      </c>
      <c r="O444" t="s">
        <v>4867</v>
      </c>
      <c r="P444" t="s">
        <v>4866</v>
      </c>
      <c r="Q444" t="s">
        <v>45</v>
      </c>
      <c r="R444" s="7">
        <v>36130</v>
      </c>
      <c r="S444" s="8">
        <f t="shared" si="48"/>
        <v>1998</v>
      </c>
      <c r="T444" s="8">
        <v>1998</v>
      </c>
      <c r="U444" s="8">
        <f t="shared" si="49"/>
        <v>24</v>
      </c>
      <c r="V444" s="7">
        <v>1998</v>
      </c>
      <c r="W444" t="s">
        <v>649</v>
      </c>
      <c r="X444" s="2">
        <v>1.6519999999999999</v>
      </c>
      <c r="Y444" s="6">
        <f t="shared" si="50"/>
        <v>4.409919649769093E-2</v>
      </c>
      <c r="AA444" t="s">
        <v>648</v>
      </c>
      <c r="AB444">
        <v>17337</v>
      </c>
      <c r="AD444" t="s">
        <v>2</v>
      </c>
      <c r="AE444">
        <v>46</v>
      </c>
      <c r="AF444">
        <v>2</v>
      </c>
      <c r="AH444" t="s">
        <v>4865</v>
      </c>
      <c r="AI444" t="s">
        <v>4864</v>
      </c>
      <c r="AJ444" t="s">
        <v>4863</v>
      </c>
      <c r="AK444" t="s">
        <v>4862</v>
      </c>
      <c r="AL444">
        <v>42</v>
      </c>
      <c r="AM444" s="5">
        <f t="shared" si="51"/>
        <v>1.75</v>
      </c>
      <c r="AN444" s="4">
        <f t="shared" si="52"/>
        <v>2.6505111700113595E-3</v>
      </c>
      <c r="AO444" s="3"/>
      <c r="AP444">
        <v>0</v>
      </c>
      <c r="AR444" t="s">
        <v>4861</v>
      </c>
      <c r="AT444" s="2" t="s">
        <v>0</v>
      </c>
      <c r="AU444" s="1">
        <f t="shared" si="53"/>
        <v>3.166459089938706</v>
      </c>
      <c r="AV444" s="1">
        <f t="shared" si="54"/>
        <v>2.3374853833851144</v>
      </c>
      <c r="AW444" s="1">
        <f t="shared" si="55"/>
        <v>1.508511676831523</v>
      </c>
    </row>
    <row r="445" spans="1:49" x14ac:dyDescent="0.2">
      <c r="A445">
        <v>443</v>
      </c>
      <c r="B445" t="s">
        <v>4860</v>
      </c>
      <c r="C445" t="s">
        <v>4859</v>
      </c>
      <c r="D445" t="s">
        <v>4858</v>
      </c>
      <c r="F445" t="s">
        <v>4857</v>
      </c>
      <c r="G445" t="s">
        <v>5</v>
      </c>
      <c r="H445" t="s">
        <v>4</v>
      </c>
      <c r="I445" t="s">
        <v>4856</v>
      </c>
      <c r="J445">
        <v>60014153</v>
      </c>
      <c r="K445" t="s">
        <v>79</v>
      </c>
      <c r="L445" t="s">
        <v>78</v>
      </c>
      <c r="M445" t="s">
        <v>65</v>
      </c>
      <c r="N445">
        <v>3</v>
      </c>
      <c r="O445" t="s">
        <v>4855</v>
      </c>
      <c r="P445" t="s">
        <v>4854</v>
      </c>
      <c r="Q445" t="s">
        <v>4853</v>
      </c>
      <c r="R445" s="7">
        <v>36130</v>
      </c>
      <c r="S445" s="8">
        <f t="shared" si="48"/>
        <v>1998</v>
      </c>
      <c r="T445" s="8">
        <v>1998</v>
      </c>
      <c r="U445" s="8">
        <f t="shared" si="49"/>
        <v>24</v>
      </c>
      <c r="V445" s="7">
        <v>1998</v>
      </c>
      <c r="W445" t="s">
        <v>649</v>
      </c>
      <c r="X445" s="2">
        <v>1.6519999999999999</v>
      </c>
      <c r="Y445" s="6">
        <f t="shared" si="50"/>
        <v>4.409919649769093E-2</v>
      </c>
      <c r="AA445" t="s">
        <v>648</v>
      </c>
      <c r="AB445">
        <v>17337</v>
      </c>
      <c r="AD445" t="s">
        <v>2</v>
      </c>
      <c r="AE445">
        <v>46</v>
      </c>
      <c r="AF445">
        <v>2</v>
      </c>
      <c r="AH445" t="s">
        <v>4852</v>
      </c>
      <c r="AI445" t="s">
        <v>4851</v>
      </c>
      <c r="AJ445" t="s">
        <v>4850</v>
      </c>
      <c r="AK445" t="s">
        <v>4849</v>
      </c>
      <c r="AL445">
        <v>716</v>
      </c>
      <c r="AM445" s="5">
        <f t="shared" si="51"/>
        <v>29.833333333333332</v>
      </c>
      <c r="AN445" s="4">
        <f t="shared" si="52"/>
        <v>4.5184904707812695E-2</v>
      </c>
      <c r="AO445" s="3"/>
      <c r="AP445">
        <v>0</v>
      </c>
      <c r="AR445" t="s">
        <v>1</v>
      </c>
      <c r="AT445" s="2" t="s">
        <v>0</v>
      </c>
      <c r="AU445" s="1">
        <f t="shared" si="53"/>
        <v>4.4424908960727452</v>
      </c>
      <c r="AV445" s="1">
        <f t="shared" si="54"/>
        <v>4.464205060275181</v>
      </c>
      <c r="AW445" s="1">
        <f t="shared" si="55"/>
        <v>4.485919224477616</v>
      </c>
    </row>
    <row r="446" spans="1:49" x14ac:dyDescent="0.2">
      <c r="A446">
        <v>444</v>
      </c>
      <c r="B446" t="s">
        <v>4848</v>
      </c>
      <c r="C446" t="s">
        <v>4847</v>
      </c>
      <c r="D446" t="s">
        <v>4846</v>
      </c>
      <c r="F446" t="s">
        <v>4845</v>
      </c>
      <c r="G446" t="s">
        <v>5</v>
      </c>
      <c r="H446" t="s">
        <v>4</v>
      </c>
      <c r="I446" t="s">
        <v>4844</v>
      </c>
      <c r="J446">
        <v>60003892</v>
      </c>
      <c r="K446" t="s">
        <v>47</v>
      </c>
      <c r="L446" t="s">
        <v>46</v>
      </c>
      <c r="M446" t="s">
        <v>9</v>
      </c>
      <c r="N446">
        <v>4</v>
      </c>
      <c r="O446" t="s">
        <v>4843</v>
      </c>
      <c r="P446" t="s">
        <v>4842</v>
      </c>
      <c r="Q446" t="s">
        <v>218</v>
      </c>
      <c r="R446" s="7">
        <v>36130</v>
      </c>
      <c r="S446" s="8">
        <f t="shared" si="48"/>
        <v>1998</v>
      </c>
      <c r="T446" s="8">
        <v>1998</v>
      </c>
      <c r="U446" s="8">
        <f t="shared" si="49"/>
        <v>24</v>
      </c>
      <c r="V446" s="7">
        <v>1998</v>
      </c>
      <c r="W446" t="s">
        <v>649</v>
      </c>
      <c r="X446" s="2">
        <v>1.6519999999999999</v>
      </c>
      <c r="Y446" s="6">
        <f t="shared" si="50"/>
        <v>4.409919649769093E-2</v>
      </c>
      <c r="AA446" t="s">
        <v>648</v>
      </c>
      <c r="AB446">
        <v>17337</v>
      </c>
      <c r="AD446" t="s">
        <v>2</v>
      </c>
      <c r="AE446">
        <v>46</v>
      </c>
      <c r="AF446">
        <v>2</v>
      </c>
      <c r="AH446" t="s">
        <v>4841</v>
      </c>
      <c r="AI446" t="s">
        <v>4840</v>
      </c>
      <c r="AK446" t="s">
        <v>4839</v>
      </c>
      <c r="AL446">
        <v>57</v>
      </c>
      <c r="AM446" s="5">
        <f t="shared" si="51"/>
        <v>2.375</v>
      </c>
      <c r="AN446" s="4">
        <f t="shared" si="52"/>
        <v>3.5971223021582736E-3</v>
      </c>
      <c r="AO446" s="3"/>
      <c r="AP446">
        <v>0</v>
      </c>
      <c r="AR446" t="s">
        <v>1</v>
      </c>
      <c r="AT446" s="2" t="s">
        <v>0</v>
      </c>
      <c r="AU446" s="1">
        <f t="shared" si="53"/>
        <v>3.1948574239031133</v>
      </c>
      <c r="AV446" s="1">
        <f t="shared" si="54"/>
        <v>2.38481593999246</v>
      </c>
      <c r="AW446" s="1">
        <f t="shared" si="55"/>
        <v>1.5747744560818071</v>
      </c>
    </row>
    <row r="447" spans="1:49" x14ac:dyDescent="0.2">
      <c r="A447">
        <v>445</v>
      </c>
      <c r="B447" t="s">
        <v>4838</v>
      </c>
      <c r="C447" t="s">
        <v>4837</v>
      </c>
      <c r="D447" t="s">
        <v>4836</v>
      </c>
      <c r="F447" t="s">
        <v>4835</v>
      </c>
      <c r="G447" t="s">
        <v>5</v>
      </c>
      <c r="H447" t="s">
        <v>4</v>
      </c>
      <c r="I447" t="s">
        <v>245</v>
      </c>
      <c r="J447" t="s">
        <v>244</v>
      </c>
      <c r="K447" t="s">
        <v>243</v>
      </c>
      <c r="L447" t="s">
        <v>242</v>
      </c>
      <c r="M447" t="s">
        <v>174</v>
      </c>
      <c r="N447">
        <v>4</v>
      </c>
      <c r="O447" t="s">
        <v>4834</v>
      </c>
      <c r="P447" t="s">
        <v>4833</v>
      </c>
      <c r="Q447" t="s">
        <v>4832</v>
      </c>
      <c r="R447" s="7">
        <v>36130</v>
      </c>
      <c r="S447" s="8">
        <f t="shared" si="48"/>
        <v>1998</v>
      </c>
      <c r="T447" s="8">
        <v>1998</v>
      </c>
      <c r="U447" s="8">
        <f t="shared" si="49"/>
        <v>24</v>
      </c>
      <c r="V447" s="7">
        <v>1998</v>
      </c>
      <c r="W447" t="s">
        <v>649</v>
      </c>
      <c r="X447" s="2">
        <v>1.6519999999999999</v>
      </c>
      <c r="Y447" s="6">
        <f t="shared" si="50"/>
        <v>4.409919649769093E-2</v>
      </c>
      <c r="AA447" t="s">
        <v>648</v>
      </c>
      <c r="AB447">
        <v>17337</v>
      </c>
      <c r="AD447" t="s">
        <v>2</v>
      </c>
      <c r="AE447">
        <v>46</v>
      </c>
      <c r="AF447">
        <v>2</v>
      </c>
      <c r="AH447" t="s">
        <v>4831</v>
      </c>
      <c r="AI447" t="s">
        <v>4830</v>
      </c>
      <c r="AJ447" t="s">
        <v>4829</v>
      </c>
      <c r="AK447" t="s">
        <v>4828</v>
      </c>
      <c r="AL447">
        <v>17</v>
      </c>
      <c r="AM447" s="5">
        <f t="shared" si="51"/>
        <v>0.70833333333333337</v>
      </c>
      <c r="AN447" s="4">
        <f t="shared" si="52"/>
        <v>1.0728259497665025E-3</v>
      </c>
      <c r="AO447" s="3"/>
      <c r="AP447">
        <v>0</v>
      </c>
      <c r="AR447" t="s">
        <v>1</v>
      </c>
      <c r="AT447" s="2" t="s">
        <v>0</v>
      </c>
      <c r="AU447" s="1">
        <f t="shared" si="53"/>
        <v>3.1191285333313603</v>
      </c>
      <c r="AV447" s="1">
        <f t="shared" si="54"/>
        <v>2.2586011223728715</v>
      </c>
      <c r="AW447" s="1">
        <f t="shared" si="55"/>
        <v>1.3980737114143831</v>
      </c>
    </row>
    <row r="448" spans="1:49" x14ac:dyDescent="0.2">
      <c r="A448">
        <v>446</v>
      </c>
      <c r="B448" t="s">
        <v>4827</v>
      </c>
      <c r="C448" t="s">
        <v>4826</v>
      </c>
      <c r="F448" t="s">
        <v>4825</v>
      </c>
      <c r="G448" t="s">
        <v>5</v>
      </c>
      <c r="H448" t="s">
        <v>4</v>
      </c>
      <c r="I448" t="s">
        <v>4824</v>
      </c>
      <c r="N448">
        <v>1</v>
      </c>
      <c r="O448" t="s">
        <v>4823</v>
      </c>
      <c r="P448">
        <v>54681271000</v>
      </c>
      <c r="R448" s="7">
        <v>36130</v>
      </c>
      <c r="S448" s="8">
        <f t="shared" si="48"/>
        <v>1998</v>
      </c>
      <c r="T448" s="8">
        <v>1998</v>
      </c>
      <c r="U448" s="8">
        <f t="shared" si="49"/>
        <v>24</v>
      </c>
      <c r="V448" s="7">
        <v>1998</v>
      </c>
      <c r="W448" t="s">
        <v>55</v>
      </c>
      <c r="X448" s="2">
        <v>0.88100000000000001</v>
      </c>
      <c r="Y448" s="6">
        <f t="shared" si="50"/>
        <v>2.3517791836843653E-2</v>
      </c>
      <c r="AA448">
        <v>10459243</v>
      </c>
      <c r="AB448">
        <v>17248</v>
      </c>
      <c r="AD448" t="s">
        <v>2</v>
      </c>
      <c r="AE448">
        <v>40</v>
      </c>
      <c r="AF448">
        <v>1</v>
      </c>
      <c r="AH448" t="s">
        <v>4822</v>
      </c>
      <c r="AI448" t="s">
        <v>4821</v>
      </c>
      <c r="AJ448" t="s">
        <v>4820</v>
      </c>
      <c r="AK448" t="s">
        <v>4819</v>
      </c>
      <c r="AL448">
        <v>3</v>
      </c>
      <c r="AM448" s="5">
        <f t="shared" si="51"/>
        <v>0.125</v>
      </c>
      <c r="AN448" s="4">
        <f t="shared" si="52"/>
        <v>1.893222264293828E-4</v>
      </c>
      <c r="AO448" s="3"/>
      <c r="AP448">
        <v>0</v>
      </c>
      <c r="AR448" t="s">
        <v>1</v>
      </c>
      <c r="AT448" s="2" t="s">
        <v>0</v>
      </c>
      <c r="AU448" s="1">
        <f t="shared" si="53"/>
        <v>1.6519250953719371</v>
      </c>
      <c r="AV448" s="1">
        <f t="shared" si="54"/>
        <v>1.1853557031636519</v>
      </c>
      <c r="AW448" s="1">
        <f t="shared" si="55"/>
        <v>0.71878631095536638</v>
      </c>
    </row>
    <row r="449" spans="1:49" x14ac:dyDescent="0.2">
      <c r="A449">
        <v>447</v>
      </c>
      <c r="B449" t="s">
        <v>4818</v>
      </c>
      <c r="C449" t="s">
        <v>4817</v>
      </c>
      <c r="D449" t="s">
        <v>4816</v>
      </c>
      <c r="F449" t="s">
        <v>4815</v>
      </c>
      <c r="G449" t="s">
        <v>5</v>
      </c>
      <c r="H449" t="s">
        <v>4</v>
      </c>
      <c r="I449" t="s">
        <v>4814</v>
      </c>
      <c r="J449" t="s">
        <v>4813</v>
      </c>
      <c r="K449" t="s">
        <v>4812</v>
      </c>
      <c r="L449" t="s">
        <v>4811</v>
      </c>
      <c r="M449" t="s">
        <v>424</v>
      </c>
      <c r="N449">
        <v>3</v>
      </c>
      <c r="O449" t="s">
        <v>4810</v>
      </c>
      <c r="P449" t="s">
        <v>4809</v>
      </c>
      <c r="Q449" t="s">
        <v>4808</v>
      </c>
      <c r="R449" s="7">
        <v>36130</v>
      </c>
      <c r="S449" s="8">
        <f t="shared" si="48"/>
        <v>1998</v>
      </c>
      <c r="T449" s="8">
        <v>1998</v>
      </c>
      <c r="U449" s="8">
        <f t="shared" si="49"/>
        <v>24</v>
      </c>
      <c r="V449" s="7">
        <v>1998</v>
      </c>
      <c r="W449" t="s">
        <v>282</v>
      </c>
      <c r="X449" s="2">
        <v>0.65500000000000003</v>
      </c>
      <c r="Y449" s="6">
        <f t="shared" si="50"/>
        <v>1.7484850911614749E-2</v>
      </c>
      <c r="AA449">
        <v>189375</v>
      </c>
      <c r="AB449">
        <v>26051</v>
      </c>
      <c r="AD449" t="s">
        <v>2</v>
      </c>
      <c r="AE449">
        <v>40</v>
      </c>
      <c r="AF449">
        <v>1</v>
      </c>
      <c r="AH449" t="s">
        <v>287</v>
      </c>
      <c r="AI449" t="s">
        <v>4807</v>
      </c>
      <c r="AJ449" t="s">
        <v>4806</v>
      </c>
      <c r="AK449" t="s">
        <v>4805</v>
      </c>
      <c r="AL449">
        <v>2</v>
      </c>
      <c r="AM449" s="5">
        <f t="shared" si="51"/>
        <v>8.3333333333333329E-2</v>
      </c>
      <c r="AN449" s="4">
        <f t="shared" si="52"/>
        <v>1.2621481761958852E-4</v>
      </c>
      <c r="AO449" s="3"/>
      <c r="AP449">
        <v>0</v>
      </c>
      <c r="AQ449" t="s">
        <v>406</v>
      </c>
      <c r="AR449">
        <v>69601002</v>
      </c>
      <c r="AS449" t="s">
        <v>405</v>
      </c>
      <c r="AT449" s="2" t="s">
        <v>0</v>
      </c>
      <c r="AU449" s="1">
        <f t="shared" si="53"/>
        <v>1.2277260083416199</v>
      </c>
      <c r="AV449" s="1">
        <f t="shared" si="54"/>
        <v>0.88055328646171693</v>
      </c>
      <c r="AW449" s="1">
        <f t="shared" si="55"/>
        <v>0.5333805645818136</v>
      </c>
    </row>
    <row r="450" spans="1:49" x14ac:dyDescent="0.2">
      <c r="A450">
        <v>448</v>
      </c>
      <c r="B450" t="s">
        <v>4804</v>
      </c>
      <c r="C450" t="s">
        <v>4803</v>
      </c>
      <c r="F450" t="s">
        <v>4802</v>
      </c>
      <c r="G450" t="s">
        <v>5</v>
      </c>
      <c r="H450" t="s">
        <v>4</v>
      </c>
      <c r="I450" t="s">
        <v>4801</v>
      </c>
      <c r="J450" t="s">
        <v>4800</v>
      </c>
      <c r="K450" t="s">
        <v>4799</v>
      </c>
      <c r="L450" t="s">
        <v>4798</v>
      </c>
      <c r="M450" t="s">
        <v>50</v>
      </c>
      <c r="N450">
        <v>6</v>
      </c>
      <c r="O450" t="s">
        <v>4797</v>
      </c>
      <c r="P450" t="s">
        <v>4796</v>
      </c>
      <c r="Q450" t="s">
        <v>4795</v>
      </c>
      <c r="R450" s="7">
        <v>36130</v>
      </c>
      <c r="S450" s="8">
        <f t="shared" ref="S450:S513" si="56">YEAR(R450)</f>
        <v>1998</v>
      </c>
      <c r="T450" s="8">
        <v>1998</v>
      </c>
      <c r="U450" s="8">
        <f t="shared" ref="U450:U513" si="57">2022-T450</f>
        <v>24</v>
      </c>
      <c r="V450" s="7">
        <v>1998</v>
      </c>
      <c r="W450" t="s">
        <v>649</v>
      </c>
      <c r="X450" s="2">
        <v>1.6519999999999999</v>
      </c>
      <c r="Y450" s="6">
        <f t="shared" ref="Y450:Y513" si="58">(X450-$Z$3)/($Z$2-$Z$3)</f>
        <v>4.409919649769093E-2</v>
      </c>
      <c r="AA450" t="s">
        <v>648</v>
      </c>
      <c r="AB450">
        <v>17337</v>
      </c>
      <c r="AD450" t="s">
        <v>2</v>
      </c>
      <c r="AE450">
        <v>46</v>
      </c>
      <c r="AF450">
        <v>2</v>
      </c>
      <c r="AH450" t="s">
        <v>4794</v>
      </c>
      <c r="AI450" t="s">
        <v>4793</v>
      </c>
      <c r="AJ450" t="s">
        <v>4792</v>
      </c>
      <c r="AK450" t="s">
        <v>4791</v>
      </c>
      <c r="AL450">
        <v>30</v>
      </c>
      <c r="AM450" s="5">
        <f t="shared" ref="AM450:AM513" si="59">AL450/U450</f>
        <v>1.25</v>
      </c>
      <c r="AN450" s="4">
        <f t="shared" ref="AN450:AN513" si="60">(AM450-$AO$3)/($AO$2-$AO$3)</f>
        <v>1.8932222642938281E-3</v>
      </c>
      <c r="AO450" s="3"/>
      <c r="AP450">
        <v>0</v>
      </c>
      <c r="AQ450" t="s">
        <v>49</v>
      </c>
      <c r="AR450" t="s">
        <v>1</v>
      </c>
      <c r="AS450" t="s">
        <v>48</v>
      </c>
      <c r="AT450" s="2" t="s">
        <v>0</v>
      </c>
      <c r="AU450" s="1">
        <f t="shared" ref="AU450:AU513" si="61">(Y450*0.7+AN450*0.3)*100</f>
        <v>3.1437404227671801</v>
      </c>
      <c r="AV450" s="1">
        <f t="shared" ref="AV450:AV513" si="62">(Y450*0.5+AN450*0.5)*100</f>
        <v>2.2996209380992378</v>
      </c>
      <c r="AW450" s="1">
        <f t="shared" ref="AW450:AW513" si="63">(Y450*0.3+AN450*0.7)*100</f>
        <v>1.4555014534312958</v>
      </c>
    </row>
    <row r="451" spans="1:49" x14ac:dyDescent="0.2">
      <c r="A451">
        <v>449</v>
      </c>
      <c r="B451" t="s">
        <v>4790</v>
      </c>
      <c r="C451" t="s">
        <v>4789</v>
      </c>
      <c r="D451" t="s">
        <v>4788</v>
      </c>
      <c r="F451" t="s">
        <v>4787</v>
      </c>
      <c r="G451" t="s">
        <v>5</v>
      </c>
      <c r="H451" t="s">
        <v>4</v>
      </c>
      <c r="I451" t="s">
        <v>4786</v>
      </c>
      <c r="J451">
        <v>60005681</v>
      </c>
      <c r="K451" t="s">
        <v>324</v>
      </c>
      <c r="L451" t="s">
        <v>323</v>
      </c>
      <c r="M451" t="s">
        <v>322</v>
      </c>
      <c r="N451">
        <v>3</v>
      </c>
      <c r="O451" t="s">
        <v>4785</v>
      </c>
      <c r="P451" t="s">
        <v>4784</v>
      </c>
      <c r="Q451" t="s">
        <v>321</v>
      </c>
      <c r="R451" s="7">
        <v>36130</v>
      </c>
      <c r="S451" s="8">
        <f t="shared" si="56"/>
        <v>1998</v>
      </c>
      <c r="T451" s="8">
        <v>1998</v>
      </c>
      <c r="U451" s="8">
        <f t="shared" si="57"/>
        <v>24</v>
      </c>
      <c r="V451" s="7">
        <v>1998</v>
      </c>
      <c r="W451" t="s">
        <v>419</v>
      </c>
      <c r="X451" s="2">
        <v>1.3280000000000001</v>
      </c>
      <c r="Y451" s="6">
        <f t="shared" si="58"/>
        <v>3.5450201542937994E-2</v>
      </c>
      <c r="AA451">
        <v>7413335</v>
      </c>
      <c r="AB451">
        <v>29251</v>
      </c>
      <c r="AD451" t="s">
        <v>2</v>
      </c>
      <c r="AE451">
        <v>40</v>
      </c>
      <c r="AF451">
        <v>2</v>
      </c>
      <c r="AH451" t="s">
        <v>4783</v>
      </c>
      <c r="AI451" t="s">
        <v>4782</v>
      </c>
      <c r="AK451" t="s">
        <v>4781</v>
      </c>
      <c r="AL451">
        <v>3</v>
      </c>
      <c r="AM451" s="5">
        <f t="shared" si="59"/>
        <v>0.125</v>
      </c>
      <c r="AN451" s="4">
        <f t="shared" si="60"/>
        <v>1.893222264293828E-4</v>
      </c>
      <c r="AO451" s="3"/>
      <c r="AP451">
        <v>0</v>
      </c>
      <c r="AR451" t="s">
        <v>1</v>
      </c>
      <c r="AT451" s="2">
        <v>2.4580000000000002</v>
      </c>
      <c r="AU451" s="1">
        <f t="shared" si="61"/>
        <v>2.4871937747985409</v>
      </c>
      <c r="AV451" s="1">
        <f t="shared" si="62"/>
        <v>1.7819761884683687</v>
      </c>
      <c r="AW451" s="1">
        <f t="shared" si="63"/>
        <v>1.0767586021381967</v>
      </c>
    </row>
    <row r="452" spans="1:49" x14ac:dyDescent="0.2">
      <c r="A452">
        <v>450</v>
      </c>
      <c r="B452" t="s">
        <v>4780</v>
      </c>
      <c r="C452" t="s">
        <v>4779</v>
      </c>
      <c r="D452" t="s">
        <v>4778</v>
      </c>
      <c r="F452" t="s">
        <v>4777</v>
      </c>
      <c r="G452" t="s">
        <v>5</v>
      </c>
      <c r="H452" t="s">
        <v>4</v>
      </c>
      <c r="I452" t="s">
        <v>4776</v>
      </c>
      <c r="J452" t="s">
        <v>4775</v>
      </c>
      <c r="K452" t="s">
        <v>4774</v>
      </c>
      <c r="L452" t="s">
        <v>4773</v>
      </c>
      <c r="M452" t="s">
        <v>6</v>
      </c>
      <c r="N452">
        <v>1</v>
      </c>
      <c r="O452" t="s">
        <v>4772</v>
      </c>
      <c r="P452">
        <v>7004967377</v>
      </c>
      <c r="Q452" t="s">
        <v>4771</v>
      </c>
      <c r="R452" s="7">
        <v>36130</v>
      </c>
      <c r="S452" s="8">
        <f t="shared" si="56"/>
        <v>1998</v>
      </c>
      <c r="T452" s="8">
        <v>1998</v>
      </c>
      <c r="U452" s="8">
        <f t="shared" si="57"/>
        <v>24</v>
      </c>
      <c r="V452" s="7">
        <v>1998</v>
      </c>
      <c r="W452" t="s">
        <v>4770</v>
      </c>
      <c r="X452" s="2">
        <v>0.82</v>
      </c>
      <c r="Y452" s="6">
        <f t="shared" si="58"/>
        <v>2.1889431675609299E-2</v>
      </c>
      <c r="AA452">
        <v>189456</v>
      </c>
      <c r="AB452">
        <v>15361</v>
      </c>
      <c r="AD452" t="s">
        <v>2</v>
      </c>
      <c r="AE452">
        <v>47</v>
      </c>
      <c r="AF452">
        <v>1</v>
      </c>
      <c r="AH452" t="s">
        <v>4769</v>
      </c>
      <c r="AI452" t="s">
        <v>4768</v>
      </c>
      <c r="AJ452" t="s">
        <v>4767</v>
      </c>
      <c r="AK452" t="s">
        <v>4766</v>
      </c>
      <c r="AL452">
        <v>0</v>
      </c>
      <c r="AM452" s="5">
        <f t="shared" si="59"/>
        <v>0</v>
      </c>
      <c r="AN452" s="4">
        <f t="shared" si="60"/>
        <v>0</v>
      </c>
      <c r="AO452" s="3"/>
      <c r="AP452">
        <v>0</v>
      </c>
      <c r="AR452" t="s">
        <v>1</v>
      </c>
      <c r="AT452" s="2" t="s">
        <v>0</v>
      </c>
      <c r="AU452" s="1">
        <f t="shared" si="61"/>
        <v>1.5322602172926507</v>
      </c>
      <c r="AV452" s="1">
        <f t="shared" si="62"/>
        <v>1.0944715837804648</v>
      </c>
      <c r="AW452" s="1">
        <f t="shared" si="63"/>
        <v>0.65668295026827894</v>
      </c>
    </row>
    <row r="453" spans="1:49" x14ac:dyDescent="0.2">
      <c r="A453">
        <v>451</v>
      </c>
      <c r="B453" t="s">
        <v>4765</v>
      </c>
      <c r="F453" t="s">
        <v>4764</v>
      </c>
      <c r="G453" t="s">
        <v>5</v>
      </c>
      <c r="H453" t="s">
        <v>4</v>
      </c>
      <c r="I453" t="s">
        <v>253</v>
      </c>
      <c r="J453">
        <v>100694806</v>
      </c>
      <c r="K453" t="s">
        <v>4763</v>
      </c>
      <c r="L453" t="s">
        <v>4762</v>
      </c>
      <c r="M453" t="s">
        <v>195</v>
      </c>
      <c r="N453">
        <v>2</v>
      </c>
      <c r="O453" t="s">
        <v>4761</v>
      </c>
      <c r="P453" t="s">
        <v>4760</v>
      </c>
      <c r="Q453" t="s">
        <v>4759</v>
      </c>
      <c r="R453" s="7">
        <v>36130</v>
      </c>
      <c r="S453" s="8">
        <f t="shared" si="56"/>
        <v>1998</v>
      </c>
      <c r="T453" s="8">
        <v>1998</v>
      </c>
      <c r="U453" s="8">
        <f t="shared" si="57"/>
        <v>24</v>
      </c>
      <c r="V453" s="7">
        <v>1998</v>
      </c>
      <c r="W453" t="s">
        <v>4520</v>
      </c>
      <c r="X453" s="2">
        <v>0.1</v>
      </c>
      <c r="Y453" s="6">
        <f t="shared" si="58"/>
        <v>2.6694428872694269E-3</v>
      </c>
      <c r="AA453">
        <v>9633308</v>
      </c>
      <c r="AB453">
        <v>17917</v>
      </c>
      <c r="AD453" t="s">
        <v>2</v>
      </c>
      <c r="AF453">
        <v>241</v>
      </c>
      <c r="AL453">
        <v>0</v>
      </c>
      <c r="AM453" s="5">
        <f t="shared" si="59"/>
        <v>0</v>
      </c>
      <c r="AN453" s="4">
        <f t="shared" si="60"/>
        <v>0</v>
      </c>
      <c r="AO453" s="3"/>
      <c r="AP453">
        <v>0</v>
      </c>
      <c r="AR453" t="s">
        <v>1</v>
      </c>
      <c r="AT453" s="2" t="s">
        <v>0</v>
      </c>
      <c r="AU453" s="1">
        <f t="shared" si="61"/>
        <v>0.18686100210885986</v>
      </c>
      <c r="AV453" s="1">
        <f t="shared" si="62"/>
        <v>0.13347214436347135</v>
      </c>
      <c r="AW453" s="1">
        <f t="shared" si="63"/>
        <v>8.0083286618082811E-2</v>
      </c>
    </row>
    <row r="454" spans="1:49" x14ac:dyDescent="0.2">
      <c r="A454">
        <v>452</v>
      </c>
      <c r="B454" t="s">
        <v>4758</v>
      </c>
      <c r="F454" t="s">
        <v>4757</v>
      </c>
      <c r="G454" t="s">
        <v>5</v>
      </c>
      <c r="H454" t="s">
        <v>4</v>
      </c>
      <c r="I454" t="s">
        <v>4756</v>
      </c>
      <c r="J454">
        <v>60099662</v>
      </c>
      <c r="K454" t="s">
        <v>4755</v>
      </c>
      <c r="L454" t="s">
        <v>4754</v>
      </c>
      <c r="M454" t="s">
        <v>13</v>
      </c>
      <c r="N454">
        <v>1</v>
      </c>
      <c r="O454" t="s">
        <v>4753</v>
      </c>
      <c r="P454">
        <v>7401888120</v>
      </c>
      <c r="Q454">
        <v>60099662</v>
      </c>
      <c r="R454" s="7">
        <v>36130</v>
      </c>
      <c r="S454" s="8">
        <f t="shared" si="56"/>
        <v>1998</v>
      </c>
      <c r="T454" s="8">
        <v>1998</v>
      </c>
      <c r="U454" s="8">
        <f t="shared" si="57"/>
        <v>24</v>
      </c>
      <c r="V454" s="7">
        <v>1998</v>
      </c>
      <c r="W454" t="s">
        <v>4520</v>
      </c>
      <c r="X454" s="2">
        <v>0.1</v>
      </c>
      <c r="Y454" s="6">
        <f t="shared" si="58"/>
        <v>2.6694428872694269E-3</v>
      </c>
      <c r="AA454">
        <v>9633308</v>
      </c>
      <c r="AB454">
        <v>17917</v>
      </c>
      <c r="AD454" t="s">
        <v>2</v>
      </c>
      <c r="AF454">
        <v>219</v>
      </c>
      <c r="AI454" t="s">
        <v>4752</v>
      </c>
      <c r="AK454" t="s">
        <v>4751</v>
      </c>
      <c r="AL454">
        <v>0</v>
      </c>
      <c r="AM454" s="5">
        <f t="shared" si="59"/>
        <v>0</v>
      </c>
      <c r="AN454" s="4">
        <f t="shared" si="60"/>
        <v>0</v>
      </c>
      <c r="AO454" s="3"/>
      <c r="AP454">
        <v>0</v>
      </c>
      <c r="AR454" t="s">
        <v>1</v>
      </c>
      <c r="AT454" s="2" t="s">
        <v>0</v>
      </c>
      <c r="AU454" s="1">
        <f t="shared" si="61"/>
        <v>0.18686100210885986</v>
      </c>
      <c r="AV454" s="1">
        <f t="shared" si="62"/>
        <v>0.13347214436347135</v>
      </c>
      <c r="AW454" s="1">
        <f t="shared" si="63"/>
        <v>8.0083286618082811E-2</v>
      </c>
    </row>
    <row r="455" spans="1:49" x14ac:dyDescent="0.2">
      <c r="A455">
        <v>453</v>
      </c>
      <c r="B455" t="s">
        <v>4750</v>
      </c>
      <c r="F455" t="s">
        <v>4749</v>
      </c>
      <c r="G455" t="s">
        <v>5</v>
      </c>
      <c r="H455" t="s">
        <v>4</v>
      </c>
      <c r="I455" t="s">
        <v>4748</v>
      </c>
      <c r="J455">
        <v>60005811</v>
      </c>
      <c r="K455" t="s">
        <v>271</v>
      </c>
      <c r="L455" t="s">
        <v>40</v>
      </c>
      <c r="M455" t="s">
        <v>37</v>
      </c>
      <c r="N455">
        <v>1</v>
      </c>
      <c r="O455" t="s">
        <v>4747</v>
      </c>
      <c r="P455">
        <v>7003639262</v>
      </c>
      <c r="Q455">
        <v>60005811</v>
      </c>
      <c r="R455" s="7">
        <v>36130</v>
      </c>
      <c r="S455" s="8">
        <f t="shared" si="56"/>
        <v>1998</v>
      </c>
      <c r="T455" s="8">
        <v>1998</v>
      </c>
      <c r="U455" s="8">
        <f t="shared" si="57"/>
        <v>24</v>
      </c>
      <c r="V455" s="7">
        <v>1998</v>
      </c>
      <c r="W455" t="s">
        <v>4520</v>
      </c>
      <c r="X455" s="2">
        <v>0.1</v>
      </c>
      <c r="Y455" s="6">
        <f t="shared" si="58"/>
        <v>2.6694428872694269E-3</v>
      </c>
      <c r="AA455">
        <v>9633308</v>
      </c>
      <c r="AB455">
        <v>17917</v>
      </c>
      <c r="AD455" t="s">
        <v>2</v>
      </c>
      <c r="AF455">
        <v>241</v>
      </c>
      <c r="AI455" t="s">
        <v>4746</v>
      </c>
      <c r="AK455" t="s">
        <v>4745</v>
      </c>
      <c r="AL455">
        <v>23</v>
      </c>
      <c r="AM455" s="5">
        <f t="shared" si="59"/>
        <v>0.95833333333333337</v>
      </c>
      <c r="AN455" s="4">
        <f t="shared" si="60"/>
        <v>1.4514704026252683E-3</v>
      </c>
      <c r="AO455" s="3"/>
      <c r="AP455">
        <v>0</v>
      </c>
      <c r="AR455" t="s">
        <v>1</v>
      </c>
      <c r="AT455" s="2" t="s">
        <v>0</v>
      </c>
      <c r="AU455" s="1">
        <f t="shared" si="61"/>
        <v>0.23040511418761794</v>
      </c>
      <c r="AV455" s="1">
        <f t="shared" si="62"/>
        <v>0.20604566449473477</v>
      </c>
      <c r="AW455" s="1">
        <f t="shared" si="63"/>
        <v>0.18168621480185157</v>
      </c>
    </row>
    <row r="456" spans="1:49" x14ac:dyDescent="0.2">
      <c r="A456">
        <v>454</v>
      </c>
      <c r="B456" t="s">
        <v>4744</v>
      </c>
      <c r="C456" t="s">
        <v>4743</v>
      </c>
      <c r="D456" t="s">
        <v>4742</v>
      </c>
      <c r="F456" t="s">
        <v>4741</v>
      </c>
      <c r="G456" t="s">
        <v>5</v>
      </c>
      <c r="H456" t="s">
        <v>4</v>
      </c>
      <c r="I456" t="s">
        <v>4740</v>
      </c>
      <c r="J456">
        <v>60013372</v>
      </c>
      <c r="K456" t="s">
        <v>691</v>
      </c>
      <c r="L456" t="s">
        <v>690</v>
      </c>
      <c r="M456" t="s">
        <v>9</v>
      </c>
      <c r="N456">
        <v>3</v>
      </c>
      <c r="O456" t="s">
        <v>4739</v>
      </c>
      <c r="P456" t="s">
        <v>4738</v>
      </c>
      <c r="Q456" t="s">
        <v>689</v>
      </c>
      <c r="R456" s="7">
        <v>36130</v>
      </c>
      <c r="S456" s="8">
        <f t="shared" si="56"/>
        <v>1998</v>
      </c>
      <c r="T456" s="8">
        <v>1998</v>
      </c>
      <c r="U456" s="8">
        <f t="shared" si="57"/>
        <v>24</v>
      </c>
      <c r="V456" s="7">
        <v>1998</v>
      </c>
      <c r="W456" t="s">
        <v>2191</v>
      </c>
      <c r="X456" s="2">
        <v>1.6379999999999999</v>
      </c>
      <c r="Y456" s="6">
        <f t="shared" si="58"/>
        <v>4.3725474493473214E-2</v>
      </c>
      <c r="AA456" t="s">
        <v>2190</v>
      </c>
      <c r="AB456">
        <v>17391</v>
      </c>
      <c r="AD456" t="s">
        <v>2</v>
      </c>
      <c r="AE456">
        <v>46</v>
      </c>
      <c r="AF456">
        <v>1</v>
      </c>
      <c r="AH456" t="s">
        <v>4737</v>
      </c>
      <c r="AI456" t="s">
        <v>4736</v>
      </c>
      <c r="AJ456" t="s">
        <v>4735</v>
      </c>
      <c r="AK456" t="s">
        <v>4734</v>
      </c>
      <c r="AL456">
        <v>3</v>
      </c>
      <c r="AM456" s="5">
        <f t="shared" si="59"/>
        <v>0.125</v>
      </c>
      <c r="AN456" s="4">
        <f t="shared" si="60"/>
        <v>1.893222264293828E-4</v>
      </c>
      <c r="AO456" s="3"/>
      <c r="AP456">
        <v>0</v>
      </c>
      <c r="AR456" t="s">
        <v>1</v>
      </c>
      <c r="AT456" s="2">
        <v>4.931</v>
      </c>
      <c r="AU456" s="1">
        <f t="shared" si="61"/>
        <v>3.0664628813360064</v>
      </c>
      <c r="AV456" s="1">
        <f t="shared" si="62"/>
        <v>2.1957398359951297</v>
      </c>
      <c r="AW456" s="1">
        <f t="shared" si="63"/>
        <v>1.3250167906542532</v>
      </c>
    </row>
    <row r="457" spans="1:49" x14ac:dyDescent="0.2">
      <c r="A457">
        <v>455</v>
      </c>
      <c r="B457" t="s">
        <v>4733</v>
      </c>
      <c r="F457" t="s">
        <v>4732</v>
      </c>
      <c r="G457" t="s">
        <v>5</v>
      </c>
      <c r="H457" t="s">
        <v>4</v>
      </c>
      <c r="I457" t="s">
        <v>3780</v>
      </c>
      <c r="J457">
        <v>60004407</v>
      </c>
      <c r="K457" t="s">
        <v>670</v>
      </c>
      <c r="L457" t="s">
        <v>669</v>
      </c>
      <c r="M457" t="s">
        <v>13</v>
      </c>
      <c r="N457">
        <v>2</v>
      </c>
      <c r="O457" t="s">
        <v>3779</v>
      </c>
      <c r="P457" t="s">
        <v>3778</v>
      </c>
      <c r="Q457" t="s">
        <v>4731</v>
      </c>
      <c r="R457" s="7">
        <v>36130</v>
      </c>
      <c r="S457" s="8">
        <f t="shared" si="56"/>
        <v>1998</v>
      </c>
      <c r="T457" s="8">
        <v>1998</v>
      </c>
      <c r="U457" s="8">
        <f t="shared" si="57"/>
        <v>24</v>
      </c>
      <c r="V457" s="7">
        <v>1998</v>
      </c>
      <c r="W457" t="s">
        <v>4520</v>
      </c>
      <c r="X457" s="2">
        <v>0.1</v>
      </c>
      <c r="Y457" s="6">
        <f t="shared" si="58"/>
        <v>2.6694428872694269E-3</v>
      </c>
      <c r="AA457">
        <v>9633308</v>
      </c>
      <c r="AB457">
        <v>17917</v>
      </c>
      <c r="AD457" t="s">
        <v>2</v>
      </c>
      <c r="AF457">
        <v>206</v>
      </c>
      <c r="AL457">
        <v>2</v>
      </c>
      <c r="AM457" s="5">
        <f t="shared" si="59"/>
        <v>8.3333333333333329E-2</v>
      </c>
      <c r="AN457" s="4">
        <f t="shared" si="60"/>
        <v>1.2621481761958852E-4</v>
      </c>
      <c r="AO457" s="3"/>
      <c r="AP457">
        <v>0</v>
      </c>
      <c r="AR457" t="s">
        <v>1</v>
      </c>
      <c r="AT457" s="2" t="s">
        <v>0</v>
      </c>
      <c r="AU457" s="1">
        <f t="shared" si="61"/>
        <v>0.19064744663744754</v>
      </c>
      <c r="AV457" s="1">
        <f t="shared" si="62"/>
        <v>0.13978288524445079</v>
      </c>
      <c r="AW457" s="1">
        <f t="shared" si="63"/>
        <v>8.8918323851453998E-2</v>
      </c>
    </row>
    <row r="458" spans="1:49" x14ac:dyDescent="0.2">
      <c r="A458">
        <v>456</v>
      </c>
      <c r="B458" t="s">
        <v>4730</v>
      </c>
      <c r="C458" t="s">
        <v>4729</v>
      </c>
      <c r="F458" t="s">
        <v>4728</v>
      </c>
      <c r="G458" t="s">
        <v>5</v>
      </c>
      <c r="H458" t="s">
        <v>4</v>
      </c>
      <c r="I458" t="s">
        <v>4727</v>
      </c>
      <c r="J458">
        <v>60002959</v>
      </c>
      <c r="K458" t="s">
        <v>4726</v>
      </c>
      <c r="L458" t="s">
        <v>4725</v>
      </c>
      <c r="M458" t="s">
        <v>9</v>
      </c>
      <c r="N458">
        <v>1</v>
      </c>
      <c r="O458" t="s">
        <v>4724</v>
      </c>
      <c r="P458">
        <v>6602141279</v>
      </c>
      <c r="Q458">
        <v>60002959</v>
      </c>
      <c r="R458" s="7">
        <v>36130</v>
      </c>
      <c r="S458" s="8">
        <f t="shared" si="56"/>
        <v>1998</v>
      </c>
      <c r="T458" s="8">
        <v>1998</v>
      </c>
      <c r="U458" s="8">
        <f t="shared" si="57"/>
        <v>24</v>
      </c>
      <c r="V458" s="7">
        <v>1998</v>
      </c>
      <c r="W458" t="s">
        <v>4659</v>
      </c>
      <c r="X458" s="2">
        <v>1.137</v>
      </c>
      <c r="Y458" s="6">
        <f t="shared" si="58"/>
        <v>3.0351565628253384E-2</v>
      </c>
      <c r="AA458">
        <v>189251</v>
      </c>
      <c r="AB458">
        <v>17336</v>
      </c>
      <c r="AD458" t="s">
        <v>2</v>
      </c>
      <c r="AE458">
        <v>34</v>
      </c>
      <c r="AF458">
        <v>1</v>
      </c>
      <c r="AH458" t="s">
        <v>4723</v>
      </c>
      <c r="AI458" t="s">
        <v>4722</v>
      </c>
      <c r="AK458" t="s">
        <v>4721</v>
      </c>
      <c r="AL458">
        <v>5</v>
      </c>
      <c r="AM458" s="5">
        <f t="shared" si="59"/>
        <v>0.20833333333333334</v>
      </c>
      <c r="AN458" s="4">
        <f t="shared" si="60"/>
        <v>3.1553704404897135E-4</v>
      </c>
      <c r="AO458" s="3"/>
      <c r="AP458">
        <v>0</v>
      </c>
      <c r="AR458" t="s">
        <v>1</v>
      </c>
      <c r="AT458" s="2" t="s">
        <v>0</v>
      </c>
      <c r="AU458" s="1">
        <f t="shared" si="61"/>
        <v>2.1340757052992059</v>
      </c>
      <c r="AV458" s="1">
        <f t="shared" si="62"/>
        <v>1.5333551336151177</v>
      </c>
      <c r="AW458" s="1">
        <f t="shared" si="63"/>
        <v>0.93263456193102956</v>
      </c>
    </row>
    <row r="459" spans="1:49" x14ac:dyDescent="0.2">
      <c r="A459">
        <v>457</v>
      </c>
      <c r="B459" t="s">
        <v>4720</v>
      </c>
      <c r="C459" t="s">
        <v>4719</v>
      </c>
      <c r="F459" t="s">
        <v>4718</v>
      </c>
      <c r="G459" t="s">
        <v>5</v>
      </c>
      <c r="H459" t="s">
        <v>4</v>
      </c>
      <c r="I459" t="s">
        <v>4717</v>
      </c>
      <c r="J459" t="s">
        <v>4716</v>
      </c>
      <c r="K459" t="s">
        <v>4715</v>
      </c>
      <c r="L459" t="s">
        <v>4714</v>
      </c>
      <c r="M459" t="s">
        <v>6</v>
      </c>
      <c r="N459">
        <v>1</v>
      </c>
      <c r="O459" t="s">
        <v>4713</v>
      </c>
      <c r="P459">
        <v>7410191088</v>
      </c>
      <c r="Q459" t="s">
        <v>4712</v>
      </c>
      <c r="R459" s="7">
        <v>36130</v>
      </c>
      <c r="S459" s="8">
        <f t="shared" si="56"/>
        <v>1998</v>
      </c>
      <c r="T459" s="8">
        <v>1998</v>
      </c>
      <c r="U459" s="8">
        <f t="shared" si="57"/>
        <v>24</v>
      </c>
      <c r="V459" s="7">
        <v>1998</v>
      </c>
      <c r="W459" t="s">
        <v>4659</v>
      </c>
      <c r="X459" s="2">
        <v>1.137</v>
      </c>
      <c r="Y459" s="6">
        <f t="shared" si="58"/>
        <v>3.0351565628253384E-2</v>
      </c>
      <c r="AA459">
        <v>189251</v>
      </c>
      <c r="AB459">
        <v>17336</v>
      </c>
      <c r="AD459" t="s">
        <v>2</v>
      </c>
      <c r="AE459">
        <v>34</v>
      </c>
      <c r="AF459">
        <v>1</v>
      </c>
      <c r="AH459" t="s">
        <v>4711</v>
      </c>
      <c r="AI459" t="s">
        <v>4710</v>
      </c>
      <c r="AK459" t="s">
        <v>4709</v>
      </c>
      <c r="AL459">
        <v>21</v>
      </c>
      <c r="AM459" s="5">
        <f t="shared" si="59"/>
        <v>0.875</v>
      </c>
      <c r="AN459" s="4">
        <f t="shared" si="60"/>
        <v>1.3252555850056798E-3</v>
      </c>
      <c r="AO459" s="3"/>
      <c r="AP459">
        <v>0</v>
      </c>
      <c r="AR459" t="s">
        <v>1</v>
      </c>
      <c r="AT459" s="2" t="s">
        <v>0</v>
      </c>
      <c r="AU459" s="1">
        <f t="shared" si="61"/>
        <v>2.1643672615279068</v>
      </c>
      <c r="AV459" s="1">
        <f t="shared" si="62"/>
        <v>1.5838410606629532</v>
      </c>
      <c r="AW459" s="1">
        <f t="shared" si="63"/>
        <v>1.0033148597979991</v>
      </c>
    </row>
    <row r="460" spans="1:49" x14ac:dyDescent="0.2">
      <c r="A460">
        <v>458</v>
      </c>
      <c r="B460" t="s">
        <v>4708</v>
      </c>
      <c r="C460" t="s">
        <v>4707</v>
      </c>
      <c r="D460" t="s">
        <v>4706</v>
      </c>
      <c r="F460" t="s">
        <v>4705</v>
      </c>
      <c r="G460" t="s">
        <v>5</v>
      </c>
      <c r="H460" t="s">
        <v>4</v>
      </c>
      <c r="I460" t="s">
        <v>4704</v>
      </c>
      <c r="J460">
        <v>60011976</v>
      </c>
      <c r="K460" t="s">
        <v>4703</v>
      </c>
      <c r="L460" t="s">
        <v>4702</v>
      </c>
      <c r="M460" t="s">
        <v>9</v>
      </c>
      <c r="N460">
        <v>1</v>
      </c>
      <c r="O460" t="s">
        <v>4701</v>
      </c>
      <c r="P460">
        <v>54681185100</v>
      </c>
      <c r="Q460">
        <v>60011976</v>
      </c>
      <c r="R460" s="7">
        <v>36130</v>
      </c>
      <c r="S460" s="8">
        <f t="shared" si="56"/>
        <v>1998</v>
      </c>
      <c r="T460" s="8">
        <v>1998</v>
      </c>
      <c r="U460" s="8">
        <f t="shared" si="57"/>
        <v>24</v>
      </c>
      <c r="V460" s="7">
        <v>1998</v>
      </c>
      <c r="W460" t="s">
        <v>4480</v>
      </c>
      <c r="X460" s="2">
        <v>2.141</v>
      </c>
      <c r="Y460" s="6">
        <f t="shared" si="58"/>
        <v>5.7152772216438434E-2</v>
      </c>
      <c r="AA460">
        <v>1962892</v>
      </c>
      <c r="AB460">
        <v>17360</v>
      </c>
      <c r="AD460" t="s">
        <v>2</v>
      </c>
      <c r="AE460">
        <v>36</v>
      </c>
      <c r="AF460">
        <v>1</v>
      </c>
      <c r="AH460" t="s">
        <v>4700</v>
      </c>
      <c r="AI460" t="s">
        <v>4699</v>
      </c>
      <c r="AK460" t="s">
        <v>4698</v>
      </c>
      <c r="AL460">
        <v>2</v>
      </c>
      <c r="AM460" s="5">
        <f t="shared" si="59"/>
        <v>8.3333333333333329E-2</v>
      </c>
      <c r="AN460" s="4">
        <f t="shared" si="60"/>
        <v>1.2621481761958852E-4</v>
      </c>
      <c r="AO460" s="3"/>
      <c r="AP460">
        <v>0</v>
      </c>
      <c r="AR460" t="s">
        <v>1</v>
      </c>
      <c r="AT460" s="2" t="s">
        <v>0</v>
      </c>
      <c r="AU460" s="1">
        <f t="shared" si="61"/>
        <v>4.0044804996792775</v>
      </c>
      <c r="AV460" s="1">
        <f t="shared" si="62"/>
        <v>2.8639493517029013</v>
      </c>
      <c r="AW460" s="1">
        <f t="shared" si="63"/>
        <v>1.7234182037265244</v>
      </c>
    </row>
    <row r="461" spans="1:49" x14ac:dyDescent="0.2">
      <c r="A461">
        <v>459</v>
      </c>
      <c r="B461" t="s">
        <v>4697</v>
      </c>
      <c r="F461" t="s">
        <v>4696</v>
      </c>
      <c r="G461" t="s">
        <v>5</v>
      </c>
      <c r="H461" t="s">
        <v>4</v>
      </c>
      <c r="I461" t="s">
        <v>2482</v>
      </c>
      <c r="J461">
        <v>60021097</v>
      </c>
      <c r="K461" t="s">
        <v>404</v>
      </c>
      <c r="L461" t="s">
        <v>403</v>
      </c>
      <c r="M461" t="s">
        <v>13</v>
      </c>
      <c r="N461">
        <v>3</v>
      </c>
      <c r="O461" t="s">
        <v>4695</v>
      </c>
      <c r="P461" t="s">
        <v>4694</v>
      </c>
      <c r="Q461" t="s">
        <v>4693</v>
      </c>
      <c r="R461" s="7">
        <v>36130</v>
      </c>
      <c r="S461" s="8">
        <f t="shared" si="56"/>
        <v>1998</v>
      </c>
      <c r="T461" s="8">
        <v>1998</v>
      </c>
      <c r="U461" s="8">
        <f t="shared" si="57"/>
        <v>24</v>
      </c>
      <c r="V461" s="7">
        <v>1998</v>
      </c>
      <c r="W461" t="s">
        <v>4520</v>
      </c>
      <c r="X461" s="2">
        <v>0.1</v>
      </c>
      <c r="Y461" s="6">
        <f t="shared" si="58"/>
        <v>2.6694428872694269E-3</v>
      </c>
      <c r="AA461">
        <v>9633308</v>
      </c>
      <c r="AB461">
        <v>17917</v>
      </c>
      <c r="AD461" t="s">
        <v>2</v>
      </c>
      <c r="AF461">
        <v>442</v>
      </c>
      <c r="AI461" t="s">
        <v>4692</v>
      </c>
      <c r="AK461" t="s">
        <v>4691</v>
      </c>
      <c r="AL461">
        <v>0</v>
      </c>
      <c r="AM461" s="5">
        <f t="shared" si="59"/>
        <v>0</v>
      </c>
      <c r="AN461" s="4">
        <f t="shared" si="60"/>
        <v>0</v>
      </c>
      <c r="AO461" s="3"/>
      <c r="AP461">
        <v>0</v>
      </c>
      <c r="AR461" t="s">
        <v>1</v>
      </c>
      <c r="AT461" s="2" t="s">
        <v>0</v>
      </c>
      <c r="AU461" s="1">
        <f t="shared" si="61"/>
        <v>0.18686100210885986</v>
      </c>
      <c r="AV461" s="1">
        <f t="shared" si="62"/>
        <v>0.13347214436347135</v>
      </c>
      <c r="AW461" s="1">
        <f t="shared" si="63"/>
        <v>8.0083286618082811E-2</v>
      </c>
    </row>
    <row r="462" spans="1:49" x14ac:dyDescent="0.2">
      <c r="A462">
        <v>460</v>
      </c>
      <c r="B462" t="s">
        <v>4690</v>
      </c>
      <c r="F462" t="s">
        <v>4689</v>
      </c>
      <c r="G462" t="s">
        <v>5</v>
      </c>
      <c r="H462" t="s">
        <v>4</v>
      </c>
      <c r="I462" t="s">
        <v>4688</v>
      </c>
      <c r="J462">
        <v>100326125</v>
      </c>
      <c r="K462" t="s">
        <v>4687</v>
      </c>
      <c r="L462" t="s">
        <v>4686</v>
      </c>
      <c r="M462" t="s">
        <v>13</v>
      </c>
      <c r="N462">
        <v>1</v>
      </c>
      <c r="O462" t="s">
        <v>4685</v>
      </c>
      <c r="P462">
        <v>6602950238</v>
      </c>
      <c r="Q462">
        <v>100326125</v>
      </c>
      <c r="R462" s="7">
        <v>36130</v>
      </c>
      <c r="S462" s="8">
        <f t="shared" si="56"/>
        <v>1998</v>
      </c>
      <c r="T462" s="8">
        <v>1998</v>
      </c>
      <c r="U462" s="8">
        <f t="shared" si="57"/>
        <v>24</v>
      </c>
      <c r="V462" s="7">
        <v>1998</v>
      </c>
      <c r="W462" t="s">
        <v>4520</v>
      </c>
      <c r="X462" s="2">
        <v>0.1</v>
      </c>
      <c r="Y462" s="6">
        <f t="shared" si="58"/>
        <v>2.6694428872694269E-3</v>
      </c>
      <c r="AA462">
        <v>9633308</v>
      </c>
      <c r="AB462">
        <v>17917</v>
      </c>
      <c r="AD462" t="s">
        <v>2</v>
      </c>
      <c r="AF462">
        <v>240</v>
      </c>
      <c r="AL462">
        <v>1</v>
      </c>
      <c r="AM462" s="5">
        <f t="shared" si="59"/>
        <v>4.1666666666666664E-2</v>
      </c>
      <c r="AN462" s="4">
        <f t="shared" si="60"/>
        <v>6.3107408809794262E-5</v>
      </c>
      <c r="AO462" s="3"/>
      <c r="AP462">
        <v>0</v>
      </c>
      <c r="AR462" t="s">
        <v>1</v>
      </c>
      <c r="AT462" s="2" t="s">
        <v>0</v>
      </c>
      <c r="AU462" s="1">
        <f t="shared" si="61"/>
        <v>0.1887542243731537</v>
      </c>
      <c r="AV462" s="1">
        <f t="shared" si="62"/>
        <v>0.13662751480396107</v>
      </c>
      <c r="AW462" s="1">
        <f t="shared" si="63"/>
        <v>8.4500805234768397E-2</v>
      </c>
    </row>
    <row r="463" spans="1:49" x14ac:dyDescent="0.2">
      <c r="A463">
        <v>461</v>
      </c>
      <c r="B463" t="s">
        <v>4684</v>
      </c>
      <c r="F463" t="s">
        <v>4683</v>
      </c>
      <c r="G463" t="s">
        <v>5</v>
      </c>
      <c r="H463" t="s">
        <v>4</v>
      </c>
      <c r="I463" t="s">
        <v>4682</v>
      </c>
      <c r="J463">
        <v>60019702</v>
      </c>
      <c r="K463" t="s">
        <v>347</v>
      </c>
      <c r="L463" t="s">
        <v>346</v>
      </c>
      <c r="M463" t="s">
        <v>13</v>
      </c>
      <c r="N463">
        <v>3</v>
      </c>
      <c r="O463" t="s">
        <v>4681</v>
      </c>
      <c r="P463" t="s">
        <v>4680</v>
      </c>
      <c r="Q463" t="s">
        <v>345</v>
      </c>
      <c r="R463" s="7">
        <v>36130</v>
      </c>
      <c r="S463" s="8">
        <f t="shared" si="56"/>
        <v>1998</v>
      </c>
      <c r="T463" s="8">
        <v>1998</v>
      </c>
      <c r="U463" s="8">
        <f t="shared" si="57"/>
        <v>24</v>
      </c>
      <c r="V463" s="7">
        <v>1998</v>
      </c>
      <c r="W463" t="s">
        <v>4520</v>
      </c>
      <c r="X463" s="2">
        <v>0.1</v>
      </c>
      <c r="Y463" s="6">
        <f t="shared" si="58"/>
        <v>2.6694428872694269E-3</v>
      </c>
      <c r="AA463">
        <v>9633308</v>
      </c>
      <c r="AB463">
        <v>17917</v>
      </c>
      <c r="AD463" t="s">
        <v>2</v>
      </c>
      <c r="AF463">
        <v>206</v>
      </c>
      <c r="AI463" t="s">
        <v>4679</v>
      </c>
      <c r="AK463" t="s">
        <v>4678</v>
      </c>
      <c r="AL463">
        <v>0</v>
      </c>
      <c r="AM463" s="5">
        <f t="shared" si="59"/>
        <v>0</v>
      </c>
      <c r="AN463" s="4">
        <f t="shared" si="60"/>
        <v>0</v>
      </c>
      <c r="AO463" s="3"/>
      <c r="AP463">
        <v>0</v>
      </c>
      <c r="AR463" t="s">
        <v>1</v>
      </c>
      <c r="AT463" s="2" t="s">
        <v>0</v>
      </c>
      <c r="AU463" s="1">
        <f t="shared" si="61"/>
        <v>0.18686100210885986</v>
      </c>
      <c r="AV463" s="1">
        <f t="shared" si="62"/>
        <v>0.13347214436347135</v>
      </c>
      <c r="AW463" s="1">
        <f t="shared" si="63"/>
        <v>8.0083286618082811E-2</v>
      </c>
    </row>
    <row r="464" spans="1:49" x14ac:dyDescent="0.2">
      <c r="A464">
        <v>462</v>
      </c>
      <c r="B464" t="s">
        <v>4677</v>
      </c>
      <c r="C464" t="s">
        <v>4676</v>
      </c>
      <c r="D464" t="s">
        <v>4675</v>
      </c>
      <c r="F464" t="s">
        <v>4674</v>
      </c>
      <c r="G464" t="s">
        <v>5</v>
      </c>
      <c r="H464" t="s">
        <v>4</v>
      </c>
      <c r="I464" t="s">
        <v>995</v>
      </c>
      <c r="J464">
        <v>60027550</v>
      </c>
      <c r="K464" t="s">
        <v>11</v>
      </c>
      <c r="L464" t="s">
        <v>10</v>
      </c>
      <c r="M464" t="s">
        <v>9</v>
      </c>
      <c r="N464">
        <v>2</v>
      </c>
      <c r="O464" t="s">
        <v>991</v>
      </c>
      <c r="P464" t="s">
        <v>990</v>
      </c>
      <c r="Q464" t="s">
        <v>8</v>
      </c>
      <c r="R464" s="7">
        <v>36130</v>
      </c>
      <c r="S464" s="8">
        <f t="shared" si="56"/>
        <v>1998</v>
      </c>
      <c r="T464" s="8">
        <v>1998</v>
      </c>
      <c r="U464" s="8">
        <f t="shared" si="57"/>
        <v>24</v>
      </c>
      <c r="V464" s="7">
        <v>1998</v>
      </c>
      <c r="W464" t="s">
        <v>303</v>
      </c>
      <c r="X464" s="2">
        <v>1.3720000000000001</v>
      </c>
      <c r="Y464" s="6">
        <f t="shared" si="58"/>
        <v>3.662475641333654E-2</v>
      </c>
      <c r="AA464">
        <v>189480</v>
      </c>
      <c r="AB464">
        <v>17366</v>
      </c>
      <c r="AD464" t="s">
        <v>2</v>
      </c>
      <c r="AE464">
        <v>46</v>
      </c>
      <c r="AF464">
        <v>1</v>
      </c>
      <c r="AH464" t="s">
        <v>4673</v>
      </c>
      <c r="AI464" t="s">
        <v>4672</v>
      </c>
      <c r="AJ464" t="s">
        <v>4671</v>
      </c>
      <c r="AK464" t="s">
        <v>4670</v>
      </c>
      <c r="AL464">
        <v>46</v>
      </c>
      <c r="AM464" s="5">
        <f t="shared" si="59"/>
        <v>1.9166666666666667</v>
      </c>
      <c r="AN464" s="4">
        <f t="shared" si="60"/>
        <v>2.9029408052505365E-3</v>
      </c>
      <c r="AO464" s="3"/>
      <c r="AP464">
        <v>0</v>
      </c>
      <c r="AR464" t="s">
        <v>1</v>
      </c>
      <c r="AT464" s="2" t="s">
        <v>0</v>
      </c>
      <c r="AU464" s="1">
        <f t="shared" si="61"/>
        <v>2.650821173091074</v>
      </c>
      <c r="AV464" s="1">
        <f t="shared" si="62"/>
        <v>1.9763848609293539</v>
      </c>
      <c r="AW464" s="1">
        <f t="shared" si="63"/>
        <v>1.3019485487676337</v>
      </c>
    </row>
    <row r="465" spans="1:49" x14ac:dyDescent="0.2">
      <c r="A465">
        <v>463</v>
      </c>
      <c r="B465" t="s">
        <v>4669</v>
      </c>
      <c r="C465" t="s">
        <v>4668</v>
      </c>
      <c r="F465" t="s">
        <v>4667</v>
      </c>
      <c r="G465" t="s">
        <v>5</v>
      </c>
      <c r="H465" t="s">
        <v>4</v>
      </c>
      <c r="I465" t="s">
        <v>4666</v>
      </c>
      <c r="J465" t="s">
        <v>4665</v>
      </c>
      <c r="K465" t="s">
        <v>4664</v>
      </c>
      <c r="L465" t="s">
        <v>4663</v>
      </c>
      <c r="M465" t="s">
        <v>6</v>
      </c>
      <c r="N465">
        <v>3</v>
      </c>
      <c r="O465" t="s">
        <v>4662</v>
      </c>
      <c r="P465" t="s">
        <v>4661</v>
      </c>
      <c r="Q465" t="s">
        <v>4660</v>
      </c>
      <c r="R465" s="7">
        <v>36130</v>
      </c>
      <c r="S465" s="8">
        <f t="shared" si="56"/>
        <v>1998</v>
      </c>
      <c r="T465" s="8">
        <v>1998</v>
      </c>
      <c r="U465" s="8">
        <f t="shared" si="57"/>
        <v>24</v>
      </c>
      <c r="V465" s="7">
        <v>1998</v>
      </c>
      <c r="W465" t="s">
        <v>4659</v>
      </c>
      <c r="X465" s="2">
        <v>1.137</v>
      </c>
      <c r="Y465" s="6">
        <f t="shared" si="58"/>
        <v>3.0351565628253384E-2</v>
      </c>
      <c r="AA465">
        <v>189251</v>
      </c>
      <c r="AB465">
        <v>17336</v>
      </c>
      <c r="AD465" t="s">
        <v>2</v>
      </c>
      <c r="AE465">
        <v>34</v>
      </c>
      <c r="AF465">
        <v>1</v>
      </c>
      <c r="AH465" s="9">
        <v>44532</v>
      </c>
      <c r="AI465" t="s">
        <v>4658</v>
      </c>
      <c r="AK465" t="s">
        <v>4657</v>
      </c>
      <c r="AL465">
        <v>6</v>
      </c>
      <c r="AM465" s="5">
        <f t="shared" si="59"/>
        <v>0.25</v>
      </c>
      <c r="AN465" s="4">
        <f t="shared" si="60"/>
        <v>3.786444528587656E-4</v>
      </c>
      <c r="AO465" s="3"/>
      <c r="AP465">
        <v>0</v>
      </c>
      <c r="AQ465" t="s">
        <v>4656</v>
      </c>
      <c r="AR465" t="s">
        <v>4655</v>
      </c>
      <c r="AS465" t="s">
        <v>4654</v>
      </c>
      <c r="AT465" s="2" t="s">
        <v>0</v>
      </c>
      <c r="AU465" s="1">
        <f t="shared" si="61"/>
        <v>2.1359689275634994</v>
      </c>
      <c r="AV465" s="1">
        <f t="shared" si="62"/>
        <v>1.5365105040556075</v>
      </c>
      <c r="AW465" s="1">
        <f t="shared" si="63"/>
        <v>0.93705208054771527</v>
      </c>
    </row>
    <row r="466" spans="1:49" x14ac:dyDescent="0.2">
      <c r="A466">
        <v>464</v>
      </c>
      <c r="B466" t="s">
        <v>4653</v>
      </c>
      <c r="F466" t="s">
        <v>4652</v>
      </c>
      <c r="G466" t="s">
        <v>5</v>
      </c>
      <c r="H466" t="s">
        <v>4</v>
      </c>
      <c r="I466" t="s">
        <v>4651</v>
      </c>
      <c r="J466" t="s">
        <v>4650</v>
      </c>
      <c r="K466" t="s">
        <v>4649</v>
      </c>
      <c r="L466" t="s">
        <v>4648</v>
      </c>
      <c r="M466" t="s">
        <v>4647</v>
      </c>
      <c r="N466">
        <v>4</v>
      </c>
      <c r="O466" t="s">
        <v>4646</v>
      </c>
      <c r="P466" t="s">
        <v>4645</v>
      </c>
      <c r="Q466" t="s">
        <v>4644</v>
      </c>
      <c r="R466" s="7">
        <v>36130</v>
      </c>
      <c r="S466" s="8">
        <f t="shared" si="56"/>
        <v>1998</v>
      </c>
      <c r="T466" s="8">
        <v>1998</v>
      </c>
      <c r="U466" s="8">
        <f t="shared" si="57"/>
        <v>24</v>
      </c>
      <c r="V466" s="7">
        <v>1998</v>
      </c>
      <c r="W466" t="s">
        <v>4520</v>
      </c>
      <c r="X466" s="2">
        <v>0.1</v>
      </c>
      <c r="Y466" s="6">
        <f t="shared" si="58"/>
        <v>2.6694428872694269E-3</v>
      </c>
      <c r="AA466">
        <v>9633308</v>
      </c>
      <c r="AB466">
        <v>17917</v>
      </c>
      <c r="AD466" t="s">
        <v>2</v>
      </c>
      <c r="AF466">
        <v>219</v>
      </c>
      <c r="AI466" t="s">
        <v>4643</v>
      </c>
      <c r="AK466" t="s">
        <v>4642</v>
      </c>
      <c r="AL466">
        <v>0</v>
      </c>
      <c r="AM466" s="5">
        <f t="shared" si="59"/>
        <v>0</v>
      </c>
      <c r="AN466" s="4">
        <f t="shared" si="60"/>
        <v>0</v>
      </c>
      <c r="AO466" s="3"/>
      <c r="AP466">
        <v>0</v>
      </c>
      <c r="AR466" t="s">
        <v>1</v>
      </c>
      <c r="AT466" s="2" t="s">
        <v>0</v>
      </c>
      <c r="AU466" s="1">
        <f t="shared" si="61"/>
        <v>0.18686100210885986</v>
      </c>
      <c r="AV466" s="1">
        <f t="shared" si="62"/>
        <v>0.13347214436347135</v>
      </c>
      <c r="AW466" s="1">
        <f t="shared" si="63"/>
        <v>8.0083286618082811E-2</v>
      </c>
    </row>
    <row r="467" spans="1:49" x14ac:dyDescent="0.2">
      <c r="A467">
        <v>465</v>
      </c>
      <c r="B467" t="s">
        <v>4641</v>
      </c>
      <c r="F467" t="s">
        <v>4640</v>
      </c>
      <c r="G467" t="s">
        <v>5</v>
      </c>
      <c r="H467" t="s">
        <v>4</v>
      </c>
      <c r="I467" t="s">
        <v>4639</v>
      </c>
      <c r="J467" t="s">
        <v>4638</v>
      </c>
      <c r="K467" t="s">
        <v>4637</v>
      </c>
      <c r="L467" t="s">
        <v>4636</v>
      </c>
      <c r="M467" t="s">
        <v>139</v>
      </c>
      <c r="N467">
        <v>4</v>
      </c>
      <c r="O467" t="s">
        <v>4635</v>
      </c>
      <c r="P467" t="s">
        <v>4634</v>
      </c>
      <c r="Q467" t="s">
        <v>4633</v>
      </c>
      <c r="R467" s="7">
        <v>36130</v>
      </c>
      <c r="S467" s="8">
        <f t="shared" si="56"/>
        <v>1998</v>
      </c>
      <c r="T467" s="8">
        <v>1998</v>
      </c>
      <c r="U467" s="8">
        <f t="shared" si="57"/>
        <v>24</v>
      </c>
      <c r="V467" s="7">
        <v>1998</v>
      </c>
      <c r="W467" t="s">
        <v>4520</v>
      </c>
      <c r="X467" s="2">
        <v>0.1</v>
      </c>
      <c r="Y467" s="6">
        <f t="shared" si="58"/>
        <v>2.6694428872694269E-3</v>
      </c>
      <c r="AA467">
        <v>9633308</v>
      </c>
      <c r="AB467">
        <v>17917</v>
      </c>
      <c r="AD467" t="s">
        <v>2</v>
      </c>
      <c r="AF467">
        <v>206</v>
      </c>
      <c r="AL467">
        <v>0</v>
      </c>
      <c r="AM467" s="5">
        <f t="shared" si="59"/>
        <v>0</v>
      </c>
      <c r="AN467" s="4">
        <f t="shared" si="60"/>
        <v>0</v>
      </c>
      <c r="AO467" s="3"/>
      <c r="AP467">
        <v>0</v>
      </c>
      <c r="AR467" t="s">
        <v>1</v>
      </c>
      <c r="AT467" s="2" t="s">
        <v>0</v>
      </c>
      <c r="AU467" s="1">
        <f t="shared" si="61"/>
        <v>0.18686100210885986</v>
      </c>
      <c r="AV467" s="1">
        <f t="shared" si="62"/>
        <v>0.13347214436347135</v>
      </c>
      <c r="AW467" s="1">
        <f t="shared" si="63"/>
        <v>8.0083286618082811E-2</v>
      </c>
    </row>
    <row r="468" spans="1:49" x14ac:dyDescent="0.2">
      <c r="A468">
        <v>466</v>
      </c>
      <c r="B468" t="s">
        <v>4632</v>
      </c>
      <c r="C468" t="s">
        <v>4631</v>
      </c>
      <c r="D468" t="s">
        <v>4630</v>
      </c>
      <c r="F468" t="s">
        <v>4629</v>
      </c>
      <c r="G468" t="s">
        <v>5</v>
      </c>
      <c r="H468" t="s">
        <v>4</v>
      </c>
      <c r="I468" t="s">
        <v>4628</v>
      </c>
      <c r="J468" t="s">
        <v>4627</v>
      </c>
      <c r="K468" t="s">
        <v>4626</v>
      </c>
      <c r="L468" t="s">
        <v>4625</v>
      </c>
      <c r="M468" t="s">
        <v>174</v>
      </c>
      <c r="N468">
        <v>2</v>
      </c>
      <c r="O468" t="s">
        <v>4624</v>
      </c>
      <c r="P468" t="s">
        <v>4623</v>
      </c>
      <c r="Q468" t="s">
        <v>4622</v>
      </c>
      <c r="R468" s="7">
        <v>36130</v>
      </c>
      <c r="S468" s="8">
        <f t="shared" si="56"/>
        <v>1998</v>
      </c>
      <c r="T468" s="8">
        <v>1998</v>
      </c>
      <c r="U468" s="8">
        <f t="shared" si="57"/>
        <v>24</v>
      </c>
      <c r="V468" s="7">
        <v>1998</v>
      </c>
      <c r="W468" t="s">
        <v>4558</v>
      </c>
      <c r="X468" s="2">
        <v>0.82799999999999996</v>
      </c>
      <c r="Y468" s="6">
        <f t="shared" si="58"/>
        <v>2.2102987106590855E-2</v>
      </c>
      <c r="AA468">
        <v>189383</v>
      </c>
      <c r="AB468">
        <v>26052</v>
      </c>
      <c r="AD468" t="s">
        <v>2</v>
      </c>
      <c r="AE468">
        <v>45</v>
      </c>
      <c r="AF468">
        <v>1</v>
      </c>
      <c r="AH468" t="s">
        <v>4621</v>
      </c>
      <c r="AI468" t="s">
        <v>4620</v>
      </c>
      <c r="AK468" t="s">
        <v>4619</v>
      </c>
      <c r="AL468">
        <v>40</v>
      </c>
      <c r="AM468" s="5">
        <f t="shared" si="59"/>
        <v>1.6666666666666667</v>
      </c>
      <c r="AN468" s="4">
        <f t="shared" si="60"/>
        <v>2.5242963523917708E-3</v>
      </c>
      <c r="AO468" s="3"/>
      <c r="AP468">
        <v>0</v>
      </c>
      <c r="AR468" t="s">
        <v>1</v>
      </c>
      <c r="AT468" s="2">
        <v>2.9169999999999998</v>
      </c>
      <c r="AU468" s="1">
        <f t="shared" si="61"/>
        <v>1.622937988033113</v>
      </c>
      <c r="AV468" s="1">
        <f t="shared" si="62"/>
        <v>1.2313641729491314</v>
      </c>
      <c r="AW468" s="1">
        <f t="shared" si="63"/>
        <v>0.83979035786514966</v>
      </c>
    </row>
    <row r="469" spans="1:49" x14ac:dyDescent="0.2">
      <c r="A469">
        <v>467</v>
      </c>
      <c r="B469" t="s">
        <v>4618</v>
      </c>
      <c r="F469" t="s">
        <v>4617</v>
      </c>
      <c r="G469" t="s">
        <v>5</v>
      </c>
      <c r="H469" t="s">
        <v>4</v>
      </c>
      <c r="I469" t="s">
        <v>4616</v>
      </c>
      <c r="J469">
        <v>60022195</v>
      </c>
      <c r="K469" t="s">
        <v>220</v>
      </c>
      <c r="L469" t="s">
        <v>140</v>
      </c>
      <c r="M469" t="s">
        <v>9</v>
      </c>
      <c r="N469">
        <v>1</v>
      </c>
      <c r="O469" t="s">
        <v>4615</v>
      </c>
      <c r="P469">
        <v>16141609500</v>
      </c>
      <c r="Q469">
        <v>60022195</v>
      </c>
      <c r="R469" s="7">
        <v>36130</v>
      </c>
      <c r="S469" s="8">
        <f t="shared" si="56"/>
        <v>1998</v>
      </c>
      <c r="T469" s="8">
        <v>1998</v>
      </c>
      <c r="U469" s="8">
        <f t="shared" si="57"/>
        <v>24</v>
      </c>
      <c r="V469" s="7">
        <v>1998</v>
      </c>
      <c r="W469" t="s">
        <v>4520</v>
      </c>
      <c r="X469" s="2">
        <v>0.1</v>
      </c>
      <c r="Y469" s="6">
        <f t="shared" si="58"/>
        <v>2.6694428872694269E-3</v>
      </c>
      <c r="AA469">
        <v>9633308</v>
      </c>
      <c r="AB469">
        <v>17917</v>
      </c>
      <c r="AD469" t="s">
        <v>2</v>
      </c>
      <c r="AF469">
        <v>241</v>
      </c>
      <c r="AI469" t="s">
        <v>4614</v>
      </c>
      <c r="AK469" t="s">
        <v>4613</v>
      </c>
      <c r="AL469">
        <v>34</v>
      </c>
      <c r="AM469" s="5">
        <f t="shared" si="59"/>
        <v>1.4166666666666667</v>
      </c>
      <c r="AN469" s="4">
        <f t="shared" si="60"/>
        <v>2.1456518995330051E-3</v>
      </c>
      <c r="AO469" s="3"/>
      <c r="AP469">
        <v>0</v>
      </c>
      <c r="AR469" t="s">
        <v>1</v>
      </c>
      <c r="AT469" s="2" t="s">
        <v>0</v>
      </c>
      <c r="AU469" s="1">
        <f t="shared" si="61"/>
        <v>0.25123055909484998</v>
      </c>
      <c r="AV469" s="1">
        <f t="shared" si="62"/>
        <v>0.24075473934012159</v>
      </c>
      <c r="AW469" s="1">
        <f t="shared" si="63"/>
        <v>0.23027891958539315</v>
      </c>
    </row>
    <row r="470" spans="1:49" x14ac:dyDescent="0.2">
      <c r="A470">
        <v>468</v>
      </c>
      <c r="B470" t="s">
        <v>4612</v>
      </c>
      <c r="F470" t="s">
        <v>4611</v>
      </c>
      <c r="G470" t="s">
        <v>5</v>
      </c>
      <c r="H470" t="s">
        <v>4</v>
      </c>
      <c r="I470" t="s">
        <v>4610</v>
      </c>
      <c r="J470" t="s">
        <v>4609</v>
      </c>
      <c r="K470" t="s">
        <v>4608</v>
      </c>
      <c r="L470" t="s">
        <v>4607</v>
      </c>
      <c r="M470" t="s">
        <v>4606</v>
      </c>
      <c r="N470">
        <v>4</v>
      </c>
      <c r="O470" t="s">
        <v>4605</v>
      </c>
      <c r="P470" t="s">
        <v>4604</v>
      </c>
      <c r="Q470" t="s">
        <v>4603</v>
      </c>
      <c r="R470" s="7">
        <v>36130</v>
      </c>
      <c r="S470" s="8">
        <f t="shared" si="56"/>
        <v>1998</v>
      </c>
      <c r="T470" s="8">
        <v>1998</v>
      </c>
      <c r="U470" s="8">
        <f t="shared" si="57"/>
        <v>24</v>
      </c>
      <c r="V470" s="7">
        <v>1998</v>
      </c>
      <c r="W470" t="s">
        <v>4520</v>
      </c>
      <c r="X470" s="2">
        <v>0.1</v>
      </c>
      <c r="Y470" s="6">
        <f t="shared" si="58"/>
        <v>2.6694428872694269E-3</v>
      </c>
      <c r="AA470">
        <v>9633308</v>
      </c>
      <c r="AB470">
        <v>17917</v>
      </c>
      <c r="AD470" t="s">
        <v>2</v>
      </c>
      <c r="AF470">
        <v>206</v>
      </c>
      <c r="AI470" t="s">
        <v>4602</v>
      </c>
      <c r="AJ470" t="s">
        <v>4601</v>
      </c>
      <c r="AK470" t="s">
        <v>4600</v>
      </c>
      <c r="AL470">
        <v>24</v>
      </c>
      <c r="AM470" s="5">
        <f t="shared" si="59"/>
        <v>1</v>
      </c>
      <c r="AN470" s="4">
        <f t="shared" si="60"/>
        <v>1.5145778114350624E-3</v>
      </c>
      <c r="AO470" s="3"/>
      <c r="AP470">
        <v>0</v>
      </c>
      <c r="AR470" t="s">
        <v>1</v>
      </c>
      <c r="AT470" s="2" t="s">
        <v>0</v>
      </c>
      <c r="AU470" s="1">
        <f t="shared" si="61"/>
        <v>0.23229833645191175</v>
      </c>
      <c r="AV470" s="1">
        <f t="shared" si="62"/>
        <v>0.20920103493522446</v>
      </c>
      <c r="AW470" s="1">
        <f t="shared" si="63"/>
        <v>0.18610373341853717</v>
      </c>
    </row>
    <row r="471" spans="1:49" x14ac:dyDescent="0.2">
      <c r="A471">
        <v>469</v>
      </c>
      <c r="B471" t="s">
        <v>4599</v>
      </c>
      <c r="F471" t="s">
        <v>4598</v>
      </c>
      <c r="G471" t="s">
        <v>5</v>
      </c>
      <c r="H471" t="s">
        <v>4</v>
      </c>
      <c r="I471" t="s">
        <v>4597</v>
      </c>
      <c r="J471" t="s">
        <v>4596</v>
      </c>
      <c r="K471" t="s">
        <v>4595</v>
      </c>
      <c r="L471" t="s">
        <v>4594</v>
      </c>
      <c r="M471" t="s">
        <v>4593</v>
      </c>
      <c r="N471">
        <v>2</v>
      </c>
      <c r="O471" t="s">
        <v>4592</v>
      </c>
      <c r="P471" t="s">
        <v>4591</v>
      </c>
      <c r="Q471" t="s">
        <v>4590</v>
      </c>
      <c r="R471" s="7">
        <v>36130</v>
      </c>
      <c r="S471" s="8">
        <f t="shared" si="56"/>
        <v>1998</v>
      </c>
      <c r="T471" s="8">
        <v>1998</v>
      </c>
      <c r="U471" s="8">
        <f t="shared" si="57"/>
        <v>24</v>
      </c>
      <c r="V471" s="7">
        <v>1998</v>
      </c>
      <c r="W471" t="s">
        <v>4520</v>
      </c>
      <c r="X471" s="2">
        <v>0.1</v>
      </c>
      <c r="Y471" s="6">
        <f t="shared" si="58"/>
        <v>2.6694428872694269E-3</v>
      </c>
      <c r="AA471">
        <v>9633308</v>
      </c>
      <c r="AB471">
        <v>17917</v>
      </c>
      <c r="AD471" t="s">
        <v>2</v>
      </c>
      <c r="AF471">
        <v>230</v>
      </c>
      <c r="AL471">
        <v>1</v>
      </c>
      <c r="AM471" s="5">
        <f t="shared" si="59"/>
        <v>4.1666666666666664E-2</v>
      </c>
      <c r="AN471" s="4">
        <f t="shared" si="60"/>
        <v>6.3107408809794262E-5</v>
      </c>
      <c r="AO471" s="3"/>
      <c r="AP471">
        <v>0</v>
      </c>
      <c r="AR471" t="s">
        <v>1</v>
      </c>
      <c r="AT471" s="2" t="s">
        <v>0</v>
      </c>
      <c r="AU471" s="1">
        <f t="shared" si="61"/>
        <v>0.1887542243731537</v>
      </c>
      <c r="AV471" s="1">
        <f t="shared" si="62"/>
        <v>0.13662751480396107</v>
      </c>
      <c r="AW471" s="1">
        <f t="shared" si="63"/>
        <v>8.4500805234768397E-2</v>
      </c>
    </row>
    <row r="472" spans="1:49" x14ac:dyDescent="0.2">
      <c r="A472">
        <v>470</v>
      </c>
      <c r="B472" t="s">
        <v>4589</v>
      </c>
      <c r="F472" t="s">
        <v>4588</v>
      </c>
      <c r="G472" t="s">
        <v>5</v>
      </c>
      <c r="H472" t="s">
        <v>4</v>
      </c>
      <c r="I472" t="s">
        <v>4587</v>
      </c>
      <c r="J472">
        <v>60000891</v>
      </c>
      <c r="K472" t="s">
        <v>748</v>
      </c>
      <c r="L472" t="s">
        <v>747</v>
      </c>
      <c r="M472" t="s">
        <v>13</v>
      </c>
      <c r="N472">
        <v>3</v>
      </c>
      <c r="O472" t="s">
        <v>4586</v>
      </c>
      <c r="P472" t="s">
        <v>4585</v>
      </c>
      <c r="Q472" t="s">
        <v>4584</v>
      </c>
      <c r="R472" s="7">
        <v>36130</v>
      </c>
      <c r="S472" s="8">
        <f t="shared" si="56"/>
        <v>1998</v>
      </c>
      <c r="T472" s="8">
        <v>1998</v>
      </c>
      <c r="U472" s="8">
        <f t="shared" si="57"/>
        <v>24</v>
      </c>
      <c r="V472" s="7">
        <v>1998</v>
      </c>
      <c r="W472" t="s">
        <v>4520</v>
      </c>
      <c r="X472" s="2">
        <v>0.1</v>
      </c>
      <c r="Y472" s="6">
        <f t="shared" si="58"/>
        <v>2.6694428872694269E-3</v>
      </c>
      <c r="AA472">
        <v>9633308</v>
      </c>
      <c r="AB472">
        <v>17917</v>
      </c>
      <c r="AD472" t="s">
        <v>2</v>
      </c>
      <c r="AF472">
        <v>230</v>
      </c>
      <c r="AL472">
        <v>0</v>
      </c>
      <c r="AM472" s="5">
        <f t="shared" si="59"/>
        <v>0</v>
      </c>
      <c r="AN472" s="4">
        <f t="shared" si="60"/>
        <v>0</v>
      </c>
      <c r="AO472" s="3"/>
      <c r="AP472">
        <v>0</v>
      </c>
      <c r="AR472" t="s">
        <v>1</v>
      </c>
      <c r="AT472" s="2" t="s">
        <v>0</v>
      </c>
      <c r="AU472" s="1">
        <f t="shared" si="61"/>
        <v>0.18686100210885986</v>
      </c>
      <c r="AV472" s="1">
        <f t="shared" si="62"/>
        <v>0.13347214436347135</v>
      </c>
      <c r="AW472" s="1">
        <f t="shared" si="63"/>
        <v>8.0083286618082811E-2</v>
      </c>
    </row>
    <row r="473" spans="1:49" x14ac:dyDescent="0.2">
      <c r="A473">
        <v>471</v>
      </c>
      <c r="B473" t="s">
        <v>4583</v>
      </c>
      <c r="F473" t="s">
        <v>4582</v>
      </c>
      <c r="G473" t="s">
        <v>5</v>
      </c>
      <c r="H473" t="s">
        <v>4</v>
      </c>
      <c r="I473" t="s">
        <v>4581</v>
      </c>
      <c r="J473">
        <v>60020650</v>
      </c>
      <c r="K473" t="s">
        <v>261</v>
      </c>
      <c r="L473" t="s">
        <v>260</v>
      </c>
      <c r="M473" t="s">
        <v>13</v>
      </c>
      <c r="N473">
        <v>4</v>
      </c>
      <c r="O473" t="s">
        <v>4580</v>
      </c>
      <c r="P473" t="s">
        <v>4579</v>
      </c>
      <c r="Q473" t="s">
        <v>4578</v>
      </c>
      <c r="R473" s="7">
        <v>36130</v>
      </c>
      <c r="S473" s="8">
        <f t="shared" si="56"/>
        <v>1998</v>
      </c>
      <c r="T473" s="8">
        <v>1998</v>
      </c>
      <c r="U473" s="8">
        <f t="shared" si="57"/>
        <v>24</v>
      </c>
      <c r="V473" s="7">
        <v>1998</v>
      </c>
      <c r="W473" t="s">
        <v>4520</v>
      </c>
      <c r="X473" s="2">
        <v>0.1</v>
      </c>
      <c r="Y473" s="6">
        <f t="shared" si="58"/>
        <v>2.6694428872694269E-3</v>
      </c>
      <c r="AA473">
        <v>9633308</v>
      </c>
      <c r="AB473">
        <v>17917</v>
      </c>
      <c r="AD473" t="s">
        <v>2</v>
      </c>
      <c r="AF473">
        <v>219</v>
      </c>
      <c r="AL473">
        <v>0</v>
      </c>
      <c r="AM473" s="5">
        <f t="shared" si="59"/>
        <v>0</v>
      </c>
      <c r="AN473" s="4">
        <f t="shared" si="60"/>
        <v>0</v>
      </c>
      <c r="AO473" s="3"/>
      <c r="AP473">
        <v>0</v>
      </c>
      <c r="AR473" t="s">
        <v>1</v>
      </c>
      <c r="AT473" s="2" t="s">
        <v>0</v>
      </c>
      <c r="AU473" s="1">
        <f t="shared" si="61"/>
        <v>0.18686100210885986</v>
      </c>
      <c r="AV473" s="1">
        <f t="shared" si="62"/>
        <v>0.13347214436347135</v>
      </c>
      <c r="AW473" s="1">
        <f t="shared" si="63"/>
        <v>8.0083286618082811E-2</v>
      </c>
    </row>
    <row r="474" spans="1:49" x14ac:dyDescent="0.2">
      <c r="A474">
        <v>472</v>
      </c>
      <c r="B474" t="s">
        <v>4577</v>
      </c>
      <c r="F474" t="s">
        <v>4576</v>
      </c>
      <c r="G474" t="s">
        <v>5</v>
      </c>
      <c r="H474" t="s">
        <v>4</v>
      </c>
      <c r="I474" t="s">
        <v>4575</v>
      </c>
      <c r="J474" t="s">
        <v>4574</v>
      </c>
      <c r="K474" t="s">
        <v>4573</v>
      </c>
      <c r="L474" t="s">
        <v>4572</v>
      </c>
      <c r="M474" t="s">
        <v>4571</v>
      </c>
      <c r="N474">
        <v>1</v>
      </c>
      <c r="O474" t="s">
        <v>4570</v>
      </c>
      <c r="P474">
        <v>7003494942</v>
      </c>
      <c r="Q474" t="s">
        <v>4569</v>
      </c>
      <c r="R474" s="7">
        <v>36130</v>
      </c>
      <c r="S474" s="8">
        <f t="shared" si="56"/>
        <v>1998</v>
      </c>
      <c r="T474" s="8">
        <v>1998</v>
      </c>
      <c r="U474" s="8">
        <f t="shared" si="57"/>
        <v>24</v>
      </c>
      <c r="V474" s="7">
        <v>1998</v>
      </c>
      <c r="W474" t="s">
        <v>4391</v>
      </c>
      <c r="X474" s="2">
        <v>0.54700000000000004</v>
      </c>
      <c r="Y474" s="6">
        <f t="shared" si="58"/>
        <v>1.4601852593363766E-2</v>
      </c>
      <c r="AA474">
        <v>11096</v>
      </c>
      <c r="AB474">
        <v>31211</v>
      </c>
      <c r="AD474" t="s">
        <v>2</v>
      </c>
      <c r="AE474">
        <v>52</v>
      </c>
      <c r="AF474">
        <v>1</v>
      </c>
      <c r="AH474" s="9">
        <v>44409</v>
      </c>
      <c r="AI474" t="s">
        <v>4568</v>
      </c>
      <c r="AJ474" t="s">
        <v>4567</v>
      </c>
      <c r="AK474" t="s">
        <v>4566</v>
      </c>
      <c r="AL474">
        <v>6</v>
      </c>
      <c r="AM474" s="5">
        <f t="shared" si="59"/>
        <v>0.25</v>
      </c>
      <c r="AN474" s="4">
        <f t="shared" si="60"/>
        <v>3.786444528587656E-4</v>
      </c>
      <c r="AO474" s="3"/>
      <c r="AP474">
        <v>0</v>
      </c>
      <c r="AR474" t="s">
        <v>1</v>
      </c>
      <c r="AT474" s="2" t="s">
        <v>0</v>
      </c>
      <c r="AU474" s="1">
        <f t="shared" si="61"/>
        <v>1.0334890151212266</v>
      </c>
      <c r="AV474" s="1">
        <f t="shared" si="62"/>
        <v>0.74902485231112659</v>
      </c>
      <c r="AW474" s="1">
        <f t="shared" si="63"/>
        <v>0.46456068950102658</v>
      </c>
    </row>
    <row r="475" spans="1:49" x14ac:dyDescent="0.2">
      <c r="A475">
        <v>473</v>
      </c>
      <c r="B475" t="s">
        <v>4565</v>
      </c>
      <c r="C475" t="s">
        <v>4564</v>
      </c>
      <c r="D475" t="s">
        <v>4563</v>
      </c>
      <c r="F475" t="s">
        <v>4562</v>
      </c>
      <c r="G475" t="s">
        <v>5</v>
      </c>
      <c r="H475" t="s">
        <v>4</v>
      </c>
      <c r="I475" t="s">
        <v>4561</v>
      </c>
      <c r="J475">
        <v>60012370</v>
      </c>
      <c r="K475" t="s">
        <v>172</v>
      </c>
      <c r="L475" t="s">
        <v>171</v>
      </c>
      <c r="M475" t="s">
        <v>128</v>
      </c>
      <c r="N475">
        <v>3</v>
      </c>
      <c r="O475" t="s">
        <v>4560</v>
      </c>
      <c r="P475" t="s">
        <v>4559</v>
      </c>
      <c r="Q475" t="s">
        <v>170</v>
      </c>
      <c r="R475" s="7">
        <v>36130</v>
      </c>
      <c r="S475" s="8">
        <f t="shared" si="56"/>
        <v>1998</v>
      </c>
      <c r="T475" s="8">
        <v>1998</v>
      </c>
      <c r="U475" s="8">
        <f t="shared" si="57"/>
        <v>24</v>
      </c>
      <c r="V475" s="7">
        <v>1998</v>
      </c>
      <c r="W475" t="s">
        <v>4558</v>
      </c>
      <c r="X475" s="2">
        <v>0.82799999999999996</v>
      </c>
      <c r="Y475" s="6">
        <f t="shared" si="58"/>
        <v>2.2102987106590855E-2</v>
      </c>
      <c r="AA475">
        <v>189383</v>
      </c>
      <c r="AB475">
        <v>26052</v>
      </c>
      <c r="AD475" t="s">
        <v>2</v>
      </c>
      <c r="AE475">
        <v>45</v>
      </c>
      <c r="AF475">
        <v>1</v>
      </c>
      <c r="AH475" t="s">
        <v>4557</v>
      </c>
      <c r="AI475" t="s">
        <v>4556</v>
      </c>
      <c r="AK475" t="s">
        <v>4555</v>
      </c>
      <c r="AL475">
        <v>10</v>
      </c>
      <c r="AM475" s="5">
        <f t="shared" si="59"/>
        <v>0.41666666666666669</v>
      </c>
      <c r="AN475" s="4">
        <f t="shared" si="60"/>
        <v>6.310740880979427E-4</v>
      </c>
      <c r="AO475" s="3"/>
      <c r="AP475">
        <v>0</v>
      </c>
      <c r="AQ475" t="s">
        <v>114</v>
      </c>
      <c r="AR475" t="s">
        <v>4554</v>
      </c>
      <c r="AS475" t="s">
        <v>113</v>
      </c>
      <c r="AT475" s="2">
        <v>2.9169999999999998</v>
      </c>
      <c r="AU475" s="1">
        <f t="shared" si="61"/>
        <v>1.566141320104298</v>
      </c>
      <c r="AV475" s="1">
        <f t="shared" si="62"/>
        <v>1.1367030597344401</v>
      </c>
      <c r="AW475" s="1">
        <f t="shared" si="63"/>
        <v>0.70726479936458164</v>
      </c>
    </row>
    <row r="476" spans="1:49" x14ac:dyDescent="0.2">
      <c r="A476">
        <v>474</v>
      </c>
      <c r="B476" t="s">
        <v>4553</v>
      </c>
      <c r="C476" t="s">
        <v>4552</v>
      </c>
      <c r="D476" t="s">
        <v>4551</v>
      </c>
      <c r="F476" t="s">
        <v>4550</v>
      </c>
      <c r="G476" t="s">
        <v>5</v>
      </c>
      <c r="H476" t="s">
        <v>4</v>
      </c>
      <c r="I476" t="s">
        <v>4549</v>
      </c>
      <c r="J476">
        <v>60030813</v>
      </c>
      <c r="K476" t="s">
        <v>4548</v>
      </c>
      <c r="L476" t="s">
        <v>4515</v>
      </c>
      <c r="M476" t="s">
        <v>15</v>
      </c>
      <c r="N476">
        <v>3</v>
      </c>
      <c r="O476" t="s">
        <v>4547</v>
      </c>
      <c r="P476" t="s">
        <v>4546</v>
      </c>
      <c r="Q476" t="s">
        <v>4545</v>
      </c>
      <c r="R476" s="7">
        <v>36130</v>
      </c>
      <c r="S476" s="8">
        <f t="shared" si="56"/>
        <v>1998</v>
      </c>
      <c r="T476" s="8">
        <v>1998</v>
      </c>
      <c r="U476" s="8">
        <f t="shared" si="57"/>
        <v>24</v>
      </c>
      <c r="V476" s="7">
        <v>1998</v>
      </c>
      <c r="W476" t="s">
        <v>256</v>
      </c>
      <c r="X476" s="2">
        <v>1.468</v>
      </c>
      <c r="Y476" s="6">
        <f t="shared" si="58"/>
        <v>3.9187421585115186E-2</v>
      </c>
      <c r="AA476">
        <v>906778</v>
      </c>
      <c r="AB476">
        <v>18931</v>
      </c>
      <c r="AD476" t="s">
        <v>2</v>
      </c>
      <c r="AE476">
        <v>46</v>
      </c>
      <c r="AF476">
        <v>1</v>
      </c>
      <c r="AH476" t="s">
        <v>4544</v>
      </c>
      <c r="AI476" t="s">
        <v>4543</v>
      </c>
      <c r="AJ476" t="s">
        <v>4542</v>
      </c>
      <c r="AK476" t="s">
        <v>4541</v>
      </c>
      <c r="AL476">
        <v>12</v>
      </c>
      <c r="AM476" s="5">
        <f t="shared" si="59"/>
        <v>0.5</v>
      </c>
      <c r="AN476" s="4">
        <f t="shared" si="60"/>
        <v>7.572889057175312E-4</v>
      </c>
      <c r="AO476" s="3"/>
      <c r="AP476">
        <v>0</v>
      </c>
      <c r="AR476" t="s">
        <v>1</v>
      </c>
      <c r="AT476" s="2">
        <v>5.0830000000000002</v>
      </c>
      <c r="AU476" s="1">
        <f t="shared" si="61"/>
        <v>2.7658381781295889</v>
      </c>
      <c r="AV476" s="1">
        <f t="shared" si="62"/>
        <v>1.9972355245416358</v>
      </c>
      <c r="AW476" s="1">
        <f t="shared" si="63"/>
        <v>1.2286328709536827</v>
      </c>
    </row>
    <row r="477" spans="1:49" x14ac:dyDescent="0.2">
      <c r="A477">
        <v>475</v>
      </c>
      <c r="B477" t="s">
        <v>4540</v>
      </c>
      <c r="C477" t="s">
        <v>4539</v>
      </c>
      <c r="D477" t="s">
        <v>4538</v>
      </c>
      <c r="F477" t="s">
        <v>4537</v>
      </c>
      <c r="G477" t="s">
        <v>5</v>
      </c>
      <c r="H477" t="s">
        <v>4</v>
      </c>
      <c r="I477" t="s">
        <v>4536</v>
      </c>
      <c r="J477" t="s">
        <v>4535</v>
      </c>
      <c r="K477" t="s">
        <v>4534</v>
      </c>
      <c r="L477" t="s">
        <v>4533</v>
      </c>
      <c r="M477" t="s">
        <v>101</v>
      </c>
      <c r="N477">
        <v>3</v>
      </c>
      <c r="O477" t="s">
        <v>4532</v>
      </c>
      <c r="P477" t="s">
        <v>4531</v>
      </c>
      <c r="Q477" t="s">
        <v>4530</v>
      </c>
      <c r="R477" s="7">
        <v>36130</v>
      </c>
      <c r="S477" s="8">
        <f t="shared" si="56"/>
        <v>1998</v>
      </c>
      <c r="T477" s="8">
        <v>1998</v>
      </c>
      <c r="U477" s="8">
        <f t="shared" si="57"/>
        <v>24</v>
      </c>
      <c r="V477" s="7">
        <v>1998</v>
      </c>
      <c r="W477" t="s">
        <v>4480</v>
      </c>
      <c r="X477" s="2">
        <v>2.141</v>
      </c>
      <c r="Y477" s="6">
        <f t="shared" si="58"/>
        <v>5.7152772216438434E-2</v>
      </c>
      <c r="AA477">
        <v>1962892</v>
      </c>
      <c r="AB477">
        <v>17360</v>
      </c>
      <c r="AD477" t="s">
        <v>2</v>
      </c>
      <c r="AE477">
        <v>36</v>
      </c>
      <c r="AF477">
        <v>1</v>
      </c>
      <c r="AH477" t="s">
        <v>4529</v>
      </c>
      <c r="AI477" t="s">
        <v>4528</v>
      </c>
      <c r="AJ477" t="s">
        <v>4527</v>
      </c>
      <c r="AK477" t="s">
        <v>4526</v>
      </c>
      <c r="AL477">
        <v>77</v>
      </c>
      <c r="AM477" s="5">
        <f t="shared" si="59"/>
        <v>3.2083333333333335</v>
      </c>
      <c r="AN477" s="4">
        <f t="shared" si="60"/>
        <v>4.859270478354159E-3</v>
      </c>
      <c r="AO477" s="3"/>
      <c r="AP477">
        <v>0</v>
      </c>
      <c r="AQ477" t="s">
        <v>17</v>
      </c>
      <c r="AR477" t="s">
        <v>4525</v>
      </c>
      <c r="AS477" t="s">
        <v>16</v>
      </c>
      <c r="AT477" s="2" t="s">
        <v>0</v>
      </c>
      <c r="AU477" s="1">
        <f t="shared" si="61"/>
        <v>4.1464721695013145</v>
      </c>
      <c r="AV477" s="1">
        <f t="shared" si="62"/>
        <v>3.1006021347396295</v>
      </c>
      <c r="AW477" s="1">
        <f t="shared" si="63"/>
        <v>2.0547320999779441</v>
      </c>
    </row>
    <row r="478" spans="1:49" x14ac:dyDescent="0.2">
      <c r="A478">
        <v>476</v>
      </c>
      <c r="B478" t="s">
        <v>4524</v>
      </c>
      <c r="F478" t="s">
        <v>4523</v>
      </c>
      <c r="G478" t="s">
        <v>5</v>
      </c>
      <c r="H478" t="s">
        <v>4</v>
      </c>
      <c r="I478" t="s">
        <v>4522</v>
      </c>
      <c r="N478">
        <v>1</v>
      </c>
      <c r="O478" t="s">
        <v>4521</v>
      </c>
      <c r="P478">
        <v>6603924630</v>
      </c>
      <c r="R478" s="7">
        <v>36130</v>
      </c>
      <c r="S478" s="8">
        <f t="shared" si="56"/>
        <v>1998</v>
      </c>
      <c r="T478" s="8">
        <v>1998</v>
      </c>
      <c r="U478" s="8">
        <f t="shared" si="57"/>
        <v>24</v>
      </c>
      <c r="V478" s="7">
        <v>1998</v>
      </c>
      <c r="W478" t="s">
        <v>4520</v>
      </c>
      <c r="X478" s="2">
        <v>0.1</v>
      </c>
      <c r="Y478" s="6">
        <f t="shared" si="58"/>
        <v>2.6694428872694269E-3</v>
      </c>
      <c r="AA478">
        <v>9633308</v>
      </c>
      <c r="AB478">
        <v>17917</v>
      </c>
      <c r="AD478" t="s">
        <v>2</v>
      </c>
      <c r="AF478">
        <v>249</v>
      </c>
      <c r="AL478">
        <v>0</v>
      </c>
      <c r="AM478" s="5">
        <f t="shared" si="59"/>
        <v>0</v>
      </c>
      <c r="AN478" s="4">
        <f t="shared" si="60"/>
        <v>0</v>
      </c>
      <c r="AO478" s="3"/>
      <c r="AP478">
        <v>0</v>
      </c>
      <c r="AR478" t="s">
        <v>1</v>
      </c>
      <c r="AT478" s="2" t="s">
        <v>0</v>
      </c>
      <c r="AU478" s="1">
        <f t="shared" si="61"/>
        <v>0.18686100210885986</v>
      </c>
      <c r="AV478" s="1">
        <f t="shared" si="62"/>
        <v>0.13347214436347135</v>
      </c>
      <c r="AW478" s="1">
        <f t="shared" si="63"/>
        <v>8.0083286618082811E-2</v>
      </c>
    </row>
    <row r="479" spans="1:49" x14ac:dyDescent="0.2">
      <c r="A479">
        <v>477</v>
      </c>
      <c r="B479" t="s">
        <v>4519</v>
      </c>
      <c r="F479" t="s">
        <v>4518</v>
      </c>
      <c r="G479" t="s">
        <v>5</v>
      </c>
      <c r="H479" t="s">
        <v>4</v>
      </c>
      <c r="I479" t="s">
        <v>4517</v>
      </c>
      <c r="J479">
        <v>60016849</v>
      </c>
      <c r="K479" t="s">
        <v>4516</v>
      </c>
      <c r="L479" t="s">
        <v>4515</v>
      </c>
      <c r="M479" t="s">
        <v>15</v>
      </c>
      <c r="N479">
        <v>2</v>
      </c>
      <c r="O479" t="s">
        <v>4514</v>
      </c>
      <c r="P479" t="s">
        <v>4513</v>
      </c>
      <c r="Q479" t="s">
        <v>4512</v>
      </c>
      <c r="R479" s="7">
        <v>36130</v>
      </c>
      <c r="S479" s="8">
        <f t="shared" si="56"/>
        <v>1998</v>
      </c>
      <c r="T479" s="8">
        <v>1998</v>
      </c>
      <c r="U479" s="8">
        <f t="shared" si="57"/>
        <v>24</v>
      </c>
      <c r="V479" s="7">
        <v>1998</v>
      </c>
      <c r="W479" t="s">
        <v>4511</v>
      </c>
      <c r="X479" s="2">
        <v>0.67900000000000005</v>
      </c>
      <c r="Y479" s="6">
        <f t="shared" si="58"/>
        <v>1.8125517204559412E-2</v>
      </c>
      <c r="AA479">
        <v>2567679</v>
      </c>
      <c r="AB479">
        <v>25827</v>
      </c>
      <c r="AD479" t="s">
        <v>2</v>
      </c>
      <c r="AE479">
        <v>16</v>
      </c>
      <c r="AF479">
        <v>3</v>
      </c>
      <c r="AI479" t="s">
        <v>4510</v>
      </c>
      <c r="AJ479" t="s">
        <v>4509</v>
      </c>
      <c r="AK479" t="s">
        <v>4508</v>
      </c>
      <c r="AL479">
        <v>0</v>
      </c>
      <c r="AM479" s="5">
        <f t="shared" si="59"/>
        <v>0</v>
      </c>
      <c r="AN479" s="4">
        <f t="shared" si="60"/>
        <v>0</v>
      </c>
      <c r="AO479" s="3"/>
      <c r="AP479">
        <v>0</v>
      </c>
      <c r="AR479" t="s">
        <v>1</v>
      </c>
      <c r="AT479" s="2" t="s">
        <v>0</v>
      </c>
      <c r="AU479" s="1">
        <f t="shared" si="61"/>
        <v>1.2687862043191587</v>
      </c>
      <c r="AV479" s="1">
        <f t="shared" si="62"/>
        <v>0.90627586022797058</v>
      </c>
      <c r="AW479" s="1">
        <f t="shared" si="63"/>
        <v>0.54376551613678237</v>
      </c>
    </row>
    <row r="480" spans="1:49" x14ac:dyDescent="0.2">
      <c r="A480">
        <v>478</v>
      </c>
      <c r="B480" t="s">
        <v>4507</v>
      </c>
      <c r="C480" t="s">
        <v>4506</v>
      </c>
      <c r="F480" t="s">
        <v>4505</v>
      </c>
      <c r="G480" t="s">
        <v>5</v>
      </c>
      <c r="H480" t="s">
        <v>4</v>
      </c>
      <c r="I480" t="s">
        <v>4504</v>
      </c>
      <c r="J480" t="s">
        <v>4503</v>
      </c>
      <c r="K480" t="s">
        <v>4502</v>
      </c>
      <c r="L480" t="s">
        <v>4501</v>
      </c>
      <c r="M480" t="s">
        <v>4500</v>
      </c>
      <c r="N480">
        <v>5</v>
      </c>
      <c r="O480" t="s">
        <v>4499</v>
      </c>
      <c r="P480" t="s">
        <v>4498</v>
      </c>
      <c r="Q480" t="s">
        <v>4497</v>
      </c>
      <c r="R480" s="7">
        <v>36130</v>
      </c>
      <c r="S480" s="8">
        <f t="shared" si="56"/>
        <v>1998</v>
      </c>
      <c r="T480" s="8">
        <v>1998</v>
      </c>
      <c r="U480" s="8">
        <f t="shared" si="57"/>
        <v>24</v>
      </c>
      <c r="V480" s="7">
        <v>1998</v>
      </c>
      <c r="W480" t="s">
        <v>558</v>
      </c>
      <c r="X480" s="2">
        <v>0.62</v>
      </c>
      <c r="Y480" s="6">
        <f t="shared" si="58"/>
        <v>1.6550545901070447E-2</v>
      </c>
      <c r="AA480">
        <v>189464</v>
      </c>
      <c r="AB480">
        <v>17364</v>
      </c>
      <c r="AD480" t="s">
        <v>2</v>
      </c>
      <c r="AE480">
        <v>34</v>
      </c>
      <c r="AF480" t="s">
        <v>7</v>
      </c>
      <c r="AH480" t="s">
        <v>4496</v>
      </c>
      <c r="AI480" t="s">
        <v>4495</v>
      </c>
      <c r="AJ480" t="s">
        <v>4494</v>
      </c>
      <c r="AK480" t="s">
        <v>4493</v>
      </c>
      <c r="AL480">
        <v>9</v>
      </c>
      <c r="AM480" s="5">
        <f t="shared" si="59"/>
        <v>0.375</v>
      </c>
      <c r="AN480" s="4">
        <f t="shared" si="60"/>
        <v>5.6796667928814845E-4</v>
      </c>
      <c r="AO480" s="3"/>
      <c r="AP480">
        <v>0</v>
      </c>
      <c r="AR480" t="s">
        <v>4492</v>
      </c>
      <c r="AT480" s="2">
        <v>1.7</v>
      </c>
      <c r="AU480" s="1">
        <f t="shared" si="61"/>
        <v>1.1755772134535758</v>
      </c>
      <c r="AV480" s="1">
        <f t="shared" si="62"/>
        <v>0.85592562901792979</v>
      </c>
      <c r="AW480" s="1">
        <f t="shared" si="63"/>
        <v>0.53627404458228378</v>
      </c>
    </row>
    <row r="481" spans="1:49" x14ac:dyDescent="0.2">
      <c r="A481">
        <v>479</v>
      </c>
      <c r="B481" t="s">
        <v>4491</v>
      </c>
      <c r="C481" t="s">
        <v>4490</v>
      </c>
      <c r="D481" t="s">
        <v>4489</v>
      </c>
      <c r="F481" t="s">
        <v>4488</v>
      </c>
      <c r="G481" t="s">
        <v>5</v>
      </c>
      <c r="H481" t="s">
        <v>4</v>
      </c>
      <c r="I481" t="s">
        <v>4487</v>
      </c>
      <c r="J481">
        <v>60011373</v>
      </c>
      <c r="K481" t="s">
        <v>4486</v>
      </c>
      <c r="L481" t="s">
        <v>4485</v>
      </c>
      <c r="M481" t="s">
        <v>4484</v>
      </c>
      <c r="N481">
        <v>2</v>
      </c>
      <c r="O481" t="s">
        <v>4483</v>
      </c>
      <c r="P481" t="s">
        <v>4482</v>
      </c>
      <c r="Q481" t="s">
        <v>4481</v>
      </c>
      <c r="R481" s="7">
        <v>36130</v>
      </c>
      <c r="S481" s="8">
        <f t="shared" si="56"/>
        <v>1998</v>
      </c>
      <c r="T481" s="8">
        <v>1998</v>
      </c>
      <c r="U481" s="8">
        <f t="shared" si="57"/>
        <v>24</v>
      </c>
      <c r="V481" s="7">
        <v>1998</v>
      </c>
      <c r="W481" t="s">
        <v>4480</v>
      </c>
      <c r="X481" s="2">
        <v>2.141</v>
      </c>
      <c r="Y481" s="6">
        <f t="shared" si="58"/>
        <v>5.7152772216438434E-2</v>
      </c>
      <c r="AA481">
        <v>1962892</v>
      </c>
      <c r="AB481">
        <v>17360</v>
      </c>
      <c r="AD481" t="s">
        <v>2</v>
      </c>
      <c r="AE481">
        <v>36</v>
      </c>
      <c r="AF481">
        <v>3</v>
      </c>
      <c r="AH481" t="s">
        <v>4479</v>
      </c>
      <c r="AI481" t="s">
        <v>4478</v>
      </c>
      <c r="AJ481" t="s">
        <v>4477</v>
      </c>
      <c r="AK481" t="s">
        <v>4476</v>
      </c>
      <c r="AL481">
        <v>21</v>
      </c>
      <c r="AM481" s="5">
        <f t="shared" si="59"/>
        <v>0.875</v>
      </c>
      <c r="AN481" s="4">
        <f t="shared" si="60"/>
        <v>1.3252555850056798E-3</v>
      </c>
      <c r="AO481" s="3"/>
      <c r="AP481">
        <v>0</v>
      </c>
      <c r="AQ481" t="s">
        <v>259</v>
      </c>
      <c r="AR481" t="s">
        <v>1</v>
      </c>
      <c r="AS481" t="s">
        <v>258</v>
      </c>
      <c r="AT481" s="2" t="s">
        <v>0</v>
      </c>
      <c r="AU481" s="1">
        <f t="shared" si="61"/>
        <v>4.0404517227008609</v>
      </c>
      <c r="AV481" s="1">
        <f t="shared" si="62"/>
        <v>2.9239013900722055</v>
      </c>
      <c r="AW481" s="1">
        <f t="shared" si="63"/>
        <v>1.8073510574435507</v>
      </c>
    </row>
    <row r="482" spans="1:49" x14ac:dyDescent="0.2">
      <c r="A482">
        <v>480</v>
      </c>
      <c r="B482" t="s">
        <v>4475</v>
      </c>
      <c r="C482" t="s">
        <v>4474</v>
      </c>
      <c r="D482" t="s">
        <v>4473</v>
      </c>
      <c r="F482" t="s">
        <v>4472</v>
      </c>
      <c r="G482" t="s">
        <v>5</v>
      </c>
      <c r="H482" t="s">
        <v>4</v>
      </c>
      <c r="I482" t="s">
        <v>4471</v>
      </c>
      <c r="J482">
        <v>60014300</v>
      </c>
      <c r="K482" t="s">
        <v>4149</v>
      </c>
      <c r="L482" t="s">
        <v>4148</v>
      </c>
      <c r="M482" t="s">
        <v>9</v>
      </c>
      <c r="N482">
        <v>2</v>
      </c>
      <c r="O482" t="s">
        <v>4470</v>
      </c>
      <c r="P482" t="s">
        <v>4469</v>
      </c>
      <c r="Q482" t="s">
        <v>4468</v>
      </c>
      <c r="R482" s="7">
        <v>36130</v>
      </c>
      <c r="S482" s="8">
        <f t="shared" si="56"/>
        <v>1998</v>
      </c>
      <c r="T482" s="8">
        <v>1998</v>
      </c>
      <c r="U482" s="8">
        <f t="shared" si="57"/>
        <v>24</v>
      </c>
      <c r="V482" s="7">
        <v>1998</v>
      </c>
      <c r="W482" t="s">
        <v>4001</v>
      </c>
      <c r="X482" s="2">
        <v>1.365</v>
      </c>
      <c r="Y482" s="6">
        <f t="shared" si="58"/>
        <v>3.6437895411227675E-2</v>
      </c>
      <c r="AA482">
        <v>189545</v>
      </c>
      <c r="AB482">
        <v>17393</v>
      </c>
      <c r="AD482" t="s">
        <v>2</v>
      </c>
      <c r="AE482">
        <v>47</v>
      </c>
      <c r="AF482">
        <v>1</v>
      </c>
      <c r="AH482" t="s">
        <v>4467</v>
      </c>
      <c r="AI482" t="s">
        <v>4466</v>
      </c>
      <c r="AJ482" t="s">
        <v>4465</v>
      </c>
      <c r="AK482" t="s">
        <v>4464</v>
      </c>
      <c r="AL482">
        <v>1</v>
      </c>
      <c r="AM482" s="5">
        <f t="shared" si="59"/>
        <v>4.1666666666666664E-2</v>
      </c>
      <c r="AN482" s="4">
        <f t="shared" si="60"/>
        <v>6.3107408809794262E-5</v>
      </c>
      <c r="AO482" s="3"/>
      <c r="AP482">
        <v>0</v>
      </c>
      <c r="AR482" t="s">
        <v>1</v>
      </c>
      <c r="AT482" s="2" t="s">
        <v>0</v>
      </c>
      <c r="AU482" s="1">
        <f t="shared" si="61"/>
        <v>2.5525459010502307</v>
      </c>
      <c r="AV482" s="1">
        <f t="shared" si="62"/>
        <v>1.8250501410018733</v>
      </c>
      <c r="AW482" s="1">
        <f t="shared" si="63"/>
        <v>1.0975543809535158</v>
      </c>
    </row>
    <row r="483" spans="1:49" x14ac:dyDescent="0.2">
      <c r="A483">
        <v>481</v>
      </c>
      <c r="B483" t="s">
        <v>4463</v>
      </c>
      <c r="C483" t="s">
        <v>4462</v>
      </c>
      <c r="D483" t="s">
        <v>4461</v>
      </c>
      <c r="F483" t="s">
        <v>4460</v>
      </c>
      <c r="G483" t="s">
        <v>5</v>
      </c>
      <c r="H483" t="s">
        <v>4</v>
      </c>
      <c r="I483" t="s">
        <v>318</v>
      </c>
      <c r="J483">
        <v>60000264</v>
      </c>
      <c r="K483" t="s">
        <v>332</v>
      </c>
      <c r="L483" t="s">
        <v>331</v>
      </c>
      <c r="M483" t="s">
        <v>12</v>
      </c>
      <c r="N483">
        <v>4</v>
      </c>
      <c r="O483" t="s">
        <v>4459</v>
      </c>
      <c r="P483" t="s">
        <v>4458</v>
      </c>
      <c r="Q483" t="s">
        <v>330</v>
      </c>
      <c r="R483" s="7">
        <v>36130</v>
      </c>
      <c r="S483" s="8">
        <f t="shared" si="56"/>
        <v>1998</v>
      </c>
      <c r="T483" s="8">
        <v>1998</v>
      </c>
      <c r="U483" s="8">
        <f t="shared" si="57"/>
        <v>24</v>
      </c>
      <c r="V483" s="7">
        <v>1998</v>
      </c>
      <c r="W483" t="s">
        <v>25</v>
      </c>
      <c r="X483" s="2">
        <v>0.60499999999999998</v>
      </c>
      <c r="Y483" s="6">
        <f t="shared" si="58"/>
        <v>1.6150129467980032E-2</v>
      </c>
      <c r="AA483">
        <v>346748</v>
      </c>
      <c r="AB483">
        <v>15563</v>
      </c>
      <c r="AD483" t="s">
        <v>2</v>
      </c>
      <c r="AE483">
        <v>69</v>
      </c>
      <c r="AF483">
        <v>10</v>
      </c>
      <c r="AH483" t="s">
        <v>4457</v>
      </c>
      <c r="AI483" t="s">
        <v>4456</v>
      </c>
      <c r="AK483" t="s">
        <v>4455</v>
      </c>
      <c r="AL483">
        <v>9</v>
      </c>
      <c r="AM483" s="5">
        <f t="shared" si="59"/>
        <v>0.375</v>
      </c>
      <c r="AN483" s="4">
        <f t="shared" si="60"/>
        <v>5.6796667928814845E-4</v>
      </c>
      <c r="AO483" s="3"/>
      <c r="AP483">
        <v>0</v>
      </c>
      <c r="AR483" t="s">
        <v>1</v>
      </c>
      <c r="AT483" s="2">
        <v>1.5229999999999999</v>
      </c>
      <c r="AU483" s="1">
        <f t="shared" si="61"/>
        <v>1.1475480631372466</v>
      </c>
      <c r="AV483" s="1">
        <f t="shared" si="62"/>
        <v>0.83590480736340911</v>
      </c>
      <c r="AW483" s="1">
        <f t="shared" si="63"/>
        <v>0.52426155158957144</v>
      </c>
    </row>
    <row r="484" spans="1:49" x14ac:dyDescent="0.2">
      <c r="A484">
        <v>482</v>
      </c>
      <c r="B484" t="s">
        <v>4454</v>
      </c>
      <c r="C484" t="s">
        <v>4453</v>
      </c>
      <c r="D484" t="s">
        <v>4452</v>
      </c>
      <c r="F484" t="s">
        <v>4451</v>
      </c>
      <c r="G484" t="s">
        <v>5</v>
      </c>
      <c r="H484" t="s">
        <v>4</v>
      </c>
      <c r="I484" t="s">
        <v>4450</v>
      </c>
      <c r="J484">
        <v>100346114</v>
      </c>
      <c r="K484" t="s">
        <v>2758</v>
      </c>
      <c r="L484" t="s">
        <v>4101</v>
      </c>
      <c r="M484" t="s">
        <v>9</v>
      </c>
      <c r="N484">
        <v>1</v>
      </c>
      <c r="O484" t="s">
        <v>4449</v>
      </c>
      <c r="P484">
        <v>14121997400</v>
      </c>
      <c r="Q484">
        <v>100346114</v>
      </c>
      <c r="R484" s="7">
        <v>36130</v>
      </c>
      <c r="S484" s="8">
        <f t="shared" si="56"/>
        <v>1998</v>
      </c>
      <c r="T484" s="8">
        <v>1998</v>
      </c>
      <c r="U484" s="8">
        <f t="shared" si="57"/>
        <v>24</v>
      </c>
      <c r="V484" s="7">
        <v>1998</v>
      </c>
      <c r="W484" t="s">
        <v>4001</v>
      </c>
      <c r="X484" s="2">
        <v>1.365</v>
      </c>
      <c r="Y484" s="6">
        <f t="shared" si="58"/>
        <v>3.6437895411227675E-2</v>
      </c>
      <c r="AA484">
        <v>189545</v>
      </c>
      <c r="AB484">
        <v>17393</v>
      </c>
      <c r="AD484" t="s">
        <v>2</v>
      </c>
      <c r="AE484">
        <v>47</v>
      </c>
      <c r="AF484">
        <v>2</v>
      </c>
      <c r="AH484" t="s">
        <v>4448</v>
      </c>
      <c r="AI484" t="s">
        <v>4447</v>
      </c>
      <c r="AK484" t="s">
        <v>4446</v>
      </c>
      <c r="AL484">
        <v>11</v>
      </c>
      <c r="AM484" s="5">
        <f t="shared" si="59"/>
        <v>0.45833333333333331</v>
      </c>
      <c r="AN484" s="4">
        <f t="shared" si="60"/>
        <v>6.9418149690773695E-4</v>
      </c>
      <c r="AO484" s="3"/>
      <c r="AP484">
        <v>0</v>
      </c>
      <c r="AR484" t="s">
        <v>1</v>
      </c>
      <c r="AT484" s="2" t="s">
        <v>0</v>
      </c>
      <c r="AU484" s="1">
        <f t="shared" si="61"/>
        <v>2.5714781236931694</v>
      </c>
      <c r="AV484" s="1">
        <f t="shared" si="62"/>
        <v>1.8566038454067706</v>
      </c>
      <c r="AW484" s="1">
        <f t="shared" si="63"/>
        <v>1.1417295671203718</v>
      </c>
    </row>
    <row r="485" spans="1:49" x14ac:dyDescent="0.2">
      <c r="A485">
        <v>483</v>
      </c>
      <c r="B485" t="s">
        <v>4445</v>
      </c>
      <c r="C485" t="s">
        <v>4444</v>
      </c>
      <c r="F485" t="s">
        <v>4443</v>
      </c>
      <c r="G485" t="s">
        <v>5</v>
      </c>
      <c r="H485" t="s">
        <v>4</v>
      </c>
      <c r="I485" t="s">
        <v>4442</v>
      </c>
      <c r="J485" t="s">
        <v>4441</v>
      </c>
      <c r="K485" t="s">
        <v>4440</v>
      </c>
      <c r="L485" t="s">
        <v>4439</v>
      </c>
      <c r="M485" t="s">
        <v>4438</v>
      </c>
      <c r="N485">
        <v>7</v>
      </c>
      <c r="O485" t="s">
        <v>4437</v>
      </c>
      <c r="P485" t="s">
        <v>4436</v>
      </c>
      <c r="Q485" t="s">
        <v>4435</v>
      </c>
      <c r="R485" s="7">
        <v>36130</v>
      </c>
      <c r="S485" s="8">
        <f t="shared" si="56"/>
        <v>1998</v>
      </c>
      <c r="T485" s="8">
        <v>1998</v>
      </c>
      <c r="U485" s="8">
        <f t="shared" si="57"/>
        <v>24</v>
      </c>
      <c r="V485" s="7">
        <v>1998</v>
      </c>
      <c r="W485" t="s">
        <v>505</v>
      </c>
      <c r="X485" s="2">
        <v>0.58299999999999996</v>
      </c>
      <c r="Y485" s="6">
        <f t="shared" si="58"/>
        <v>1.5562852032780758E-2</v>
      </c>
      <c r="AA485">
        <v>7342101</v>
      </c>
      <c r="AB485">
        <v>28596</v>
      </c>
      <c r="AD485" t="s">
        <v>2</v>
      </c>
      <c r="AE485">
        <v>16</v>
      </c>
      <c r="AF485">
        <v>3</v>
      </c>
      <c r="AH485" t="s">
        <v>4434</v>
      </c>
      <c r="AI485" t="s">
        <v>4433</v>
      </c>
      <c r="AK485" t="s">
        <v>4432</v>
      </c>
      <c r="AL485">
        <v>13</v>
      </c>
      <c r="AM485" s="5">
        <f t="shared" si="59"/>
        <v>0.54166666666666663</v>
      </c>
      <c r="AN485" s="4">
        <f t="shared" si="60"/>
        <v>8.2039631452732545E-4</v>
      </c>
      <c r="AO485" s="3"/>
      <c r="AP485">
        <v>0</v>
      </c>
      <c r="AR485" t="s">
        <v>1</v>
      </c>
      <c r="AT485" s="2" t="s">
        <v>0</v>
      </c>
      <c r="AU485" s="1">
        <f t="shared" si="61"/>
        <v>1.1140115317304726</v>
      </c>
      <c r="AV485" s="1">
        <f t="shared" si="62"/>
        <v>0.81916241736540418</v>
      </c>
      <c r="AW485" s="1">
        <f t="shared" si="63"/>
        <v>0.52431330300033541</v>
      </c>
    </row>
    <row r="486" spans="1:49" x14ac:dyDescent="0.2">
      <c r="A486">
        <v>484</v>
      </c>
      <c r="B486" t="s">
        <v>4431</v>
      </c>
      <c r="C486" t="s">
        <v>4430</v>
      </c>
      <c r="F486" t="s">
        <v>4429</v>
      </c>
      <c r="G486" t="s">
        <v>5</v>
      </c>
      <c r="H486" t="s">
        <v>4</v>
      </c>
      <c r="I486" t="s">
        <v>4428</v>
      </c>
      <c r="J486" t="s">
        <v>4427</v>
      </c>
      <c r="K486" t="s">
        <v>4426</v>
      </c>
      <c r="L486" t="s">
        <v>4425</v>
      </c>
      <c r="M486" t="s">
        <v>4424</v>
      </c>
      <c r="N486">
        <v>3</v>
      </c>
      <c r="O486" t="s">
        <v>4423</v>
      </c>
      <c r="P486" t="s">
        <v>4422</v>
      </c>
      <c r="Q486" t="s">
        <v>4421</v>
      </c>
      <c r="R486" s="7">
        <v>36130</v>
      </c>
      <c r="S486" s="8">
        <f t="shared" si="56"/>
        <v>1998</v>
      </c>
      <c r="T486" s="8">
        <v>1998</v>
      </c>
      <c r="U486" s="8">
        <f t="shared" si="57"/>
        <v>24</v>
      </c>
      <c r="V486" s="7">
        <v>36130</v>
      </c>
      <c r="W486" t="s">
        <v>694</v>
      </c>
      <c r="X486" s="2" t="s">
        <v>0</v>
      </c>
      <c r="Y486" s="6" t="e">
        <f t="shared" si="58"/>
        <v>#VALUE!</v>
      </c>
      <c r="AA486">
        <v>3650138</v>
      </c>
      <c r="AB486">
        <v>80347</v>
      </c>
      <c r="AD486" t="s">
        <v>2</v>
      </c>
      <c r="AE486">
        <v>133</v>
      </c>
      <c r="AF486">
        <v>2</v>
      </c>
      <c r="AH486" t="s">
        <v>4420</v>
      </c>
      <c r="AI486" t="s">
        <v>4419</v>
      </c>
      <c r="AJ486" t="s">
        <v>4418</v>
      </c>
      <c r="AK486" t="s">
        <v>4417</v>
      </c>
      <c r="AL486">
        <v>49</v>
      </c>
      <c r="AM486" s="5">
        <f t="shared" si="59"/>
        <v>2.0416666666666665</v>
      </c>
      <c r="AN486" s="4">
        <f t="shared" si="60"/>
        <v>3.0922630316799191E-3</v>
      </c>
      <c r="AO486" s="3"/>
      <c r="AP486">
        <v>1</v>
      </c>
      <c r="AR486" t="s">
        <v>1</v>
      </c>
      <c r="AT486" s="2" t="s">
        <v>0</v>
      </c>
      <c r="AU486" s="1" t="e">
        <f t="shared" si="61"/>
        <v>#VALUE!</v>
      </c>
      <c r="AV486" s="1" t="e">
        <f t="shared" si="62"/>
        <v>#VALUE!</v>
      </c>
      <c r="AW486" s="1" t="e">
        <f t="shared" si="63"/>
        <v>#VALUE!</v>
      </c>
    </row>
    <row r="487" spans="1:49" x14ac:dyDescent="0.2">
      <c r="A487">
        <v>485</v>
      </c>
      <c r="B487" t="s">
        <v>4416</v>
      </c>
      <c r="C487" t="s">
        <v>4415</v>
      </c>
      <c r="D487" t="s">
        <v>4414</v>
      </c>
      <c r="F487" t="s">
        <v>4413</v>
      </c>
      <c r="G487" t="s">
        <v>5</v>
      </c>
      <c r="H487" t="s">
        <v>4</v>
      </c>
      <c r="I487" t="s">
        <v>4412</v>
      </c>
      <c r="J487" t="s">
        <v>4411</v>
      </c>
      <c r="K487" t="s">
        <v>4410</v>
      </c>
      <c r="L487" t="s">
        <v>4409</v>
      </c>
      <c r="M487" t="s">
        <v>67</v>
      </c>
      <c r="N487">
        <v>5</v>
      </c>
      <c r="O487" t="s">
        <v>4408</v>
      </c>
      <c r="P487" t="s">
        <v>4407</v>
      </c>
      <c r="Q487" t="s">
        <v>4406</v>
      </c>
      <c r="R487" s="7">
        <v>36130</v>
      </c>
      <c r="S487" s="8">
        <f t="shared" si="56"/>
        <v>1998</v>
      </c>
      <c r="T487" s="8">
        <v>1998</v>
      </c>
      <c r="U487" s="8">
        <f t="shared" si="57"/>
        <v>24</v>
      </c>
      <c r="V487" s="7">
        <v>1998</v>
      </c>
      <c r="W487" t="s">
        <v>4001</v>
      </c>
      <c r="X487" s="2">
        <v>1.365</v>
      </c>
      <c r="Y487" s="6">
        <f t="shared" si="58"/>
        <v>3.6437895411227675E-2</v>
      </c>
      <c r="AA487">
        <v>189545</v>
      </c>
      <c r="AB487">
        <v>17393</v>
      </c>
      <c r="AD487" t="s">
        <v>2</v>
      </c>
      <c r="AE487">
        <v>47</v>
      </c>
      <c r="AF487">
        <v>2</v>
      </c>
      <c r="AH487" t="s">
        <v>4405</v>
      </c>
      <c r="AI487" t="s">
        <v>4404</v>
      </c>
      <c r="AJ487" t="s">
        <v>4403</v>
      </c>
      <c r="AK487" t="s">
        <v>4402</v>
      </c>
      <c r="AL487">
        <v>3</v>
      </c>
      <c r="AM487" s="5">
        <f t="shared" si="59"/>
        <v>0.125</v>
      </c>
      <c r="AN487" s="4">
        <f t="shared" si="60"/>
        <v>1.893222264293828E-4</v>
      </c>
      <c r="AO487" s="3"/>
      <c r="AP487">
        <v>0</v>
      </c>
      <c r="AR487" t="s">
        <v>1</v>
      </c>
      <c r="AT487" s="2" t="s">
        <v>0</v>
      </c>
      <c r="AU487" s="1">
        <f t="shared" si="61"/>
        <v>2.5563323455788183</v>
      </c>
      <c r="AV487" s="1">
        <f t="shared" si="62"/>
        <v>1.8313608818828528</v>
      </c>
      <c r="AW487" s="1">
        <f t="shared" si="63"/>
        <v>1.106389418186887</v>
      </c>
    </row>
    <row r="488" spans="1:49" x14ac:dyDescent="0.2">
      <c r="A488">
        <v>486</v>
      </c>
      <c r="B488" t="s">
        <v>4401</v>
      </c>
      <c r="F488" t="s">
        <v>4400</v>
      </c>
      <c r="G488" t="s">
        <v>5</v>
      </c>
      <c r="H488" t="s">
        <v>4</v>
      </c>
      <c r="I488" t="s">
        <v>4399</v>
      </c>
      <c r="J488" t="s">
        <v>4398</v>
      </c>
      <c r="K488" t="s">
        <v>4397</v>
      </c>
      <c r="L488" t="s">
        <v>4396</v>
      </c>
      <c r="M488" t="s">
        <v>4395</v>
      </c>
      <c r="N488">
        <v>2</v>
      </c>
      <c r="O488" t="s">
        <v>4394</v>
      </c>
      <c r="P488" t="s">
        <v>4393</v>
      </c>
      <c r="Q488" t="s">
        <v>4392</v>
      </c>
      <c r="R488" s="7">
        <v>36130</v>
      </c>
      <c r="S488" s="8">
        <f t="shared" si="56"/>
        <v>1998</v>
      </c>
      <c r="T488" s="8">
        <v>1998</v>
      </c>
      <c r="U488" s="8">
        <f t="shared" si="57"/>
        <v>24</v>
      </c>
      <c r="V488" s="7">
        <v>1998</v>
      </c>
      <c r="W488" t="s">
        <v>4391</v>
      </c>
      <c r="X488" s="2">
        <v>0.54700000000000004</v>
      </c>
      <c r="Y488" s="6">
        <f t="shared" si="58"/>
        <v>1.4601852593363766E-2</v>
      </c>
      <c r="AA488">
        <v>11096</v>
      </c>
      <c r="AB488">
        <v>31211</v>
      </c>
      <c r="AD488" t="s">
        <v>2</v>
      </c>
      <c r="AE488">
        <v>52</v>
      </c>
      <c r="AF488">
        <v>2</v>
      </c>
      <c r="AH488" t="s">
        <v>4390</v>
      </c>
      <c r="AI488" t="s">
        <v>4389</v>
      </c>
      <c r="AJ488" t="s">
        <v>4388</v>
      </c>
      <c r="AK488" t="s">
        <v>4387</v>
      </c>
      <c r="AL488">
        <v>23</v>
      </c>
      <c r="AM488" s="5">
        <f t="shared" si="59"/>
        <v>0.95833333333333337</v>
      </c>
      <c r="AN488" s="4">
        <f t="shared" si="60"/>
        <v>1.4514704026252683E-3</v>
      </c>
      <c r="AO488" s="3"/>
      <c r="AP488">
        <v>0</v>
      </c>
      <c r="AR488" t="s">
        <v>1</v>
      </c>
      <c r="AT488" s="2" t="s">
        <v>0</v>
      </c>
      <c r="AU488" s="1">
        <f t="shared" si="61"/>
        <v>1.0656737936142218</v>
      </c>
      <c r="AV488" s="1">
        <f t="shared" si="62"/>
        <v>0.80266614979945183</v>
      </c>
      <c r="AW488" s="1">
        <f t="shared" si="63"/>
        <v>0.53965850598468168</v>
      </c>
    </row>
    <row r="489" spans="1:49" x14ac:dyDescent="0.2">
      <c r="A489">
        <v>487</v>
      </c>
      <c r="B489" t="s">
        <v>4386</v>
      </c>
      <c r="C489" t="s">
        <v>4385</v>
      </c>
      <c r="D489" t="s">
        <v>4384</v>
      </c>
      <c r="F489" t="s">
        <v>4383</v>
      </c>
      <c r="G489" t="s">
        <v>5</v>
      </c>
      <c r="H489" t="s">
        <v>4</v>
      </c>
      <c r="I489" t="s">
        <v>4382</v>
      </c>
      <c r="J489">
        <v>60001558</v>
      </c>
      <c r="K489" t="s">
        <v>4381</v>
      </c>
      <c r="L489" t="s">
        <v>63</v>
      </c>
      <c r="M489" t="s">
        <v>62</v>
      </c>
      <c r="N489">
        <v>2</v>
      </c>
      <c r="O489" t="s">
        <v>4380</v>
      </c>
      <c r="P489" t="s">
        <v>4379</v>
      </c>
      <c r="Q489" t="s">
        <v>4378</v>
      </c>
      <c r="R489" s="7">
        <v>36130</v>
      </c>
      <c r="S489" s="8">
        <f t="shared" si="56"/>
        <v>1998</v>
      </c>
      <c r="T489" s="8">
        <v>1998</v>
      </c>
      <c r="U489" s="8">
        <f t="shared" si="57"/>
        <v>24</v>
      </c>
      <c r="V489" s="7">
        <v>1998</v>
      </c>
      <c r="W489" t="s">
        <v>4001</v>
      </c>
      <c r="X489" s="2">
        <v>1.365</v>
      </c>
      <c r="Y489" s="6">
        <f t="shared" si="58"/>
        <v>3.6437895411227675E-2</v>
      </c>
      <c r="AA489">
        <v>189545</v>
      </c>
      <c r="AB489">
        <v>17393</v>
      </c>
      <c r="AD489" t="s">
        <v>2</v>
      </c>
      <c r="AE489">
        <v>47</v>
      </c>
      <c r="AF489">
        <v>1</v>
      </c>
      <c r="AH489" t="s">
        <v>4377</v>
      </c>
      <c r="AI489" t="s">
        <v>4376</v>
      </c>
      <c r="AJ489" t="s">
        <v>4375</v>
      </c>
      <c r="AK489" t="s">
        <v>4374</v>
      </c>
      <c r="AL489">
        <v>32</v>
      </c>
      <c r="AM489" s="5">
        <f t="shared" si="59"/>
        <v>1.3333333333333333</v>
      </c>
      <c r="AN489" s="4">
        <f t="shared" si="60"/>
        <v>2.0194370819134164E-3</v>
      </c>
      <c r="AO489" s="3"/>
      <c r="AP489">
        <v>0</v>
      </c>
      <c r="AR489" t="s">
        <v>1</v>
      </c>
      <c r="AT489" s="2" t="s">
        <v>0</v>
      </c>
      <c r="AU489" s="1">
        <f t="shared" si="61"/>
        <v>2.6112357912433395</v>
      </c>
      <c r="AV489" s="1">
        <f t="shared" si="62"/>
        <v>1.9228666246570547</v>
      </c>
      <c r="AW489" s="1">
        <f t="shared" si="63"/>
        <v>1.2344974580707693</v>
      </c>
    </row>
    <row r="490" spans="1:49" x14ac:dyDescent="0.2">
      <c r="A490">
        <v>488</v>
      </c>
      <c r="B490" t="s">
        <v>4373</v>
      </c>
      <c r="C490" t="s">
        <v>4372</v>
      </c>
      <c r="D490" t="s">
        <v>4371</v>
      </c>
      <c r="F490" t="s">
        <v>4370</v>
      </c>
      <c r="G490" t="s">
        <v>5</v>
      </c>
      <c r="H490" t="s">
        <v>4</v>
      </c>
      <c r="I490" t="s">
        <v>4369</v>
      </c>
      <c r="J490">
        <v>60024666</v>
      </c>
      <c r="K490" t="s">
        <v>4368</v>
      </c>
      <c r="L490" t="s">
        <v>4367</v>
      </c>
      <c r="M490" t="s">
        <v>128</v>
      </c>
      <c r="N490">
        <v>3</v>
      </c>
      <c r="O490" t="s">
        <v>4366</v>
      </c>
      <c r="P490" t="s">
        <v>4365</v>
      </c>
      <c r="Q490" t="s">
        <v>4364</v>
      </c>
      <c r="R490" s="7">
        <v>36130</v>
      </c>
      <c r="S490" s="8">
        <f t="shared" si="56"/>
        <v>1998</v>
      </c>
      <c r="T490" s="8">
        <v>1998</v>
      </c>
      <c r="U490" s="8">
        <f t="shared" si="57"/>
        <v>24</v>
      </c>
      <c r="V490" s="7">
        <v>1998</v>
      </c>
      <c r="W490" t="s">
        <v>4001</v>
      </c>
      <c r="X490" s="2">
        <v>1.365</v>
      </c>
      <c r="Y490" s="6">
        <f t="shared" si="58"/>
        <v>3.6437895411227675E-2</v>
      </c>
      <c r="AA490">
        <v>189545</v>
      </c>
      <c r="AB490">
        <v>17393</v>
      </c>
      <c r="AD490" t="s">
        <v>2</v>
      </c>
      <c r="AE490">
        <v>47</v>
      </c>
      <c r="AF490">
        <v>1</v>
      </c>
      <c r="AH490" s="9">
        <v>44440</v>
      </c>
      <c r="AI490" t="s">
        <v>4363</v>
      </c>
      <c r="AJ490" t="s">
        <v>4362</v>
      </c>
      <c r="AK490" t="s">
        <v>4361</v>
      </c>
      <c r="AL490">
        <v>39</v>
      </c>
      <c r="AM490" s="5">
        <f t="shared" si="59"/>
        <v>1.625</v>
      </c>
      <c r="AN490" s="4">
        <f t="shared" si="60"/>
        <v>2.4611889435819764E-3</v>
      </c>
      <c r="AO490" s="3"/>
      <c r="AP490">
        <v>0</v>
      </c>
      <c r="AQ490" t="s">
        <v>114</v>
      </c>
      <c r="AR490" t="s">
        <v>4360</v>
      </c>
      <c r="AS490" t="s">
        <v>113</v>
      </c>
      <c r="AT490" s="2" t="s">
        <v>0</v>
      </c>
      <c r="AU490" s="1">
        <f t="shared" si="61"/>
        <v>2.6244883470933962</v>
      </c>
      <c r="AV490" s="1">
        <f t="shared" si="62"/>
        <v>1.9449542177404826</v>
      </c>
      <c r="AW490" s="1">
        <f t="shared" si="63"/>
        <v>1.2654200883875686</v>
      </c>
    </row>
    <row r="491" spans="1:49" x14ac:dyDescent="0.2">
      <c r="A491">
        <v>489</v>
      </c>
      <c r="B491" t="s">
        <v>4359</v>
      </c>
      <c r="C491" t="s">
        <v>4358</v>
      </c>
      <c r="D491" t="s">
        <v>4357</v>
      </c>
      <c r="F491" t="s">
        <v>4356</v>
      </c>
      <c r="G491" t="s">
        <v>5</v>
      </c>
      <c r="H491" t="s">
        <v>4</v>
      </c>
      <c r="I491" t="s">
        <v>4355</v>
      </c>
      <c r="J491">
        <v>60021032</v>
      </c>
      <c r="K491" t="s">
        <v>708</v>
      </c>
      <c r="L491" t="s">
        <v>707</v>
      </c>
      <c r="M491" t="s">
        <v>9</v>
      </c>
      <c r="N491">
        <v>2</v>
      </c>
      <c r="O491" t="s">
        <v>4354</v>
      </c>
      <c r="P491" t="s">
        <v>4353</v>
      </c>
      <c r="Q491" t="s">
        <v>4352</v>
      </c>
      <c r="R491" s="7">
        <v>36130</v>
      </c>
      <c r="S491" s="8">
        <f t="shared" si="56"/>
        <v>1998</v>
      </c>
      <c r="T491" s="8">
        <v>1998</v>
      </c>
      <c r="U491" s="8">
        <f t="shared" si="57"/>
        <v>24</v>
      </c>
      <c r="V491" s="7">
        <v>1998</v>
      </c>
      <c r="W491" t="s">
        <v>4001</v>
      </c>
      <c r="X491" s="2">
        <v>1.365</v>
      </c>
      <c r="Y491" s="6">
        <f t="shared" si="58"/>
        <v>3.6437895411227675E-2</v>
      </c>
      <c r="AA491">
        <v>189545</v>
      </c>
      <c r="AB491">
        <v>17393</v>
      </c>
      <c r="AD491" t="s">
        <v>2</v>
      </c>
      <c r="AE491">
        <v>47</v>
      </c>
      <c r="AF491">
        <v>2</v>
      </c>
      <c r="AH491" t="s">
        <v>4351</v>
      </c>
      <c r="AI491" t="s">
        <v>4350</v>
      </c>
      <c r="AJ491" t="s">
        <v>4349</v>
      </c>
      <c r="AK491" t="s">
        <v>4348</v>
      </c>
      <c r="AL491">
        <v>356</v>
      </c>
      <c r="AM491" s="5">
        <f t="shared" si="59"/>
        <v>14.833333333333334</v>
      </c>
      <c r="AN491" s="4">
        <f t="shared" si="60"/>
        <v>2.2466237536286762E-2</v>
      </c>
      <c r="AO491" s="3"/>
      <c r="AP491">
        <v>0</v>
      </c>
      <c r="AR491" t="s">
        <v>1</v>
      </c>
      <c r="AT491" s="2" t="s">
        <v>0</v>
      </c>
      <c r="AU491" s="1">
        <f t="shared" si="61"/>
        <v>3.2246398048745397</v>
      </c>
      <c r="AV491" s="1">
        <f t="shared" si="62"/>
        <v>2.9452066473757221</v>
      </c>
      <c r="AW491" s="1">
        <f t="shared" si="63"/>
        <v>2.6657734898769032</v>
      </c>
    </row>
    <row r="492" spans="1:49" x14ac:dyDescent="0.2">
      <c r="A492">
        <v>490</v>
      </c>
      <c r="B492" t="s">
        <v>4347</v>
      </c>
      <c r="C492" t="s">
        <v>4346</v>
      </c>
      <c r="D492" t="s">
        <v>4345</v>
      </c>
      <c r="F492" t="s">
        <v>4344</v>
      </c>
      <c r="G492" t="s">
        <v>5</v>
      </c>
      <c r="H492" t="s">
        <v>4</v>
      </c>
      <c r="I492" t="s">
        <v>4343</v>
      </c>
      <c r="J492">
        <v>60022144</v>
      </c>
      <c r="K492" t="s">
        <v>90</v>
      </c>
      <c r="L492" t="s">
        <v>89</v>
      </c>
      <c r="M492" t="s">
        <v>9</v>
      </c>
      <c r="N492">
        <v>3</v>
      </c>
      <c r="O492" t="s">
        <v>4342</v>
      </c>
      <c r="P492" t="s">
        <v>4341</v>
      </c>
      <c r="Q492" t="s">
        <v>4340</v>
      </c>
      <c r="R492" s="7">
        <v>36130</v>
      </c>
      <c r="S492" s="8">
        <f t="shared" si="56"/>
        <v>1998</v>
      </c>
      <c r="T492" s="8">
        <v>1998</v>
      </c>
      <c r="U492" s="8">
        <f t="shared" si="57"/>
        <v>24</v>
      </c>
      <c r="V492" s="7">
        <v>1998</v>
      </c>
      <c r="W492" t="s">
        <v>649</v>
      </c>
      <c r="X492" s="2">
        <v>1.6519999999999999</v>
      </c>
      <c r="Y492" s="6">
        <f t="shared" si="58"/>
        <v>4.409919649769093E-2</v>
      </c>
      <c r="AA492" t="s">
        <v>648</v>
      </c>
      <c r="AB492">
        <v>17337</v>
      </c>
      <c r="AD492" t="s">
        <v>2</v>
      </c>
      <c r="AE492">
        <v>46</v>
      </c>
      <c r="AF492">
        <v>12</v>
      </c>
      <c r="AH492" t="s">
        <v>4339</v>
      </c>
      <c r="AI492" t="s">
        <v>4338</v>
      </c>
      <c r="AJ492" t="s">
        <v>4337</v>
      </c>
      <c r="AK492" t="s">
        <v>4336</v>
      </c>
      <c r="AL492">
        <v>76</v>
      </c>
      <c r="AM492" s="5">
        <f t="shared" si="59"/>
        <v>3.1666666666666665</v>
      </c>
      <c r="AN492" s="4">
        <f t="shared" si="60"/>
        <v>4.7961630695443642E-3</v>
      </c>
      <c r="AO492" s="3"/>
      <c r="AP492">
        <v>0</v>
      </c>
      <c r="AR492" t="s">
        <v>1</v>
      </c>
      <c r="AT492" s="2" t="s">
        <v>0</v>
      </c>
      <c r="AU492" s="1">
        <f t="shared" si="61"/>
        <v>3.2308286469246958</v>
      </c>
      <c r="AV492" s="1">
        <f t="shared" si="62"/>
        <v>2.4447679783617646</v>
      </c>
      <c r="AW492" s="1">
        <f t="shared" si="63"/>
        <v>1.6587073097988334</v>
      </c>
    </row>
    <row r="493" spans="1:49" x14ac:dyDescent="0.2">
      <c r="A493">
        <v>491</v>
      </c>
      <c r="B493" t="s">
        <v>4335</v>
      </c>
      <c r="C493" t="s">
        <v>4334</v>
      </c>
      <c r="D493" t="s">
        <v>4333</v>
      </c>
      <c r="F493" t="s">
        <v>4332</v>
      </c>
      <c r="G493" t="s">
        <v>5</v>
      </c>
      <c r="H493" t="s">
        <v>4</v>
      </c>
      <c r="I493" t="s">
        <v>98</v>
      </c>
      <c r="J493">
        <v>60012658</v>
      </c>
      <c r="K493" t="s">
        <v>97</v>
      </c>
      <c r="L493" t="s">
        <v>96</v>
      </c>
      <c r="M493" t="s">
        <v>65</v>
      </c>
      <c r="N493">
        <v>2</v>
      </c>
      <c r="O493" t="s">
        <v>4331</v>
      </c>
      <c r="P493" t="s">
        <v>95</v>
      </c>
      <c r="Q493" t="s">
        <v>94</v>
      </c>
      <c r="R493" s="7">
        <v>36130</v>
      </c>
      <c r="S493" s="8">
        <f t="shared" si="56"/>
        <v>1998</v>
      </c>
      <c r="T493" s="8">
        <v>1998</v>
      </c>
      <c r="U493" s="8">
        <f t="shared" si="57"/>
        <v>24</v>
      </c>
      <c r="V493" s="7">
        <v>1998</v>
      </c>
      <c r="W493" t="s">
        <v>649</v>
      </c>
      <c r="X493" s="2">
        <v>1.6519999999999999</v>
      </c>
      <c r="Y493" s="6">
        <f t="shared" si="58"/>
        <v>4.409919649769093E-2</v>
      </c>
      <c r="AA493" t="s">
        <v>648</v>
      </c>
      <c r="AB493">
        <v>17337</v>
      </c>
      <c r="AD493" t="s">
        <v>2</v>
      </c>
      <c r="AE493">
        <v>46</v>
      </c>
      <c r="AF493">
        <v>12</v>
      </c>
      <c r="AH493" t="s">
        <v>4330</v>
      </c>
      <c r="AI493" t="s">
        <v>4329</v>
      </c>
      <c r="AJ493" t="s">
        <v>4328</v>
      </c>
      <c r="AK493" t="s">
        <v>4327</v>
      </c>
      <c r="AL493">
        <v>98</v>
      </c>
      <c r="AM493" s="5">
        <f t="shared" si="59"/>
        <v>4.083333333333333</v>
      </c>
      <c r="AN493" s="4">
        <f t="shared" si="60"/>
        <v>6.1845260633598383E-3</v>
      </c>
      <c r="AO493" s="3"/>
      <c r="AP493">
        <v>0</v>
      </c>
      <c r="AR493" t="s">
        <v>1</v>
      </c>
      <c r="AT493" s="2" t="s">
        <v>0</v>
      </c>
      <c r="AU493" s="1">
        <f t="shared" si="61"/>
        <v>3.2724795367391604</v>
      </c>
      <c r="AV493" s="1">
        <f t="shared" si="62"/>
        <v>2.5141861280525384</v>
      </c>
      <c r="AW493" s="1">
        <f t="shared" si="63"/>
        <v>1.7558927193659164</v>
      </c>
    </row>
    <row r="494" spans="1:49" x14ac:dyDescent="0.2">
      <c r="A494">
        <v>492</v>
      </c>
      <c r="B494" t="s">
        <v>4326</v>
      </c>
      <c r="C494" t="s">
        <v>4325</v>
      </c>
      <c r="D494" t="s">
        <v>4324</v>
      </c>
      <c r="F494" t="s">
        <v>4323</v>
      </c>
      <c r="G494" t="s">
        <v>5</v>
      </c>
      <c r="H494" t="s">
        <v>4</v>
      </c>
      <c r="I494" t="s">
        <v>4322</v>
      </c>
      <c r="J494">
        <v>100713046</v>
      </c>
      <c r="K494" t="s">
        <v>4321</v>
      </c>
      <c r="L494" t="s">
        <v>4320</v>
      </c>
      <c r="M494" t="s">
        <v>15</v>
      </c>
      <c r="N494">
        <v>2</v>
      </c>
      <c r="O494" t="s">
        <v>4319</v>
      </c>
      <c r="P494" t="s">
        <v>4318</v>
      </c>
      <c r="Q494" t="s">
        <v>4317</v>
      </c>
      <c r="R494" s="7">
        <v>36130</v>
      </c>
      <c r="S494" s="8">
        <f t="shared" si="56"/>
        <v>1998</v>
      </c>
      <c r="T494" s="8">
        <v>1998</v>
      </c>
      <c r="U494" s="8">
        <f t="shared" si="57"/>
        <v>24</v>
      </c>
      <c r="V494" s="7">
        <v>1998</v>
      </c>
      <c r="W494" t="s">
        <v>4001</v>
      </c>
      <c r="X494" s="2">
        <v>1.365</v>
      </c>
      <c r="Y494" s="6">
        <f t="shared" si="58"/>
        <v>3.6437895411227675E-2</v>
      </c>
      <c r="AA494">
        <v>189545</v>
      </c>
      <c r="AB494">
        <v>17393</v>
      </c>
      <c r="AD494" t="s">
        <v>2</v>
      </c>
      <c r="AE494">
        <v>47</v>
      </c>
      <c r="AF494">
        <v>1</v>
      </c>
      <c r="AH494" t="s">
        <v>4316</v>
      </c>
      <c r="AI494" t="s">
        <v>4315</v>
      </c>
      <c r="AJ494" t="s">
        <v>4314</v>
      </c>
      <c r="AK494" t="s">
        <v>4313</v>
      </c>
      <c r="AL494">
        <v>76</v>
      </c>
      <c r="AM494" s="5">
        <f t="shared" si="59"/>
        <v>3.1666666666666665</v>
      </c>
      <c r="AN494" s="4">
        <f t="shared" si="60"/>
        <v>4.7961630695443642E-3</v>
      </c>
      <c r="AO494" s="3"/>
      <c r="AP494">
        <v>0</v>
      </c>
      <c r="AQ494" t="s">
        <v>4312</v>
      </c>
      <c r="AR494" t="s">
        <v>1</v>
      </c>
      <c r="AS494" t="s">
        <v>4311</v>
      </c>
      <c r="AT494" s="2" t="s">
        <v>0</v>
      </c>
      <c r="AU494" s="1">
        <f t="shared" si="61"/>
        <v>2.6945375708722676</v>
      </c>
      <c r="AV494" s="1">
        <f t="shared" si="62"/>
        <v>2.061702924038602</v>
      </c>
      <c r="AW494" s="1">
        <f t="shared" si="63"/>
        <v>1.4288682772049355</v>
      </c>
    </row>
    <row r="495" spans="1:49" x14ac:dyDescent="0.2">
      <c r="A495">
        <v>493</v>
      </c>
      <c r="B495" t="s">
        <v>4310</v>
      </c>
      <c r="C495" t="s">
        <v>4309</v>
      </c>
      <c r="D495" t="s">
        <v>4308</v>
      </c>
      <c r="F495" t="s">
        <v>4307</v>
      </c>
      <c r="G495" t="s">
        <v>5</v>
      </c>
      <c r="H495" t="s">
        <v>4</v>
      </c>
      <c r="I495" t="s">
        <v>4306</v>
      </c>
      <c r="J495">
        <v>60014652</v>
      </c>
      <c r="K495" t="s">
        <v>491</v>
      </c>
      <c r="L495" t="s">
        <v>490</v>
      </c>
      <c r="M495" t="s">
        <v>12</v>
      </c>
      <c r="N495">
        <v>5</v>
      </c>
      <c r="O495" t="s">
        <v>4305</v>
      </c>
      <c r="P495" t="s">
        <v>4304</v>
      </c>
      <c r="Q495" t="s">
        <v>4303</v>
      </c>
      <c r="R495" s="7">
        <v>36130</v>
      </c>
      <c r="S495" s="8">
        <f t="shared" si="56"/>
        <v>1998</v>
      </c>
      <c r="T495" s="8">
        <v>1998</v>
      </c>
      <c r="U495" s="8">
        <f t="shared" si="57"/>
        <v>24</v>
      </c>
      <c r="V495" s="7">
        <v>1998</v>
      </c>
      <c r="W495" t="s">
        <v>649</v>
      </c>
      <c r="X495" s="2">
        <v>1.6519999999999999</v>
      </c>
      <c r="Y495" s="6">
        <f t="shared" si="58"/>
        <v>4.409919649769093E-2</v>
      </c>
      <c r="AA495" t="s">
        <v>648</v>
      </c>
      <c r="AB495">
        <v>17337</v>
      </c>
      <c r="AD495" t="s">
        <v>2</v>
      </c>
      <c r="AE495">
        <v>46</v>
      </c>
      <c r="AF495">
        <v>12</v>
      </c>
      <c r="AH495" t="s">
        <v>4302</v>
      </c>
      <c r="AI495" t="s">
        <v>4301</v>
      </c>
      <c r="AJ495" t="s">
        <v>4300</v>
      </c>
      <c r="AK495" t="s">
        <v>4299</v>
      </c>
      <c r="AL495">
        <v>30</v>
      </c>
      <c r="AM495" s="5">
        <f t="shared" si="59"/>
        <v>1.25</v>
      </c>
      <c r="AN495" s="4">
        <f t="shared" si="60"/>
        <v>1.8932222642938281E-3</v>
      </c>
      <c r="AO495" s="3"/>
      <c r="AP495">
        <v>0</v>
      </c>
      <c r="AR495" t="s">
        <v>1</v>
      </c>
      <c r="AT495" s="2" t="s">
        <v>0</v>
      </c>
      <c r="AU495" s="1">
        <f t="shared" si="61"/>
        <v>3.1437404227671801</v>
      </c>
      <c r="AV495" s="1">
        <f t="shared" si="62"/>
        <v>2.2996209380992378</v>
      </c>
      <c r="AW495" s="1">
        <f t="shared" si="63"/>
        <v>1.4555014534312958</v>
      </c>
    </row>
    <row r="496" spans="1:49" x14ac:dyDescent="0.2">
      <c r="A496">
        <v>494</v>
      </c>
      <c r="B496" t="s">
        <v>4298</v>
      </c>
      <c r="C496" t="s">
        <v>4297</v>
      </c>
      <c r="F496" t="s">
        <v>4296</v>
      </c>
      <c r="G496" t="s">
        <v>5</v>
      </c>
      <c r="H496" t="s">
        <v>4</v>
      </c>
      <c r="I496" t="s">
        <v>4295</v>
      </c>
      <c r="J496" t="s">
        <v>4294</v>
      </c>
      <c r="K496" t="s">
        <v>4293</v>
      </c>
      <c r="L496" t="s">
        <v>4292</v>
      </c>
      <c r="M496" t="s">
        <v>6</v>
      </c>
      <c r="N496">
        <v>3</v>
      </c>
      <c r="O496" t="s">
        <v>4291</v>
      </c>
      <c r="P496" t="s">
        <v>4290</v>
      </c>
      <c r="Q496" t="s">
        <v>4289</v>
      </c>
      <c r="R496" s="7">
        <v>36130</v>
      </c>
      <c r="S496" s="8">
        <f t="shared" si="56"/>
        <v>1998</v>
      </c>
      <c r="T496" s="8">
        <v>1998</v>
      </c>
      <c r="U496" s="8">
        <f t="shared" si="57"/>
        <v>24</v>
      </c>
      <c r="V496" s="7">
        <v>1998</v>
      </c>
      <c r="W496" t="s">
        <v>505</v>
      </c>
      <c r="X496" s="2">
        <v>0.58299999999999996</v>
      </c>
      <c r="Y496" s="6">
        <f t="shared" si="58"/>
        <v>1.5562852032780758E-2</v>
      </c>
      <c r="AA496">
        <v>7342101</v>
      </c>
      <c r="AB496">
        <v>28596</v>
      </c>
      <c r="AD496" t="s">
        <v>2</v>
      </c>
      <c r="AE496">
        <v>16</v>
      </c>
      <c r="AF496">
        <v>3</v>
      </c>
      <c r="AH496" t="s">
        <v>4288</v>
      </c>
      <c r="AI496" t="s">
        <v>4287</v>
      </c>
      <c r="AK496" t="s">
        <v>4286</v>
      </c>
      <c r="AL496">
        <v>38</v>
      </c>
      <c r="AM496" s="5">
        <f t="shared" si="59"/>
        <v>1.5833333333333333</v>
      </c>
      <c r="AN496" s="4">
        <f t="shared" si="60"/>
        <v>2.3980815347721821E-3</v>
      </c>
      <c r="AO496" s="3"/>
      <c r="AP496">
        <v>0</v>
      </c>
      <c r="AR496" t="s">
        <v>1</v>
      </c>
      <c r="AT496" s="2" t="s">
        <v>0</v>
      </c>
      <c r="AU496" s="1">
        <f t="shared" si="61"/>
        <v>1.1613420883378185</v>
      </c>
      <c r="AV496" s="1">
        <f t="shared" si="62"/>
        <v>0.89804667837764707</v>
      </c>
      <c r="AW496" s="1">
        <f t="shared" si="63"/>
        <v>0.63475126841747542</v>
      </c>
    </row>
    <row r="497" spans="1:49" x14ac:dyDescent="0.2">
      <c r="A497">
        <v>495</v>
      </c>
      <c r="B497" t="s">
        <v>4285</v>
      </c>
      <c r="C497" t="s">
        <v>4284</v>
      </c>
      <c r="D497" t="s">
        <v>4283</v>
      </c>
      <c r="F497" t="s">
        <v>4282</v>
      </c>
      <c r="G497" t="s">
        <v>5</v>
      </c>
      <c r="H497" t="s">
        <v>4</v>
      </c>
      <c r="I497" t="s">
        <v>4281</v>
      </c>
      <c r="J497">
        <v>60010346</v>
      </c>
      <c r="K497" t="s">
        <v>471</v>
      </c>
      <c r="L497" t="s">
        <v>470</v>
      </c>
      <c r="M497" t="s">
        <v>9</v>
      </c>
      <c r="N497">
        <v>3</v>
      </c>
      <c r="O497" t="s">
        <v>4280</v>
      </c>
      <c r="P497" t="s">
        <v>4279</v>
      </c>
      <c r="Q497" t="s">
        <v>4278</v>
      </c>
      <c r="R497" s="7">
        <v>36130</v>
      </c>
      <c r="S497" s="8">
        <f t="shared" si="56"/>
        <v>1998</v>
      </c>
      <c r="T497" s="8">
        <v>1998</v>
      </c>
      <c r="U497" s="8">
        <f t="shared" si="57"/>
        <v>24</v>
      </c>
      <c r="V497" s="7">
        <v>1998</v>
      </c>
      <c r="W497" t="s">
        <v>649</v>
      </c>
      <c r="X497" s="2">
        <v>1.6519999999999999</v>
      </c>
      <c r="Y497" s="6">
        <f t="shared" si="58"/>
        <v>4.409919649769093E-2</v>
      </c>
      <c r="AA497" t="s">
        <v>648</v>
      </c>
      <c r="AB497">
        <v>17337</v>
      </c>
      <c r="AD497" t="s">
        <v>2</v>
      </c>
      <c r="AE497">
        <v>46</v>
      </c>
      <c r="AF497">
        <v>12</v>
      </c>
      <c r="AH497" t="s">
        <v>4277</v>
      </c>
      <c r="AI497" t="s">
        <v>4276</v>
      </c>
      <c r="AJ497" t="s">
        <v>4275</v>
      </c>
      <c r="AK497" t="s">
        <v>4274</v>
      </c>
      <c r="AL497">
        <v>59</v>
      </c>
      <c r="AM497" s="5">
        <f t="shared" si="59"/>
        <v>2.4583333333333335</v>
      </c>
      <c r="AN497" s="4">
        <f t="shared" si="60"/>
        <v>3.7233371197778623E-3</v>
      </c>
      <c r="AO497" s="3"/>
      <c r="AP497">
        <v>0</v>
      </c>
      <c r="AQ497" t="s">
        <v>328</v>
      </c>
      <c r="AR497" t="s">
        <v>4273</v>
      </c>
      <c r="AS497" t="s">
        <v>327</v>
      </c>
      <c r="AT497" s="2" t="s">
        <v>0</v>
      </c>
      <c r="AU497" s="1">
        <f t="shared" si="61"/>
        <v>3.1986438684317013</v>
      </c>
      <c r="AV497" s="1">
        <f t="shared" si="62"/>
        <v>2.3911266808734397</v>
      </c>
      <c r="AW497" s="1">
        <f t="shared" si="63"/>
        <v>1.5836094933151781</v>
      </c>
    </row>
    <row r="498" spans="1:49" x14ac:dyDescent="0.2">
      <c r="A498">
        <v>496</v>
      </c>
      <c r="B498" t="s">
        <v>4272</v>
      </c>
      <c r="C498" t="s">
        <v>4271</v>
      </c>
      <c r="D498" t="s">
        <v>4270</v>
      </c>
      <c r="F498" t="s">
        <v>4269</v>
      </c>
      <c r="G498" t="s">
        <v>5</v>
      </c>
      <c r="H498" t="s">
        <v>4</v>
      </c>
      <c r="I498" t="s">
        <v>486</v>
      </c>
      <c r="J498">
        <v>60092258</v>
      </c>
      <c r="K498" t="s">
        <v>348</v>
      </c>
      <c r="L498" t="s">
        <v>111</v>
      </c>
      <c r="M498" t="s">
        <v>12</v>
      </c>
      <c r="N498">
        <v>3</v>
      </c>
      <c r="O498" t="s">
        <v>485</v>
      </c>
      <c r="P498" t="s">
        <v>484</v>
      </c>
      <c r="Q498" t="s">
        <v>392</v>
      </c>
      <c r="R498" s="7">
        <v>36130</v>
      </c>
      <c r="S498" s="8">
        <f t="shared" si="56"/>
        <v>1998</v>
      </c>
      <c r="T498" s="8">
        <v>1998</v>
      </c>
      <c r="U498" s="8">
        <f t="shared" si="57"/>
        <v>24</v>
      </c>
      <c r="V498" s="7">
        <v>1998</v>
      </c>
      <c r="W498" t="s">
        <v>4133</v>
      </c>
      <c r="X498" s="2">
        <v>1.1819999999999999</v>
      </c>
      <c r="Y498" s="6">
        <f t="shared" si="58"/>
        <v>3.1552814927524625E-2</v>
      </c>
      <c r="AA498">
        <v>36951</v>
      </c>
      <c r="AB498">
        <v>27030</v>
      </c>
      <c r="AD498" t="s">
        <v>2</v>
      </c>
      <c r="AE498">
        <v>73</v>
      </c>
      <c r="AF498">
        <v>5</v>
      </c>
      <c r="AH498" t="s">
        <v>4268</v>
      </c>
      <c r="AI498" t="s">
        <v>4267</v>
      </c>
      <c r="AK498" t="s">
        <v>4266</v>
      </c>
      <c r="AL498">
        <v>38</v>
      </c>
      <c r="AM498" s="5">
        <f t="shared" si="59"/>
        <v>1.5833333333333333</v>
      </c>
      <c r="AN498" s="4">
        <f t="shared" si="60"/>
        <v>2.3980815347721821E-3</v>
      </c>
      <c r="AO498" s="3"/>
      <c r="AP498">
        <v>0</v>
      </c>
      <c r="AR498" t="s">
        <v>1</v>
      </c>
      <c r="AT498" s="2">
        <v>3.7909999999999999</v>
      </c>
      <c r="AU498" s="1">
        <f t="shared" si="61"/>
        <v>2.280639490969889</v>
      </c>
      <c r="AV498" s="1">
        <f t="shared" si="62"/>
        <v>1.6975448231148402</v>
      </c>
      <c r="AW498" s="1">
        <f t="shared" si="63"/>
        <v>1.1144501552597914</v>
      </c>
    </row>
    <row r="499" spans="1:49" x14ac:dyDescent="0.2">
      <c r="A499">
        <v>497</v>
      </c>
      <c r="B499" t="s">
        <v>4265</v>
      </c>
      <c r="C499" t="s">
        <v>4264</v>
      </c>
      <c r="D499" t="s">
        <v>4263</v>
      </c>
      <c r="F499" t="s">
        <v>4262</v>
      </c>
      <c r="G499" t="s">
        <v>5</v>
      </c>
      <c r="H499" t="s">
        <v>4</v>
      </c>
      <c r="I499" t="s">
        <v>4261</v>
      </c>
      <c r="J499">
        <v>60011533</v>
      </c>
      <c r="K499" t="s">
        <v>4260</v>
      </c>
      <c r="L499" t="s">
        <v>4148</v>
      </c>
      <c r="M499" t="s">
        <v>9</v>
      </c>
      <c r="N499">
        <v>2</v>
      </c>
      <c r="O499" t="s">
        <v>4259</v>
      </c>
      <c r="P499" t="s">
        <v>4258</v>
      </c>
      <c r="Q499" t="s">
        <v>4257</v>
      </c>
      <c r="R499" s="7">
        <v>36130</v>
      </c>
      <c r="S499" s="8">
        <f t="shared" si="56"/>
        <v>1998</v>
      </c>
      <c r="T499" s="8">
        <v>1998</v>
      </c>
      <c r="U499" s="8">
        <f t="shared" si="57"/>
        <v>24</v>
      </c>
      <c r="V499" s="7">
        <v>1998</v>
      </c>
      <c r="W499" t="s">
        <v>649</v>
      </c>
      <c r="X499" s="2">
        <v>1.6519999999999999</v>
      </c>
      <c r="Y499" s="6">
        <f t="shared" si="58"/>
        <v>4.409919649769093E-2</v>
      </c>
      <c r="AA499" t="s">
        <v>648</v>
      </c>
      <c r="AB499">
        <v>17337</v>
      </c>
      <c r="AD499" t="s">
        <v>2</v>
      </c>
      <c r="AE499">
        <v>46</v>
      </c>
      <c r="AF499">
        <v>12</v>
      </c>
      <c r="AH499" t="s">
        <v>4256</v>
      </c>
      <c r="AI499" t="s">
        <v>4255</v>
      </c>
      <c r="AJ499" t="s">
        <v>4254</v>
      </c>
      <c r="AK499" t="s">
        <v>4253</v>
      </c>
      <c r="AL499">
        <v>78</v>
      </c>
      <c r="AM499" s="5">
        <f t="shared" si="59"/>
        <v>3.25</v>
      </c>
      <c r="AN499" s="4">
        <f t="shared" si="60"/>
        <v>4.9223778871639529E-3</v>
      </c>
      <c r="AO499" s="3"/>
      <c r="AP499">
        <v>0</v>
      </c>
      <c r="AQ499" t="s">
        <v>4252</v>
      </c>
      <c r="AR499" t="s">
        <v>1</v>
      </c>
      <c r="AS499" t="s">
        <v>4251</v>
      </c>
      <c r="AT499" s="2" t="s">
        <v>0</v>
      </c>
      <c r="AU499" s="1">
        <f t="shared" si="61"/>
        <v>3.2346150914532834</v>
      </c>
      <c r="AV499" s="1">
        <f t="shared" si="62"/>
        <v>2.4510787192427443</v>
      </c>
      <c r="AW499" s="1">
        <f t="shared" si="63"/>
        <v>1.6675423470322044</v>
      </c>
    </row>
    <row r="500" spans="1:49" x14ac:dyDescent="0.2">
      <c r="A500">
        <v>498</v>
      </c>
      <c r="B500" t="s">
        <v>4250</v>
      </c>
      <c r="F500" t="s">
        <v>4249</v>
      </c>
      <c r="G500" t="s">
        <v>5</v>
      </c>
      <c r="H500" t="s">
        <v>4</v>
      </c>
      <c r="I500" t="s">
        <v>4248</v>
      </c>
      <c r="J500" t="s">
        <v>4247</v>
      </c>
      <c r="K500" t="s">
        <v>4246</v>
      </c>
      <c r="L500" t="s">
        <v>4245</v>
      </c>
      <c r="M500" t="s">
        <v>216</v>
      </c>
      <c r="N500">
        <v>4</v>
      </c>
      <c r="O500" t="s">
        <v>4244</v>
      </c>
      <c r="P500" t="s">
        <v>4243</v>
      </c>
      <c r="Q500" t="s">
        <v>4242</v>
      </c>
      <c r="R500" s="7">
        <v>36130</v>
      </c>
      <c r="S500" s="8">
        <f t="shared" si="56"/>
        <v>1998</v>
      </c>
      <c r="T500" s="8">
        <v>1998</v>
      </c>
      <c r="U500" s="8">
        <f t="shared" si="57"/>
        <v>24</v>
      </c>
      <c r="V500" s="7">
        <v>1998</v>
      </c>
      <c r="W500" t="s">
        <v>38</v>
      </c>
      <c r="X500" s="2">
        <v>0.86399999999999999</v>
      </c>
      <c r="Y500" s="6">
        <f t="shared" si="58"/>
        <v>2.3063986546007848E-2</v>
      </c>
      <c r="AA500">
        <v>10895647</v>
      </c>
      <c r="AB500">
        <v>26970</v>
      </c>
      <c r="AD500" t="s">
        <v>2</v>
      </c>
      <c r="AE500">
        <v>102</v>
      </c>
      <c r="AF500">
        <v>52</v>
      </c>
      <c r="AH500" t="s">
        <v>4241</v>
      </c>
      <c r="AI500" t="s">
        <v>4240</v>
      </c>
      <c r="AK500" t="s">
        <v>4239</v>
      </c>
      <c r="AL500">
        <v>50</v>
      </c>
      <c r="AM500" s="5">
        <f t="shared" si="59"/>
        <v>2.0833333333333335</v>
      </c>
      <c r="AN500" s="4">
        <f t="shared" si="60"/>
        <v>3.1553704404897135E-3</v>
      </c>
      <c r="AO500" s="3"/>
      <c r="AP500">
        <v>0</v>
      </c>
      <c r="AR500" t="s">
        <v>1</v>
      </c>
      <c r="AT500" s="2">
        <v>2.9910000000000001</v>
      </c>
      <c r="AU500" s="1">
        <f t="shared" si="61"/>
        <v>1.7091401714352406</v>
      </c>
      <c r="AV500" s="1">
        <f t="shared" si="62"/>
        <v>1.3109678493248782</v>
      </c>
      <c r="AW500" s="1">
        <f t="shared" si="63"/>
        <v>0.9127955272145154</v>
      </c>
    </row>
    <row r="501" spans="1:49" x14ac:dyDescent="0.2">
      <c r="A501">
        <v>499</v>
      </c>
      <c r="B501" t="s">
        <v>4238</v>
      </c>
      <c r="F501" t="s">
        <v>4237</v>
      </c>
      <c r="G501" t="s">
        <v>5</v>
      </c>
      <c r="H501" t="s">
        <v>4</v>
      </c>
      <c r="I501" t="s">
        <v>4236</v>
      </c>
      <c r="J501">
        <v>60024631</v>
      </c>
      <c r="K501" t="s">
        <v>4235</v>
      </c>
      <c r="L501" t="s">
        <v>4234</v>
      </c>
      <c r="M501" t="s">
        <v>263</v>
      </c>
      <c r="N501">
        <v>2</v>
      </c>
      <c r="O501" t="s">
        <v>4233</v>
      </c>
      <c r="P501" t="s">
        <v>4232</v>
      </c>
      <c r="Q501" t="s">
        <v>4231</v>
      </c>
      <c r="R501" s="7">
        <v>36130</v>
      </c>
      <c r="S501" s="8">
        <f t="shared" si="56"/>
        <v>1998</v>
      </c>
      <c r="T501" s="8">
        <v>1998</v>
      </c>
      <c r="U501" s="8">
        <f t="shared" si="57"/>
        <v>24</v>
      </c>
      <c r="V501" s="7">
        <v>1998</v>
      </c>
      <c r="W501" t="s">
        <v>4087</v>
      </c>
      <c r="X501" s="2">
        <v>0.38700000000000001</v>
      </c>
      <c r="Y501" s="6">
        <f t="shared" si="58"/>
        <v>1.0330743973732683E-2</v>
      </c>
      <c r="AA501">
        <v>94293</v>
      </c>
      <c r="AB501">
        <v>23433</v>
      </c>
      <c r="AD501" t="s">
        <v>2</v>
      </c>
      <c r="AE501">
        <v>52</v>
      </c>
      <c r="AF501">
        <v>10</v>
      </c>
      <c r="AH501" t="s">
        <v>4230</v>
      </c>
      <c r="AI501" t="s">
        <v>4229</v>
      </c>
      <c r="AK501" t="s">
        <v>4228</v>
      </c>
      <c r="AL501">
        <v>14</v>
      </c>
      <c r="AM501" s="5">
        <f t="shared" si="59"/>
        <v>0.58333333333333337</v>
      </c>
      <c r="AN501" s="4">
        <f t="shared" si="60"/>
        <v>8.835037233371198E-4</v>
      </c>
      <c r="AO501" s="3"/>
      <c r="AP501">
        <v>0</v>
      </c>
      <c r="AR501" t="s">
        <v>1</v>
      </c>
      <c r="AT501" s="2">
        <v>1.5089999999999999</v>
      </c>
      <c r="AU501" s="1">
        <f t="shared" si="61"/>
        <v>0.7496571898614014</v>
      </c>
      <c r="AV501" s="1">
        <f t="shared" si="62"/>
        <v>0.56071238485349018</v>
      </c>
      <c r="AW501" s="1">
        <f t="shared" si="63"/>
        <v>0.37176757984557884</v>
      </c>
    </row>
    <row r="502" spans="1:49" x14ac:dyDescent="0.2">
      <c r="A502">
        <v>500</v>
      </c>
      <c r="B502" t="s">
        <v>4227</v>
      </c>
      <c r="C502" t="s">
        <v>4226</v>
      </c>
      <c r="D502" t="s">
        <v>4225</v>
      </c>
      <c r="F502" t="s">
        <v>4224</v>
      </c>
      <c r="G502" t="s">
        <v>5</v>
      </c>
      <c r="H502" t="s">
        <v>4</v>
      </c>
      <c r="I502" t="s">
        <v>4223</v>
      </c>
      <c r="J502" t="s">
        <v>4222</v>
      </c>
      <c r="K502" t="s">
        <v>4221</v>
      </c>
      <c r="L502" t="s">
        <v>4220</v>
      </c>
      <c r="M502" t="s">
        <v>337</v>
      </c>
      <c r="N502">
        <v>2</v>
      </c>
      <c r="O502" t="s">
        <v>4219</v>
      </c>
      <c r="P502" t="s">
        <v>4218</v>
      </c>
      <c r="Q502" t="s">
        <v>4217</v>
      </c>
      <c r="R502" s="7">
        <v>36130</v>
      </c>
      <c r="S502" s="8">
        <f t="shared" si="56"/>
        <v>1998</v>
      </c>
      <c r="T502" s="8">
        <v>1998</v>
      </c>
      <c r="U502" s="8">
        <f t="shared" si="57"/>
        <v>24</v>
      </c>
      <c r="V502" s="7">
        <v>1998</v>
      </c>
      <c r="W502" t="s">
        <v>649</v>
      </c>
      <c r="X502" s="2">
        <v>1.6519999999999999</v>
      </c>
      <c r="Y502" s="6">
        <f t="shared" si="58"/>
        <v>4.409919649769093E-2</v>
      </c>
      <c r="AA502" t="s">
        <v>648</v>
      </c>
      <c r="AB502">
        <v>17337</v>
      </c>
      <c r="AD502" t="s">
        <v>2</v>
      </c>
      <c r="AE502">
        <v>46</v>
      </c>
      <c r="AF502">
        <v>10</v>
      </c>
      <c r="AH502" t="s">
        <v>4216</v>
      </c>
      <c r="AI502" t="s">
        <v>4215</v>
      </c>
      <c r="AJ502" t="s">
        <v>4214</v>
      </c>
      <c r="AK502" t="s">
        <v>4213</v>
      </c>
      <c r="AL502">
        <v>3</v>
      </c>
      <c r="AM502" s="5">
        <f t="shared" si="59"/>
        <v>0.125</v>
      </c>
      <c r="AN502" s="4">
        <f t="shared" si="60"/>
        <v>1.893222264293828E-4</v>
      </c>
      <c r="AO502" s="3"/>
      <c r="AP502">
        <v>0</v>
      </c>
      <c r="AR502" t="s">
        <v>1</v>
      </c>
      <c r="AT502" s="2" t="s">
        <v>0</v>
      </c>
      <c r="AU502" s="1">
        <f t="shared" si="61"/>
        <v>3.0926234216312465</v>
      </c>
      <c r="AV502" s="1">
        <f t="shared" si="62"/>
        <v>2.2144259362060157</v>
      </c>
      <c r="AW502" s="1">
        <f t="shared" si="63"/>
        <v>1.3362284507807847</v>
      </c>
    </row>
    <row r="503" spans="1:49" x14ac:dyDescent="0.2">
      <c r="A503">
        <v>501</v>
      </c>
      <c r="B503" t="s">
        <v>4212</v>
      </c>
      <c r="C503" t="s">
        <v>4211</v>
      </c>
      <c r="D503" t="s">
        <v>4210</v>
      </c>
      <c r="F503" t="s">
        <v>4209</v>
      </c>
      <c r="G503" t="s">
        <v>5</v>
      </c>
      <c r="H503" t="s">
        <v>4</v>
      </c>
      <c r="I503" t="s">
        <v>4208</v>
      </c>
      <c r="J503" t="s">
        <v>4207</v>
      </c>
      <c r="K503" t="s">
        <v>4206</v>
      </c>
      <c r="L503" t="s">
        <v>4205</v>
      </c>
      <c r="M503" t="s">
        <v>4204</v>
      </c>
      <c r="N503">
        <v>5</v>
      </c>
      <c r="O503" t="s">
        <v>4203</v>
      </c>
      <c r="P503" t="s">
        <v>4202</v>
      </c>
      <c r="Q503" t="s">
        <v>4201</v>
      </c>
      <c r="R503" s="7">
        <v>36130</v>
      </c>
      <c r="S503" s="8">
        <f t="shared" si="56"/>
        <v>1998</v>
      </c>
      <c r="T503" s="8">
        <v>1998</v>
      </c>
      <c r="U503" s="8">
        <f t="shared" si="57"/>
        <v>24</v>
      </c>
      <c r="V503" s="7">
        <v>1998</v>
      </c>
      <c r="W503" t="s">
        <v>303</v>
      </c>
      <c r="X503" s="2">
        <v>1.3720000000000001</v>
      </c>
      <c r="Y503" s="6">
        <f t="shared" si="58"/>
        <v>3.662475641333654E-2</v>
      </c>
      <c r="AA503">
        <v>189480</v>
      </c>
      <c r="AB503">
        <v>17366</v>
      </c>
      <c r="AD503" t="s">
        <v>2</v>
      </c>
      <c r="AE503">
        <v>46</v>
      </c>
      <c r="AF503" t="s">
        <v>4170</v>
      </c>
      <c r="AH503" t="s">
        <v>4200</v>
      </c>
      <c r="AI503" t="s">
        <v>4199</v>
      </c>
      <c r="AJ503" t="s">
        <v>4198</v>
      </c>
      <c r="AK503" t="s">
        <v>4197</v>
      </c>
      <c r="AL503">
        <v>23</v>
      </c>
      <c r="AM503" s="5">
        <f t="shared" si="59"/>
        <v>0.95833333333333337</v>
      </c>
      <c r="AN503" s="4">
        <f t="shared" si="60"/>
        <v>1.4514704026252683E-3</v>
      </c>
      <c r="AO503" s="3"/>
      <c r="AP503">
        <v>0</v>
      </c>
      <c r="AR503" t="s">
        <v>1</v>
      </c>
      <c r="AT503" s="2" t="s">
        <v>0</v>
      </c>
      <c r="AU503" s="1">
        <f t="shared" si="61"/>
        <v>2.6072770610123155</v>
      </c>
      <c r="AV503" s="1">
        <f t="shared" si="62"/>
        <v>1.9038113407980906</v>
      </c>
      <c r="AW503" s="1">
        <f t="shared" si="63"/>
        <v>1.2003456205838652</v>
      </c>
    </row>
    <row r="504" spans="1:49" x14ac:dyDescent="0.2">
      <c r="A504">
        <v>502</v>
      </c>
      <c r="B504" t="s">
        <v>4196</v>
      </c>
      <c r="C504" t="s">
        <v>4195</v>
      </c>
      <c r="D504" t="s">
        <v>4194</v>
      </c>
      <c r="F504" t="s">
        <v>4193</v>
      </c>
      <c r="G504" t="s">
        <v>5</v>
      </c>
      <c r="H504" t="s">
        <v>4</v>
      </c>
      <c r="I504" t="s">
        <v>4192</v>
      </c>
      <c r="J504" t="s">
        <v>4191</v>
      </c>
      <c r="K504" t="s">
        <v>4190</v>
      </c>
      <c r="L504" t="s">
        <v>4189</v>
      </c>
      <c r="M504" t="s">
        <v>359</v>
      </c>
      <c r="N504">
        <v>2</v>
      </c>
      <c r="O504" t="s">
        <v>4188</v>
      </c>
      <c r="P504" t="s">
        <v>4187</v>
      </c>
      <c r="Q504" t="s">
        <v>4186</v>
      </c>
      <c r="R504" s="7">
        <v>36130</v>
      </c>
      <c r="S504" s="8">
        <f t="shared" si="56"/>
        <v>1998</v>
      </c>
      <c r="T504" s="8">
        <v>1998</v>
      </c>
      <c r="U504" s="8">
        <f t="shared" si="57"/>
        <v>24</v>
      </c>
      <c r="V504" s="7">
        <v>1998</v>
      </c>
      <c r="W504" t="s">
        <v>4001</v>
      </c>
      <c r="X504" s="2">
        <v>1.365</v>
      </c>
      <c r="Y504" s="6">
        <f t="shared" si="58"/>
        <v>3.6437895411227675E-2</v>
      </c>
      <c r="AA504">
        <v>189545</v>
      </c>
      <c r="AB504">
        <v>17393</v>
      </c>
      <c r="AD504" t="s">
        <v>2</v>
      </c>
      <c r="AE504">
        <v>47</v>
      </c>
      <c r="AF504">
        <v>2</v>
      </c>
      <c r="AH504" t="s">
        <v>4185</v>
      </c>
      <c r="AI504" t="s">
        <v>4184</v>
      </c>
      <c r="AJ504" t="s">
        <v>4183</v>
      </c>
      <c r="AK504" t="s">
        <v>4182</v>
      </c>
      <c r="AL504">
        <v>40</v>
      </c>
      <c r="AM504" s="5">
        <f t="shared" si="59"/>
        <v>1.6666666666666667</v>
      </c>
      <c r="AN504" s="4">
        <f t="shared" si="60"/>
        <v>2.5242963523917708E-3</v>
      </c>
      <c r="AO504" s="3"/>
      <c r="AP504">
        <v>0</v>
      </c>
      <c r="AR504" t="s">
        <v>1</v>
      </c>
      <c r="AT504" s="2" t="s">
        <v>0</v>
      </c>
      <c r="AU504" s="1">
        <f t="shared" si="61"/>
        <v>2.6263815693576902</v>
      </c>
      <c r="AV504" s="1">
        <f t="shared" si="62"/>
        <v>1.9481095881809722</v>
      </c>
      <c r="AW504" s="1">
        <f t="shared" si="63"/>
        <v>1.2698376070042543</v>
      </c>
    </row>
    <row r="505" spans="1:49" x14ac:dyDescent="0.2">
      <c r="A505">
        <v>503</v>
      </c>
      <c r="B505" t="s">
        <v>4181</v>
      </c>
      <c r="C505" t="s">
        <v>4180</v>
      </c>
      <c r="D505" t="s">
        <v>4179</v>
      </c>
      <c r="F505" t="s">
        <v>4178</v>
      </c>
      <c r="G505" t="s">
        <v>5</v>
      </c>
      <c r="H505" t="s">
        <v>4</v>
      </c>
      <c r="I505" t="s">
        <v>4177</v>
      </c>
      <c r="J505" t="s">
        <v>4176</v>
      </c>
      <c r="K505" t="s">
        <v>4175</v>
      </c>
      <c r="L505" t="s">
        <v>4174</v>
      </c>
      <c r="M505" t="s">
        <v>35</v>
      </c>
      <c r="N505">
        <v>5</v>
      </c>
      <c r="O505" t="s">
        <v>4173</v>
      </c>
      <c r="P505" t="s">
        <v>4172</v>
      </c>
      <c r="Q505" t="s">
        <v>4171</v>
      </c>
      <c r="R505" s="7">
        <v>36130</v>
      </c>
      <c r="S505" s="8">
        <f t="shared" si="56"/>
        <v>1998</v>
      </c>
      <c r="T505" s="8">
        <v>1998</v>
      </c>
      <c r="U505" s="8">
        <f t="shared" si="57"/>
        <v>24</v>
      </c>
      <c r="V505" s="7">
        <v>1998</v>
      </c>
      <c r="W505" t="s">
        <v>303</v>
      </c>
      <c r="X505" s="2">
        <v>1.3720000000000001</v>
      </c>
      <c r="Y505" s="6">
        <f t="shared" si="58"/>
        <v>3.662475641333654E-2</v>
      </c>
      <c r="AA505">
        <v>189480</v>
      </c>
      <c r="AB505">
        <v>17366</v>
      </c>
      <c r="AD505" t="s">
        <v>2</v>
      </c>
      <c r="AE505">
        <v>46</v>
      </c>
      <c r="AF505" t="s">
        <v>4170</v>
      </c>
      <c r="AH505" t="s">
        <v>4169</v>
      </c>
      <c r="AI505" t="s">
        <v>4168</v>
      </c>
      <c r="AJ505" t="s">
        <v>4167</v>
      </c>
      <c r="AK505" t="s">
        <v>4166</v>
      </c>
      <c r="AL505">
        <v>114</v>
      </c>
      <c r="AM505" s="5">
        <f t="shared" si="59"/>
        <v>4.75</v>
      </c>
      <c r="AN505" s="4">
        <f t="shared" si="60"/>
        <v>7.1942446043165471E-3</v>
      </c>
      <c r="AO505" s="3"/>
      <c r="AP505">
        <v>0</v>
      </c>
      <c r="AQ505" t="s">
        <v>17</v>
      </c>
      <c r="AR505" t="s">
        <v>1</v>
      </c>
      <c r="AS505" t="s">
        <v>16</v>
      </c>
      <c r="AT505" s="2" t="s">
        <v>0</v>
      </c>
      <c r="AU505" s="1">
        <f t="shared" si="61"/>
        <v>2.7795602870630538</v>
      </c>
      <c r="AV505" s="1">
        <f t="shared" si="62"/>
        <v>2.190950050882654</v>
      </c>
      <c r="AW505" s="1">
        <f t="shared" si="63"/>
        <v>1.6023398147022545</v>
      </c>
    </row>
    <row r="506" spans="1:49" x14ac:dyDescent="0.2">
      <c r="A506">
        <v>504</v>
      </c>
      <c r="B506" t="s">
        <v>4165</v>
      </c>
      <c r="C506" t="s">
        <v>4164</v>
      </c>
      <c r="D506" t="s">
        <v>4163</v>
      </c>
      <c r="F506" t="s">
        <v>4162</v>
      </c>
      <c r="G506" t="s">
        <v>5</v>
      </c>
      <c r="H506" t="s">
        <v>4</v>
      </c>
      <c r="I506" t="s">
        <v>138</v>
      </c>
      <c r="J506">
        <v>60020547</v>
      </c>
      <c r="K506" t="s">
        <v>137</v>
      </c>
      <c r="L506" t="s">
        <v>136</v>
      </c>
      <c r="M506" t="s">
        <v>9</v>
      </c>
      <c r="N506">
        <v>1</v>
      </c>
      <c r="O506" t="s">
        <v>4161</v>
      </c>
      <c r="P506">
        <v>57197881843</v>
      </c>
      <c r="Q506">
        <v>60020547</v>
      </c>
      <c r="R506" s="7">
        <v>36130</v>
      </c>
      <c r="S506" s="8">
        <f t="shared" si="56"/>
        <v>1998</v>
      </c>
      <c r="T506" s="8">
        <v>1998</v>
      </c>
      <c r="U506" s="8">
        <f t="shared" si="57"/>
        <v>24</v>
      </c>
      <c r="V506" s="7">
        <v>1998</v>
      </c>
      <c r="W506" t="s">
        <v>303</v>
      </c>
      <c r="X506" s="2">
        <v>1.3720000000000001</v>
      </c>
      <c r="Y506" s="6">
        <f t="shared" si="58"/>
        <v>3.662475641333654E-2</v>
      </c>
      <c r="AA506">
        <v>189480</v>
      </c>
      <c r="AB506">
        <v>17366</v>
      </c>
      <c r="AD506" t="s">
        <v>2</v>
      </c>
      <c r="AE506">
        <v>46</v>
      </c>
      <c r="AF506" t="s">
        <v>4160</v>
      </c>
      <c r="AH506" t="s">
        <v>4159</v>
      </c>
      <c r="AI506" t="s">
        <v>4158</v>
      </c>
      <c r="AJ506" t="s">
        <v>4157</v>
      </c>
      <c r="AK506" t="s">
        <v>4156</v>
      </c>
      <c r="AL506">
        <v>11</v>
      </c>
      <c r="AM506" s="5">
        <f t="shared" si="59"/>
        <v>0.45833333333333331</v>
      </c>
      <c r="AN506" s="4">
        <f t="shared" si="60"/>
        <v>6.9418149690773695E-4</v>
      </c>
      <c r="AO506" s="3"/>
      <c r="AP506">
        <v>0</v>
      </c>
      <c r="AQ506" t="s">
        <v>4155</v>
      </c>
      <c r="AR506" t="s">
        <v>1</v>
      </c>
      <c r="AS506" t="s">
        <v>4154</v>
      </c>
      <c r="AT506" s="2" t="s">
        <v>0</v>
      </c>
      <c r="AU506" s="1">
        <f t="shared" si="61"/>
        <v>2.5845583938407897</v>
      </c>
      <c r="AV506" s="1">
        <f t="shared" si="62"/>
        <v>1.865946895512214</v>
      </c>
      <c r="AW506" s="1">
        <f t="shared" si="63"/>
        <v>1.1473353971836378</v>
      </c>
    </row>
    <row r="507" spans="1:49" x14ac:dyDescent="0.2">
      <c r="A507">
        <v>505</v>
      </c>
      <c r="B507" t="s">
        <v>4153</v>
      </c>
      <c r="C507" t="s">
        <v>4152</v>
      </c>
      <c r="D507" t="s">
        <v>4151</v>
      </c>
      <c r="F507" t="s">
        <v>4150</v>
      </c>
      <c r="G507" t="s">
        <v>5</v>
      </c>
      <c r="H507" t="s">
        <v>4</v>
      </c>
      <c r="I507" t="s">
        <v>645</v>
      </c>
      <c r="J507">
        <v>60014300</v>
      </c>
      <c r="K507" t="s">
        <v>4149</v>
      </c>
      <c r="L507" t="s">
        <v>4148</v>
      </c>
      <c r="M507" t="s">
        <v>9</v>
      </c>
      <c r="N507">
        <v>1</v>
      </c>
      <c r="O507" t="s">
        <v>644</v>
      </c>
      <c r="P507">
        <v>7102662778</v>
      </c>
      <c r="Q507">
        <v>60014300</v>
      </c>
      <c r="R507" s="7">
        <v>36130</v>
      </c>
      <c r="S507" s="8">
        <f t="shared" si="56"/>
        <v>1998</v>
      </c>
      <c r="T507" s="8">
        <v>1998</v>
      </c>
      <c r="U507" s="8">
        <f t="shared" si="57"/>
        <v>24</v>
      </c>
      <c r="V507" s="7">
        <v>1998</v>
      </c>
      <c r="W507" t="s">
        <v>4001</v>
      </c>
      <c r="X507" s="2">
        <v>1.365</v>
      </c>
      <c r="Y507" s="6">
        <f t="shared" si="58"/>
        <v>3.6437895411227675E-2</v>
      </c>
      <c r="AA507">
        <v>189545</v>
      </c>
      <c r="AB507">
        <v>17393</v>
      </c>
      <c r="AD507" t="s">
        <v>2</v>
      </c>
      <c r="AE507">
        <v>47</v>
      </c>
      <c r="AF507">
        <v>1</v>
      </c>
      <c r="AH507" t="s">
        <v>4147</v>
      </c>
      <c r="AI507" t="s">
        <v>4146</v>
      </c>
      <c r="AJ507" t="s">
        <v>4145</v>
      </c>
      <c r="AK507" t="s">
        <v>4144</v>
      </c>
      <c r="AL507">
        <v>182</v>
      </c>
      <c r="AM507" s="5">
        <f t="shared" si="59"/>
        <v>7.583333333333333</v>
      </c>
      <c r="AN507" s="4">
        <f t="shared" si="60"/>
        <v>1.1485548403382556E-2</v>
      </c>
      <c r="AO507" s="3"/>
      <c r="AP507">
        <v>0</v>
      </c>
      <c r="AR507" t="s">
        <v>1</v>
      </c>
      <c r="AT507" s="2" t="s">
        <v>0</v>
      </c>
      <c r="AU507" s="1">
        <f t="shared" si="61"/>
        <v>2.8952191308874138</v>
      </c>
      <c r="AV507" s="1">
        <f t="shared" si="62"/>
        <v>2.3961721907305114</v>
      </c>
      <c r="AW507" s="1">
        <f t="shared" si="63"/>
        <v>1.8971252505736094</v>
      </c>
    </row>
    <row r="508" spans="1:49" x14ac:dyDescent="0.2">
      <c r="A508">
        <v>506</v>
      </c>
      <c r="B508" t="s">
        <v>4143</v>
      </c>
      <c r="C508" t="s">
        <v>4142</v>
      </c>
      <c r="D508" t="s">
        <v>4141</v>
      </c>
      <c r="F508" t="s">
        <v>4140</v>
      </c>
      <c r="G508" t="s">
        <v>5</v>
      </c>
      <c r="H508" t="s">
        <v>4</v>
      </c>
      <c r="I508" t="s">
        <v>4139</v>
      </c>
      <c r="J508">
        <v>60030586</v>
      </c>
      <c r="K508" t="s">
        <v>4138</v>
      </c>
      <c r="L508" t="s">
        <v>4137</v>
      </c>
      <c r="M508" t="s">
        <v>37</v>
      </c>
      <c r="N508">
        <v>3</v>
      </c>
      <c r="O508" t="s">
        <v>4136</v>
      </c>
      <c r="P508" t="s">
        <v>4135</v>
      </c>
      <c r="Q508" t="s">
        <v>4134</v>
      </c>
      <c r="R508" s="7">
        <v>36130</v>
      </c>
      <c r="S508" s="8">
        <f t="shared" si="56"/>
        <v>1998</v>
      </c>
      <c r="T508" s="8">
        <v>1998</v>
      </c>
      <c r="U508" s="8">
        <f t="shared" si="57"/>
        <v>24</v>
      </c>
      <c r="V508" s="7">
        <v>1998</v>
      </c>
      <c r="W508" t="s">
        <v>4133</v>
      </c>
      <c r="X508" s="2">
        <v>1.1819999999999999</v>
      </c>
      <c r="Y508" s="6">
        <f t="shared" si="58"/>
        <v>3.1552814927524625E-2</v>
      </c>
      <c r="AA508">
        <v>36951</v>
      </c>
      <c r="AB508">
        <v>27030</v>
      </c>
      <c r="AD508" t="s">
        <v>2</v>
      </c>
      <c r="AE508">
        <v>72</v>
      </c>
      <c r="AF508">
        <v>10</v>
      </c>
      <c r="AH508" t="s">
        <v>4132</v>
      </c>
      <c r="AI508" t="s">
        <v>4131</v>
      </c>
      <c r="AK508" t="s">
        <v>4130</v>
      </c>
      <c r="AL508">
        <v>173</v>
      </c>
      <c r="AM508" s="5">
        <f t="shared" si="59"/>
        <v>7.208333333333333</v>
      </c>
      <c r="AN508" s="4">
        <f t="shared" si="60"/>
        <v>1.0917581724094409E-2</v>
      </c>
      <c r="AO508" s="3"/>
      <c r="AP508">
        <v>0</v>
      </c>
      <c r="AR508" t="s">
        <v>1</v>
      </c>
      <c r="AT508" s="2">
        <v>3.7909999999999999</v>
      </c>
      <c r="AU508" s="1">
        <f t="shared" si="61"/>
        <v>2.5362244966495555</v>
      </c>
      <c r="AV508" s="1">
        <f t="shared" si="62"/>
        <v>2.1235198325809517</v>
      </c>
      <c r="AW508" s="1">
        <f t="shared" si="63"/>
        <v>1.7108151685123474</v>
      </c>
    </row>
    <row r="509" spans="1:49" x14ac:dyDescent="0.2">
      <c r="A509">
        <v>507</v>
      </c>
      <c r="B509" t="s">
        <v>4129</v>
      </c>
      <c r="C509" t="s">
        <v>4128</v>
      </c>
      <c r="D509" t="s">
        <v>4127</v>
      </c>
      <c r="F509" t="s">
        <v>4126</v>
      </c>
      <c r="G509" t="s">
        <v>5</v>
      </c>
      <c r="H509" t="s">
        <v>4</v>
      </c>
      <c r="I509" t="s">
        <v>4125</v>
      </c>
      <c r="J509">
        <v>60009941</v>
      </c>
      <c r="K509" t="s">
        <v>343</v>
      </c>
      <c r="L509" t="s">
        <v>342</v>
      </c>
      <c r="M509" t="s">
        <v>37</v>
      </c>
      <c r="N509">
        <v>2</v>
      </c>
      <c r="O509" t="s">
        <v>4124</v>
      </c>
      <c r="P509" t="s">
        <v>4123</v>
      </c>
      <c r="Q509" t="s">
        <v>4122</v>
      </c>
      <c r="R509" s="7">
        <v>36130</v>
      </c>
      <c r="S509" s="8">
        <f t="shared" si="56"/>
        <v>1998</v>
      </c>
      <c r="T509" s="8">
        <v>1998</v>
      </c>
      <c r="U509" s="8">
        <f t="shared" si="57"/>
        <v>24</v>
      </c>
      <c r="V509" s="7">
        <v>1998</v>
      </c>
      <c r="W509" t="s">
        <v>256</v>
      </c>
      <c r="X509" s="2">
        <v>1.468</v>
      </c>
      <c r="Y509" s="6">
        <f t="shared" si="58"/>
        <v>3.9187421585115186E-2</v>
      </c>
      <c r="AA509">
        <v>906778</v>
      </c>
      <c r="AB509">
        <v>18931</v>
      </c>
      <c r="AD509" t="s">
        <v>2</v>
      </c>
      <c r="AE509">
        <v>46</v>
      </c>
      <c r="AF509">
        <v>3</v>
      </c>
      <c r="AH509" t="s">
        <v>4121</v>
      </c>
      <c r="AI509" t="s">
        <v>4120</v>
      </c>
      <c r="AK509" t="s">
        <v>4119</v>
      </c>
      <c r="AL509">
        <v>52</v>
      </c>
      <c r="AM509" s="5">
        <f t="shared" si="59"/>
        <v>2.1666666666666665</v>
      </c>
      <c r="AN509" s="4">
        <f t="shared" si="60"/>
        <v>3.2815852581093018E-3</v>
      </c>
      <c r="AO509" s="3"/>
      <c r="AP509">
        <v>0</v>
      </c>
      <c r="AQ509" t="s">
        <v>180</v>
      </c>
      <c r="AR509" t="s">
        <v>1</v>
      </c>
      <c r="AS509" t="s">
        <v>179</v>
      </c>
      <c r="AT509" s="2">
        <v>5.0830000000000002</v>
      </c>
      <c r="AU509" s="1">
        <f t="shared" si="61"/>
        <v>2.8415670687013419</v>
      </c>
      <c r="AV509" s="1">
        <f t="shared" si="62"/>
        <v>2.1234503421612243</v>
      </c>
      <c r="AW509" s="1">
        <f t="shared" si="63"/>
        <v>1.4053336156211067</v>
      </c>
    </row>
    <row r="510" spans="1:49" x14ac:dyDescent="0.2">
      <c r="A510">
        <v>508</v>
      </c>
      <c r="B510" t="s">
        <v>4118</v>
      </c>
      <c r="C510" t="s">
        <v>4117</v>
      </c>
      <c r="D510" t="s">
        <v>4116</v>
      </c>
      <c r="F510" t="s">
        <v>4115</v>
      </c>
      <c r="G510" t="s">
        <v>5</v>
      </c>
      <c r="H510" t="s">
        <v>4</v>
      </c>
      <c r="I510" t="s">
        <v>4114</v>
      </c>
      <c r="J510">
        <v>60025778</v>
      </c>
      <c r="K510" t="s">
        <v>409</v>
      </c>
      <c r="L510" t="s">
        <v>408</v>
      </c>
      <c r="M510" t="s">
        <v>9</v>
      </c>
      <c r="N510">
        <v>3</v>
      </c>
      <c r="O510" t="s">
        <v>4113</v>
      </c>
      <c r="P510" t="s">
        <v>4112</v>
      </c>
      <c r="Q510" t="s">
        <v>407</v>
      </c>
      <c r="R510" s="7">
        <v>36130</v>
      </c>
      <c r="S510" s="8">
        <f t="shared" si="56"/>
        <v>1998</v>
      </c>
      <c r="T510" s="8">
        <v>1998</v>
      </c>
      <c r="U510" s="8">
        <f t="shared" si="57"/>
        <v>24</v>
      </c>
      <c r="V510" s="7">
        <v>1998</v>
      </c>
      <c r="W510" t="s">
        <v>649</v>
      </c>
      <c r="X510" s="2">
        <v>1.6519999999999999</v>
      </c>
      <c r="Y510" s="6">
        <f t="shared" si="58"/>
        <v>4.409919649769093E-2</v>
      </c>
      <c r="AA510" t="s">
        <v>648</v>
      </c>
      <c r="AB510">
        <v>17337</v>
      </c>
      <c r="AD510" t="s">
        <v>2</v>
      </c>
      <c r="AE510">
        <v>46</v>
      </c>
      <c r="AF510">
        <v>12</v>
      </c>
      <c r="AH510" t="s">
        <v>4111</v>
      </c>
      <c r="AI510" t="s">
        <v>4110</v>
      </c>
      <c r="AJ510" t="s">
        <v>4109</v>
      </c>
      <c r="AK510" t="s">
        <v>4108</v>
      </c>
      <c r="AL510">
        <v>35</v>
      </c>
      <c r="AM510" s="5">
        <f t="shared" si="59"/>
        <v>1.4583333333333333</v>
      </c>
      <c r="AN510" s="4">
        <f t="shared" si="60"/>
        <v>2.2087593083427995E-3</v>
      </c>
      <c r="AO510" s="3"/>
      <c r="AP510">
        <v>0</v>
      </c>
      <c r="AR510" t="s">
        <v>1</v>
      </c>
      <c r="AT510" s="2" t="s">
        <v>0</v>
      </c>
      <c r="AU510" s="1">
        <f t="shared" si="61"/>
        <v>3.1532065340886493</v>
      </c>
      <c r="AV510" s="1">
        <f t="shared" si="62"/>
        <v>2.3153977903016867</v>
      </c>
      <c r="AW510" s="1">
        <f t="shared" si="63"/>
        <v>1.4775890465147239</v>
      </c>
    </row>
    <row r="511" spans="1:49" x14ac:dyDescent="0.2">
      <c r="A511">
        <v>509</v>
      </c>
      <c r="B511" t="s">
        <v>4107</v>
      </c>
      <c r="C511" t="s">
        <v>4106</v>
      </c>
      <c r="D511" t="s">
        <v>4105</v>
      </c>
      <c r="F511" t="s">
        <v>4104</v>
      </c>
      <c r="G511" t="s">
        <v>5</v>
      </c>
      <c r="H511" t="s">
        <v>4</v>
      </c>
      <c r="I511" t="s">
        <v>4103</v>
      </c>
      <c r="J511">
        <v>60023053</v>
      </c>
      <c r="K511" t="s">
        <v>4102</v>
      </c>
      <c r="L511" t="s">
        <v>4101</v>
      </c>
      <c r="M511" t="s">
        <v>9</v>
      </c>
      <c r="N511">
        <v>2</v>
      </c>
      <c r="O511" t="s">
        <v>4100</v>
      </c>
      <c r="P511" t="s">
        <v>4099</v>
      </c>
      <c r="Q511" t="s">
        <v>4098</v>
      </c>
      <c r="R511" s="7">
        <v>36130</v>
      </c>
      <c r="S511" s="8">
        <f t="shared" si="56"/>
        <v>1998</v>
      </c>
      <c r="T511" s="8">
        <v>1998</v>
      </c>
      <c r="U511" s="8">
        <f t="shared" si="57"/>
        <v>24</v>
      </c>
      <c r="V511" s="7">
        <v>1998</v>
      </c>
      <c r="W511" t="s">
        <v>282</v>
      </c>
      <c r="X511" s="2">
        <v>0.65500000000000003</v>
      </c>
      <c r="Y511" s="6">
        <f t="shared" si="58"/>
        <v>1.7484850911614749E-2</v>
      </c>
      <c r="AA511">
        <v>189375</v>
      </c>
      <c r="AB511">
        <v>26051</v>
      </c>
      <c r="AD511" t="s">
        <v>2</v>
      </c>
      <c r="AE511">
        <v>40</v>
      </c>
      <c r="AF511">
        <v>2</v>
      </c>
      <c r="AH511" t="s">
        <v>4097</v>
      </c>
      <c r="AI511" t="s">
        <v>4096</v>
      </c>
      <c r="AJ511" t="s">
        <v>4095</v>
      </c>
      <c r="AK511" t="s">
        <v>4094</v>
      </c>
      <c r="AL511">
        <v>5</v>
      </c>
      <c r="AM511" s="5">
        <f t="shared" si="59"/>
        <v>0.20833333333333334</v>
      </c>
      <c r="AN511" s="4">
        <f t="shared" si="60"/>
        <v>3.1553704404897135E-4</v>
      </c>
      <c r="AO511" s="3"/>
      <c r="AP511">
        <v>0</v>
      </c>
      <c r="AR511" t="s">
        <v>1</v>
      </c>
      <c r="AT511" s="2" t="s">
        <v>0</v>
      </c>
      <c r="AU511" s="1">
        <f t="shared" si="61"/>
        <v>1.2334056751345015</v>
      </c>
      <c r="AV511" s="1">
        <f t="shared" si="62"/>
        <v>0.89001939778318595</v>
      </c>
      <c r="AW511" s="1">
        <f t="shared" si="63"/>
        <v>0.54663312043187051</v>
      </c>
    </row>
    <row r="512" spans="1:49" x14ac:dyDescent="0.2">
      <c r="A512">
        <v>510</v>
      </c>
      <c r="B512" t="s">
        <v>4093</v>
      </c>
      <c r="F512" t="s">
        <v>4092</v>
      </c>
      <c r="G512" t="s">
        <v>5</v>
      </c>
      <c r="H512" t="s">
        <v>4</v>
      </c>
      <c r="I512" t="s">
        <v>4091</v>
      </c>
      <c r="J512">
        <v>60020486</v>
      </c>
      <c r="K512" t="s">
        <v>4090</v>
      </c>
      <c r="L512" t="s">
        <v>4089</v>
      </c>
      <c r="M512" t="s">
        <v>263</v>
      </c>
      <c r="N512">
        <v>1</v>
      </c>
      <c r="O512" t="s">
        <v>4088</v>
      </c>
      <c r="P512">
        <v>7006817889</v>
      </c>
      <c r="Q512">
        <v>60020486</v>
      </c>
      <c r="R512" s="7">
        <v>36130</v>
      </c>
      <c r="S512" s="8">
        <f t="shared" si="56"/>
        <v>1998</v>
      </c>
      <c r="T512" s="8">
        <v>1998</v>
      </c>
      <c r="U512" s="8">
        <f t="shared" si="57"/>
        <v>24</v>
      </c>
      <c r="V512" s="7">
        <v>1998</v>
      </c>
      <c r="W512" t="s">
        <v>4087</v>
      </c>
      <c r="X512" s="2">
        <v>0.38700000000000001</v>
      </c>
      <c r="Y512" s="6">
        <f t="shared" si="58"/>
        <v>1.0330743973732683E-2</v>
      </c>
      <c r="AA512">
        <v>94293</v>
      </c>
      <c r="AB512">
        <v>23433</v>
      </c>
      <c r="AD512" t="s">
        <v>2</v>
      </c>
      <c r="AE512">
        <v>52</v>
      </c>
      <c r="AF512">
        <v>10</v>
      </c>
      <c r="AH512" t="s">
        <v>4086</v>
      </c>
      <c r="AI512" t="s">
        <v>4085</v>
      </c>
      <c r="AK512" t="s">
        <v>4084</v>
      </c>
      <c r="AL512">
        <v>28</v>
      </c>
      <c r="AM512" s="5">
        <f t="shared" si="59"/>
        <v>1.1666666666666667</v>
      </c>
      <c r="AN512" s="4">
        <f t="shared" si="60"/>
        <v>1.7670074466742396E-3</v>
      </c>
      <c r="AO512" s="3"/>
      <c r="AP512">
        <v>0</v>
      </c>
      <c r="AR512" t="s">
        <v>1</v>
      </c>
      <c r="AT512" s="2">
        <v>1.5089999999999999</v>
      </c>
      <c r="AU512" s="1">
        <f t="shared" si="61"/>
        <v>0.77616230156151489</v>
      </c>
      <c r="AV512" s="1">
        <f t="shared" si="62"/>
        <v>0.60488757102034618</v>
      </c>
      <c r="AW512" s="1">
        <f t="shared" si="63"/>
        <v>0.43361284047917731</v>
      </c>
    </row>
    <row r="513" spans="1:49" x14ac:dyDescent="0.2">
      <c r="A513">
        <v>511</v>
      </c>
      <c r="B513" t="s">
        <v>4083</v>
      </c>
      <c r="C513" t="s">
        <v>4082</v>
      </c>
      <c r="D513" t="s">
        <v>4081</v>
      </c>
      <c r="F513" t="s">
        <v>4080</v>
      </c>
      <c r="G513" t="s">
        <v>5</v>
      </c>
      <c r="H513" t="s">
        <v>4</v>
      </c>
      <c r="I513" t="s">
        <v>1384</v>
      </c>
      <c r="J513">
        <v>60012370</v>
      </c>
      <c r="K513" t="s">
        <v>172</v>
      </c>
      <c r="L513" t="s">
        <v>171</v>
      </c>
      <c r="M513" t="s">
        <v>128</v>
      </c>
      <c r="N513">
        <v>2</v>
      </c>
      <c r="O513" t="s">
        <v>4079</v>
      </c>
      <c r="P513" t="s">
        <v>4078</v>
      </c>
      <c r="Q513" t="s">
        <v>372</v>
      </c>
      <c r="R513" s="7">
        <v>36130</v>
      </c>
      <c r="S513" s="8">
        <f t="shared" si="56"/>
        <v>1998</v>
      </c>
      <c r="T513" s="8">
        <v>1998</v>
      </c>
      <c r="U513" s="8">
        <f t="shared" si="57"/>
        <v>24</v>
      </c>
      <c r="V513" s="7">
        <v>1998</v>
      </c>
      <c r="W513" t="s">
        <v>649</v>
      </c>
      <c r="X513" s="2">
        <v>1.6519999999999999</v>
      </c>
      <c r="Y513" s="6">
        <f t="shared" si="58"/>
        <v>4.409919649769093E-2</v>
      </c>
      <c r="AA513" t="s">
        <v>648</v>
      </c>
      <c r="AB513">
        <v>17337</v>
      </c>
      <c r="AD513" t="s">
        <v>2</v>
      </c>
      <c r="AE513">
        <v>46</v>
      </c>
      <c r="AF513">
        <v>12</v>
      </c>
      <c r="AH513" t="s">
        <v>4077</v>
      </c>
      <c r="AI513" t="s">
        <v>4076</v>
      </c>
      <c r="AJ513" t="s">
        <v>4075</v>
      </c>
      <c r="AK513" t="s">
        <v>4074</v>
      </c>
      <c r="AL513">
        <v>43</v>
      </c>
      <c r="AM513" s="5">
        <f t="shared" si="59"/>
        <v>1.7916666666666667</v>
      </c>
      <c r="AN513" s="4">
        <f t="shared" si="60"/>
        <v>2.7136185788211539E-3</v>
      </c>
      <c r="AO513" s="3"/>
      <c r="AP513">
        <v>0</v>
      </c>
      <c r="AR513" t="s">
        <v>1</v>
      </c>
      <c r="AT513" s="2" t="s">
        <v>0</v>
      </c>
      <c r="AU513" s="1">
        <f t="shared" si="61"/>
        <v>3.1683523122029995</v>
      </c>
      <c r="AV513" s="1">
        <f t="shared" si="62"/>
        <v>2.3406407538256042</v>
      </c>
      <c r="AW513" s="1">
        <f t="shared" si="63"/>
        <v>1.5129291954482085</v>
      </c>
    </row>
    <row r="514" spans="1:49" x14ac:dyDescent="0.2">
      <c r="A514">
        <v>512</v>
      </c>
      <c r="B514" t="s">
        <v>4073</v>
      </c>
      <c r="C514" t="s">
        <v>4072</v>
      </c>
      <c r="F514" t="s">
        <v>4071</v>
      </c>
      <c r="G514" t="s">
        <v>5</v>
      </c>
      <c r="H514" t="s">
        <v>4</v>
      </c>
      <c r="I514" t="s">
        <v>4070</v>
      </c>
      <c r="J514" t="s">
        <v>4069</v>
      </c>
      <c r="K514" t="s">
        <v>4068</v>
      </c>
      <c r="L514" t="s">
        <v>4067</v>
      </c>
      <c r="M514" t="s">
        <v>4066</v>
      </c>
      <c r="N514">
        <v>3</v>
      </c>
      <c r="O514" t="s">
        <v>4065</v>
      </c>
      <c r="P514" t="s">
        <v>4064</v>
      </c>
      <c r="Q514" t="s">
        <v>4063</v>
      </c>
      <c r="R514" s="7">
        <v>36130</v>
      </c>
      <c r="S514" s="8">
        <f t="shared" ref="S514:S577" si="64">YEAR(R514)</f>
        <v>1998</v>
      </c>
      <c r="T514" s="8">
        <v>1998</v>
      </c>
      <c r="U514" s="8">
        <f t="shared" ref="U514:U577" si="65">2022-T514</f>
        <v>24</v>
      </c>
      <c r="V514" s="7">
        <v>1998</v>
      </c>
      <c r="W514" t="s">
        <v>558</v>
      </c>
      <c r="X514" s="2">
        <v>0.62</v>
      </c>
      <c r="Y514" s="6">
        <f t="shared" ref="Y514:Y577" si="66">(X514-$Z$3)/($Z$2-$Z$3)</f>
        <v>1.6550545901070447E-2</v>
      </c>
      <c r="AA514">
        <v>189464</v>
      </c>
      <c r="AB514">
        <v>17364</v>
      </c>
      <c r="AD514" t="s">
        <v>2</v>
      </c>
      <c r="AE514">
        <v>34</v>
      </c>
      <c r="AF514" t="s">
        <v>7</v>
      </c>
      <c r="AH514" t="s">
        <v>4062</v>
      </c>
      <c r="AI514" t="s">
        <v>4061</v>
      </c>
      <c r="AJ514" t="s">
        <v>4060</v>
      </c>
      <c r="AK514" t="s">
        <v>4059</v>
      </c>
      <c r="AL514">
        <v>3</v>
      </c>
      <c r="AM514" s="5">
        <f t="shared" ref="AM514:AM577" si="67">AL514/U514</f>
        <v>0.125</v>
      </c>
      <c r="AN514" s="4">
        <f t="shared" ref="AN514:AN577" si="68">(AM514-$AO$3)/($AO$2-$AO$3)</f>
        <v>1.893222264293828E-4</v>
      </c>
      <c r="AO514" s="3"/>
      <c r="AP514">
        <v>0</v>
      </c>
      <c r="AR514" t="s">
        <v>1</v>
      </c>
      <c r="AT514" s="2">
        <v>1.7</v>
      </c>
      <c r="AU514" s="1">
        <f t="shared" ref="AU514:AU577" si="69">(Y514*0.7+AN514*0.3)*100</f>
        <v>1.1642178798678127</v>
      </c>
      <c r="AV514" s="1">
        <f t="shared" ref="AV514:AV577" si="70">(Y514*0.5+AN514*0.5)*100</f>
        <v>0.83699340637499153</v>
      </c>
      <c r="AW514" s="1">
        <f t="shared" ref="AW514:AW577" si="71">(Y514*0.3+AN514*0.7)*100</f>
        <v>0.50976893288217029</v>
      </c>
    </row>
    <row r="515" spans="1:49" x14ac:dyDescent="0.2">
      <c r="A515">
        <v>513</v>
      </c>
      <c r="B515" t="s">
        <v>4058</v>
      </c>
      <c r="C515" t="s">
        <v>4057</v>
      </c>
      <c r="D515" t="s">
        <v>4056</v>
      </c>
      <c r="F515" t="s">
        <v>4055</v>
      </c>
      <c r="G515" t="s">
        <v>5</v>
      </c>
      <c r="H515" t="s">
        <v>4</v>
      </c>
      <c r="I515" t="s">
        <v>4054</v>
      </c>
      <c r="J515">
        <v>60013983</v>
      </c>
      <c r="K515" t="s">
        <v>34</v>
      </c>
      <c r="L515" t="s">
        <v>33</v>
      </c>
      <c r="M515" t="s">
        <v>32</v>
      </c>
      <c r="N515">
        <v>2</v>
      </c>
      <c r="O515" t="s">
        <v>355</v>
      </c>
      <c r="P515" t="s">
        <v>354</v>
      </c>
      <c r="Q515" t="s">
        <v>4053</v>
      </c>
      <c r="R515" s="7">
        <v>36130</v>
      </c>
      <c r="S515" s="8">
        <f t="shared" si="64"/>
        <v>1998</v>
      </c>
      <c r="T515" s="8">
        <v>1998</v>
      </c>
      <c r="U515" s="8">
        <f t="shared" si="65"/>
        <v>24</v>
      </c>
      <c r="V515" s="7">
        <v>1998</v>
      </c>
      <c r="W515" t="s">
        <v>4001</v>
      </c>
      <c r="X515" s="2">
        <v>1.365</v>
      </c>
      <c r="Y515" s="6">
        <f t="shared" si="66"/>
        <v>3.6437895411227675E-2</v>
      </c>
      <c r="AA515">
        <v>189545</v>
      </c>
      <c r="AB515">
        <v>17393</v>
      </c>
      <c r="AD515" t="s">
        <v>2</v>
      </c>
      <c r="AE515">
        <v>47</v>
      </c>
      <c r="AF515">
        <v>1</v>
      </c>
      <c r="AH515" t="s">
        <v>4052</v>
      </c>
      <c r="AI515" t="s">
        <v>4051</v>
      </c>
      <c r="AJ515" t="s">
        <v>4050</v>
      </c>
      <c r="AK515" t="s">
        <v>4049</v>
      </c>
      <c r="AL515">
        <v>88</v>
      </c>
      <c r="AM515" s="5">
        <f t="shared" si="67"/>
        <v>3.6666666666666665</v>
      </c>
      <c r="AN515" s="4">
        <f t="shared" si="68"/>
        <v>5.5534519752618956E-3</v>
      </c>
      <c r="AO515" s="3"/>
      <c r="AP515">
        <v>0</v>
      </c>
      <c r="AQ515" t="s">
        <v>406</v>
      </c>
      <c r="AR515" t="s">
        <v>1</v>
      </c>
      <c r="AS515" t="s">
        <v>405</v>
      </c>
      <c r="AT515" s="2" t="s">
        <v>0</v>
      </c>
      <c r="AU515" s="1">
        <f t="shared" si="69"/>
        <v>2.7172562380437939</v>
      </c>
      <c r="AV515" s="1">
        <f t="shared" si="70"/>
        <v>2.0995673693244785</v>
      </c>
      <c r="AW515" s="1">
        <f t="shared" si="71"/>
        <v>1.4818785006051629</v>
      </c>
    </row>
    <row r="516" spans="1:49" x14ac:dyDescent="0.2">
      <c r="A516">
        <v>514</v>
      </c>
      <c r="B516" t="s">
        <v>4048</v>
      </c>
      <c r="F516" t="s">
        <v>4047</v>
      </c>
      <c r="G516" t="s">
        <v>5</v>
      </c>
      <c r="H516" t="s">
        <v>4</v>
      </c>
      <c r="I516" t="s">
        <v>4046</v>
      </c>
      <c r="J516" t="s">
        <v>4045</v>
      </c>
      <c r="K516" t="s">
        <v>4044</v>
      </c>
      <c r="L516" t="s">
        <v>4043</v>
      </c>
      <c r="M516" t="s">
        <v>4042</v>
      </c>
      <c r="N516">
        <v>3</v>
      </c>
      <c r="O516" t="s">
        <v>4041</v>
      </c>
      <c r="P516" t="s">
        <v>4040</v>
      </c>
      <c r="Q516" t="s">
        <v>4039</v>
      </c>
      <c r="R516" s="7">
        <v>36130</v>
      </c>
      <c r="S516" s="8">
        <f t="shared" si="64"/>
        <v>1998</v>
      </c>
      <c r="T516" s="8">
        <v>1998</v>
      </c>
      <c r="U516" s="8">
        <f t="shared" si="65"/>
        <v>24</v>
      </c>
      <c r="V516" s="7">
        <v>36130</v>
      </c>
      <c r="W516" t="s">
        <v>4038</v>
      </c>
      <c r="X516" s="2">
        <v>0.51</v>
      </c>
      <c r="Y516" s="6">
        <f t="shared" si="66"/>
        <v>1.3614158725074078E-2</v>
      </c>
      <c r="AA516">
        <v>2148358</v>
      </c>
      <c r="AB516">
        <v>28430</v>
      </c>
      <c r="AD516" t="s">
        <v>2</v>
      </c>
      <c r="AE516">
        <v>62</v>
      </c>
      <c r="AF516">
        <v>4</v>
      </c>
      <c r="AH516" t="s">
        <v>4037</v>
      </c>
      <c r="AI516" t="s">
        <v>4036</v>
      </c>
      <c r="AJ516" t="s">
        <v>4035</v>
      </c>
      <c r="AK516" t="s">
        <v>4034</v>
      </c>
      <c r="AL516">
        <v>6</v>
      </c>
      <c r="AM516" s="5">
        <f t="shared" si="67"/>
        <v>0.25</v>
      </c>
      <c r="AN516" s="4">
        <f t="shared" si="68"/>
        <v>3.786444528587656E-4</v>
      </c>
      <c r="AO516" s="3"/>
      <c r="AP516">
        <v>0</v>
      </c>
      <c r="AR516" t="s">
        <v>1</v>
      </c>
      <c r="AT516" s="2">
        <v>1.5760000000000001</v>
      </c>
      <c r="AU516" s="1">
        <f t="shared" si="69"/>
        <v>0.96435044434094852</v>
      </c>
      <c r="AV516" s="1">
        <f t="shared" si="70"/>
        <v>0.69964015889664222</v>
      </c>
      <c r="AW516" s="1">
        <f t="shared" si="71"/>
        <v>0.43492987345233591</v>
      </c>
    </row>
    <row r="517" spans="1:49" x14ac:dyDescent="0.2">
      <c r="A517">
        <v>515</v>
      </c>
      <c r="B517" t="s">
        <v>4033</v>
      </c>
      <c r="F517" t="s">
        <v>4032</v>
      </c>
      <c r="G517" t="s">
        <v>5</v>
      </c>
      <c r="H517" t="s">
        <v>4</v>
      </c>
      <c r="I517" t="s">
        <v>4031</v>
      </c>
      <c r="J517" t="s">
        <v>4030</v>
      </c>
      <c r="K517" t="s">
        <v>4029</v>
      </c>
      <c r="L517" t="s">
        <v>4028</v>
      </c>
      <c r="M517" t="s">
        <v>4027</v>
      </c>
      <c r="N517">
        <v>2</v>
      </c>
      <c r="O517" t="s">
        <v>4026</v>
      </c>
      <c r="P517" t="s">
        <v>4025</v>
      </c>
      <c r="Q517" t="s">
        <v>4024</v>
      </c>
      <c r="R517" s="7">
        <v>36130</v>
      </c>
      <c r="S517" s="8">
        <f t="shared" si="64"/>
        <v>1998</v>
      </c>
      <c r="T517" s="8">
        <v>1998</v>
      </c>
      <c r="U517" s="8">
        <f t="shared" si="65"/>
        <v>24</v>
      </c>
      <c r="V517" s="7">
        <v>1998</v>
      </c>
      <c r="W517" t="s">
        <v>746</v>
      </c>
      <c r="X517" s="2">
        <v>2.137</v>
      </c>
      <c r="Y517" s="6">
        <f t="shared" si="66"/>
        <v>5.7045994500947654E-2</v>
      </c>
      <c r="AA517">
        <v>46361</v>
      </c>
      <c r="AB517">
        <v>26750</v>
      </c>
      <c r="AD517" t="s">
        <v>2</v>
      </c>
      <c r="AE517">
        <v>336</v>
      </c>
      <c r="AF517">
        <v>2</v>
      </c>
      <c r="AH517" t="s">
        <v>4023</v>
      </c>
      <c r="AI517" t="s">
        <v>4022</v>
      </c>
      <c r="AJ517" t="s">
        <v>4021</v>
      </c>
      <c r="AK517" t="s">
        <v>4020</v>
      </c>
      <c r="AL517">
        <v>11</v>
      </c>
      <c r="AM517" s="5">
        <f t="shared" si="67"/>
        <v>0.45833333333333331</v>
      </c>
      <c r="AN517" s="4">
        <f t="shared" si="68"/>
        <v>6.9418149690773695E-4</v>
      </c>
      <c r="AO517" s="3"/>
      <c r="AP517">
        <v>0</v>
      </c>
      <c r="AR517" t="s">
        <v>1</v>
      </c>
      <c r="AT517" s="2" t="s">
        <v>0</v>
      </c>
      <c r="AU517" s="1">
        <f t="shared" si="69"/>
        <v>4.0140450599735669</v>
      </c>
      <c r="AV517" s="1">
        <f t="shared" si="70"/>
        <v>2.8870087998927696</v>
      </c>
      <c r="AW517" s="1">
        <f t="shared" si="71"/>
        <v>1.759972539811971</v>
      </c>
    </row>
    <row r="518" spans="1:49" x14ac:dyDescent="0.2">
      <c r="A518">
        <v>516</v>
      </c>
      <c r="B518" t="s">
        <v>4019</v>
      </c>
      <c r="F518" t="s">
        <v>4018</v>
      </c>
      <c r="G518" t="s">
        <v>5</v>
      </c>
      <c r="H518" t="s">
        <v>4</v>
      </c>
      <c r="I518" t="s">
        <v>4017</v>
      </c>
      <c r="J518">
        <v>60007670</v>
      </c>
      <c r="K518" t="s">
        <v>4016</v>
      </c>
      <c r="L518" t="s">
        <v>385</v>
      </c>
      <c r="M518" t="s">
        <v>9</v>
      </c>
      <c r="N518">
        <v>2</v>
      </c>
      <c r="O518" t="s">
        <v>4015</v>
      </c>
      <c r="P518" t="s">
        <v>4014</v>
      </c>
      <c r="Q518" t="s">
        <v>4013</v>
      </c>
      <c r="R518" s="7">
        <v>36130</v>
      </c>
      <c r="S518" s="8">
        <f t="shared" si="64"/>
        <v>1998</v>
      </c>
      <c r="T518" s="8">
        <v>1998</v>
      </c>
      <c r="U518" s="8">
        <f t="shared" si="65"/>
        <v>24</v>
      </c>
      <c r="V518" s="7">
        <v>1998</v>
      </c>
      <c r="W518" t="s">
        <v>753</v>
      </c>
      <c r="X518" s="2">
        <v>0.26900000000000002</v>
      </c>
      <c r="Y518" s="6">
        <f t="shared" si="66"/>
        <v>7.1808013667547591E-3</v>
      </c>
      <c r="AA518" t="s">
        <v>752</v>
      </c>
      <c r="AB518">
        <v>13669</v>
      </c>
      <c r="AD518" t="s">
        <v>2</v>
      </c>
      <c r="AE518">
        <v>111</v>
      </c>
      <c r="AF518">
        <v>1</v>
      </c>
      <c r="AH518" t="s">
        <v>4012</v>
      </c>
      <c r="AI518" t="s">
        <v>4011</v>
      </c>
      <c r="AK518" t="s">
        <v>4010</v>
      </c>
      <c r="AL518">
        <v>10</v>
      </c>
      <c r="AM518" s="5">
        <f t="shared" si="67"/>
        <v>0.41666666666666669</v>
      </c>
      <c r="AN518" s="4">
        <f t="shared" si="68"/>
        <v>6.310740880979427E-4</v>
      </c>
      <c r="AO518" s="3"/>
      <c r="AP518">
        <v>0</v>
      </c>
      <c r="AR518" t="s">
        <v>1</v>
      </c>
      <c r="AT518" s="2" t="s">
        <v>0</v>
      </c>
      <c r="AU518" s="1">
        <f t="shared" si="69"/>
        <v>0.52158831831577135</v>
      </c>
      <c r="AV518" s="1">
        <f t="shared" si="70"/>
        <v>0.39059377274263507</v>
      </c>
      <c r="AW518" s="1">
        <f t="shared" si="71"/>
        <v>0.25959922716949879</v>
      </c>
    </row>
    <row r="519" spans="1:49" x14ac:dyDescent="0.2">
      <c r="A519">
        <v>517</v>
      </c>
      <c r="B519" t="s">
        <v>4009</v>
      </c>
      <c r="C519" t="s">
        <v>4008</v>
      </c>
      <c r="D519" t="s">
        <v>4007</v>
      </c>
      <c r="F519" t="s">
        <v>4006</v>
      </c>
      <c r="G519" t="s">
        <v>5</v>
      </c>
      <c r="H519" t="s">
        <v>4</v>
      </c>
      <c r="I519" t="s">
        <v>4005</v>
      </c>
      <c r="J519">
        <v>60018714</v>
      </c>
      <c r="K519" t="s">
        <v>446</v>
      </c>
      <c r="L519" t="s">
        <v>198</v>
      </c>
      <c r="M519" t="s">
        <v>15</v>
      </c>
      <c r="N519">
        <v>3</v>
      </c>
      <c r="O519" t="s">
        <v>4004</v>
      </c>
      <c r="P519" t="s">
        <v>4003</v>
      </c>
      <c r="Q519" t="s">
        <v>4002</v>
      </c>
      <c r="R519" s="7">
        <v>36130</v>
      </c>
      <c r="S519" s="8">
        <f t="shared" si="64"/>
        <v>1998</v>
      </c>
      <c r="T519" s="8">
        <v>1998</v>
      </c>
      <c r="U519" s="8">
        <f t="shared" si="65"/>
        <v>24</v>
      </c>
      <c r="V519" s="7">
        <v>1998</v>
      </c>
      <c r="W519" t="s">
        <v>4001</v>
      </c>
      <c r="X519" s="2">
        <v>1.365</v>
      </c>
      <c r="Y519" s="6">
        <f t="shared" si="66"/>
        <v>3.6437895411227675E-2</v>
      </c>
      <c r="AA519">
        <v>189545</v>
      </c>
      <c r="AB519">
        <v>17393</v>
      </c>
      <c r="AD519" t="s">
        <v>2</v>
      </c>
      <c r="AE519">
        <v>47</v>
      </c>
      <c r="AF519">
        <v>1</v>
      </c>
      <c r="AH519" t="s">
        <v>4000</v>
      </c>
      <c r="AI519" t="s">
        <v>3999</v>
      </c>
      <c r="AJ519" t="s">
        <v>3998</v>
      </c>
      <c r="AK519" t="s">
        <v>3997</v>
      </c>
      <c r="AL519">
        <v>41</v>
      </c>
      <c r="AM519" s="5">
        <f t="shared" si="67"/>
        <v>1.7083333333333333</v>
      </c>
      <c r="AN519" s="4">
        <f t="shared" si="68"/>
        <v>2.5874037612015652E-3</v>
      </c>
      <c r="AO519" s="3"/>
      <c r="AP519">
        <v>0</v>
      </c>
      <c r="AR519" t="s">
        <v>1</v>
      </c>
      <c r="AT519" s="2" t="s">
        <v>0</v>
      </c>
      <c r="AU519" s="1">
        <f t="shared" si="69"/>
        <v>2.6282747916219837</v>
      </c>
      <c r="AV519" s="1">
        <f t="shared" si="70"/>
        <v>1.9512649586214619</v>
      </c>
      <c r="AW519" s="1">
        <f t="shared" si="71"/>
        <v>1.2742551256209398</v>
      </c>
    </row>
    <row r="520" spans="1:49" x14ac:dyDescent="0.2">
      <c r="A520">
        <v>518</v>
      </c>
      <c r="B520" t="s">
        <v>3996</v>
      </c>
      <c r="C520" t="s">
        <v>3995</v>
      </c>
      <c r="F520" t="s">
        <v>3994</v>
      </c>
      <c r="G520" t="s">
        <v>5</v>
      </c>
      <c r="H520" t="s">
        <v>4</v>
      </c>
      <c r="I520" t="s">
        <v>3993</v>
      </c>
      <c r="J520">
        <v>60026717</v>
      </c>
      <c r="K520" t="s">
        <v>3992</v>
      </c>
      <c r="L520" t="s">
        <v>504</v>
      </c>
      <c r="M520" t="s">
        <v>9</v>
      </c>
      <c r="N520">
        <v>2</v>
      </c>
      <c r="O520" t="s">
        <v>3991</v>
      </c>
      <c r="P520" t="s">
        <v>3990</v>
      </c>
      <c r="Q520" t="s">
        <v>3989</v>
      </c>
      <c r="R520" s="7">
        <v>36125</v>
      </c>
      <c r="S520" s="8">
        <f t="shared" si="64"/>
        <v>1998</v>
      </c>
      <c r="T520" s="8">
        <v>1998</v>
      </c>
      <c r="U520" s="8">
        <f t="shared" si="65"/>
        <v>24</v>
      </c>
      <c r="V520" s="7">
        <v>36125</v>
      </c>
      <c r="W520" t="s">
        <v>612</v>
      </c>
      <c r="X520" s="2">
        <v>0.375</v>
      </c>
      <c r="Y520" s="6">
        <f t="shared" si="66"/>
        <v>1.0010410827260351E-2</v>
      </c>
      <c r="AA520">
        <v>135194</v>
      </c>
      <c r="AB520">
        <v>24918</v>
      </c>
      <c r="AD520" t="s">
        <v>2</v>
      </c>
      <c r="AE520">
        <v>34</v>
      </c>
      <c r="AF520">
        <v>24</v>
      </c>
      <c r="AH520" t="s">
        <v>3988</v>
      </c>
      <c r="AI520" t="s">
        <v>3987</v>
      </c>
      <c r="AK520" t="s">
        <v>3986</v>
      </c>
      <c r="AL520">
        <v>11</v>
      </c>
      <c r="AM520" s="5">
        <f t="shared" si="67"/>
        <v>0.45833333333333331</v>
      </c>
      <c r="AN520" s="4">
        <f t="shared" si="68"/>
        <v>6.9418149690773695E-4</v>
      </c>
      <c r="AO520" s="3"/>
      <c r="AP520">
        <v>0</v>
      </c>
      <c r="AR520" t="s">
        <v>1</v>
      </c>
      <c r="AT520" s="2">
        <v>1.3140000000000001</v>
      </c>
      <c r="AU520" s="1">
        <f t="shared" si="69"/>
        <v>0.72155420281545668</v>
      </c>
      <c r="AV520" s="1">
        <f t="shared" si="70"/>
        <v>0.53522961620840448</v>
      </c>
      <c r="AW520" s="1">
        <f t="shared" si="71"/>
        <v>0.34890502960135211</v>
      </c>
    </row>
    <row r="521" spans="1:49" x14ac:dyDescent="0.2">
      <c r="A521">
        <v>519</v>
      </c>
      <c r="B521" t="s">
        <v>3985</v>
      </c>
      <c r="C521" t="s">
        <v>3984</v>
      </c>
      <c r="F521" t="s">
        <v>3983</v>
      </c>
      <c r="G521" t="s">
        <v>5</v>
      </c>
      <c r="H521" t="s">
        <v>4</v>
      </c>
      <c r="I521" t="s">
        <v>3982</v>
      </c>
      <c r="J521" t="s">
        <v>3981</v>
      </c>
      <c r="K521" t="s">
        <v>3980</v>
      </c>
      <c r="L521" t="s">
        <v>3979</v>
      </c>
      <c r="M521" t="s">
        <v>337</v>
      </c>
      <c r="N521">
        <v>3</v>
      </c>
      <c r="O521" t="s">
        <v>3978</v>
      </c>
      <c r="P521" t="s">
        <v>3977</v>
      </c>
      <c r="Q521" t="s">
        <v>3976</v>
      </c>
      <c r="R521" s="7">
        <v>36125</v>
      </c>
      <c r="S521" s="8">
        <f t="shared" si="64"/>
        <v>1998</v>
      </c>
      <c r="T521" s="8">
        <v>1998</v>
      </c>
      <c r="U521" s="8">
        <f t="shared" si="65"/>
        <v>24</v>
      </c>
      <c r="V521" s="7">
        <v>36125</v>
      </c>
      <c r="W521" t="s">
        <v>612</v>
      </c>
      <c r="X521" s="2">
        <v>0.375</v>
      </c>
      <c r="Y521" s="6">
        <f t="shared" si="66"/>
        <v>1.0010410827260351E-2</v>
      </c>
      <c r="AA521">
        <v>135194</v>
      </c>
      <c r="AB521">
        <v>24918</v>
      </c>
      <c r="AD521" t="s">
        <v>2</v>
      </c>
      <c r="AE521">
        <v>34</v>
      </c>
      <c r="AF521">
        <v>24</v>
      </c>
      <c r="AH521" t="s">
        <v>3975</v>
      </c>
      <c r="AI521" t="s">
        <v>3974</v>
      </c>
      <c r="AK521" t="s">
        <v>3973</v>
      </c>
      <c r="AL521">
        <v>34</v>
      </c>
      <c r="AM521" s="5">
        <f t="shared" si="67"/>
        <v>1.4166666666666667</v>
      </c>
      <c r="AN521" s="4">
        <f t="shared" si="68"/>
        <v>2.1456518995330051E-3</v>
      </c>
      <c r="AO521" s="3"/>
      <c r="AP521">
        <v>0</v>
      </c>
      <c r="AR521" t="s">
        <v>1</v>
      </c>
      <c r="AT521" s="2">
        <v>1.3140000000000001</v>
      </c>
      <c r="AU521" s="1">
        <f t="shared" si="69"/>
        <v>0.76509831489421465</v>
      </c>
      <c r="AV521" s="1">
        <f t="shared" si="70"/>
        <v>0.60780313633966787</v>
      </c>
      <c r="AW521" s="1">
        <f t="shared" si="71"/>
        <v>0.45050795778512082</v>
      </c>
    </row>
    <row r="522" spans="1:49" x14ac:dyDescent="0.2">
      <c r="A522">
        <v>520</v>
      </c>
      <c r="B522" t="s">
        <v>3972</v>
      </c>
      <c r="C522" t="s">
        <v>3971</v>
      </c>
      <c r="F522" t="s">
        <v>3970</v>
      </c>
      <c r="G522" t="s">
        <v>5</v>
      </c>
      <c r="H522" t="s">
        <v>4</v>
      </c>
      <c r="I522" t="s">
        <v>623</v>
      </c>
      <c r="J522" t="s">
        <v>618</v>
      </c>
      <c r="K522" t="s">
        <v>617</v>
      </c>
      <c r="L522" t="s">
        <v>616</v>
      </c>
      <c r="M522" t="s">
        <v>115</v>
      </c>
      <c r="N522">
        <v>2</v>
      </c>
      <c r="O522" t="s">
        <v>3969</v>
      </c>
      <c r="P522" t="s">
        <v>3968</v>
      </c>
      <c r="Q522" t="s">
        <v>618</v>
      </c>
      <c r="R522" s="7">
        <v>36125</v>
      </c>
      <c r="S522" s="8">
        <f t="shared" si="64"/>
        <v>1998</v>
      </c>
      <c r="T522" s="8">
        <v>1998</v>
      </c>
      <c r="U522" s="8">
        <f t="shared" si="65"/>
        <v>24</v>
      </c>
      <c r="V522" s="7">
        <v>36125</v>
      </c>
      <c r="W522" t="s">
        <v>612</v>
      </c>
      <c r="X522" s="2">
        <v>0.375</v>
      </c>
      <c r="Y522" s="6">
        <f t="shared" si="66"/>
        <v>1.0010410827260351E-2</v>
      </c>
      <c r="AA522">
        <v>135194</v>
      </c>
      <c r="AB522">
        <v>24918</v>
      </c>
      <c r="AD522" t="s">
        <v>2</v>
      </c>
      <c r="AE522">
        <v>34</v>
      </c>
      <c r="AF522">
        <v>24</v>
      </c>
      <c r="AH522" t="s">
        <v>3967</v>
      </c>
      <c r="AI522" t="s">
        <v>3966</v>
      </c>
      <c r="AK522" t="s">
        <v>3965</v>
      </c>
      <c r="AL522">
        <v>19</v>
      </c>
      <c r="AM522" s="5">
        <f t="shared" si="67"/>
        <v>0.79166666666666663</v>
      </c>
      <c r="AN522" s="4">
        <f t="shared" si="68"/>
        <v>1.199040767386091E-3</v>
      </c>
      <c r="AO522" s="3"/>
      <c r="AP522">
        <v>0</v>
      </c>
      <c r="AR522" t="s">
        <v>1</v>
      </c>
      <c r="AT522" s="2">
        <v>1.3140000000000001</v>
      </c>
      <c r="AU522" s="1">
        <f t="shared" si="69"/>
        <v>0.73669998092980726</v>
      </c>
      <c r="AV522" s="1">
        <f t="shared" si="70"/>
        <v>0.56047257973232212</v>
      </c>
      <c r="AW522" s="1">
        <f t="shared" si="71"/>
        <v>0.38424517853483692</v>
      </c>
    </row>
    <row r="523" spans="1:49" x14ac:dyDescent="0.2">
      <c r="A523">
        <v>521</v>
      </c>
      <c r="B523" t="s">
        <v>3964</v>
      </c>
      <c r="C523" t="s">
        <v>3963</v>
      </c>
      <c r="F523" t="s">
        <v>3962</v>
      </c>
      <c r="G523" t="s">
        <v>5</v>
      </c>
      <c r="H523" t="s">
        <v>4</v>
      </c>
      <c r="I523" t="s">
        <v>487</v>
      </c>
      <c r="J523" t="s">
        <v>3961</v>
      </c>
      <c r="K523" t="s">
        <v>3960</v>
      </c>
      <c r="L523" t="s">
        <v>3959</v>
      </c>
      <c r="M523" t="s">
        <v>20</v>
      </c>
      <c r="N523">
        <v>4</v>
      </c>
      <c r="O523" t="s">
        <v>3958</v>
      </c>
      <c r="P523" t="s">
        <v>3957</v>
      </c>
      <c r="Q523" t="s">
        <v>3956</v>
      </c>
      <c r="R523" s="7">
        <v>36125</v>
      </c>
      <c r="S523" s="8">
        <f t="shared" si="64"/>
        <v>1998</v>
      </c>
      <c r="T523" s="8">
        <v>1998</v>
      </c>
      <c r="U523" s="8">
        <f t="shared" si="65"/>
        <v>24</v>
      </c>
      <c r="V523" s="7">
        <v>36125</v>
      </c>
      <c r="W523" t="s">
        <v>612</v>
      </c>
      <c r="X523" s="2">
        <v>0.375</v>
      </c>
      <c r="Y523" s="6">
        <f t="shared" si="66"/>
        <v>1.0010410827260351E-2</v>
      </c>
      <c r="AA523">
        <v>135194</v>
      </c>
      <c r="AB523">
        <v>24918</v>
      </c>
      <c r="AD523" t="s">
        <v>2</v>
      </c>
      <c r="AE523">
        <v>34</v>
      </c>
      <c r="AF523">
        <v>24</v>
      </c>
      <c r="AH523" t="s">
        <v>3955</v>
      </c>
      <c r="AI523" t="s">
        <v>3954</v>
      </c>
      <c r="AK523" t="s">
        <v>3953</v>
      </c>
      <c r="AL523">
        <v>4</v>
      </c>
      <c r="AM523" s="5">
        <f t="shared" si="67"/>
        <v>0.16666666666666666</v>
      </c>
      <c r="AN523" s="4">
        <f t="shared" si="68"/>
        <v>2.5242963523917705E-4</v>
      </c>
      <c r="AO523" s="3"/>
      <c r="AP523">
        <v>0</v>
      </c>
      <c r="AR523" t="s">
        <v>1</v>
      </c>
      <c r="AT523" s="2">
        <v>1.3140000000000001</v>
      </c>
      <c r="AU523" s="1">
        <f t="shared" si="69"/>
        <v>0.70830164696539988</v>
      </c>
      <c r="AV523" s="1">
        <f t="shared" si="70"/>
        <v>0.51314202312497648</v>
      </c>
      <c r="AW523" s="1">
        <f t="shared" si="71"/>
        <v>0.31798239928455291</v>
      </c>
    </row>
    <row r="524" spans="1:49" x14ac:dyDescent="0.2">
      <c r="A524">
        <v>522</v>
      </c>
      <c r="B524" t="s">
        <v>3952</v>
      </c>
      <c r="C524" t="s">
        <v>3951</v>
      </c>
      <c r="F524" t="s">
        <v>3950</v>
      </c>
      <c r="G524" t="s">
        <v>5</v>
      </c>
      <c r="H524" t="s">
        <v>4</v>
      </c>
      <c r="I524" t="s">
        <v>3949</v>
      </c>
      <c r="J524">
        <v>60104223</v>
      </c>
      <c r="K524" t="s">
        <v>3948</v>
      </c>
      <c r="L524" t="s">
        <v>3947</v>
      </c>
      <c r="M524" t="s">
        <v>36</v>
      </c>
      <c r="N524">
        <v>2</v>
      </c>
      <c r="O524" t="s">
        <v>3946</v>
      </c>
      <c r="P524" t="s">
        <v>3945</v>
      </c>
      <c r="Q524" t="s">
        <v>3944</v>
      </c>
      <c r="R524" s="7">
        <v>36125</v>
      </c>
      <c r="S524" s="8">
        <f t="shared" si="64"/>
        <v>1998</v>
      </c>
      <c r="T524" s="8">
        <v>1998</v>
      </c>
      <c r="U524" s="8">
        <f t="shared" si="65"/>
        <v>24</v>
      </c>
      <c r="V524" s="7">
        <v>36125</v>
      </c>
      <c r="W524" t="s">
        <v>612</v>
      </c>
      <c r="X524" s="2">
        <v>0.375</v>
      </c>
      <c r="Y524" s="6">
        <f t="shared" si="66"/>
        <v>1.0010410827260351E-2</v>
      </c>
      <c r="AA524">
        <v>135194</v>
      </c>
      <c r="AB524">
        <v>24918</v>
      </c>
      <c r="AD524" t="s">
        <v>2</v>
      </c>
      <c r="AE524">
        <v>34</v>
      </c>
      <c r="AF524">
        <v>24</v>
      </c>
      <c r="AH524" t="s">
        <v>3943</v>
      </c>
      <c r="AI524" t="s">
        <v>3942</v>
      </c>
      <c r="AK524" t="s">
        <v>3941</v>
      </c>
      <c r="AL524">
        <v>51</v>
      </c>
      <c r="AM524" s="5">
        <f t="shared" si="67"/>
        <v>2.125</v>
      </c>
      <c r="AN524" s="4">
        <f t="shared" si="68"/>
        <v>3.2184778492995079E-3</v>
      </c>
      <c r="AO524" s="3"/>
      <c r="AP524">
        <v>0</v>
      </c>
      <c r="AR524" t="s">
        <v>1</v>
      </c>
      <c r="AT524" s="2">
        <v>1.3140000000000001</v>
      </c>
      <c r="AU524" s="1">
        <f t="shared" si="69"/>
        <v>0.79728309338720982</v>
      </c>
      <c r="AV524" s="1">
        <f t="shared" si="70"/>
        <v>0.66144443382799301</v>
      </c>
      <c r="AW524" s="1">
        <f t="shared" si="71"/>
        <v>0.52560577426877597</v>
      </c>
    </row>
    <row r="525" spans="1:49" x14ac:dyDescent="0.2">
      <c r="A525">
        <v>523</v>
      </c>
      <c r="B525" t="s">
        <v>3940</v>
      </c>
      <c r="C525" t="s">
        <v>3939</v>
      </c>
      <c r="E525">
        <v>9812995</v>
      </c>
      <c r="F525" t="s">
        <v>3938</v>
      </c>
      <c r="G525" t="s">
        <v>5</v>
      </c>
      <c r="H525" t="s">
        <v>4</v>
      </c>
      <c r="I525" t="s">
        <v>3937</v>
      </c>
      <c r="J525">
        <v>60012279</v>
      </c>
      <c r="K525" t="s">
        <v>3936</v>
      </c>
      <c r="L525" t="s">
        <v>251</v>
      </c>
      <c r="M525" t="s">
        <v>37</v>
      </c>
      <c r="N525">
        <v>4</v>
      </c>
      <c r="O525" t="s">
        <v>3935</v>
      </c>
      <c r="P525" t="s">
        <v>3934</v>
      </c>
      <c r="Q525" t="s">
        <v>3933</v>
      </c>
      <c r="R525" s="7">
        <v>36119</v>
      </c>
      <c r="S525" s="8">
        <f t="shared" si="64"/>
        <v>1998</v>
      </c>
      <c r="T525" s="8">
        <v>1998</v>
      </c>
      <c r="U525" s="8">
        <f t="shared" si="65"/>
        <v>24</v>
      </c>
      <c r="V525" s="7">
        <v>36119</v>
      </c>
      <c r="W525" t="s">
        <v>1190</v>
      </c>
      <c r="X525" s="2">
        <v>2.3610000000000002</v>
      </c>
      <c r="Y525" s="6">
        <f t="shared" si="66"/>
        <v>6.3025546568431179E-2</v>
      </c>
      <c r="AA525">
        <v>219258</v>
      </c>
      <c r="AB525">
        <v>17592</v>
      </c>
      <c r="AD525" t="s">
        <v>2</v>
      </c>
      <c r="AE525">
        <v>273</v>
      </c>
      <c r="AF525">
        <v>47</v>
      </c>
      <c r="AH525" t="s">
        <v>3932</v>
      </c>
      <c r="AI525" t="s">
        <v>3931</v>
      </c>
      <c r="AK525" t="s">
        <v>3930</v>
      </c>
      <c r="AL525">
        <v>60</v>
      </c>
      <c r="AM525" s="5">
        <f t="shared" si="67"/>
        <v>2.5</v>
      </c>
      <c r="AN525" s="4">
        <f t="shared" si="68"/>
        <v>3.7864445285876562E-3</v>
      </c>
      <c r="AO525" s="3"/>
      <c r="AP525">
        <v>1</v>
      </c>
      <c r="AR525" t="s">
        <v>1</v>
      </c>
      <c r="AT525" s="2">
        <v>5.157</v>
      </c>
      <c r="AU525" s="1">
        <f t="shared" si="69"/>
        <v>4.5253815956478123</v>
      </c>
      <c r="AV525" s="1">
        <f t="shared" si="70"/>
        <v>3.3405995548509417</v>
      </c>
      <c r="AW525" s="1">
        <f t="shared" si="71"/>
        <v>2.1558175140540712</v>
      </c>
    </row>
    <row r="526" spans="1:49" x14ac:dyDescent="0.2">
      <c r="A526">
        <v>524</v>
      </c>
      <c r="B526" t="s">
        <v>3929</v>
      </c>
      <c r="C526" t="s">
        <v>3928</v>
      </c>
      <c r="F526" t="s">
        <v>3927</v>
      </c>
      <c r="G526" t="s">
        <v>5</v>
      </c>
      <c r="H526" t="s">
        <v>4</v>
      </c>
      <c r="I526" t="s">
        <v>3926</v>
      </c>
      <c r="J526" t="s">
        <v>3925</v>
      </c>
      <c r="K526" t="s">
        <v>3924</v>
      </c>
      <c r="L526" t="s">
        <v>3923</v>
      </c>
      <c r="M526" t="s">
        <v>174</v>
      </c>
      <c r="N526">
        <v>5</v>
      </c>
      <c r="O526" t="s">
        <v>3922</v>
      </c>
      <c r="P526" t="s">
        <v>3921</v>
      </c>
      <c r="Q526" t="s">
        <v>3920</v>
      </c>
      <c r="R526" s="7">
        <v>36115</v>
      </c>
      <c r="S526" s="8">
        <f t="shared" si="64"/>
        <v>1998</v>
      </c>
      <c r="T526" s="8">
        <v>1998</v>
      </c>
      <c r="U526" s="8">
        <f t="shared" si="65"/>
        <v>24</v>
      </c>
      <c r="V526" s="7">
        <v>36115</v>
      </c>
      <c r="W526" t="s">
        <v>3919</v>
      </c>
      <c r="X526" s="2">
        <v>5.8310000000000004</v>
      </c>
      <c r="Y526" s="6">
        <f t="shared" si="66"/>
        <v>0.15565521475668029</v>
      </c>
      <c r="AA526">
        <v>14337851</v>
      </c>
      <c r="AB526">
        <v>22687</v>
      </c>
      <c r="AD526" t="s">
        <v>2</v>
      </c>
      <c r="AE526">
        <v>37</v>
      </c>
      <c r="AF526">
        <v>21</v>
      </c>
      <c r="AH526" t="s">
        <v>3918</v>
      </c>
      <c r="AI526" t="s">
        <v>3917</v>
      </c>
      <c r="AJ526" t="s">
        <v>3916</v>
      </c>
      <c r="AK526" t="s">
        <v>3915</v>
      </c>
      <c r="AL526">
        <v>187</v>
      </c>
      <c r="AM526" s="5">
        <f t="shared" si="67"/>
        <v>7.791666666666667</v>
      </c>
      <c r="AN526" s="4">
        <f t="shared" si="68"/>
        <v>1.1801085447431529E-2</v>
      </c>
      <c r="AO526" s="3"/>
      <c r="AP526">
        <v>0</v>
      </c>
      <c r="AR526" t="s">
        <v>1</v>
      </c>
      <c r="AT526" s="2" t="s">
        <v>0</v>
      </c>
      <c r="AU526" s="1">
        <f t="shared" si="69"/>
        <v>11.249897596390564</v>
      </c>
      <c r="AV526" s="1">
        <f t="shared" si="70"/>
        <v>8.3728150102055903</v>
      </c>
      <c r="AW526" s="1">
        <f t="shared" si="71"/>
        <v>5.4957324240206153</v>
      </c>
    </row>
    <row r="527" spans="1:49" x14ac:dyDescent="0.2">
      <c r="A527">
        <v>525</v>
      </c>
      <c r="B527" t="s">
        <v>3914</v>
      </c>
      <c r="C527" t="s">
        <v>3913</v>
      </c>
      <c r="D527" t="s">
        <v>3912</v>
      </c>
      <c r="F527" t="s">
        <v>3911</v>
      </c>
      <c r="G527" t="s">
        <v>5</v>
      </c>
      <c r="H527" t="s">
        <v>4</v>
      </c>
      <c r="I527" t="s">
        <v>3910</v>
      </c>
      <c r="J527" t="s">
        <v>3909</v>
      </c>
      <c r="K527" t="s">
        <v>3908</v>
      </c>
      <c r="L527" t="s">
        <v>3907</v>
      </c>
      <c r="M527" t="s">
        <v>3906</v>
      </c>
      <c r="N527">
        <v>4</v>
      </c>
      <c r="O527" t="s">
        <v>3905</v>
      </c>
      <c r="P527" t="s">
        <v>3904</v>
      </c>
      <c r="Q527" t="s">
        <v>3903</v>
      </c>
      <c r="R527" s="7">
        <v>36114</v>
      </c>
      <c r="S527" s="8">
        <f t="shared" si="64"/>
        <v>1998</v>
      </c>
      <c r="T527" s="8">
        <v>1998</v>
      </c>
      <c r="U527" s="8">
        <f t="shared" si="65"/>
        <v>24</v>
      </c>
      <c r="V527" s="7">
        <v>36114</v>
      </c>
      <c r="W527" t="s">
        <v>3902</v>
      </c>
      <c r="X527" s="2">
        <v>0.95099999999999996</v>
      </c>
      <c r="Y527" s="6">
        <f t="shared" si="66"/>
        <v>2.5386401857932249E-2</v>
      </c>
      <c r="AA527">
        <v>243795</v>
      </c>
      <c r="AB527">
        <v>24475</v>
      </c>
      <c r="AD527" t="s">
        <v>2</v>
      </c>
      <c r="AE527">
        <v>284</v>
      </c>
      <c r="AF527" s="9">
        <v>44256</v>
      </c>
      <c r="AH527" t="s">
        <v>3901</v>
      </c>
      <c r="AI527" t="s">
        <v>3900</v>
      </c>
      <c r="AJ527" t="s">
        <v>3899</v>
      </c>
      <c r="AK527" t="s">
        <v>3898</v>
      </c>
      <c r="AL527">
        <v>1638</v>
      </c>
      <c r="AM527" s="5">
        <f t="shared" si="67"/>
        <v>68.25</v>
      </c>
      <c r="AN527" s="4">
        <f t="shared" si="68"/>
        <v>0.10336993563044301</v>
      </c>
      <c r="AO527" s="3"/>
      <c r="AP527">
        <v>1</v>
      </c>
      <c r="AQ527" t="s">
        <v>17</v>
      </c>
      <c r="AR527" t="s">
        <v>3897</v>
      </c>
      <c r="AS527" t="s">
        <v>16</v>
      </c>
      <c r="AT527" s="2">
        <v>1.401</v>
      </c>
      <c r="AU527" s="1">
        <f t="shared" si="69"/>
        <v>4.8781461989685475</v>
      </c>
      <c r="AV527" s="1">
        <f t="shared" si="70"/>
        <v>6.4378168744187629</v>
      </c>
      <c r="AW527" s="1">
        <f t="shared" si="71"/>
        <v>7.9974875498689775</v>
      </c>
    </row>
    <row r="528" spans="1:49" x14ac:dyDescent="0.2">
      <c r="A528">
        <v>526</v>
      </c>
      <c r="B528" t="s">
        <v>3896</v>
      </c>
      <c r="C528" t="s">
        <v>3895</v>
      </c>
      <c r="D528" t="s">
        <v>3894</v>
      </c>
      <c r="E528">
        <v>9808789</v>
      </c>
      <c r="F528" t="s">
        <v>3893</v>
      </c>
      <c r="G528" t="s">
        <v>5</v>
      </c>
      <c r="H528" t="s">
        <v>4</v>
      </c>
      <c r="I528" t="s">
        <v>3892</v>
      </c>
      <c r="J528" t="s">
        <v>3891</v>
      </c>
      <c r="K528" t="s">
        <v>3890</v>
      </c>
      <c r="L528" t="s">
        <v>3889</v>
      </c>
      <c r="M528" t="s">
        <v>476</v>
      </c>
      <c r="N528">
        <v>4</v>
      </c>
      <c r="O528" t="s">
        <v>3888</v>
      </c>
      <c r="P528" t="s">
        <v>3887</v>
      </c>
      <c r="Q528" t="s">
        <v>3886</v>
      </c>
      <c r="R528" s="7">
        <v>36114</v>
      </c>
      <c r="S528" s="8">
        <f t="shared" si="64"/>
        <v>1998</v>
      </c>
      <c r="T528" s="8">
        <v>1998</v>
      </c>
      <c r="U528" s="8">
        <f t="shared" si="65"/>
        <v>24</v>
      </c>
      <c r="V528" s="7">
        <v>36114</v>
      </c>
      <c r="W528" t="s">
        <v>3885</v>
      </c>
      <c r="X528" s="2">
        <v>1.77</v>
      </c>
      <c r="Y528" s="6">
        <f t="shared" si="66"/>
        <v>4.7249139104668859E-2</v>
      </c>
      <c r="AA528">
        <v>121606</v>
      </c>
      <c r="AB528">
        <v>14536</v>
      </c>
      <c r="AD528" t="s">
        <v>2</v>
      </c>
      <c r="AE528">
        <v>203</v>
      </c>
      <c r="AF528">
        <v>2</v>
      </c>
      <c r="AH528" t="s">
        <v>3884</v>
      </c>
      <c r="AI528" t="s">
        <v>3883</v>
      </c>
      <c r="AJ528" t="s">
        <v>3882</v>
      </c>
      <c r="AK528" t="s">
        <v>3881</v>
      </c>
      <c r="AL528">
        <v>44</v>
      </c>
      <c r="AM528" s="5">
        <f t="shared" si="67"/>
        <v>1.8333333333333333</v>
      </c>
      <c r="AN528" s="4">
        <f t="shared" si="68"/>
        <v>2.7767259876309478E-3</v>
      </c>
      <c r="AO528" s="3"/>
      <c r="AP528">
        <v>1</v>
      </c>
      <c r="AQ528" t="s">
        <v>206</v>
      </c>
      <c r="AR528" t="s">
        <v>3880</v>
      </c>
      <c r="AS528" t="s">
        <v>204</v>
      </c>
      <c r="AT528" s="2">
        <v>3.5819999999999999</v>
      </c>
      <c r="AU528" s="1">
        <f t="shared" si="69"/>
        <v>3.3907415169557482</v>
      </c>
      <c r="AV528" s="1">
        <f t="shared" si="70"/>
        <v>2.5012932546149904</v>
      </c>
      <c r="AW528" s="1">
        <f t="shared" si="71"/>
        <v>1.6118449922742319</v>
      </c>
    </row>
    <row r="529" spans="1:49" x14ac:dyDescent="0.2">
      <c r="A529">
        <v>527</v>
      </c>
      <c r="B529" t="s">
        <v>3879</v>
      </c>
      <c r="C529" t="s">
        <v>3878</v>
      </c>
      <c r="E529">
        <v>9851715</v>
      </c>
      <c r="F529" t="s">
        <v>3877</v>
      </c>
      <c r="G529" t="s">
        <v>5</v>
      </c>
      <c r="H529" t="s">
        <v>4</v>
      </c>
      <c r="I529" t="s">
        <v>3876</v>
      </c>
      <c r="J529" t="s">
        <v>3875</v>
      </c>
      <c r="K529" t="s">
        <v>3874</v>
      </c>
      <c r="L529" t="s">
        <v>3873</v>
      </c>
      <c r="M529" t="s">
        <v>150</v>
      </c>
      <c r="N529">
        <v>6</v>
      </c>
      <c r="O529" t="s">
        <v>3872</v>
      </c>
      <c r="P529" t="s">
        <v>3871</v>
      </c>
      <c r="Q529" t="s">
        <v>3870</v>
      </c>
      <c r="R529" s="7">
        <v>36114</v>
      </c>
      <c r="S529" s="8">
        <f t="shared" si="64"/>
        <v>1998</v>
      </c>
      <c r="T529" s="8">
        <v>1998</v>
      </c>
      <c r="U529" s="8">
        <f t="shared" si="65"/>
        <v>24</v>
      </c>
      <c r="V529" s="7">
        <v>36114</v>
      </c>
      <c r="W529" t="s">
        <v>700</v>
      </c>
      <c r="X529" s="2">
        <v>1.9810000000000001</v>
      </c>
      <c r="Y529" s="6">
        <f t="shared" si="66"/>
        <v>5.2881663596807349E-2</v>
      </c>
      <c r="AA529">
        <v>142956</v>
      </c>
      <c r="AB529">
        <v>39034</v>
      </c>
      <c r="AD529" t="s">
        <v>2</v>
      </c>
      <c r="AE529">
        <v>258</v>
      </c>
      <c r="AF529">
        <v>1</v>
      </c>
      <c r="AH529" t="s">
        <v>3869</v>
      </c>
      <c r="AI529" t="s">
        <v>3868</v>
      </c>
      <c r="AJ529" t="s">
        <v>3867</v>
      </c>
      <c r="AK529" t="s">
        <v>3866</v>
      </c>
      <c r="AL529">
        <v>67</v>
      </c>
      <c r="AM529" s="5">
        <f t="shared" si="67"/>
        <v>2.7916666666666665</v>
      </c>
      <c r="AN529" s="4">
        <f t="shared" si="68"/>
        <v>4.2281963902562163E-3</v>
      </c>
      <c r="AO529" s="3"/>
      <c r="AP529">
        <v>0</v>
      </c>
      <c r="AR529" t="s">
        <v>1</v>
      </c>
      <c r="AT529" s="2" t="s">
        <v>0</v>
      </c>
      <c r="AU529" s="1">
        <f t="shared" si="69"/>
        <v>3.8285623434842009</v>
      </c>
      <c r="AV529" s="1">
        <f t="shared" si="70"/>
        <v>2.8554929993531784</v>
      </c>
      <c r="AW529" s="1">
        <f t="shared" si="71"/>
        <v>1.8824236552221554</v>
      </c>
    </row>
    <row r="530" spans="1:49" x14ac:dyDescent="0.2">
      <c r="A530">
        <v>528</v>
      </c>
      <c r="B530" t="s">
        <v>3865</v>
      </c>
      <c r="C530" t="s">
        <v>3864</v>
      </c>
      <c r="D530" t="s">
        <v>3863</v>
      </c>
      <c r="E530">
        <v>9835028</v>
      </c>
      <c r="F530" t="s">
        <v>3862</v>
      </c>
      <c r="G530" t="s">
        <v>5</v>
      </c>
      <c r="H530" t="s">
        <v>4</v>
      </c>
      <c r="I530" t="s">
        <v>3861</v>
      </c>
      <c r="J530">
        <v>100545056</v>
      </c>
      <c r="K530" t="s">
        <v>3860</v>
      </c>
      <c r="L530" t="s">
        <v>661</v>
      </c>
      <c r="M530" t="s">
        <v>9</v>
      </c>
      <c r="N530">
        <v>2</v>
      </c>
      <c r="O530" t="s">
        <v>3859</v>
      </c>
      <c r="P530" t="s">
        <v>3858</v>
      </c>
      <c r="Q530" t="s">
        <v>3857</v>
      </c>
      <c r="R530" s="7">
        <v>36114</v>
      </c>
      <c r="S530" s="8">
        <f t="shared" si="64"/>
        <v>1998</v>
      </c>
      <c r="T530" s="8">
        <v>1998</v>
      </c>
      <c r="U530" s="8">
        <f t="shared" si="65"/>
        <v>24</v>
      </c>
      <c r="V530" s="7">
        <v>36114</v>
      </c>
      <c r="W530" t="s">
        <v>1376</v>
      </c>
      <c r="X530" s="2">
        <v>0.89900000000000002</v>
      </c>
      <c r="Y530" s="6">
        <f t="shared" si="66"/>
        <v>2.399829155655215E-2</v>
      </c>
      <c r="AA530">
        <v>3781097</v>
      </c>
      <c r="AB530">
        <v>19706</v>
      </c>
      <c r="AD530" t="s">
        <v>2</v>
      </c>
      <c r="AE530">
        <v>168</v>
      </c>
      <c r="AF530">
        <v>2</v>
      </c>
      <c r="AH530" t="s">
        <v>758</v>
      </c>
      <c r="AI530" t="s">
        <v>3856</v>
      </c>
      <c r="AJ530" t="s">
        <v>3855</v>
      </c>
      <c r="AK530" t="s">
        <v>3854</v>
      </c>
      <c r="AL530">
        <v>4</v>
      </c>
      <c r="AM530" s="5">
        <f t="shared" si="67"/>
        <v>0.16666666666666666</v>
      </c>
      <c r="AN530" s="4">
        <f t="shared" si="68"/>
        <v>2.5242963523917705E-4</v>
      </c>
      <c r="AO530" s="3"/>
      <c r="AP530">
        <v>0</v>
      </c>
      <c r="AQ530" t="s">
        <v>17</v>
      </c>
      <c r="AR530" t="s">
        <v>3853</v>
      </c>
      <c r="AS530" t="s">
        <v>16</v>
      </c>
      <c r="AT530" s="2">
        <v>2.742</v>
      </c>
      <c r="AU530" s="1">
        <f t="shared" si="69"/>
        <v>1.6874532980158254</v>
      </c>
      <c r="AV530" s="1">
        <f t="shared" si="70"/>
        <v>1.2125360595895662</v>
      </c>
      <c r="AW530" s="1">
        <f t="shared" si="71"/>
        <v>0.73761882116330679</v>
      </c>
    </row>
    <row r="531" spans="1:49" x14ac:dyDescent="0.2">
      <c r="A531">
        <v>529</v>
      </c>
      <c r="B531" t="s">
        <v>3852</v>
      </c>
      <c r="C531" t="s">
        <v>3851</v>
      </c>
      <c r="F531" t="s">
        <v>3850</v>
      </c>
      <c r="G531" t="s">
        <v>5</v>
      </c>
      <c r="H531" t="s">
        <v>4</v>
      </c>
      <c r="I531" t="s">
        <v>3849</v>
      </c>
      <c r="J531" t="s">
        <v>3848</v>
      </c>
      <c r="K531" t="s">
        <v>3847</v>
      </c>
      <c r="L531" t="s">
        <v>116</v>
      </c>
      <c r="M531" t="s">
        <v>115</v>
      </c>
      <c r="N531">
        <v>4</v>
      </c>
      <c r="O531" t="s">
        <v>3846</v>
      </c>
      <c r="P531" t="s">
        <v>3845</v>
      </c>
      <c r="Q531" t="s">
        <v>3844</v>
      </c>
      <c r="R531" s="7">
        <v>36111</v>
      </c>
      <c r="S531" s="8">
        <f t="shared" si="64"/>
        <v>1998</v>
      </c>
      <c r="T531" s="8">
        <v>1998</v>
      </c>
      <c r="U531" s="8">
        <f t="shared" si="65"/>
        <v>24</v>
      </c>
      <c r="V531" s="7">
        <v>36111</v>
      </c>
      <c r="W531" t="s">
        <v>612</v>
      </c>
      <c r="X531" s="2">
        <v>0.375</v>
      </c>
      <c r="Y531" s="6">
        <f t="shared" si="66"/>
        <v>1.0010410827260351E-2</v>
      </c>
      <c r="AA531">
        <v>135194</v>
      </c>
      <c r="AB531">
        <v>24918</v>
      </c>
      <c r="AD531" t="s">
        <v>2</v>
      </c>
      <c r="AE531">
        <v>34</v>
      </c>
      <c r="AF531">
        <v>23</v>
      </c>
      <c r="AH531" t="s">
        <v>3843</v>
      </c>
      <c r="AI531" t="s">
        <v>3842</v>
      </c>
      <c r="AK531" t="s">
        <v>3841</v>
      </c>
      <c r="AL531">
        <v>2</v>
      </c>
      <c r="AM531" s="5">
        <f t="shared" si="67"/>
        <v>8.3333333333333329E-2</v>
      </c>
      <c r="AN531" s="4">
        <f t="shared" si="68"/>
        <v>1.2621481761958852E-4</v>
      </c>
      <c r="AO531" s="3"/>
      <c r="AP531">
        <v>0</v>
      </c>
      <c r="AR531" t="s">
        <v>1</v>
      </c>
      <c r="AT531" s="2">
        <v>1.3140000000000001</v>
      </c>
      <c r="AU531" s="1">
        <f t="shared" si="69"/>
        <v>0.7045152024368122</v>
      </c>
      <c r="AV531" s="1">
        <f t="shared" si="70"/>
        <v>0.50683128224399698</v>
      </c>
      <c r="AW531" s="1">
        <f t="shared" si="71"/>
        <v>0.30914736205118171</v>
      </c>
    </row>
    <row r="532" spans="1:49" x14ac:dyDescent="0.2">
      <c r="A532">
        <v>530</v>
      </c>
      <c r="B532" t="s">
        <v>3840</v>
      </c>
      <c r="C532" t="s">
        <v>3839</v>
      </c>
      <c r="F532" t="s">
        <v>3838</v>
      </c>
      <c r="G532" t="s">
        <v>5</v>
      </c>
      <c r="H532" t="s">
        <v>4</v>
      </c>
      <c r="I532" t="s">
        <v>262</v>
      </c>
      <c r="J532">
        <v>60020650</v>
      </c>
      <c r="K532" t="s">
        <v>261</v>
      </c>
      <c r="L532" t="s">
        <v>260</v>
      </c>
      <c r="M532" t="s">
        <v>13</v>
      </c>
      <c r="N532">
        <v>1</v>
      </c>
      <c r="O532" t="s">
        <v>2473</v>
      </c>
      <c r="P532">
        <v>7004302468</v>
      </c>
      <c r="Q532">
        <v>60020650</v>
      </c>
      <c r="R532" s="7">
        <v>36111</v>
      </c>
      <c r="S532" s="8">
        <f t="shared" si="64"/>
        <v>1998</v>
      </c>
      <c r="T532" s="8">
        <v>1998</v>
      </c>
      <c r="U532" s="8">
        <f t="shared" si="65"/>
        <v>24</v>
      </c>
      <c r="V532" s="7">
        <v>36111</v>
      </c>
      <c r="W532" t="s">
        <v>612</v>
      </c>
      <c r="X532" s="2">
        <v>0.375</v>
      </c>
      <c r="Y532" s="6">
        <f t="shared" si="66"/>
        <v>1.0010410827260351E-2</v>
      </c>
      <c r="AA532">
        <v>135194</v>
      </c>
      <c r="AB532">
        <v>24918</v>
      </c>
      <c r="AD532" t="s">
        <v>2</v>
      </c>
      <c r="AE532">
        <v>34</v>
      </c>
      <c r="AF532">
        <v>23</v>
      </c>
      <c r="AH532" t="s">
        <v>3837</v>
      </c>
      <c r="AI532" t="s">
        <v>3836</v>
      </c>
      <c r="AK532" t="s">
        <v>3835</v>
      </c>
      <c r="AL532">
        <v>1</v>
      </c>
      <c r="AM532" s="5">
        <f t="shared" si="67"/>
        <v>4.1666666666666664E-2</v>
      </c>
      <c r="AN532" s="4">
        <f t="shared" si="68"/>
        <v>6.3107408809794262E-5</v>
      </c>
      <c r="AO532" s="3"/>
      <c r="AP532">
        <v>0</v>
      </c>
      <c r="AR532" t="s">
        <v>1</v>
      </c>
      <c r="AT532" s="2">
        <v>1.3140000000000001</v>
      </c>
      <c r="AU532" s="1">
        <f t="shared" si="69"/>
        <v>0.70262198017251842</v>
      </c>
      <c r="AV532" s="1">
        <f t="shared" si="70"/>
        <v>0.50367591180350735</v>
      </c>
      <c r="AW532" s="1">
        <f t="shared" si="71"/>
        <v>0.30472984343449611</v>
      </c>
    </row>
    <row r="533" spans="1:49" x14ac:dyDescent="0.2">
      <c r="A533">
        <v>531</v>
      </c>
      <c r="B533" t="s">
        <v>3834</v>
      </c>
      <c r="C533" t="s">
        <v>3833</v>
      </c>
      <c r="F533" t="s">
        <v>3832</v>
      </c>
      <c r="G533" t="s">
        <v>5</v>
      </c>
      <c r="H533" t="s">
        <v>4</v>
      </c>
      <c r="I533" t="s">
        <v>550</v>
      </c>
      <c r="J533">
        <v>60025555</v>
      </c>
      <c r="K533" t="s">
        <v>173</v>
      </c>
      <c r="L533" t="s">
        <v>104</v>
      </c>
      <c r="M533" t="s">
        <v>12</v>
      </c>
      <c r="N533">
        <v>4</v>
      </c>
      <c r="O533" t="s">
        <v>3831</v>
      </c>
      <c r="P533" t="s">
        <v>3830</v>
      </c>
      <c r="Q533" t="s">
        <v>255</v>
      </c>
      <c r="R533" s="7">
        <v>36111</v>
      </c>
      <c r="S533" s="8">
        <f t="shared" si="64"/>
        <v>1998</v>
      </c>
      <c r="T533" s="8">
        <v>1998</v>
      </c>
      <c r="U533" s="8">
        <f t="shared" si="65"/>
        <v>24</v>
      </c>
      <c r="V533" s="7">
        <v>36111</v>
      </c>
      <c r="W533" t="s">
        <v>612</v>
      </c>
      <c r="X533" s="2">
        <v>0.375</v>
      </c>
      <c r="Y533" s="6">
        <f t="shared" si="66"/>
        <v>1.0010410827260351E-2</v>
      </c>
      <c r="AA533">
        <v>135194</v>
      </c>
      <c r="AB533">
        <v>24918</v>
      </c>
      <c r="AD533" t="s">
        <v>2</v>
      </c>
      <c r="AE533">
        <v>34</v>
      </c>
      <c r="AF533">
        <v>23</v>
      </c>
      <c r="AH533" t="s">
        <v>3829</v>
      </c>
      <c r="AI533" t="s">
        <v>3828</v>
      </c>
      <c r="AK533" t="s">
        <v>3827</v>
      </c>
      <c r="AL533">
        <v>4</v>
      </c>
      <c r="AM533" s="5">
        <f t="shared" si="67"/>
        <v>0.16666666666666666</v>
      </c>
      <c r="AN533" s="4">
        <f t="shared" si="68"/>
        <v>2.5242963523917705E-4</v>
      </c>
      <c r="AO533" s="3"/>
      <c r="AP533">
        <v>0</v>
      </c>
      <c r="AR533" t="s">
        <v>1</v>
      </c>
      <c r="AT533" s="2">
        <v>1.3140000000000001</v>
      </c>
      <c r="AU533" s="1">
        <f t="shared" si="69"/>
        <v>0.70830164696539988</v>
      </c>
      <c r="AV533" s="1">
        <f t="shared" si="70"/>
        <v>0.51314202312497648</v>
      </c>
      <c r="AW533" s="1">
        <f t="shared" si="71"/>
        <v>0.31798239928455291</v>
      </c>
    </row>
    <row r="534" spans="1:49" x14ac:dyDescent="0.2">
      <c r="A534">
        <v>532</v>
      </c>
      <c r="B534" t="s">
        <v>3826</v>
      </c>
      <c r="C534" t="s">
        <v>3825</v>
      </c>
      <c r="F534" t="s">
        <v>3824</v>
      </c>
      <c r="G534" t="s">
        <v>5</v>
      </c>
      <c r="H534" t="s">
        <v>4</v>
      </c>
      <c r="I534" t="s">
        <v>3823</v>
      </c>
      <c r="J534">
        <v>60014313</v>
      </c>
      <c r="K534" t="s">
        <v>86</v>
      </c>
      <c r="L534" t="s">
        <v>85</v>
      </c>
      <c r="M534" t="s">
        <v>9</v>
      </c>
      <c r="N534">
        <v>2</v>
      </c>
      <c r="O534" t="s">
        <v>3822</v>
      </c>
      <c r="P534" t="s">
        <v>3821</v>
      </c>
      <c r="Q534" t="s">
        <v>755</v>
      </c>
      <c r="R534" s="7">
        <v>36111</v>
      </c>
      <c r="S534" s="8">
        <f t="shared" si="64"/>
        <v>1998</v>
      </c>
      <c r="T534" s="8">
        <v>1998</v>
      </c>
      <c r="U534" s="8">
        <f t="shared" si="65"/>
        <v>24</v>
      </c>
      <c r="V534" s="7">
        <v>36111</v>
      </c>
      <c r="W534" t="s">
        <v>612</v>
      </c>
      <c r="X534" s="2">
        <v>0.375</v>
      </c>
      <c r="Y534" s="6">
        <f t="shared" si="66"/>
        <v>1.0010410827260351E-2</v>
      </c>
      <c r="AA534">
        <v>135194</v>
      </c>
      <c r="AB534">
        <v>24918</v>
      </c>
      <c r="AD534" t="s">
        <v>2</v>
      </c>
      <c r="AE534">
        <v>34</v>
      </c>
      <c r="AF534">
        <v>23</v>
      </c>
      <c r="AH534" t="s">
        <v>3820</v>
      </c>
      <c r="AI534" t="s">
        <v>3819</v>
      </c>
      <c r="AK534" t="s">
        <v>3818</v>
      </c>
      <c r="AL534">
        <v>22</v>
      </c>
      <c r="AM534" s="5">
        <f t="shared" si="67"/>
        <v>0.91666666666666663</v>
      </c>
      <c r="AN534" s="4">
        <f t="shared" si="68"/>
        <v>1.3883629938154739E-3</v>
      </c>
      <c r="AO534" s="3"/>
      <c r="AP534">
        <v>0</v>
      </c>
      <c r="AR534" t="s">
        <v>1</v>
      </c>
      <c r="AT534" s="2">
        <v>1.3140000000000001</v>
      </c>
      <c r="AU534" s="1">
        <f t="shared" si="69"/>
        <v>0.74237964772268883</v>
      </c>
      <c r="AV534" s="1">
        <f t="shared" si="70"/>
        <v>0.56993869105379125</v>
      </c>
      <c r="AW534" s="1">
        <f t="shared" si="71"/>
        <v>0.39749773438489366</v>
      </c>
    </row>
    <row r="535" spans="1:49" x14ac:dyDescent="0.2">
      <c r="A535">
        <v>533</v>
      </c>
      <c r="B535" t="s">
        <v>3817</v>
      </c>
      <c r="C535" t="s">
        <v>3816</v>
      </c>
      <c r="F535" t="s">
        <v>3815</v>
      </c>
      <c r="G535" t="s">
        <v>5</v>
      </c>
      <c r="H535" t="s">
        <v>4</v>
      </c>
      <c r="I535" t="s">
        <v>3814</v>
      </c>
      <c r="J535">
        <v>60027550</v>
      </c>
      <c r="K535" t="s">
        <v>11</v>
      </c>
      <c r="L535" t="s">
        <v>10</v>
      </c>
      <c r="M535" t="s">
        <v>9</v>
      </c>
      <c r="N535">
        <v>4</v>
      </c>
      <c r="O535" t="s">
        <v>3813</v>
      </c>
      <c r="P535" t="s">
        <v>3812</v>
      </c>
      <c r="Q535" t="s">
        <v>3600</v>
      </c>
      <c r="R535" s="7">
        <v>36111</v>
      </c>
      <c r="S535" s="8">
        <f t="shared" si="64"/>
        <v>1998</v>
      </c>
      <c r="T535" s="8">
        <v>1998</v>
      </c>
      <c r="U535" s="8">
        <f t="shared" si="65"/>
        <v>24</v>
      </c>
      <c r="V535" s="7">
        <v>36111</v>
      </c>
      <c r="W535" t="s">
        <v>612</v>
      </c>
      <c r="X535" s="2">
        <v>0.375</v>
      </c>
      <c r="Y535" s="6">
        <f t="shared" si="66"/>
        <v>1.0010410827260351E-2</v>
      </c>
      <c r="AA535">
        <v>135194</v>
      </c>
      <c r="AB535">
        <v>24918</v>
      </c>
      <c r="AD535" t="s">
        <v>2</v>
      </c>
      <c r="AE535">
        <v>34</v>
      </c>
      <c r="AF535">
        <v>23</v>
      </c>
      <c r="AH535" t="s">
        <v>3811</v>
      </c>
      <c r="AI535" t="s">
        <v>3810</v>
      </c>
      <c r="AK535" t="s">
        <v>3809</v>
      </c>
      <c r="AL535">
        <v>238</v>
      </c>
      <c r="AM535" s="5">
        <f t="shared" si="67"/>
        <v>9.9166666666666661</v>
      </c>
      <c r="AN535" s="4">
        <f t="shared" si="68"/>
        <v>1.5019563296731035E-2</v>
      </c>
      <c r="AO535" s="3"/>
      <c r="AP535">
        <v>0</v>
      </c>
      <c r="AR535" t="s">
        <v>1</v>
      </c>
      <c r="AT535" s="2">
        <v>1.3140000000000001</v>
      </c>
      <c r="AU535" s="1">
        <f t="shared" si="69"/>
        <v>1.1513156568101555</v>
      </c>
      <c r="AV535" s="1">
        <f t="shared" si="70"/>
        <v>1.2514987061995693</v>
      </c>
      <c r="AW535" s="1">
        <f t="shared" si="71"/>
        <v>1.3516817555889828</v>
      </c>
    </row>
    <row r="536" spans="1:49" x14ac:dyDescent="0.2">
      <c r="A536">
        <v>534</v>
      </c>
      <c r="B536" t="s">
        <v>3808</v>
      </c>
      <c r="C536" t="s">
        <v>3807</v>
      </c>
      <c r="F536" t="s">
        <v>3806</v>
      </c>
      <c r="G536" t="s">
        <v>5</v>
      </c>
      <c r="H536" t="s">
        <v>4</v>
      </c>
      <c r="I536" t="s">
        <v>3805</v>
      </c>
      <c r="J536">
        <v>60073971</v>
      </c>
      <c r="K536" t="s">
        <v>430</v>
      </c>
      <c r="L536" t="s">
        <v>429</v>
      </c>
      <c r="M536" t="s">
        <v>9</v>
      </c>
      <c r="N536">
        <v>1</v>
      </c>
      <c r="O536" t="s">
        <v>3804</v>
      </c>
      <c r="P536">
        <v>55951888900</v>
      </c>
      <c r="Q536">
        <v>60073971</v>
      </c>
      <c r="R536" s="7">
        <v>36111</v>
      </c>
      <c r="S536" s="8">
        <f t="shared" si="64"/>
        <v>1998</v>
      </c>
      <c r="T536" s="8">
        <v>1998</v>
      </c>
      <c r="U536" s="8">
        <f t="shared" si="65"/>
        <v>24</v>
      </c>
      <c r="V536" s="7">
        <v>36111</v>
      </c>
      <c r="W536" t="s">
        <v>612</v>
      </c>
      <c r="X536" s="2">
        <v>0.375</v>
      </c>
      <c r="Y536" s="6">
        <f t="shared" si="66"/>
        <v>1.0010410827260351E-2</v>
      </c>
      <c r="AA536">
        <v>135194</v>
      </c>
      <c r="AB536">
        <v>24918</v>
      </c>
      <c r="AD536" t="s">
        <v>2</v>
      </c>
      <c r="AE536">
        <v>34</v>
      </c>
      <c r="AF536">
        <v>23</v>
      </c>
      <c r="AH536" t="s">
        <v>3803</v>
      </c>
      <c r="AI536" t="s">
        <v>3802</v>
      </c>
      <c r="AK536" t="s">
        <v>3801</v>
      </c>
      <c r="AL536">
        <v>9</v>
      </c>
      <c r="AM536" s="5">
        <f t="shared" si="67"/>
        <v>0.375</v>
      </c>
      <c r="AN536" s="4">
        <f t="shared" si="68"/>
        <v>5.6796667928814845E-4</v>
      </c>
      <c r="AO536" s="3"/>
      <c r="AP536">
        <v>0</v>
      </c>
      <c r="AR536" t="s">
        <v>1</v>
      </c>
      <c r="AT536" s="2">
        <v>1.3140000000000001</v>
      </c>
      <c r="AU536" s="1">
        <f t="shared" si="69"/>
        <v>0.71776775828686901</v>
      </c>
      <c r="AV536" s="1">
        <f t="shared" si="70"/>
        <v>0.52891887532742499</v>
      </c>
      <c r="AW536" s="1">
        <f t="shared" si="71"/>
        <v>0.34006999236798091</v>
      </c>
    </row>
    <row r="537" spans="1:49" x14ac:dyDescent="0.2">
      <c r="A537">
        <v>535</v>
      </c>
      <c r="B537" t="s">
        <v>3800</v>
      </c>
      <c r="C537" t="s">
        <v>3799</v>
      </c>
      <c r="F537" t="s">
        <v>3798</v>
      </c>
      <c r="G537" t="s">
        <v>5</v>
      </c>
      <c r="H537" t="s">
        <v>4</v>
      </c>
      <c r="I537" t="s">
        <v>3797</v>
      </c>
      <c r="J537">
        <v>60013983</v>
      </c>
      <c r="K537" t="s">
        <v>34</v>
      </c>
      <c r="L537" t="s">
        <v>33</v>
      </c>
      <c r="M537" t="s">
        <v>32</v>
      </c>
      <c r="N537">
        <v>3</v>
      </c>
      <c r="O537" t="s">
        <v>3796</v>
      </c>
      <c r="P537" t="s">
        <v>3795</v>
      </c>
      <c r="Q537" t="s">
        <v>580</v>
      </c>
      <c r="R537" s="7">
        <v>36111</v>
      </c>
      <c r="S537" s="8">
        <f t="shared" si="64"/>
        <v>1998</v>
      </c>
      <c r="T537" s="8">
        <v>1998</v>
      </c>
      <c r="U537" s="8">
        <f t="shared" si="65"/>
        <v>24</v>
      </c>
      <c r="V537" s="7">
        <v>36111</v>
      </c>
      <c r="W537" t="s">
        <v>612</v>
      </c>
      <c r="X537" s="2">
        <v>0.375</v>
      </c>
      <c r="Y537" s="6">
        <f t="shared" si="66"/>
        <v>1.0010410827260351E-2</v>
      </c>
      <c r="AA537">
        <v>135194</v>
      </c>
      <c r="AB537">
        <v>24918</v>
      </c>
      <c r="AD537" t="s">
        <v>2</v>
      </c>
      <c r="AE537">
        <v>34</v>
      </c>
      <c r="AF537">
        <v>23</v>
      </c>
      <c r="AH537" t="s">
        <v>3794</v>
      </c>
      <c r="AI537" t="s">
        <v>3793</v>
      </c>
      <c r="AK537" t="s">
        <v>3792</v>
      </c>
      <c r="AL537">
        <v>30</v>
      </c>
      <c r="AM537" s="5">
        <f t="shared" si="67"/>
        <v>1.25</v>
      </c>
      <c r="AN537" s="4">
        <f t="shared" si="68"/>
        <v>1.8932222642938281E-3</v>
      </c>
      <c r="AO537" s="3"/>
      <c r="AP537">
        <v>0</v>
      </c>
      <c r="AR537" t="s">
        <v>1</v>
      </c>
      <c r="AT537" s="2">
        <v>1.3140000000000001</v>
      </c>
      <c r="AU537" s="1">
        <f t="shared" si="69"/>
        <v>0.75752542583703941</v>
      </c>
      <c r="AV537" s="1">
        <f t="shared" si="70"/>
        <v>0.595181654577709</v>
      </c>
      <c r="AW537" s="1">
        <f t="shared" si="71"/>
        <v>0.43283788331837847</v>
      </c>
    </row>
    <row r="538" spans="1:49" x14ac:dyDescent="0.2">
      <c r="A538">
        <v>536</v>
      </c>
      <c r="B538" t="s">
        <v>3791</v>
      </c>
      <c r="C538" t="s">
        <v>3790</v>
      </c>
      <c r="F538" t="s">
        <v>3789</v>
      </c>
      <c r="G538" t="s">
        <v>5</v>
      </c>
      <c r="H538" t="s">
        <v>4</v>
      </c>
      <c r="I538" t="s">
        <v>619</v>
      </c>
      <c r="J538">
        <v>60011357</v>
      </c>
      <c r="K538" t="s">
        <v>130</v>
      </c>
      <c r="L538" t="s">
        <v>129</v>
      </c>
      <c r="M538" t="s">
        <v>128</v>
      </c>
      <c r="N538">
        <v>3</v>
      </c>
      <c r="O538" t="s">
        <v>3788</v>
      </c>
      <c r="P538" t="s">
        <v>3787</v>
      </c>
      <c r="Q538" t="s">
        <v>395</v>
      </c>
      <c r="R538" s="7">
        <v>36111</v>
      </c>
      <c r="S538" s="8">
        <f t="shared" si="64"/>
        <v>1998</v>
      </c>
      <c r="T538" s="8">
        <v>1998</v>
      </c>
      <c r="U538" s="8">
        <f t="shared" si="65"/>
        <v>24</v>
      </c>
      <c r="V538" s="7">
        <v>36111</v>
      </c>
      <c r="W538" t="s">
        <v>612</v>
      </c>
      <c r="X538" s="2">
        <v>0.375</v>
      </c>
      <c r="Y538" s="6">
        <f t="shared" si="66"/>
        <v>1.0010410827260351E-2</v>
      </c>
      <c r="AA538">
        <v>135194</v>
      </c>
      <c r="AB538">
        <v>24918</v>
      </c>
      <c r="AD538" t="s">
        <v>2</v>
      </c>
      <c r="AE538">
        <v>34</v>
      </c>
      <c r="AF538">
        <v>23</v>
      </c>
      <c r="AH538" t="s">
        <v>3786</v>
      </c>
      <c r="AI538" t="s">
        <v>3785</v>
      </c>
      <c r="AK538" t="s">
        <v>3784</v>
      </c>
      <c r="AL538">
        <v>22</v>
      </c>
      <c r="AM538" s="5">
        <f t="shared" si="67"/>
        <v>0.91666666666666663</v>
      </c>
      <c r="AN538" s="4">
        <f t="shared" si="68"/>
        <v>1.3883629938154739E-3</v>
      </c>
      <c r="AO538" s="3"/>
      <c r="AP538">
        <v>0</v>
      </c>
      <c r="AR538" t="s">
        <v>1</v>
      </c>
      <c r="AT538" s="2">
        <v>1.3140000000000001</v>
      </c>
      <c r="AU538" s="1">
        <f t="shared" si="69"/>
        <v>0.74237964772268883</v>
      </c>
      <c r="AV538" s="1">
        <f t="shared" si="70"/>
        <v>0.56993869105379125</v>
      </c>
      <c r="AW538" s="1">
        <f t="shared" si="71"/>
        <v>0.39749773438489366</v>
      </c>
    </row>
    <row r="539" spans="1:49" x14ac:dyDescent="0.2">
      <c r="A539">
        <v>537</v>
      </c>
      <c r="B539" t="s">
        <v>3783</v>
      </c>
      <c r="C539" t="s">
        <v>3782</v>
      </c>
      <c r="F539" t="s">
        <v>3781</v>
      </c>
      <c r="G539" t="s">
        <v>5</v>
      </c>
      <c r="H539" t="s">
        <v>4</v>
      </c>
      <c r="I539" t="s">
        <v>3780</v>
      </c>
      <c r="J539">
        <v>60009658</v>
      </c>
      <c r="K539" t="s">
        <v>1896</v>
      </c>
      <c r="L539" t="s">
        <v>1895</v>
      </c>
      <c r="M539" t="s">
        <v>13</v>
      </c>
      <c r="N539">
        <v>2</v>
      </c>
      <c r="O539" t="s">
        <v>3779</v>
      </c>
      <c r="P539" t="s">
        <v>3778</v>
      </c>
      <c r="Q539" t="s">
        <v>1892</v>
      </c>
      <c r="R539" s="7">
        <v>36111</v>
      </c>
      <c r="S539" s="8">
        <f t="shared" si="64"/>
        <v>1998</v>
      </c>
      <c r="T539" s="8">
        <v>1998</v>
      </c>
      <c r="U539" s="8">
        <f t="shared" si="65"/>
        <v>24</v>
      </c>
      <c r="V539" s="7">
        <v>36111</v>
      </c>
      <c r="W539" t="s">
        <v>612</v>
      </c>
      <c r="X539" s="2">
        <v>0.375</v>
      </c>
      <c r="Y539" s="6">
        <f t="shared" si="66"/>
        <v>1.0010410827260351E-2</v>
      </c>
      <c r="AA539">
        <v>135194</v>
      </c>
      <c r="AB539">
        <v>24918</v>
      </c>
      <c r="AD539" t="s">
        <v>2</v>
      </c>
      <c r="AE539">
        <v>34</v>
      </c>
      <c r="AF539">
        <v>23</v>
      </c>
      <c r="AH539" t="s">
        <v>3777</v>
      </c>
      <c r="AI539" t="s">
        <v>3776</v>
      </c>
      <c r="AK539" t="s">
        <v>3775</v>
      </c>
      <c r="AL539">
        <v>9</v>
      </c>
      <c r="AM539" s="5">
        <f t="shared" si="67"/>
        <v>0.375</v>
      </c>
      <c r="AN539" s="4">
        <f t="shared" si="68"/>
        <v>5.6796667928814845E-4</v>
      </c>
      <c r="AO539" s="3"/>
      <c r="AP539">
        <v>0</v>
      </c>
      <c r="AR539" t="s">
        <v>1</v>
      </c>
      <c r="AT539" s="2">
        <v>1.3140000000000001</v>
      </c>
      <c r="AU539" s="1">
        <f t="shared" si="69"/>
        <v>0.71776775828686901</v>
      </c>
      <c r="AV539" s="1">
        <f t="shared" si="70"/>
        <v>0.52891887532742499</v>
      </c>
      <c r="AW539" s="1">
        <f t="shared" si="71"/>
        <v>0.34006999236798091</v>
      </c>
    </row>
    <row r="540" spans="1:49" x14ac:dyDescent="0.2">
      <c r="A540">
        <v>538</v>
      </c>
      <c r="B540" t="s">
        <v>3774</v>
      </c>
      <c r="C540" t="s">
        <v>3773</v>
      </c>
      <c r="F540" t="s">
        <v>3772</v>
      </c>
      <c r="G540" t="s">
        <v>5</v>
      </c>
      <c r="H540" t="s">
        <v>4</v>
      </c>
      <c r="I540" t="s">
        <v>3771</v>
      </c>
      <c r="J540">
        <v>60011357</v>
      </c>
      <c r="K540" t="s">
        <v>130</v>
      </c>
      <c r="L540" t="s">
        <v>129</v>
      </c>
      <c r="M540" t="s">
        <v>128</v>
      </c>
      <c r="N540">
        <v>2</v>
      </c>
      <c r="O540" t="s">
        <v>3770</v>
      </c>
      <c r="P540" t="s">
        <v>3769</v>
      </c>
      <c r="Q540" t="s">
        <v>127</v>
      </c>
      <c r="R540" s="7">
        <v>36111</v>
      </c>
      <c r="S540" s="8">
        <f t="shared" si="64"/>
        <v>1998</v>
      </c>
      <c r="T540" s="8">
        <v>1998</v>
      </c>
      <c r="U540" s="8">
        <f t="shared" si="65"/>
        <v>24</v>
      </c>
      <c r="V540" s="7">
        <v>36111</v>
      </c>
      <c r="W540" t="s">
        <v>612</v>
      </c>
      <c r="X540" s="2">
        <v>0.375</v>
      </c>
      <c r="Y540" s="6">
        <f t="shared" si="66"/>
        <v>1.0010410827260351E-2</v>
      </c>
      <c r="AA540">
        <v>135194</v>
      </c>
      <c r="AB540">
        <v>24918</v>
      </c>
      <c r="AD540" t="s">
        <v>2</v>
      </c>
      <c r="AE540">
        <v>34</v>
      </c>
      <c r="AF540">
        <v>23</v>
      </c>
      <c r="AH540" t="s">
        <v>3768</v>
      </c>
      <c r="AI540" t="s">
        <v>3767</v>
      </c>
      <c r="AK540" t="s">
        <v>3766</v>
      </c>
      <c r="AL540">
        <v>26</v>
      </c>
      <c r="AM540" s="5">
        <f t="shared" si="67"/>
        <v>1.0833333333333333</v>
      </c>
      <c r="AN540" s="4">
        <f t="shared" si="68"/>
        <v>1.6407926290546509E-3</v>
      </c>
      <c r="AO540" s="3"/>
      <c r="AP540">
        <v>0</v>
      </c>
      <c r="AR540" t="s">
        <v>1</v>
      </c>
      <c r="AT540" s="2">
        <v>1.3140000000000001</v>
      </c>
      <c r="AU540" s="1">
        <f t="shared" si="69"/>
        <v>0.74995253677986418</v>
      </c>
      <c r="AV540" s="1">
        <f t="shared" si="70"/>
        <v>0.58256017281575012</v>
      </c>
      <c r="AW540" s="1">
        <f t="shared" si="71"/>
        <v>0.41516780885163607</v>
      </c>
    </row>
    <row r="541" spans="1:49" x14ac:dyDescent="0.2">
      <c r="A541">
        <v>539</v>
      </c>
      <c r="B541" t="s">
        <v>3765</v>
      </c>
      <c r="C541" t="s">
        <v>3764</v>
      </c>
      <c r="F541" t="s">
        <v>3763</v>
      </c>
      <c r="G541" t="s">
        <v>5</v>
      </c>
      <c r="H541" t="s">
        <v>4</v>
      </c>
      <c r="I541" t="s">
        <v>3762</v>
      </c>
      <c r="J541">
        <v>60011357</v>
      </c>
      <c r="K541" t="s">
        <v>130</v>
      </c>
      <c r="L541" t="s">
        <v>129</v>
      </c>
      <c r="M541" t="s">
        <v>128</v>
      </c>
      <c r="N541">
        <v>2</v>
      </c>
      <c r="O541" t="s">
        <v>3761</v>
      </c>
      <c r="P541" t="s">
        <v>3760</v>
      </c>
      <c r="Q541" t="s">
        <v>127</v>
      </c>
      <c r="R541" s="7">
        <v>36111</v>
      </c>
      <c r="S541" s="8">
        <f t="shared" si="64"/>
        <v>1998</v>
      </c>
      <c r="T541" s="8">
        <v>1998</v>
      </c>
      <c r="U541" s="8">
        <f t="shared" si="65"/>
        <v>24</v>
      </c>
      <c r="V541" s="7">
        <v>36111</v>
      </c>
      <c r="W541" t="s">
        <v>612</v>
      </c>
      <c r="X541" s="2">
        <v>0.375</v>
      </c>
      <c r="Y541" s="6">
        <f t="shared" si="66"/>
        <v>1.0010410827260351E-2</v>
      </c>
      <c r="AA541">
        <v>135194</v>
      </c>
      <c r="AB541">
        <v>24918</v>
      </c>
      <c r="AD541" t="s">
        <v>2</v>
      </c>
      <c r="AE541">
        <v>34</v>
      </c>
      <c r="AF541">
        <v>23</v>
      </c>
      <c r="AH541" t="s">
        <v>3759</v>
      </c>
      <c r="AI541" t="s">
        <v>3758</v>
      </c>
      <c r="AK541" t="s">
        <v>3757</v>
      </c>
      <c r="AL541">
        <v>10</v>
      </c>
      <c r="AM541" s="5">
        <f t="shared" si="67"/>
        <v>0.41666666666666669</v>
      </c>
      <c r="AN541" s="4">
        <f t="shared" si="68"/>
        <v>6.310740880979427E-4</v>
      </c>
      <c r="AO541" s="3"/>
      <c r="AP541">
        <v>0</v>
      </c>
      <c r="AR541" t="s">
        <v>1</v>
      </c>
      <c r="AT541" s="2">
        <v>1.3140000000000001</v>
      </c>
      <c r="AU541" s="1">
        <f t="shared" si="69"/>
        <v>0.71966098055116279</v>
      </c>
      <c r="AV541" s="1">
        <f t="shared" si="70"/>
        <v>0.53207424576791473</v>
      </c>
      <c r="AW541" s="1">
        <f t="shared" si="71"/>
        <v>0.34448751098466646</v>
      </c>
    </row>
    <row r="542" spans="1:49" x14ac:dyDescent="0.2">
      <c r="A542">
        <v>540</v>
      </c>
      <c r="B542" t="s">
        <v>3756</v>
      </c>
      <c r="F542" t="s">
        <v>3755</v>
      </c>
      <c r="G542" t="s">
        <v>5</v>
      </c>
      <c r="H542" t="s">
        <v>4</v>
      </c>
      <c r="I542" t="s">
        <v>3754</v>
      </c>
      <c r="J542" t="s">
        <v>3753</v>
      </c>
      <c r="K542" t="s">
        <v>3752</v>
      </c>
      <c r="L542" t="s">
        <v>3751</v>
      </c>
      <c r="M542" t="s">
        <v>351</v>
      </c>
      <c r="N542">
        <v>12</v>
      </c>
      <c r="O542" t="s">
        <v>3750</v>
      </c>
      <c r="P542" t="s">
        <v>3749</v>
      </c>
      <c r="Q542" t="s">
        <v>3748</v>
      </c>
      <c r="R542" s="7">
        <v>36100</v>
      </c>
      <c r="S542" s="8">
        <f t="shared" si="64"/>
        <v>1998</v>
      </c>
      <c r="T542" s="8">
        <v>1998</v>
      </c>
      <c r="U542" s="8">
        <f t="shared" si="65"/>
        <v>24</v>
      </c>
      <c r="V542" s="7">
        <v>36100</v>
      </c>
      <c r="W542" t="s">
        <v>70</v>
      </c>
      <c r="X542" s="2">
        <v>0.39900000000000002</v>
      </c>
      <c r="Y542" s="6">
        <f t="shared" si="66"/>
        <v>1.0651077120205014E-2</v>
      </c>
      <c r="AA542">
        <v>109525</v>
      </c>
      <c r="AB542">
        <v>13876</v>
      </c>
      <c r="AD542" t="s">
        <v>2</v>
      </c>
      <c r="AE542">
        <v>36</v>
      </c>
      <c r="AF542">
        <v>6</v>
      </c>
      <c r="AH542" t="s">
        <v>3747</v>
      </c>
      <c r="AI542" t="s">
        <v>3746</v>
      </c>
      <c r="AK542" t="s">
        <v>3745</v>
      </c>
      <c r="AL542">
        <v>0</v>
      </c>
      <c r="AM542" s="5">
        <f t="shared" si="67"/>
        <v>0</v>
      </c>
      <c r="AN542" s="4">
        <f t="shared" si="68"/>
        <v>0</v>
      </c>
      <c r="AO542" s="3"/>
      <c r="AP542">
        <v>0</v>
      </c>
      <c r="AR542" t="s">
        <v>1</v>
      </c>
      <c r="AT542" s="2">
        <v>0.41899999999999998</v>
      </c>
      <c r="AU542" s="1">
        <f t="shared" si="69"/>
        <v>0.74557539841435094</v>
      </c>
      <c r="AV542" s="1">
        <f t="shared" si="70"/>
        <v>0.53255385601025074</v>
      </c>
      <c r="AW542" s="1">
        <f t="shared" si="71"/>
        <v>0.31953231360615042</v>
      </c>
    </row>
    <row r="543" spans="1:49" x14ac:dyDescent="0.2">
      <c r="A543">
        <v>541</v>
      </c>
      <c r="B543" t="s">
        <v>3744</v>
      </c>
      <c r="F543" t="s">
        <v>3743</v>
      </c>
      <c r="G543" t="s">
        <v>5</v>
      </c>
      <c r="H543" t="s">
        <v>4</v>
      </c>
      <c r="I543" t="s">
        <v>3522</v>
      </c>
      <c r="N543">
        <v>1</v>
      </c>
      <c r="O543" t="s">
        <v>3742</v>
      </c>
      <c r="P543">
        <v>6603794827</v>
      </c>
      <c r="R543" s="7">
        <v>36100</v>
      </c>
      <c r="S543" s="8">
        <f t="shared" si="64"/>
        <v>1998</v>
      </c>
      <c r="T543" s="8">
        <v>1998</v>
      </c>
      <c r="U543" s="8">
        <f t="shared" si="65"/>
        <v>24</v>
      </c>
      <c r="V543" s="7">
        <v>36100</v>
      </c>
      <c r="W543" t="s">
        <v>668</v>
      </c>
      <c r="X543" s="2">
        <v>0.128</v>
      </c>
      <c r="Y543" s="6">
        <f t="shared" si="66"/>
        <v>3.4168868957048667E-3</v>
      </c>
      <c r="AA543">
        <v>10750207</v>
      </c>
      <c r="AB543">
        <v>18722</v>
      </c>
      <c r="AD543" t="s">
        <v>2</v>
      </c>
      <c r="AE543">
        <v>10</v>
      </c>
      <c r="AF543">
        <v>9</v>
      </c>
      <c r="AH543" t="s">
        <v>3741</v>
      </c>
      <c r="AI543" t="s">
        <v>3740</v>
      </c>
      <c r="AK543" t="s">
        <v>3739</v>
      </c>
      <c r="AL543">
        <v>0</v>
      </c>
      <c r="AM543" s="5">
        <f t="shared" si="67"/>
        <v>0</v>
      </c>
      <c r="AN543" s="4">
        <f t="shared" si="68"/>
        <v>0</v>
      </c>
      <c r="AO543" s="3"/>
      <c r="AP543">
        <v>0</v>
      </c>
      <c r="AR543" t="s">
        <v>1</v>
      </c>
      <c r="AT543" s="2" t="s">
        <v>0</v>
      </c>
      <c r="AU543" s="1">
        <f t="shared" si="69"/>
        <v>0.23918208269934066</v>
      </c>
      <c r="AV543" s="1">
        <f t="shared" si="70"/>
        <v>0.17084434478524332</v>
      </c>
      <c r="AW543" s="1">
        <f t="shared" si="71"/>
        <v>0.10250660687114599</v>
      </c>
    </row>
    <row r="544" spans="1:49" x14ac:dyDescent="0.2">
      <c r="A544">
        <v>542</v>
      </c>
      <c r="B544" t="s">
        <v>3738</v>
      </c>
      <c r="F544" t="s">
        <v>3737</v>
      </c>
      <c r="G544" t="s">
        <v>5</v>
      </c>
      <c r="H544" t="s">
        <v>4</v>
      </c>
      <c r="R544" s="7">
        <v>36100</v>
      </c>
      <c r="S544" s="8">
        <f t="shared" si="64"/>
        <v>1998</v>
      </c>
      <c r="T544" s="8">
        <v>1998</v>
      </c>
      <c r="U544" s="8">
        <f t="shared" si="65"/>
        <v>24</v>
      </c>
      <c r="V544" s="7">
        <v>36100</v>
      </c>
      <c r="W544" t="s">
        <v>543</v>
      </c>
      <c r="X544" s="2" t="s">
        <v>0</v>
      </c>
      <c r="Y544" s="6" t="e">
        <f t="shared" si="66"/>
        <v>#VALUE!</v>
      </c>
      <c r="AA544">
        <v>13654675</v>
      </c>
      <c r="AB544">
        <v>58615</v>
      </c>
      <c r="AD544" t="s">
        <v>2</v>
      </c>
      <c r="AE544">
        <v>104</v>
      </c>
      <c r="AF544">
        <v>1751</v>
      </c>
      <c r="AH544" t="s">
        <v>3736</v>
      </c>
      <c r="AI544" t="s">
        <v>3735</v>
      </c>
      <c r="AK544" t="s">
        <v>456</v>
      </c>
      <c r="AL544">
        <v>0</v>
      </c>
      <c r="AM544" s="5">
        <f t="shared" si="67"/>
        <v>0</v>
      </c>
      <c r="AN544" s="4">
        <f t="shared" si="68"/>
        <v>0</v>
      </c>
      <c r="AO544" s="3"/>
      <c r="AP544">
        <v>0</v>
      </c>
      <c r="AR544" t="s">
        <v>1</v>
      </c>
      <c r="AT544" s="2" t="s">
        <v>0</v>
      </c>
      <c r="AU544" s="1" t="e">
        <f t="shared" si="69"/>
        <v>#VALUE!</v>
      </c>
      <c r="AV544" s="1" t="e">
        <f t="shared" si="70"/>
        <v>#VALUE!</v>
      </c>
      <c r="AW544" s="1" t="e">
        <f t="shared" si="71"/>
        <v>#VALUE!</v>
      </c>
    </row>
    <row r="545" spans="1:49" x14ac:dyDescent="0.2">
      <c r="A545">
        <v>543</v>
      </c>
      <c r="B545" t="s">
        <v>3734</v>
      </c>
      <c r="F545" t="s">
        <v>559</v>
      </c>
      <c r="G545" t="s">
        <v>5</v>
      </c>
      <c r="H545" t="s">
        <v>4</v>
      </c>
      <c r="I545" t="s">
        <v>3733</v>
      </c>
      <c r="J545" t="s">
        <v>3732</v>
      </c>
      <c r="K545" t="s">
        <v>3731</v>
      </c>
      <c r="L545" t="s">
        <v>3730</v>
      </c>
      <c r="M545" t="s">
        <v>424</v>
      </c>
      <c r="N545">
        <v>4</v>
      </c>
      <c r="O545" t="s">
        <v>3729</v>
      </c>
      <c r="P545" t="s">
        <v>3728</v>
      </c>
      <c r="Q545" t="s">
        <v>3727</v>
      </c>
      <c r="R545" s="7">
        <v>36100</v>
      </c>
      <c r="S545" s="8">
        <f t="shared" si="64"/>
        <v>1998</v>
      </c>
      <c r="T545" s="8">
        <v>1998</v>
      </c>
      <c r="U545" s="8">
        <f t="shared" si="65"/>
        <v>24</v>
      </c>
      <c r="V545" s="7">
        <v>36100</v>
      </c>
      <c r="W545" t="s">
        <v>3726</v>
      </c>
      <c r="X545" s="2" t="s">
        <v>0</v>
      </c>
      <c r="Y545" s="6" t="e">
        <f t="shared" si="66"/>
        <v>#VALUE!</v>
      </c>
      <c r="AA545">
        <v>10091963</v>
      </c>
      <c r="AB545">
        <v>27436</v>
      </c>
      <c r="AD545" t="s">
        <v>2</v>
      </c>
      <c r="AE545">
        <v>7</v>
      </c>
      <c r="AF545">
        <v>11</v>
      </c>
      <c r="AH545" t="s">
        <v>3725</v>
      </c>
      <c r="AI545" t="s">
        <v>3724</v>
      </c>
      <c r="AK545" t="s">
        <v>3723</v>
      </c>
      <c r="AL545">
        <v>0</v>
      </c>
      <c r="AM545" s="5">
        <f t="shared" si="67"/>
        <v>0</v>
      </c>
      <c r="AN545" s="4">
        <f t="shared" si="68"/>
        <v>0</v>
      </c>
      <c r="AO545" s="3"/>
      <c r="AP545">
        <v>0</v>
      </c>
      <c r="AR545" t="s">
        <v>1</v>
      </c>
      <c r="AT545" s="2" t="s">
        <v>0</v>
      </c>
      <c r="AU545" s="1" t="e">
        <f t="shared" si="69"/>
        <v>#VALUE!</v>
      </c>
      <c r="AV545" s="1" t="e">
        <f t="shared" si="70"/>
        <v>#VALUE!</v>
      </c>
      <c r="AW545" s="1" t="e">
        <f t="shared" si="71"/>
        <v>#VALUE!</v>
      </c>
    </row>
    <row r="546" spans="1:49" x14ac:dyDescent="0.2">
      <c r="A546">
        <v>544</v>
      </c>
      <c r="B546" t="s">
        <v>3722</v>
      </c>
      <c r="C546" t="s">
        <v>3721</v>
      </c>
      <c r="F546" t="s">
        <v>3720</v>
      </c>
      <c r="G546" t="s">
        <v>5</v>
      </c>
      <c r="H546" t="s">
        <v>4</v>
      </c>
      <c r="I546" t="s">
        <v>3719</v>
      </c>
      <c r="J546">
        <v>60029445</v>
      </c>
      <c r="K546" t="s">
        <v>3718</v>
      </c>
      <c r="L546" t="s">
        <v>3717</v>
      </c>
      <c r="M546" t="s">
        <v>9</v>
      </c>
      <c r="N546">
        <v>1</v>
      </c>
      <c r="O546" t="s">
        <v>3716</v>
      </c>
      <c r="P546">
        <v>56051277700</v>
      </c>
      <c r="Q546">
        <v>60029445</v>
      </c>
      <c r="R546" s="7">
        <v>36100</v>
      </c>
      <c r="S546" s="8">
        <f t="shared" si="64"/>
        <v>1998</v>
      </c>
      <c r="T546" s="8">
        <v>1998</v>
      </c>
      <c r="U546" s="8">
        <f t="shared" si="65"/>
        <v>24</v>
      </c>
      <c r="V546" s="7">
        <v>36100</v>
      </c>
      <c r="W546" t="s">
        <v>3715</v>
      </c>
      <c r="X546" s="2">
        <v>0.52500000000000002</v>
      </c>
      <c r="Y546" s="6">
        <f t="shared" si="66"/>
        <v>1.4014575158164492E-2</v>
      </c>
      <c r="AA546">
        <v>9593330</v>
      </c>
      <c r="AB546">
        <v>21552</v>
      </c>
      <c r="AC546" t="s">
        <v>3714</v>
      </c>
      <c r="AD546" t="s">
        <v>2</v>
      </c>
      <c r="AE546">
        <v>19</v>
      </c>
      <c r="AF546">
        <v>11</v>
      </c>
      <c r="AH546" t="s">
        <v>3713</v>
      </c>
      <c r="AI546" t="s">
        <v>3712</v>
      </c>
      <c r="AJ546" t="s">
        <v>3711</v>
      </c>
      <c r="AK546" t="s">
        <v>3710</v>
      </c>
      <c r="AL546">
        <v>4</v>
      </c>
      <c r="AM546" s="5">
        <f t="shared" si="67"/>
        <v>0.16666666666666666</v>
      </c>
      <c r="AN546" s="4">
        <f t="shared" si="68"/>
        <v>2.5242963523917705E-4</v>
      </c>
      <c r="AO546" s="3"/>
      <c r="AP546">
        <v>0</v>
      </c>
      <c r="AR546" t="s">
        <v>1</v>
      </c>
      <c r="AT546" s="2" t="s">
        <v>0</v>
      </c>
      <c r="AU546" s="1">
        <f t="shared" si="69"/>
        <v>0.98859315012868965</v>
      </c>
      <c r="AV546" s="1">
        <f t="shared" si="70"/>
        <v>0.71335023967018341</v>
      </c>
      <c r="AW546" s="1">
        <f t="shared" si="71"/>
        <v>0.43810732921167717</v>
      </c>
    </row>
    <row r="547" spans="1:49" x14ac:dyDescent="0.2">
      <c r="A547">
        <v>545</v>
      </c>
      <c r="B547" t="s">
        <v>3709</v>
      </c>
      <c r="F547" t="s">
        <v>3708</v>
      </c>
      <c r="G547" t="s">
        <v>5</v>
      </c>
      <c r="H547" t="s">
        <v>4</v>
      </c>
      <c r="I547" t="s">
        <v>3707</v>
      </c>
      <c r="J547">
        <v>60011313</v>
      </c>
      <c r="K547" t="s">
        <v>3706</v>
      </c>
      <c r="L547" t="s">
        <v>692</v>
      </c>
      <c r="M547" t="s">
        <v>166</v>
      </c>
      <c r="N547">
        <v>5</v>
      </c>
      <c r="O547" t="s">
        <v>3705</v>
      </c>
      <c r="P547" t="s">
        <v>3704</v>
      </c>
      <c r="Q547" t="s">
        <v>3703</v>
      </c>
      <c r="R547" s="7">
        <v>36100</v>
      </c>
      <c r="S547" s="8">
        <f t="shared" si="64"/>
        <v>1998</v>
      </c>
      <c r="T547" s="8">
        <v>1998</v>
      </c>
      <c r="U547" s="8">
        <f t="shared" si="65"/>
        <v>24</v>
      </c>
      <c r="V547" s="7">
        <v>36100</v>
      </c>
      <c r="W547" t="s">
        <v>3702</v>
      </c>
      <c r="X547" s="2">
        <v>0.42099999999999999</v>
      </c>
      <c r="Y547" s="6">
        <f t="shared" si="66"/>
        <v>1.1238354555404288E-2</v>
      </c>
      <c r="AA547">
        <v>10214437</v>
      </c>
      <c r="AB547">
        <v>17169</v>
      </c>
      <c r="AD547" t="s">
        <v>2</v>
      </c>
      <c r="AE547">
        <v>45</v>
      </c>
      <c r="AF547">
        <v>6</v>
      </c>
      <c r="AH547" t="s">
        <v>3701</v>
      </c>
      <c r="AI547" t="s">
        <v>3700</v>
      </c>
      <c r="AJ547" t="s">
        <v>3699</v>
      </c>
      <c r="AK547" t="s">
        <v>3698</v>
      </c>
      <c r="AL547">
        <v>3</v>
      </c>
      <c r="AM547" s="5">
        <f t="shared" si="67"/>
        <v>0.125</v>
      </c>
      <c r="AN547" s="4">
        <f t="shared" si="68"/>
        <v>1.893222264293828E-4</v>
      </c>
      <c r="AO547" s="3"/>
      <c r="AP547">
        <v>0</v>
      </c>
      <c r="AR547" t="s">
        <v>1</v>
      </c>
      <c r="AT547" s="2">
        <v>1.4810000000000001</v>
      </c>
      <c r="AU547" s="1">
        <f t="shared" si="69"/>
        <v>0.79236448567118145</v>
      </c>
      <c r="AV547" s="1">
        <f t="shared" si="70"/>
        <v>0.57138383909168355</v>
      </c>
      <c r="AW547" s="1">
        <f t="shared" si="71"/>
        <v>0.35040319251218538</v>
      </c>
    </row>
    <row r="548" spans="1:49" x14ac:dyDescent="0.2">
      <c r="A548">
        <v>546</v>
      </c>
      <c r="B548" t="s">
        <v>3697</v>
      </c>
      <c r="C548" t="s">
        <v>3696</v>
      </c>
      <c r="D548" t="s">
        <v>3695</v>
      </c>
      <c r="F548" t="s">
        <v>3694</v>
      </c>
      <c r="G548" t="s">
        <v>5</v>
      </c>
      <c r="H548" t="s">
        <v>4</v>
      </c>
      <c r="I548" t="s">
        <v>3693</v>
      </c>
      <c r="J548" t="s">
        <v>3692</v>
      </c>
      <c r="K548" t="s">
        <v>3691</v>
      </c>
      <c r="L548" t="s">
        <v>3690</v>
      </c>
      <c r="M548" t="s">
        <v>3689</v>
      </c>
      <c r="N548">
        <v>42</v>
      </c>
      <c r="O548" t="s">
        <v>3688</v>
      </c>
      <c r="P548" t="s">
        <v>3687</v>
      </c>
      <c r="Q548" t="s">
        <v>3686</v>
      </c>
      <c r="R548" s="7">
        <v>36100</v>
      </c>
      <c r="S548" s="8">
        <f t="shared" si="64"/>
        <v>1998</v>
      </c>
      <c r="T548" s="8">
        <v>1998</v>
      </c>
      <c r="U548" s="8">
        <f t="shared" si="65"/>
        <v>24</v>
      </c>
      <c r="V548" s="7">
        <v>36100</v>
      </c>
      <c r="W548" t="s">
        <v>3685</v>
      </c>
      <c r="X548" s="2">
        <v>1.528</v>
      </c>
      <c r="Y548" s="6">
        <f t="shared" si="66"/>
        <v>4.0789087317476845E-2</v>
      </c>
      <c r="AA548">
        <v>2649381</v>
      </c>
      <c r="AB548">
        <v>27433</v>
      </c>
      <c r="AD548" t="s">
        <v>2</v>
      </c>
      <c r="AE548">
        <v>15</v>
      </c>
      <c r="AF548">
        <v>11</v>
      </c>
      <c r="AH548" t="s">
        <v>3684</v>
      </c>
      <c r="AI548" t="s">
        <v>3683</v>
      </c>
      <c r="AK548" t="s">
        <v>3682</v>
      </c>
      <c r="AL548">
        <v>63</v>
      </c>
      <c r="AM548" s="5">
        <f t="shared" si="67"/>
        <v>2.625</v>
      </c>
      <c r="AN548" s="4">
        <f t="shared" si="68"/>
        <v>3.9757667550170388E-3</v>
      </c>
      <c r="AO548" s="3"/>
      <c r="AP548">
        <v>0</v>
      </c>
      <c r="AR548" t="s">
        <v>1</v>
      </c>
      <c r="AT548" s="2">
        <v>3.528</v>
      </c>
      <c r="AU548" s="1">
        <f t="shared" si="69"/>
        <v>2.9745091148738902</v>
      </c>
      <c r="AV548" s="1">
        <f t="shared" si="70"/>
        <v>2.2382427036246941</v>
      </c>
      <c r="AW548" s="1">
        <f t="shared" si="71"/>
        <v>1.501976292375498</v>
      </c>
    </row>
    <row r="549" spans="1:49" x14ac:dyDescent="0.2">
      <c r="A549">
        <v>547</v>
      </c>
      <c r="B549" t="s">
        <v>3681</v>
      </c>
      <c r="F549" t="s">
        <v>3680</v>
      </c>
      <c r="G549" t="s">
        <v>5</v>
      </c>
      <c r="H549" t="s">
        <v>4</v>
      </c>
      <c r="I549" t="s">
        <v>3679</v>
      </c>
      <c r="N549">
        <v>6</v>
      </c>
      <c r="O549" t="s">
        <v>3678</v>
      </c>
      <c r="P549" t="s">
        <v>3677</v>
      </c>
      <c r="Q549" t="s">
        <v>3676</v>
      </c>
      <c r="R549" s="7">
        <v>36100</v>
      </c>
      <c r="S549" s="8">
        <f t="shared" si="64"/>
        <v>1998</v>
      </c>
      <c r="T549" s="8">
        <v>1998</v>
      </c>
      <c r="U549" s="8">
        <f t="shared" si="65"/>
        <v>24</v>
      </c>
      <c r="V549" s="7">
        <v>36100</v>
      </c>
      <c r="W549" t="s">
        <v>3675</v>
      </c>
      <c r="X549" s="2" t="s">
        <v>0</v>
      </c>
      <c r="Y549" s="6" t="e">
        <f t="shared" si="66"/>
        <v>#VALUE!</v>
      </c>
      <c r="AA549">
        <v>9149260</v>
      </c>
      <c r="AB549">
        <v>23105</v>
      </c>
      <c r="AD549" t="s">
        <v>2</v>
      </c>
      <c r="AE549">
        <v>45</v>
      </c>
      <c r="AF549">
        <v>3</v>
      </c>
      <c r="AH549" t="s">
        <v>3674</v>
      </c>
      <c r="AI549" t="s">
        <v>3673</v>
      </c>
      <c r="AK549" t="s">
        <v>3672</v>
      </c>
      <c r="AL549">
        <v>0</v>
      </c>
      <c r="AM549" s="5">
        <f t="shared" si="67"/>
        <v>0</v>
      </c>
      <c r="AN549" s="4">
        <f t="shared" si="68"/>
        <v>0</v>
      </c>
      <c r="AO549" s="3"/>
      <c r="AP549">
        <v>0</v>
      </c>
      <c r="AR549" t="s">
        <v>1</v>
      </c>
      <c r="AT549" s="2" t="s">
        <v>0</v>
      </c>
      <c r="AU549" s="1" t="e">
        <f t="shared" si="69"/>
        <v>#VALUE!</v>
      </c>
      <c r="AV549" s="1" t="e">
        <f t="shared" si="70"/>
        <v>#VALUE!</v>
      </c>
      <c r="AW549" s="1" t="e">
        <f t="shared" si="71"/>
        <v>#VALUE!</v>
      </c>
    </row>
    <row r="550" spans="1:49" x14ac:dyDescent="0.2">
      <c r="A550">
        <v>548</v>
      </c>
      <c r="B550" t="s">
        <v>3671</v>
      </c>
      <c r="C550" t="s">
        <v>3670</v>
      </c>
      <c r="D550" t="s">
        <v>3669</v>
      </c>
      <c r="E550">
        <v>9818383</v>
      </c>
      <c r="F550" t="s">
        <v>3668</v>
      </c>
      <c r="G550" t="s">
        <v>5</v>
      </c>
      <c r="H550" t="s">
        <v>4</v>
      </c>
      <c r="I550" t="s">
        <v>3667</v>
      </c>
      <c r="J550" t="s">
        <v>3666</v>
      </c>
      <c r="K550" t="s">
        <v>3665</v>
      </c>
      <c r="L550" t="s">
        <v>3664</v>
      </c>
      <c r="M550" t="s">
        <v>6</v>
      </c>
      <c r="N550">
        <v>6</v>
      </c>
      <c r="O550" t="s">
        <v>3663</v>
      </c>
      <c r="P550" t="s">
        <v>3662</v>
      </c>
      <c r="Q550" t="s">
        <v>3661</v>
      </c>
      <c r="R550" s="7">
        <v>36100</v>
      </c>
      <c r="S550" s="8">
        <f t="shared" si="64"/>
        <v>1998</v>
      </c>
      <c r="T550" s="8">
        <v>1998</v>
      </c>
      <c r="U550" s="8">
        <f t="shared" si="65"/>
        <v>24</v>
      </c>
      <c r="V550" s="7">
        <v>36100</v>
      </c>
      <c r="W550" t="s">
        <v>536</v>
      </c>
      <c r="X550" s="2">
        <v>1.718</v>
      </c>
      <c r="Y550" s="6">
        <f t="shared" si="66"/>
        <v>4.5861028803288753E-2</v>
      </c>
      <c r="AA550">
        <v>9651748</v>
      </c>
      <c r="AB550">
        <v>20384</v>
      </c>
      <c r="AD550" t="s">
        <v>2</v>
      </c>
      <c r="AE550">
        <v>28</v>
      </c>
      <c r="AF550">
        <v>11</v>
      </c>
      <c r="AH550" t="s">
        <v>3660</v>
      </c>
      <c r="AI550" t="s">
        <v>3659</v>
      </c>
      <c r="AJ550" t="s">
        <v>3658</v>
      </c>
      <c r="AK550" t="s">
        <v>3657</v>
      </c>
      <c r="AL550">
        <v>15</v>
      </c>
      <c r="AM550" s="5">
        <f t="shared" si="67"/>
        <v>0.625</v>
      </c>
      <c r="AN550" s="4">
        <f t="shared" si="68"/>
        <v>9.4661113214691405E-4</v>
      </c>
      <c r="AO550" s="3"/>
      <c r="AP550">
        <v>0</v>
      </c>
      <c r="AQ550" t="s">
        <v>206</v>
      </c>
      <c r="AR550" t="s">
        <v>3656</v>
      </c>
      <c r="AS550" t="s">
        <v>204</v>
      </c>
      <c r="AT550" s="2" t="s">
        <v>0</v>
      </c>
      <c r="AU550" s="1">
        <f t="shared" si="69"/>
        <v>3.2386703501946195</v>
      </c>
      <c r="AV550" s="1">
        <f t="shared" si="70"/>
        <v>2.3403819967717832</v>
      </c>
      <c r="AW550" s="1">
        <f t="shared" si="71"/>
        <v>1.4420936433489466</v>
      </c>
    </row>
    <row r="551" spans="1:49" x14ac:dyDescent="0.2">
      <c r="A551">
        <v>549</v>
      </c>
      <c r="B551" t="s">
        <v>3655</v>
      </c>
      <c r="C551" t="s">
        <v>3654</v>
      </c>
      <c r="E551">
        <v>9839947</v>
      </c>
      <c r="F551" t="s">
        <v>3653</v>
      </c>
      <c r="G551" t="s">
        <v>5</v>
      </c>
      <c r="H551" t="s">
        <v>4</v>
      </c>
      <c r="I551" t="s">
        <v>3652</v>
      </c>
      <c r="J551" t="s">
        <v>1321</v>
      </c>
      <c r="K551" t="s">
        <v>1320</v>
      </c>
      <c r="L551" t="s">
        <v>1319</v>
      </c>
      <c r="M551" t="s">
        <v>50</v>
      </c>
      <c r="N551">
        <v>5</v>
      </c>
      <c r="O551" t="s">
        <v>3651</v>
      </c>
      <c r="P551" t="s">
        <v>3650</v>
      </c>
      <c r="Q551" t="s">
        <v>3649</v>
      </c>
      <c r="R551" s="7">
        <v>36100</v>
      </c>
      <c r="S551" s="8">
        <f t="shared" si="64"/>
        <v>1998</v>
      </c>
      <c r="T551" s="8">
        <v>1998</v>
      </c>
      <c r="U551" s="8">
        <f t="shared" si="65"/>
        <v>24</v>
      </c>
      <c r="V551" s="7">
        <v>36100</v>
      </c>
      <c r="W551" t="s">
        <v>700</v>
      </c>
      <c r="X551" s="2">
        <v>1.9810000000000001</v>
      </c>
      <c r="Y551" s="6">
        <f t="shared" si="66"/>
        <v>5.2881663596807349E-2</v>
      </c>
      <c r="AA551">
        <v>142956</v>
      </c>
      <c r="AB551">
        <v>39034</v>
      </c>
      <c r="AD551" t="s">
        <v>2</v>
      </c>
      <c r="AE551">
        <v>257</v>
      </c>
      <c r="AF551">
        <v>3</v>
      </c>
      <c r="AH551" t="s">
        <v>3648</v>
      </c>
      <c r="AI551" t="s">
        <v>3647</v>
      </c>
      <c r="AJ551" t="s">
        <v>3646</v>
      </c>
      <c r="AK551" t="s">
        <v>3645</v>
      </c>
      <c r="AL551">
        <v>3</v>
      </c>
      <c r="AM551" s="5">
        <f t="shared" si="67"/>
        <v>0.125</v>
      </c>
      <c r="AN551" s="4">
        <f t="shared" si="68"/>
        <v>1.893222264293828E-4</v>
      </c>
      <c r="AO551" s="3"/>
      <c r="AP551">
        <v>0</v>
      </c>
      <c r="AR551" t="s">
        <v>1</v>
      </c>
      <c r="AT551" s="2" t="s">
        <v>0</v>
      </c>
      <c r="AU551" s="1">
        <f t="shared" si="69"/>
        <v>3.7073961185693958</v>
      </c>
      <c r="AV551" s="1">
        <f t="shared" si="70"/>
        <v>2.6535492911618364</v>
      </c>
      <c r="AW551" s="1">
        <f t="shared" si="71"/>
        <v>1.5997024637542772</v>
      </c>
    </row>
    <row r="552" spans="1:49" x14ac:dyDescent="0.2">
      <c r="A552">
        <v>550</v>
      </c>
      <c r="B552" t="s">
        <v>3644</v>
      </c>
      <c r="C552" t="s">
        <v>3643</v>
      </c>
      <c r="D552" t="s">
        <v>3642</v>
      </c>
      <c r="E552">
        <v>9821548</v>
      </c>
      <c r="F552" t="s">
        <v>3641</v>
      </c>
      <c r="G552" t="s">
        <v>5</v>
      </c>
      <c r="H552" t="s">
        <v>4</v>
      </c>
      <c r="I552" t="s">
        <v>3640</v>
      </c>
      <c r="J552">
        <v>60011604</v>
      </c>
      <c r="K552" t="s">
        <v>3639</v>
      </c>
      <c r="L552" t="s">
        <v>480</v>
      </c>
      <c r="M552" t="s">
        <v>37</v>
      </c>
      <c r="N552">
        <v>2</v>
      </c>
      <c r="O552" t="s">
        <v>3638</v>
      </c>
      <c r="P552" t="s">
        <v>3637</v>
      </c>
      <c r="Q552" t="s">
        <v>3636</v>
      </c>
      <c r="R552" s="7">
        <v>36100</v>
      </c>
      <c r="S552" s="8">
        <f t="shared" si="64"/>
        <v>1998</v>
      </c>
      <c r="T552" s="8">
        <v>1998</v>
      </c>
      <c r="U552" s="8">
        <f t="shared" si="65"/>
        <v>24</v>
      </c>
      <c r="V552" s="7">
        <v>36100</v>
      </c>
      <c r="W552" t="s">
        <v>674</v>
      </c>
      <c r="X552" s="2">
        <v>1.113</v>
      </c>
      <c r="Y552" s="6">
        <f t="shared" si="66"/>
        <v>2.9710899335308721E-2</v>
      </c>
      <c r="AA552">
        <v>1664328</v>
      </c>
      <c r="AB552">
        <v>14285</v>
      </c>
      <c r="AD552" t="s">
        <v>2</v>
      </c>
      <c r="AE552">
        <v>96</v>
      </c>
      <c r="AF552" s="9">
        <v>44228</v>
      </c>
      <c r="AH552" t="s">
        <v>3635</v>
      </c>
      <c r="AI552" t="s">
        <v>3634</v>
      </c>
      <c r="AJ552" t="s">
        <v>3633</v>
      </c>
      <c r="AK552" t="s">
        <v>3632</v>
      </c>
      <c r="AL552">
        <v>42</v>
      </c>
      <c r="AM552" s="5">
        <f t="shared" si="67"/>
        <v>1.75</v>
      </c>
      <c r="AN552" s="4">
        <f t="shared" si="68"/>
        <v>2.6505111700113595E-3</v>
      </c>
      <c r="AO552" s="3"/>
      <c r="AP552">
        <v>0</v>
      </c>
      <c r="AQ552" t="s">
        <v>180</v>
      </c>
      <c r="AR552" t="s">
        <v>3631</v>
      </c>
      <c r="AS552" t="s">
        <v>179</v>
      </c>
      <c r="AT552" s="2">
        <v>3.3319999999999999</v>
      </c>
      <c r="AU552" s="1">
        <f t="shared" si="69"/>
        <v>2.1592782885719508</v>
      </c>
      <c r="AV552" s="1">
        <f t="shared" si="70"/>
        <v>1.6180705252660039</v>
      </c>
      <c r="AW552" s="1">
        <f t="shared" si="71"/>
        <v>1.0768627619600568</v>
      </c>
    </row>
    <row r="553" spans="1:49" x14ac:dyDescent="0.2">
      <c r="A553">
        <v>551</v>
      </c>
      <c r="B553" t="s">
        <v>3630</v>
      </c>
      <c r="F553" t="s">
        <v>3629</v>
      </c>
      <c r="G553" t="s">
        <v>5</v>
      </c>
      <c r="H553" t="s">
        <v>4</v>
      </c>
      <c r="I553" t="s">
        <v>3628</v>
      </c>
      <c r="J553">
        <v>60075382</v>
      </c>
      <c r="K553" t="s">
        <v>3627</v>
      </c>
      <c r="L553" t="s">
        <v>3626</v>
      </c>
      <c r="M553" t="s">
        <v>9</v>
      </c>
      <c r="N553">
        <v>1</v>
      </c>
      <c r="O553" t="s">
        <v>3008</v>
      </c>
      <c r="P553">
        <v>7102689307</v>
      </c>
      <c r="Q553">
        <v>60075382</v>
      </c>
      <c r="R553" s="7">
        <v>36100</v>
      </c>
      <c r="S553" s="8">
        <f t="shared" si="64"/>
        <v>1998</v>
      </c>
      <c r="T553" s="8">
        <v>1998</v>
      </c>
      <c r="U553" s="8">
        <f t="shared" si="65"/>
        <v>24</v>
      </c>
      <c r="V553" s="7">
        <v>36100</v>
      </c>
      <c r="W553" t="s">
        <v>110</v>
      </c>
      <c r="X553" s="2">
        <v>0.13800000000000001</v>
      </c>
      <c r="Y553" s="6">
        <f t="shared" si="66"/>
        <v>3.6838311844318095E-3</v>
      </c>
      <c r="AA553">
        <v>1926225</v>
      </c>
      <c r="AB553">
        <v>18580</v>
      </c>
      <c r="AD553" t="s">
        <v>2</v>
      </c>
      <c r="AE553">
        <v>41</v>
      </c>
      <c r="AF553">
        <v>11</v>
      </c>
      <c r="AI553" t="s">
        <v>3625</v>
      </c>
      <c r="AK553" t="s">
        <v>3624</v>
      </c>
      <c r="AL553">
        <v>9</v>
      </c>
      <c r="AM553" s="5">
        <f t="shared" si="67"/>
        <v>0.375</v>
      </c>
      <c r="AN553" s="4">
        <f t="shared" si="68"/>
        <v>5.6796667928814845E-4</v>
      </c>
      <c r="AO553" s="3"/>
      <c r="AP553">
        <v>0</v>
      </c>
      <c r="AR553" t="s">
        <v>1</v>
      </c>
      <c r="AT553" s="2">
        <v>0.30599999999999999</v>
      </c>
      <c r="AU553" s="1">
        <f t="shared" si="69"/>
        <v>0.27490718328887109</v>
      </c>
      <c r="AV553" s="1">
        <f t="shared" si="70"/>
        <v>0.21258989318599791</v>
      </c>
      <c r="AW553" s="1">
        <f t="shared" si="71"/>
        <v>0.15027260308312468</v>
      </c>
    </row>
    <row r="554" spans="1:49" x14ac:dyDescent="0.2">
      <c r="A554">
        <v>552</v>
      </c>
      <c r="B554" t="s">
        <v>3623</v>
      </c>
      <c r="C554" t="s">
        <v>3622</v>
      </c>
      <c r="D554" t="s">
        <v>3621</v>
      </c>
      <c r="F554" t="s">
        <v>3620</v>
      </c>
      <c r="G554" t="s">
        <v>5</v>
      </c>
      <c r="H554" t="s">
        <v>4</v>
      </c>
      <c r="I554" t="s">
        <v>3619</v>
      </c>
      <c r="J554" t="s">
        <v>3618</v>
      </c>
      <c r="K554" t="s">
        <v>3617</v>
      </c>
      <c r="L554" t="s">
        <v>3616</v>
      </c>
      <c r="M554" t="s">
        <v>3615</v>
      </c>
      <c r="N554">
        <v>2</v>
      </c>
      <c r="O554" t="s">
        <v>3614</v>
      </c>
      <c r="P554" t="s">
        <v>3613</v>
      </c>
      <c r="Q554" t="s">
        <v>3612</v>
      </c>
      <c r="R554" s="7">
        <v>36100</v>
      </c>
      <c r="S554" s="8">
        <f t="shared" si="64"/>
        <v>1998</v>
      </c>
      <c r="T554" s="8">
        <v>1998</v>
      </c>
      <c r="U554" s="8">
        <f t="shared" si="65"/>
        <v>24</v>
      </c>
      <c r="V554" s="7">
        <v>36100</v>
      </c>
      <c r="W554" t="s">
        <v>152</v>
      </c>
      <c r="X554" s="2">
        <v>0.81</v>
      </c>
      <c r="Y554" s="6">
        <f t="shared" si="66"/>
        <v>2.1622487386882359E-2</v>
      </c>
      <c r="AA554">
        <v>10411135</v>
      </c>
      <c r="AB554">
        <v>12116</v>
      </c>
      <c r="AD554" t="s">
        <v>2</v>
      </c>
      <c r="AE554">
        <v>10</v>
      </c>
      <c r="AF554">
        <v>11</v>
      </c>
      <c r="AH554" t="s">
        <v>3611</v>
      </c>
      <c r="AI554" t="s">
        <v>3610</v>
      </c>
      <c r="AJ554" t="s">
        <v>3609</v>
      </c>
      <c r="AK554" t="s">
        <v>3608</v>
      </c>
      <c r="AL554">
        <v>28</v>
      </c>
      <c r="AM554" s="5">
        <f t="shared" si="67"/>
        <v>1.1666666666666667</v>
      </c>
      <c r="AN554" s="4">
        <f t="shared" si="68"/>
        <v>1.7670074466742396E-3</v>
      </c>
      <c r="AO554" s="3"/>
      <c r="AP554">
        <v>0</v>
      </c>
      <c r="AQ554" t="s">
        <v>350</v>
      </c>
      <c r="AR554" t="s">
        <v>1</v>
      </c>
      <c r="AS554" t="s">
        <v>349</v>
      </c>
      <c r="AT554" s="2">
        <v>2.468</v>
      </c>
      <c r="AU554" s="1">
        <f t="shared" si="69"/>
        <v>1.5665843404819924</v>
      </c>
      <c r="AV554" s="1">
        <f t="shared" si="70"/>
        <v>1.1694747416778299</v>
      </c>
      <c r="AW554" s="1">
        <f t="shared" si="71"/>
        <v>0.77236514287366753</v>
      </c>
    </row>
    <row r="555" spans="1:49" x14ac:dyDescent="0.2">
      <c r="A555">
        <v>553</v>
      </c>
      <c r="B555" t="s">
        <v>3607</v>
      </c>
      <c r="C555" t="s">
        <v>3606</v>
      </c>
      <c r="D555" t="s">
        <v>3605</v>
      </c>
      <c r="F555" t="s">
        <v>3604</v>
      </c>
      <c r="G555" t="s">
        <v>5</v>
      </c>
      <c r="H555" t="s">
        <v>4</v>
      </c>
      <c r="I555" t="s">
        <v>3603</v>
      </c>
      <c r="J555">
        <v>60027550</v>
      </c>
      <c r="K555" t="s">
        <v>11</v>
      </c>
      <c r="L555" t="s">
        <v>10</v>
      </c>
      <c r="M555" t="s">
        <v>9</v>
      </c>
      <c r="N555">
        <v>4</v>
      </c>
      <c r="O555" t="s">
        <v>3602</v>
      </c>
      <c r="P555" t="s">
        <v>3601</v>
      </c>
      <c r="Q555" t="s">
        <v>3600</v>
      </c>
      <c r="R555" s="7">
        <v>36100</v>
      </c>
      <c r="S555" s="8">
        <f t="shared" si="64"/>
        <v>1998</v>
      </c>
      <c r="T555" s="8">
        <v>1998</v>
      </c>
      <c r="U555" s="8">
        <f t="shared" si="65"/>
        <v>24</v>
      </c>
      <c r="V555" s="7">
        <v>36100</v>
      </c>
      <c r="W555" t="s">
        <v>119</v>
      </c>
      <c r="X555" s="2">
        <v>0.94</v>
      </c>
      <c r="Y555" s="6">
        <f t="shared" si="66"/>
        <v>2.5092763140332611E-2</v>
      </c>
      <c r="AA555">
        <v>10518207</v>
      </c>
      <c r="AB555">
        <v>63372</v>
      </c>
      <c r="AD555" t="s">
        <v>2</v>
      </c>
      <c r="AE555">
        <v>8</v>
      </c>
      <c r="AF555">
        <v>11</v>
      </c>
      <c r="AH555" t="s">
        <v>3599</v>
      </c>
      <c r="AI555" t="s">
        <v>3598</v>
      </c>
      <c r="AJ555" t="s">
        <v>3597</v>
      </c>
      <c r="AK555" t="s">
        <v>3596</v>
      </c>
      <c r="AL555">
        <v>12</v>
      </c>
      <c r="AM555" s="5">
        <f t="shared" si="67"/>
        <v>0.5</v>
      </c>
      <c r="AN555" s="4">
        <f t="shared" si="68"/>
        <v>7.572889057175312E-4</v>
      </c>
      <c r="AO555" s="3"/>
      <c r="AP555">
        <v>0</v>
      </c>
      <c r="AR555" t="s">
        <v>3595</v>
      </c>
      <c r="AT555" s="2" t="s">
        <v>0</v>
      </c>
      <c r="AU555" s="1">
        <f t="shared" si="69"/>
        <v>1.7792120869948087</v>
      </c>
      <c r="AV555" s="1">
        <f t="shared" si="70"/>
        <v>1.292502602302507</v>
      </c>
      <c r="AW555" s="1">
        <f t="shared" si="71"/>
        <v>0.80579311761020556</v>
      </c>
    </row>
    <row r="556" spans="1:49" x14ac:dyDescent="0.2">
      <c r="A556">
        <v>554</v>
      </c>
      <c r="B556" t="s">
        <v>3594</v>
      </c>
      <c r="C556" t="s">
        <v>3593</v>
      </c>
      <c r="D556" t="s">
        <v>3592</v>
      </c>
      <c r="F556" t="s">
        <v>3591</v>
      </c>
      <c r="G556" t="s">
        <v>5</v>
      </c>
      <c r="H556" t="s">
        <v>4</v>
      </c>
      <c r="I556" t="s">
        <v>400</v>
      </c>
      <c r="J556" t="s">
        <v>3590</v>
      </c>
      <c r="K556" t="s">
        <v>3589</v>
      </c>
      <c r="L556" t="s">
        <v>3588</v>
      </c>
      <c r="M556" t="s">
        <v>2553</v>
      </c>
      <c r="N556">
        <v>3</v>
      </c>
      <c r="O556" t="s">
        <v>3587</v>
      </c>
      <c r="P556" t="s">
        <v>3586</v>
      </c>
      <c r="Q556" t="s">
        <v>3585</v>
      </c>
      <c r="R556" s="7">
        <v>36100</v>
      </c>
      <c r="S556" s="8">
        <f t="shared" si="64"/>
        <v>1998</v>
      </c>
      <c r="T556" s="8">
        <v>1998</v>
      </c>
      <c r="U556" s="8">
        <f t="shared" si="65"/>
        <v>24</v>
      </c>
      <c r="V556" s="7">
        <v>36100</v>
      </c>
      <c r="W556" t="s">
        <v>152</v>
      </c>
      <c r="X556" s="2">
        <v>0.81</v>
      </c>
      <c r="Y556" s="6">
        <f t="shared" si="66"/>
        <v>2.1622487386882359E-2</v>
      </c>
      <c r="AA556">
        <v>10411135</v>
      </c>
      <c r="AB556">
        <v>12116</v>
      </c>
      <c r="AD556" t="s">
        <v>2</v>
      </c>
      <c r="AE556">
        <v>10</v>
      </c>
      <c r="AF556">
        <v>11</v>
      </c>
      <c r="AH556" t="s">
        <v>3584</v>
      </c>
      <c r="AI556" t="s">
        <v>3583</v>
      </c>
      <c r="AJ556" t="s">
        <v>3582</v>
      </c>
      <c r="AK556" t="s">
        <v>3581</v>
      </c>
      <c r="AL556">
        <v>121</v>
      </c>
      <c r="AM556" s="5">
        <f t="shared" si="67"/>
        <v>5.041666666666667</v>
      </c>
      <c r="AN556" s="4">
        <f t="shared" si="68"/>
        <v>7.6359964659851072E-3</v>
      </c>
      <c r="AO556" s="3"/>
      <c r="AP556">
        <v>0</v>
      </c>
      <c r="AR556" t="s">
        <v>1</v>
      </c>
      <c r="AT556" s="2">
        <v>2.468</v>
      </c>
      <c r="AU556" s="1">
        <f t="shared" si="69"/>
        <v>1.7426540110613182</v>
      </c>
      <c r="AV556" s="1">
        <f t="shared" si="70"/>
        <v>1.4629241926433734</v>
      </c>
      <c r="AW556" s="1">
        <f t="shared" si="71"/>
        <v>1.1831943742254283</v>
      </c>
    </row>
    <row r="557" spans="1:49" x14ac:dyDescent="0.2">
      <c r="A557">
        <v>555</v>
      </c>
      <c r="B557" t="s">
        <v>3580</v>
      </c>
      <c r="F557" t="s">
        <v>3579</v>
      </c>
      <c r="G557" t="s">
        <v>5</v>
      </c>
      <c r="H557" t="s">
        <v>4</v>
      </c>
      <c r="I557" t="s">
        <v>3578</v>
      </c>
      <c r="J557">
        <v>60009226</v>
      </c>
      <c r="K557" t="s">
        <v>3577</v>
      </c>
      <c r="L557" t="s">
        <v>3576</v>
      </c>
      <c r="M557" t="s">
        <v>9</v>
      </c>
      <c r="N557">
        <v>2</v>
      </c>
      <c r="O557" t="s">
        <v>3575</v>
      </c>
      <c r="P557" t="s">
        <v>3574</v>
      </c>
      <c r="Q557" t="s">
        <v>3573</v>
      </c>
      <c r="R557" s="7">
        <v>36100</v>
      </c>
      <c r="S557" s="8">
        <f t="shared" si="64"/>
        <v>1998</v>
      </c>
      <c r="T557" s="8">
        <v>1998</v>
      </c>
      <c r="U557" s="8">
        <f t="shared" si="65"/>
        <v>24</v>
      </c>
      <c r="V557" s="7">
        <v>36100</v>
      </c>
      <c r="W557" t="s">
        <v>3572</v>
      </c>
      <c r="X557" s="2">
        <v>0.27600000000000002</v>
      </c>
      <c r="Y557" s="6">
        <f t="shared" si="66"/>
        <v>7.367662368863619E-3</v>
      </c>
      <c r="AA557">
        <v>8838542</v>
      </c>
      <c r="AB557">
        <v>16190</v>
      </c>
      <c r="AD557" t="s">
        <v>2</v>
      </c>
      <c r="AE557">
        <v>14</v>
      </c>
      <c r="AF557">
        <v>6</v>
      </c>
      <c r="AH557" t="s">
        <v>80</v>
      </c>
      <c r="AI557" t="s">
        <v>3571</v>
      </c>
      <c r="AJ557" t="s">
        <v>3570</v>
      </c>
      <c r="AK557" t="s">
        <v>3569</v>
      </c>
      <c r="AL557">
        <v>1</v>
      </c>
      <c r="AM557" s="5">
        <f t="shared" si="67"/>
        <v>4.1666666666666664E-2</v>
      </c>
      <c r="AN557" s="4">
        <f t="shared" si="68"/>
        <v>6.3107408809794262E-5</v>
      </c>
      <c r="AO557" s="3"/>
      <c r="AP557">
        <v>0</v>
      </c>
      <c r="AR557" t="s">
        <v>1</v>
      </c>
      <c r="AT557" s="2">
        <v>0.98499999999999999</v>
      </c>
      <c r="AU557" s="1">
        <f t="shared" si="69"/>
        <v>0.51762958808474713</v>
      </c>
      <c r="AV557" s="1">
        <f t="shared" si="70"/>
        <v>0.37153848888367064</v>
      </c>
      <c r="AW557" s="1">
        <f t="shared" si="71"/>
        <v>0.22544738968259415</v>
      </c>
    </row>
    <row r="558" spans="1:49" x14ac:dyDescent="0.2">
      <c r="A558">
        <v>556</v>
      </c>
      <c r="B558" t="s">
        <v>3568</v>
      </c>
      <c r="C558" t="s">
        <v>3567</v>
      </c>
      <c r="D558" t="s">
        <v>3566</v>
      </c>
      <c r="F558" t="s">
        <v>3565</v>
      </c>
      <c r="G558" t="s">
        <v>5</v>
      </c>
      <c r="H558" t="s">
        <v>4</v>
      </c>
      <c r="I558" t="s">
        <v>3564</v>
      </c>
      <c r="J558" t="s">
        <v>3563</v>
      </c>
      <c r="K558" t="s">
        <v>3562</v>
      </c>
      <c r="L558" t="s">
        <v>3561</v>
      </c>
      <c r="M558" t="s">
        <v>208</v>
      </c>
      <c r="N558">
        <v>5</v>
      </c>
      <c r="O558" t="s">
        <v>3560</v>
      </c>
      <c r="P558" t="s">
        <v>3559</v>
      </c>
      <c r="Q558" t="s">
        <v>3558</v>
      </c>
      <c r="R558" s="7">
        <v>36100</v>
      </c>
      <c r="S558" s="8">
        <f t="shared" si="64"/>
        <v>1998</v>
      </c>
      <c r="T558" s="8">
        <v>1998</v>
      </c>
      <c r="U558" s="8">
        <f t="shared" si="65"/>
        <v>24</v>
      </c>
      <c r="V558" s="7">
        <v>36100</v>
      </c>
      <c r="W558" t="s">
        <v>152</v>
      </c>
      <c r="X558" s="2">
        <v>0.81</v>
      </c>
      <c r="Y558" s="6">
        <f t="shared" si="66"/>
        <v>2.1622487386882359E-2</v>
      </c>
      <c r="AA558">
        <v>10411135</v>
      </c>
      <c r="AB558">
        <v>12116</v>
      </c>
      <c r="AD558" t="s">
        <v>2</v>
      </c>
      <c r="AE558">
        <v>10</v>
      </c>
      <c r="AF558">
        <v>11</v>
      </c>
      <c r="AH558" t="s">
        <v>3557</v>
      </c>
      <c r="AI558" t="s">
        <v>3556</v>
      </c>
      <c r="AJ558" t="s">
        <v>3555</v>
      </c>
      <c r="AK558" t="s">
        <v>3554</v>
      </c>
      <c r="AL558">
        <v>20</v>
      </c>
      <c r="AM558" s="5">
        <f t="shared" si="67"/>
        <v>0.83333333333333337</v>
      </c>
      <c r="AN558" s="4">
        <f t="shared" si="68"/>
        <v>1.2621481761958854E-3</v>
      </c>
      <c r="AO558" s="3"/>
      <c r="AP558">
        <v>0</v>
      </c>
      <c r="AR558" t="s">
        <v>1</v>
      </c>
      <c r="AT558" s="2">
        <v>2.468</v>
      </c>
      <c r="AU558" s="1">
        <f t="shared" si="69"/>
        <v>1.5514385623676414</v>
      </c>
      <c r="AV558" s="1">
        <f t="shared" si="70"/>
        <v>1.1442317781539122</v>
      </c>
      <c r="AW558" s="1">
        <f t="shared" si="71"/>
        <v>0.73702499394018273</v>
      </c>
    </row>
    <row r="559" spans="1:49" x14ac:dyDescent="0.2">
      <c r="A559">
        <v>557</v>
      </c>
      <c r="B559" t="s">
        <v>3553</v>
      </c>
      <c r="F559" t="s">
        <v>3552</v>
      </c>
      <c r="G559" t="s">
        <v>5</v>
      </c>
      <c r="H559" t="s">
        <v>4</v>
      </c>
      <c r="I559" t="s">
        <v>3551</v>
      </c>
      <c r="J559">
        <v>100372380</v>
      </c>
      <c r="K559" t="s">
        <v>3550</v>
      </c>
      <c r="L559" t="s">
        <v>260</v>
      </c>
      <c r="M559" t="s">
        <v>13</v>
      </c>
      <c r="N559">
        <v>1</v>
      </c>
      <c r="O559" t="s">
        <v>3549</v>
      </c>
      <c r="P559">
        <v>7003750507</v>
      </c>
      <c r="Q559">
        <v>100372380</v>
      </c>
      <c r="R559" s="7">
        <v>36100</v>
      </c>
      <c r="S559" s="8">
        <f t="shared" si="64"/>
        <v>1998</v>
      </c>
      <c r="T559" s="8">
        <v>1998</v>
      </c>
      <c r="U559" s="8">
        <f t="shared" si="65"/>
        <v>24</v>
      </c>
      <c r="V559" s="7">
        <v>36100</v>
      </c>
      <c r="W559" t="s">
        <v>643</v>
      </c>
      <c r="X559" s="2" t="s">
        <v>0</v>
      </c>
      <c r="Y559" s="6" t="e">
        <f t="shared" si="66"/>
        <v>#VALUE!</v>
      </c>
      <c r="AA559" t="s">
        <v>642</v>
      </c>
      <c r="AB559">
        <v>26720</v>
      </c>
      <c r="AD559" t="s">
        <v>2</v>
      </c>
      <c r="AI559" t="s">
        <v>3548</v>
      </c>
      <c r="AK559" t="s">
        <v>3547</v>
      </c>
      <c r="AL559">
        <v>2</v>
      </c>
      <c r="AM559" s="5">
        <f t="shared" si="67"/>
        <v>8.3333333333333329E-2</v>
      </c>
      <c r="AN559" s="4">
        <f t="shared" si="68"/>
        <v>1.2621481761958852E-4</v>
      </c>
      <c r="AO559" s="3"/>
      <c r="AP559">
        <v>0</v>
      </c>
      <c r="AR559" t="s">
        <v>1</v>
      </c>
      <c r="AT559" s="2" t="s">
        <v>0</v>
      </c>
      <c r="AU559" s="1" t="e">
        <f t="shared" si="69"/>
        <v>#VALUE!</v>
      </c>
      <c r="AV559" s="1" t="e">
        <f t="shared" si="70"/>
        <v>#VALUE!</v>
      </c>
      <c r="AW559" s="1" t="e">
        <f t="shared" si="71"/>
        <v>#VALUE!</v>
      </c>
    </row>
    <row r="560" spans="1:49" x14ac:dyDescent="0.2">
      <c r="A560">
        <v>558</v>
      </c>
      <c r="B560" t="s">
        <v>3546</v>
      </c>
      <c r="C560" t="s">
        <v>3545</v>
      </c>
      <c r="F560" t="s">
        <v>3544</v>
      </c>
      <c r="G560" t="s">
        <v>5</v>
      </c>
      <c r="H560" t="s">
        <v>4</v>
      </c>
      <c r="I560" t="s">
        <v>3543</v>
      </c>
      <c r="J560">
        <v>60009037</v>
      </c>
      <c r="K560" t="s">
        <v>396</v>
      </c>
      <c r="L560" t="s">
        <v>74</v>
      </c>
      <c r="M560" t="s">
        <v>9</v>
      </c>
      <c r="N560">
        <v>7</v>
      </c>
      <c r="O560" t="s">
        <v>3542</v>
      </c>
      <c r="P560" t="s">
        <v>3541</v>
      </c>
      <c r="Q560" t="s">
        <v>3540</v>
      </c>
      <c r="R560" s="7">
        <v>36100</v>
      </c>
      <c r="S560" s="8">
        <f t="shared" si="64"/>
        <v>1998</v>
      </c>
      <c r="T560" s="8">
        <v>1998</v>
      </c>
      <c r="U560" s="8">
        <f t="shared" si="65"/>
        <v>24</v>
      </c>
      <c r="V560" s="7">
        <v>36100</v>
      </c>
      <c r="W560" t="s">
        <v>1593</v>
      </c>
      <c r="X560" s="2">
        <v>0.39600000000000002</v>
      </c>
      <c r="Y560" s="6">
        <f t="shared" si="66"/>
        <v>1.0570993833586931E-2</v>
      </c>
      <c r="AA560">
        <v>8858985</v>
      </c>
      <c r="AB560">
        <v>25993</v>
      </c>
      <c r="AD560" t="s">
        <v>2</v>
      </c>
      <c r="AE560">
        <v>13</v>
      </c>
      <c r="AF560">
        <v>11</v>
      </c>
      <c r="AH560" s="10">
        <v>42614</v>
      </c>
      <c r="AI560" t="s">
        <v>3539</v>
      </c>
      <c r="AJ560" t="s">
        <v>3538</v>
      </c>
      <c r="AK560" t="s">
        <v>3537</v>
      </c>
      <c r="AL560">
        <v>23</v>
      </c>
      <c r="AM560" s="5">
        <f t="shared" si="67"/>
        <v>0.95833333333333337</v>
      </c>
      <c r="AN560" s="4">
        <f t="shared" si="68"/>
        <v>1.4514704026252683E-3</v>
      </c>
      <c r="AO560" s="3"/>
      <c r="AP560">
        <v>0</v>
      </c>
      <c r="AQ560" t="s">
        <v>350</v>
      </c>
      <c r="AR560" t="s">
        <v>1</v>
      </c>
      <c r="AS560" t="s">
        <v>349</v>
      </c>
      <c r="AT560" s="2" t="s">
        <v>0</v>
      </c>
      <c r="AU560" s="1">
        <f t="shared" si="69"/>
        <v>0.78351368042984326</v>
      </c>
      <c r="AV560" s="1">
        <f t="shared" si="70"/>
        <v>0.60112321181061001</v>
      </c>
      <c r="AW560" s="1">
        <f t="shared" si="71"/>
        <v>0.41873274319137666</v>
      </c>
    </row>
    <row r="561" spans="1:49" x14ac:dyDescent="0.2">
      <c r="A561">
        <v>559</v>
      </c>
      <c r="B561" t="s">
        <v>3536</v>
      </c>
      <c r="C561" t="s">
        <v>3535</v>
      </c>
      <c r="F561" t="s">
        <v>3534</v>
      </c>
      <c r="G561" t="s">
        <v>5</v>
      </c>
      <c r="H561" t="s">
        <v>4</v>
      </c>
      <c r="I561" t="s">
        <v>3533</v>
      </c>
      <c r="J561">
        <v>60015481</v>
      </c>
      <c r="K561" t="s">
        <v>3532</v>
      </c>
      <c r="L561" t="s">
        <v>3531</v>
      </c>
      <c r="M561" t="s">
        <v>9</v>
      </c>
      <c r="N561">
        <v>2</v>
      </c>
      <c r="O561" t="s">
        <v>3530</v>
      </c>
      <c r="P561" t="s">
        <v>3529</v>
      </c>
      <c r="Q561" t="s">
        <v>3528</v>
      </c>
      <c r="R561" s="7">
        <v>36100</v>
      </c>
      <c r="S561" s="8">
        <f t="shared" si="64"/>
        <v>1998</v>
      </c>
      <c r="T561" s="8">
        <v>1998</v>
      </c>
      <c r="U561" s="8">
        <f t="shared" si="65"/>
        <v>24</v>
      </c>
      <c r="V561" s="7">
        <v>36100</v>
      </c>
      <c r="W561" t="s">
        <v>2191</v>
      </c>
      <c r="X561" s="2">
        <v>1.6379999999999999</v>
      </c>
      <c r="Y561" s="6">
        <f t="shared" si="66"/>
        <v>4.3725474493473214E-2</v>
      </c>
      <c r="AA561" t="s">
        <v>2190</v>
      </c>
      <c r="AB561">
        <v>17391</v>
      </c>
      <c r="AD561" t="s">
        <v>2</v>
      </c>
      <c r="AE561">
        <v>46</v>
      </c>
      <c r="AF561">
        <v>11</v>
      </c>
      <c r="AH561" t="s">
        <v>3527</v>
      </c>
      <c r="AI561" t="s">
        <v>3526</v>
      </c>
      <c r="AK561" t="s">
        <v>3525</v>
      </c>
      <c r="AL561">
        <v>40</v>
      </c>
      <c r="AM561" s="5">
        <f t="shared" si="67"/>
        <v>1.6666666666666667</v>
      </c>
      <c r="AN561" s="4">
        <f t="shared" si="68"/>
        <v>2.5242963523917708E-3</v>
      </c>
      <c r="AO561" s="3"/>
      <c r="AP561">
        <v>0</v>
      </c>
      <c r="AR561" t="s">
        <v>1</v>
      </c>
      <c r="AT561" s="2">
        <v>4.931</v>
      </c>
      <c r="AU561" s="1">
        <f t="shared" si="69"/>
        <v>3.1365121051148783</v>
      </c>
      <c r="AV561" s="1">
        <f t="shared" si="70"/>
        <v>2.3124885422932491</v>
      </c>
      <c r="AW561" s="1">
        <f t="shared" si="71"/>
        <v>1.4884649794716203</v>
      </c>
    </row>
    <row r="562" spans="1:49" x14ac:dyDescent="0.2">
      <c r="A562">
        <v>560</v>
      </c>
      <c r="B562" t="s">
        <v>3524</v>
      </c>
      <c r="F562" t="s">
        <v>3523</v>
      </c>
      <c r="G562" t="s">
        <v>5</v>
      </c>
      <c r="H562" t="s">
        <v>4</v>
      </c>
      <c r="I562" t="s">
        <v>3522</v>
      </c>
      <c r="N562">
        <v>1</v>
      </c>
      <c r="O562" t="s">
        <v>3521</v>
      </c>
      <c r="P562">
        <v>6603794827</v>
      </c>
      <c r="R562" s="7">
        <v>36100</v>
      </c>
      <c r="S562" s="8">
        <f t="shared" si="64"/>
        <v>1998</v>
      </c>
      <c r="T562" s="8">
        <v>1998</v>
      </c>
      <c r="U562" s="8">
        <f t="shared" si="65"/>
        <v>24</v>
      </c>
      <c r="V562" s="7">
        <v>36100</v>
      </c>
      <c r="W562" t="s">
        <v>668</v>
      </c>
      <c r="X562" s="2">
        <v>0.128</v>
      </c>
      <c r="Y562" s="6">
        <f t="shared" si="66"/>
        <v>3.4168868957048667E-3</v>
      </c>
      <c r="AA562">
        <v>10750207</v>
      </c>
      <c r="AB562">
        <v>18722</v>
      </c>
      <c r="AD562" t="s">
        <v>2</v>
      </c>
      <c r="AE562">
        <v>10</v>
      </c>
      <c r="AF562">
        <v>9</v>
      </c>
      <c r="AI562" t="s">
        <v>3520</v>
      </c>
      <c r="AK562" t="s">
        <v>3519</v>
      </c>
      <c r="AL562">
        <v>0</v>
      </c>
      <c r="AM562" s="5">
        <f t="shared" si="67"/>
        <v>0</v>
      </c>
      <c r="AN562" s="4">
        <f t="shared" si="68"/>
        <v>0</v>
      </c>
      <c r="AO562" s="3"/>
      <c r="AP562">
        <v>0</v>
      </c>
      <c r="AR562" t="s">
        <v>1</v>
      </c>
      <c r="AT562" s="2" t="s">
        <v>0</v>
      </c>
      <c r="AU562" s="1">
        <f t="shared" si="69"/>
        <v>0.23918208269934066</v>
      </c>
      <c r="AV562" s="1">
        <f t="shared" si="70"/>
        <v>0.17084434478524332</v>
      </c>
      <c r="AW562" s="1">
        <f t="shared" si="71"/>
        <v>0.10250660687114599</v>
      </c>
    </row>
    <row r="563" spans="1:49" x14ac:dyDescent="0.2">
      <c r="A563">
        <v>561</v>
      </c>
      <c r="B563" t="s">
        <v>3518</v>
      </c>
      <c r="C563" t="s">
        <v>3517</v>
      </c>
      <c r="D563" t="s">
        <v>3516</v>
      </c>
      <c r="F563" t="s">
        <v>3515</v>
      </c>
      <c r="G563" t="s">
        <v>5</v>
      </c>
      <c r="H563" t="s">
        <v>4</v>
      </c>
      <c r="I563" t="s">
        <v>3514</v>
      </c>
      <c r="J563">
        <v>60005722</v>
      </c>
      <c r="K563" t="s">
        <v>3513</v>
      </c>
      <c r="L563" t="s">
        <v>692</v>
      </c>
      <c r="M563" t="s">
        <v>166</v>
      </c>
      <c r="N563">
        <v>1</v>
      </c>
      <c r="O563" t="s">
        <v>3512</v>
      </c>
      <c r="P563">
        <v>6701557700</v>
      </c>
      <c r="Q563">
        <v>60005722</v>
      </c>
      <c r="R563" s="7">
        <v>36100</v>
      </c>
      <c r="S563" s="8">
        <f t="shared" si="64"/>
        <v>1998</v>
      </c>
      <c r="T563" s="8">
        <v>1998</v>
      </c>
      <c r="U563" s="8">
        <f t="shared" si="65"/>
        <v>24</v>
      </c>
      <c r="V563" s="7">
        <v>36100</v>
      </c>
      <c r="W563" t="s">
        <v>633</v>
      </c>
      <c r="X563" s="2">
        <v>0.9</v>
      </c>
      <c r="Y563" s="6">
        <f t="shared" si="66"/>
        <v>2.4024985985424845E-2</v>
      </c>
      <c r="AA563">
        <v>9630252</v>
      </c>
      <c r="AB563">
        <v>29614</v>
      </c>
      <c r="AD563" t="s">
        <v>2</v>
      </c>
      <c r="AE563">
        <v>7</v>
      </c>
      <c r="AF563">
        <v>4</v>
      </c>
      <c r="AH563" t="s">
        <v>3511</v>
      </c>
      <c r="AI563" t="s">
        <v>3510</v>
      </c>
      <c r="AK563" t="s">
        <v>3509</v>
      </c>
      <c r="AL563">
        <v>43</v>
      </c>
      <c r="AM563" s="5">
        <f t="shared" si="67"/>
        <v>1.7916666666666667</v>
      </c>
      <c r="AN563" s="4">
        <f t="shared" si="68"/>
        <v>2.7136185788211539E-3</v>
      </c>
      <c r="AO563" s="3"/>
      <c r="AP563">
        <v>0</v>
      </c>
      <c r="AR563" t="s">
        <v>1</v>
      </c>
      <c r="AT563" s="2" t="s">
        <v>0</v>
      </c>
      <c r="AU563" s="1">
        <f t="shared" si="69"/>
        <v>1.7631575763443736</v>
      </c>
      <c r="AV563" s="1">
        <f t="shared" si="70"/>
        <v>1.3369302282122999</v>
      </c>
      <c r="AW563" s="1">
        <f t="shared" si="71"/>
        <v>0.91070288008022615</v>
      </c>
    </row>
    <row r="564" spans="1:49" x14ac:dyDescent="0.2">
      <c r="A564">
        <v>562</v>
      </c>
      <c r="B564" t="s">
        <v>3508</v>
      </c>
      <c r="F564" t="s">
        <v>3507</v>
      </c>
      <c r="G564" t="s">
        <v>5</v>
      </c>
      <c r="H564" t="s">
        <v>4</v>
      </c>
      <c r="I564" t="s">
        <v>3506</v>
      </c>
      <c r="J564" t="s">
        <v>3505</v>
      </c>
      <c r="K564" t="s">
        <v>3504</v>
      </c>
      <c r="L564" t="s">
        <v>3503</v>
      </c>
      <c r="M564" t="s">
        <v>3502</v>
      </c>
      <c r="N564">
        <v>3</v>
      </c>
      <c r="O564" t="s">
        <v>3501</v>
      </c>
      <c r="P564" t="s">
        <v>3500</v>
      </c>
      <c r="Q564" t="s">
        <v>3499</v>
      </c>
      <c r="R564" s="7">
        <v>36100</v>
      </c>
      <c r="S564" s="8">
        <f t="shared" si="64"/>
        <v>1998</v>
      </c>
      <c r="T564" s="8">
        <v>1998</v>
      </c>
      <c r="U564" s="8">
        <f t="shared" si="65"/>
        <v>24</v>
      </c>
      <c r="V564" s="7">
        <v>36100</v>
      </c>
      <c r="W564" t="s">
        <v>666</v>
      </c>
      <c r="X564" s="2">
        <v>0.216</v>
      </c>
      <c r="Y564" s="6">
        <f t="shared" si="66"/>
        <v>5.765996636501962E-3</v>
      </c>
      <c r="AA564">
        <v>10544887</v>
      </c>
      <c r="AB564">
        <v>13200</v>
      </c>
      <c r="AD564" t="s">
        <v>2</v>
      </c>
      <c r="AE564">
        <v>13</v>
      </c>
      <c r="AF564">
        <v>3</v>
      </c>
      <c r="AH564" t="s">
        <v>3498</v>
      </c>
      <c r="AI564" t="s">
        <v>3497</v>
      </c>
      <c r="AK564" t="s">
        <v>3496</v>
      </c>
      <c r="AL564">
        <v>3</v>
      </c>
      <c r="AM564" s="5">
        <f t="shared" si="67"/>
        <v>0.125</v>
      </c>
      <c r="AN564" s="4">
        <f t="shared" si="68"/>
        <v>1.893222264293828E-4</v>
      </c>
      <c r="AO564" s="3"/>
      <c r="AP564">
        <v>0</v>
      </c>
      <c r="AR564" t="s">
        <v>1</v>
      </c>
      <c r="AT564" s="2" t="s">
        <v>0</v>
      </c>
      <c r="AU564" s="1">
        <f t="shared" si="69"/>
        <v>0.40929943134801877</v>
      </c>
      <c r="AV564" s="1">
        <f t="shared" si="70"/>
        <v>0.29776594314656724</v>
      </c>
      <c r="AW564" s="1">
        <f t="shared" si="71"/>
        <v>0.18623245494511564</v>
      </c>
    </row>
    <row r="565" spans="1:49" x14ac:dyDescent="0.2">
      <c r="A565">
        <v>563</v>
      </c>
      <c r="B565" t="s">
        <v>3495</v>
      </c>
      <c r="C565" t="s">
        <v>3494</v>
      </c>
      <c r="D565" t="s">
        <v>3493</v>
      </c>
      <c r="F565" t="s">
        <v>3492</v>
      </c>
      <c r="G565" t="s">
        <v>5</v>
      </c>
      <c r="H565" t="s">
        <v>4</v>
      </c>
      <c r="I565" t="s">
        <v>3491</v>
      </c>
      <c r="J565" t="s">
        <v>3490</v>
      </c>
      <c r="K565" t="s">
        <v>3489</v>
      </c>
      <c r="L565" t="s">
        <v>3488</v>
      </c>
      <c r="M565" t="s">
        <v>3487</v>
      </c>
      <c r="N565">
        <v>8</v>
      </c>
      <c r="O565" t="s">
        <v>3486</v>
      </c>
      <c r="P565" t="s">
        <v>3485</v>
      </c>
      <c r="Q565" t="s">
        <v>3484</v>
      </c>
      <c r="R565" s="7">
        <v>36100</v>
      </c>
      <c r="S565" s="8">
        <f t="shared" si="64"/>
        <v>1998</v>
      </c>
      <c r="T565" s="8">
        <v>1998</v>
      </c>
      <c r="U565" s="8">
        <f t="shared" si="65"/>
        <v>24</v>
      </c>
      <c r="V565" s="7">
        <v>36100</v>
      </c>
      <c r="W565" t="s">
        <v>3483</v>
      </c>
      <c r="X565" s="2">
        <v>1.3460000000000001</v>
      </c>
      <c r="Y565" s="6">
        <f t="shared" si="66"/>
        <v>3.593070126264649E-2</v>
      </c>
      <c r="AA565">
        <v>7338724</v>
      </c>
      <c r="AB565">
        <v>12178</v>
      </c>
      <c r="AD565" t="s">
        <v>2</v>
      </c>
      <c r="AE565">
        <v>16</v>
      </c>
      <c r="AF565">
        <v>11</v>
      </c>
      <c r="AH565" t="s">
        <v>3482</v>
      </c>
      <c r="AI565" t="s">
        <v>3481</v>
      </c>
      <c r="AJ565" t="s">
        <v>3480</v>
      </c>
      <c r="AK565" t="s">
        <v>3479</v>
      </c>
      <c r="AL565">
        <v>16</v>
      </c>
      <c r="AM565" s="5">
        <f t="shared" si="67"/>
        <v>0.66666666666666663</v>
      </c>
      <c r="AN565" s="4">
        <f t="shared" si="68"/>
        <v>1.0097185409567082E-3</v>
      </c>
      <c r="AO565" s="3"/>
      <c r="AP565">
        <v>0</v>
      </c>
      <c r="AQ565" t="s">
        <v>17</v>
      </c>
      <c r="AR565" t="s">
        <v>1</v>
      </c>
      <c r="AS565" t="s">
        <v>16</v>
      </c>
      <c r="AT565" s="2">
        <v>4.1420000000000003</v>
      </c>
      <c r="AU565" s="1">
        <f t="shared" si="69"/>
        <v>2.5454406446139553</v>
      </c>
      <c r="AV565" s="1">
        <f t="shared" si="70"/>
        <v>1.84702099018016</v>
      </c>
      <c r="AW565" s="1">
        <f t="shared" si="71"/>
        <v>1.1486013357463642</v>
      </c>
    </row>
    <row r="566" spans="1:49" x14ac:dyDescent="0.2">
      <c r="A566">
        <v>564</v>
      </c>
      <c r="B566" t="s">
        <v>3478</v>
      </c>
      <c r="F566" t="s">
        <v>3477</v>
      </c>
      <c r="G566" t="s">
        <v>5</v>
      </c>
      <c r="H566" t="s">
        <v>4</v>
      </c>
      <c r="I566" t="s">
        <v>3476</v>
      </c>
      <c r="J566">
        <v>60015179</v>
      </c>
      <c r="K566" t="s">
        <v>340</v>
      </c>
      <c r="L566" t="s">
        <v>339</v>
      </c>
      <c r="M566" t="s">
        <v>147</v>
      </c>
      <c r="N566">
        <v>4</v>
      </c>
      <c r="O566" t="s">
        <v>3475</v>
      </c>
      <c r="P566" t="s">
        <v>3474</v>
      </c>
      <c r="Q566" t="s">
        <v>3473</v>
      </c>
      <c r="R566" s="7">
        <v>36100</v>
      </c>
      <c r="S566" s="8">
        <f t="shared" si="64"/>
        <v>1998</v>
      </c>
      <c r="T566" s="8">
        <v>1998</v>
      </c>
      <c r="U566" s="8">
        <f t="shared" si="65"/>
        <v>24</v>
      </c>
      <c r="V566" s="7">
        <v>36100</v>
      </c>
      <c r="W566" t="s">
        <v>643</v>
      </c>
      <c r="X566" s="2" t="s">
        <v>0</v>
      </c>
      <c r="Y566" s="6" t="e">
        <f t="shared" si="66"/>
        <v>#VALUE!</v>
      </c>
      <c r="AA566" t="s">
        <v>642</v>
      </c>
      <c r="AB566">
        <v>26720</v>
      </c>
      <c r="AD566" t="s">
        <v>2</v>
      </c>
      <c r="AI566" t="s">
        <v>3472</v>
      </c>
      <c r="AK566" t="s">
        <v>3471</v>
      </c>
      <c r="AL566">
        <v>0</v>
      </c>
      <c r="AM566" s="5">
        <f t="shared" si="67"/>
        <v>0</v>
      </c>
      <c r="AN566" s="4">
        <f t="shared" si="68"/>
        <v>0</v>
      </c>
      <c r="AO566" s="3"/>
      <c r="AP566">
        <v>0</v>
      </c>
      <c r="AR566" t="s">
        <v>1</v>
      </c>
      <c r="AT566" s="2" t="s">
        <v>0</v>
      </c>
      <c r="AU566" s="1" t="e">
        <f t="shared" si="69"/>
        <v>#VALUE!</v>
      </c>
      <c r="AV566" s="1" t="e">
        <f t="shared" si="70"/>
        <v>#VALUE!</v>
      </c>
      <c r="AW566" s="1" t="e">
        <f t="shared" si="71"/>
        <v>#VALUE!</v>
      </c>
    </row>
    <row r="567" spans="1:49" x14ac:dyDescent="0.2">
      <c r="A567">
        <v>565</v>
      </c>
      <c r="B567" t="s">
        <v>3470</v>
      </c>
      <c r="F567" t="s">
        <v>3469</v>
      </c>
      <c r="G567" t="s">
        <v>5</v>
      </c>
      <c r="H567" t="s">
        <v>4</v>
      </c>
      <c r="I567" t="s">
        <v>3468</v>
      </c>
      <c r="J567">
        <v>60001565</v>
      </c>
      <c r="K567" t="s">
        <v>3467</v>
      </c>
      <c r="L567" t="s">
        <v>3466</v>
      </c>
      <c r="M567" t="s">
        <v>3465</v>
      </c>
      <c r="N567">
        <v>2</v>
      </c>
      <c r="O567" t="s">
        <v>3464</v>
      </c>
      <c r="P567" t="s">
        <v>3463</v>
      </c>
      <c r="Q567" t="s">
        <v>3462</v>
      </c>
      <c r="R567" s="7">
        <v>36100</v>
      </c>
      <c r="S567" s="8">
        <f t="shared" si="64"/>
        <v>1998</v>
      </c>
      <c r="T567" s="8">
        <v>1998</v>
      </c>
      <c r="U567" s="8">
        <f t="shared" si="65"/>
        <v>24</v>
      </c>
      <c r="V567" s="7">
        <v>36100</v>
      </c>
      <c r="W567" t="s">
        <v>666</v>
      </c>
      <c r="X567" s="2">
        <v>0.216</v>
      </c>
      <c r="Y567" s="6">
        <f t="shared" si="66"/>
        <v>5.765996636501962E-3</v>
      </c>
      <c r="AA567">
        <v>10544887</v>
      </c>
      <c r="AB567">
        <v>13200</v>
      </c>
      <c r="AD567" t="s">
        <v>2</v>
      </c>
      <c r="AE567">
        <v>13</v>
      </c>
      <c r="AF567">
        <v>3</v>
      </c>
      <c r="AH567" t="s">
        <v>3461</v>
      </c>
      <c r="AI567" t="s">
        <v>3460</v>
      </c>
      <c r="AJ567" t="s">
        <v>3459</v>
      </c>
      <c r="AK567" t="s">
        <v>3458</v>
      </c>
      <c r="AL567">
        <v>5</v>
      </c>
      <c r="AM567" s="5">
        <f t="shared" si="67"/>
        <v>0.20833333333333334</v>
      </c>
      <c r="AN567" s="4">
        <f t="shared" si="68"/>
        <v>3.1553704404897135E-4</v>
      </c>
      <c r="AO567" s="3"/>
      <c r="AP567">
        <v>0</v>
      </c>
      <c r="AR567" t="s">
        <v>1</v>
      </c>
      <c r="AT567" s="2" t="s">
        <v>0</v>
      </c>
      <c r="AU567" s="1">
        <f t="shared" si="69"/>
        <v>0.41308587587660639</v>
      </c>
      <c r="AV567" s="1">
        <f t="shared" si="70"/>
        <v>0.30407668402754667</v>
      </c>
      <c r="AW567" s="1">
        <f t="shared" si="71"/>
        <v>0.19506749217848685</v>
      </c>
    </row>
    <row r="568" spans="1:49" x14ac:dyDescent="0.2">
      <c r="A568">
        <v>566</v>
      </c>
      <c r="B568" t="s">
        <v>3457</v>
      </c>
      <c r="F568" t="s">
        <v>3456</v>
      </c>
      <c r="G568" t="s">
        <v>5</v>
      </c>
      <c r="H568" t="s">
        <v>4</v>
      </c>
      <c r="I568" t="s">
        <v>3455</v>
      </c>
      <c r="J568" t="s">
        <v>3454</v>
      </c>
      <c r="K568" t="s">
        <v>3453</v>
      </c>
      <c r="L568" t="s">
        <v>3452</v>
      </c>
      <c r="M568" t="s">
        <v>1639</v>
      </c>
      <c r="N568">
        <v>2</v>
      </c>
      <c r="O568" t="s">
        <v>3451</v>
      </c>
      <c r="P568" t="s">
        <v>3450</v>
      </c>
      <c r="Q568" t="s">
        <v>3449</v>
      </c>
      <c r="R568" s="7">
        <v>36100</v>
      </c>
      <c r="S568" s="8">
        <f t="shared" si="64"/>
        <v>1998</v>
      </c>
      <c r="T568" s="8">
        <v>1998</v>
      </c>
      <c r="U568" s="8">
        <f t="shared" si="65"/>
        <v>24</v>
      </c>
      <c r="V568" s="7">
        <v>36100</v>
      </c>
      <c r="W568" t="s">
        <v>666</v>
      </c>
      <c r="X568" s="2">
        <v>0.216</v>
      </c>
      <c r="Y568" s="6">
        <f t="shared" si="66"/>
        <v>5.765996636501962E-3</v>
      </c>
      <c r="AA568">
        <v>10544887</v>
      </c>
      <c r="AB568">
        <v>13200</v>
      </c>
      <c r="AD568" t="s">
        <v>2</v>
      </c>
      <c r="AE568">
        <v>13</v>
      </c>
      <c r="AF568">
        <v>3</v>
      </c>
      <c r="AH568" t="s">
        <v>3448</v>
      </c>
      <c r="AI568" t="s">
        <v>3447</v>
      </c>
      <c r="AK568" t="s">
        <v>3446</v>
      </c>
      <c r="AL568">
        <v>0</v>
      </c>
      <c r="AM568" s="5">
        <f t="shared" si="67"/>
        <v>0</v>
      </c>
      <c r="AN568" s="4">
        <f t="shared" si="68"/>
        <v>0</v>
      </c>
      <c r="AO568" s="3"/>
      <c r="AP568">
        <v>0</v>
      </c>
      <c r="AR568" t="s">
        <v>1</v>
      </c>
      <c r="AT568" s="2" t="s">
        <v>0</v>
      </c>
      <c r="AU568" s="1">
        <f t="shared" si="69"/>
        <v>0.40361976455513726</v>
      </c>
      <c r="AV568" s="1">
        <f t="shared" si="70"/>
        <v>0.28829983182509811</v>
      </c>
      <c r="AW568" s="1">
        <f t="shared" si="71"/>
        <v>0.17297989909505887</v>
      </c>
    </row>
    <row r="569" spans="1:49" x14ac:dyDescent="0.2">
      <c r="A569">
        <v>567</v>
      </c>
      <c r="B569" t="s">
        <v>3445</v>
      </c>
      <c r="F569" t="s">
        <v>3444</v>
      </c>
      <c r="G569" t="s">
        <v>5</v>
      </c>
      <c r="H569" t="s">
        <v>4</v>
      </c>
      <c r="I569" t="s">
        <v>3443</v>
      </c>
      <c r="J569" t="s">
        <v>3442</v>
      </c>
      <c r="K569" t="s">
        <v>3441</v>
      </c>
      <c r="L569" t="s">
        <v>3440</v>
      </c>
      <c r="M569" t="s">
        <v>3439</v>
      </c>
      <c r="N569">
        <v>4</v>
      </c>
      <c r="O569" t="s">
        <v>3438</v>
      </c>
      <c r="P569" t="s">
        <v>3437</v>
      </c>
      <c r="Q569" t="s">
        <v>3436</v>
      </c>
      <c r="R569" s="7">
        <v>36100</v>
      </c>
      <c r="S569" s="8">
        <f t="shared" si="64"/>
        <v>1998</v>
      </c>
      <c r="T569" s="8">
        <v>1998</v>
      </c>
      <c r="U569" s="8">
        <f t="shared" si="65"/>
        <v>24</v>
      </c>
      <c r="V569" s="7">
        <v>36100</v>
      </c>
      <c r="W569" t="s">
        <v>666</v>
      </c>
      <c r="X569" s="2">
        <v>0.216</v>
      </c>
      <c r="Y569" s="6">
        <f t="shared" si="66"/>
        <v>5.765996636501962E-3</v>
      </c>
      <c r="AA569">
        <v>10544887</v>
      </c>
      <c r="AB569">
        <v>13200</v>
      </c>
      <c r="AD569" t="s">
        <v>2</v>
      </c>
      <c r="AE569">
        <v>13</v>
      </c>
      <c r="AF569">
        <v>3</v>
      </c>
      <c r="AH569" t="s">
        <v>3435</v>
      </c>
      <c r="AI569" t="s">
        <v>3434</v>
      </c>
      <c r="AK569" t="s">
        <v>3433</v>
      </c>
      <c r="AL569">
        <v>148</v>
      </c>
      <c r="AM569" s="5">
        <f t="shared" si="67"/>
        <v>6.166666666666667</v>
      </c>
      <c r="AN569" s="4">
        <f t="shared" si="68"/>
        <v>9.3398965038495527E-3</v>
      </c>
      <c r="AO569" s="3"/>
      <c r="AP569">
        <v>0</v>
      </c>
      <c r="AR569" t="s">
        <v>1</v>
      </c>
      <c r="AT569" s="2" t="s">
        <v>0</v>
      </c>
      <c r="AU569" s="1">
        <f t="shared" si="69"/>
        <v>0.68381665967062377</v>
      </c>
      <c r="AV569" s="1">
        <f t="shared" si="70"/>
        <v>0.7552946570175757</v>
      </c>
      <c r="AW569" s="1">
        <f t="shared" si="71"/>
        <v>0.82677265436452763</v>
      </c>
    </row>
    <row r="570" spans="1:49" x14ac:dyDescent="0.2">
      <c r="A570">
        <v>568</v>
      </c>
      <c r="B570" t="s">
        <v>3432</v>
      </c>
      <c r="F570" t="s">
        <v>3431</v>
      </c>
      <c r="G570" t="s">
        <v>5</v>
      </c>
      <c r="H570" t="s">
        <v>4</v>
      </c>
      <c r="I570" t="s">
        <v>3430</v>
      </c>
      <c r="J570" t="s">
        <v>3429</v>
      </c>
      <c r="K570" t="s">
        <v>3428</v>
      </c>
      <c r="L570" t="s">
        <v>3427</v>
      </c>
      <c r="M570" t="s">
        <v>101</v>
      </c>
      <c r="N570">
        <v>4</v>
      </c>
      <c r="O570" t="s">
        <v>3426</v>
      </c>
      <c r="P570" t="s">
        <v>3425</v>
      </c>
      <c r="Q570" t="s">
        <v>3424</v>
      </c>
      <c r="R570" s="7">
        <v>36100</v>
      </c>
      <c r="S570" s="8">
        <f t="shared" si="64"/>
        <v>1998</v>
      </c>
      <c r="T570" s="8">
        <v>1998</v>
      </c>
      <c r="U570" s="8">
        <f t="shared" si="65"/>
        <v>24</v>
      </c>
      <c r="V570" s="7">
        <v>36100</v>
      </c>
      <c r="W570" t="s">
        <v>666</v>
      </c>
      <c r="X570" s="2">
        <v>0.216</v>
      </c>
      <c r="Y570" s="6">
        <f t="shared" si="66"/>
        <v>5.765996636501962E-3</v>
      </c>
      <c r="AA570">
        <v>10544887</v>
      </c>
      <c r="AB570">
        <v>13200</v>
      </c>
      <c r="AD570" t="s">
        <v>2</v>
      </c>
      <c r="AE570">
        <v>13</v>
      </c>
      <c r="AF570">
        <v>3</v>
      </c>
      <c r="AH570" t="s">
        <v>3423</v>
      </c>
      <c r="AI570" t="s">
        <v>3422</v>
      </c>
      <c r="AK570" t="s">
        <v>3421</v>
      </c>
      <c r="AL570">
        <v>3</v>
      </c>
      <c r="AM570" s="5">
        <f t="shared" si="67"/>
        <v>0.125</v>
      </c>
      <c r="AN570" s="4">
        <f t="shared" si="68"/>
        <v>1.893222264293828E-4</v>
      </c>
      <c r="AO570" s="3"/>
      <c r="AP570">
        <v>0</v>
      </c>
      <c r="AR570" t="s">
        <v>1</v>
      </c>
      <c r="AT570" s="2" t="s">
        <v>0</v>
      </c>
      <c r="AU570" s="1">
        <f t="shared" si="69"/>
        <v>0.40929943134801877</v>
      </c>
      <c r="AV570" s="1">
        <f t="shared" si="70"/>
        <v>0.29776594314656724</v>
      </c>
      <c r="AW570" s="1">
        <f t="shared" si="71"/>
        <v>0.18623245494511564</v>
      </c>
    </row>
    <row r="571" spans="1:49" x14ac:dyDescent="0.2">
      <c r="A571">
        <v>569</v>
      </c>
      <c r="B571" t="s">
        <v>3420</v>
      </c>
      <c r="C571" t="s">
        <v>3419</v>
      </c>
      <c r="F571" t="s">
        <v>3418</v>
      </c>
      <c r="G571" t="s">
        <v>5</v>
      </c>
      <c r="H571" t="s">
        <v>4</v>
      </c>
      <c r="I571" t="s">
        <v>572</v>
      </c>
      <c r="J571">
        <v>60000745</v>
      </c>
      <c r="K571" t="s">
        <v>267</v>
      </c>
      <c r="L571" t="s">
        <v>266</v>
      </c>
      <c r="M571" t="s">
        <v>9</v>
      </c>
      <c r="N571">
        <v>2</v>
      </c>
      <c r="O571" t="s">
        <v>571</v>
      </c>
      <c r="P571" t="s">
        <v>570</v>
      </c>
      <c r="Q571" t="s">
        <v>469</v>
      </c>
      <c r="R571" s="7">
        <v>36100</v>
      </c>
      <c r="S571" s="8">
        <f t="shared" si="64"/>
        <v>1998</v>
      </c>
      <c r="T571" s="8">
        <v>1998</v>
      </c>
      <c r="U571" s="8">
        <f t="shared" si="65"/>
        <v>24</v>
      </c>
      <c r="V571" s="7">
        <v>36100</v>
      </c>
      <c r="W571" t="s">
        <v>569</v>
      </c>
      <c r="X571" s="2">
        <v>0.91600000000000004</v>
      </c>
      <c r="Y571" s="6">
        <f t="shared" si="66"/>
        <v>2.4452096847387951E-2</v>
      </c>
      <c r="AA571">
        <v>189359</v>
      </c>
      <c r="AB571">
        <v>17344</v>
      </c>
      <c r="AD571" t="s">
        <v>2</v>
      </c>
      <c r="AE571">
        <v>41</v>
      </c>
      <c r="AF571">
        <v>4</v>
      </c>
      <c r="AH571">
        <v>353</v>
      </c>
      <c r="AI571" t="s">
        <v>3417</v>
      </c>
      <c r="AK571" t="s">
        <v>3416</v>
      </c>
      <c r="AL571">
        <v>12</v>
      </c>
      <c r="AM571" s="5">
        <f t="shared" si="67"/>
        <v>0.5</v>
      </c>
      <c r="AN571" s="4">
        <f t="shared" si="68"/>
        <v>7.572889057175312E-4</v>
      </c>
      <c r="AO571" s="3"/>
      <c r="AP571">
        <v>0</v>
      </c>
      <c r="AQ571" t="s">
        <v>3415</v>
      </c>
      <c r="AR571" t="s">
        <v>1</v>
      </c>
      <c r="AS571" t="s">
        <v>3414</v>
      </c>
      <c r="AT571" s="2">
        <v>2.1160000000000001</v>
      </c>
      <c r="AU571" s="1">
        <f t="shared" si="69"/>
        <v>1.7343654464886824</v>
      </c>
      <c r="AV571" s="1">
        <f t="shared" si="70"/>
        <v>1.2604692876552741</v>
      </c>
      <c r="AW571" s="1">
        <f t="shared" si="71"/>
        <v>0.78657312882186559</v>
      </c>
    </row>
    <row r="572" spans="1:49" x14ac:dyDescent="0.2">
      <c r="A572">
        <v>570</v>
      </c>
      <c r="B572" t="s">
        <v>3413</v>
      </c>
      <c r="C572" t="s">
        <v>3412</v>
      </c>
      <c r="F572" t="s">
        <v>3411</v>
      </c>
      <c r="G572" t="s">
        <v>5</v>
      </c>
      <c r="H572" t="s">
        <v>4</v>
      </c>
      <c r="I572" t="s">
        <v>3410</v>
      </c>
      <c r="J572">
        <v>60012564</v>
      </c>
      <c r="K572" t="s">
        <v>3409</v>
      </c>
      <c r="L572" t="s">
        <v>3408</v>
      </c>
      <c r="M572" t="s">
        <v>9</v>
      </c>
      <c r="N572">
        <v>2</v>
      </c>
      <c r="O572" t="s">
        <v>3407</v>
      </c>
      <c r="P572" t="s">
        <v>3406</v>
      </c>
      <c r="Q572" t="s">
        <v>3405</v>
      </c>
      <c r="R572" s="7">
        <v>36100</v>
      </c>
      <c r="S572" s="8">
        <f t="shared" si="64"/>
        <v>1998</v>
      </c>
      <c r="T572" s="8">
        <v>1998</v>
      </c>
      <c r="U572" s="8">
        <f t="shared" si="65"/>
        <v>24</v>
      </c>
      <c r="V572" s="7">
        <v>36100</v>
      </c>
      <c r="W572" t="s">
        <v>1593</v>
      </c>
      <c r="X572" s="2">
        <v>0.39600000000000002</v>
      </c>
      <c r="Y572" s="6">
        <f t="shared" si="66"/>
        <v>1.0570993833586931E-2</v>
      </c>
      <c r="AA572">
        <v>8858985</v>
      </c>
      <c r="AB572">
        <v>25993</v>
      </c>
      <c r="AD572" t="s">
        <v>2</v>
      </c>
      <c r="AE572">
        <v>13</v>
      </c>
      <c r="AF572">
        <v>11</v>
      </c>
      <c r="AH572" t="s">
        <v>189</v>
      </c>
      <c r="AI572" t="s">
        <v>3404</v>
      </c>
      <c r="AK572" t="s">
        <v>3403</v>
      </c>
      <c r="AL572">
        <v>46</v>
      </c>
      <c r="AM572" s="5">
        <f t="shared" si="67"/>
        <v>1.9166666666666667</v>
      </c>
      <c r="AN572" s="4">
        <f t="shared" si="68"/>
        <v>2.9029408052505365E-3</v>
      </c>
      <c r="AO572" s="3"/>
      <c r="AP572">
        <v>0</v>
      </c>
      <c r="AR572" t="s">
        <v>1</v>
      </c>
      <c r="AT572" s="2" t="s">
        <v>0</v>
      </c>
      <c r="AU572" s="1">
        <f t="shared" si="69"/>
        <v>0.82705779250860123</v>
      </c>
      <c r="AV572" s="1">
        <f t="shared" si="70"/>
        <v>0.67369673194187341</v>
      </c>
      <c r="AW572" s="1">
        <f t="shared" si="71"/>
        <v>0.52033567137514547</v>
      </c>
    </row>
    <row r="573" spans="1:49" x14ac:dyDescent="0.2">
      <c r="A573">
        <v>571</v>
      </c>
      <c r="B573" t="s">
        <v>3402</v>
      </c>
      <c r="C573" t="s">
        <v>3401</v>
      </c>
      <c r="D573" t="s">
        <v>3400</v>
      </c>
      <c r="F573" t="s">
        <v>3399</v>
      </c>
      <c r="G573" t="s">
        <v>5</v>
      </c>
      <c r="H573" t="s">
        <v>4</v>
      </c>
      <c r="I573" t="s">
        <v>641</v>
      </c>
      <c r="J573" t="s">
        <v>640</v>
      </c>
      <c r="K573" t="s">
        <v>639</v>
      </c>
      <c r="L573" t="s">
        <v>638</v>
      </c>
      <c r="M573" t="s">
        <v>637</v>
      </c>
      <c r="N573">
        <v>2</v>
      </c>
      <c r="O573" t="s">
        <v>636</v>
      </c>
      <c r="P573" t="s">
        <v>635</v>
      </c>
      <c r="Q573" t="s">
        <v>634</v>
      </c>
      <c r="R573" s="7">
        <v>36100</v>
      </c>
      <c r="S573" s="8">
        <f t="shared" si="64"/>
        <v>1998</v>
      </c>
      <c r="T573" s="8">
        <v>1998</v>
      </c>
      <c r="U573" s="8">
        <f t="shared" si="65"/>
        <v>24</v>
      </c>
      <c r="V573" s="7">
        <v>36100</v>
      </c>
      <c r="W573" t="s">
        <v>633</v>
      </c>
      <c r="X573" s="2">
        <v>0.9</v>
      </c>
      <c r="Y573" s="6">
        <f t="shared" si="66"/>
        <v>2.4024985985424845E-2</v>
      </c>
      <c r="AA573">
        <v>9630252</v>
      </c>
      <c r="AB573">
        <v>29614</v>
      </c>
      <c r="AD573" t="s">
        <v>2</v>
      </c>
      <c r="AE573">
        <v>7</v>
      </c>
      <c r="AF573">
        <v>4</v>
      </c>
      <c r="AH573" t="s">
        <v>3398</v>
      </c>
      <c r="AI573" t="s">
        <v>3397</v>
      </c>
      <c r="AK573" t="s">
        <v>3396</v>
      </c>
      <c r="AL573">
        <v>33</v>
      </c>
      <c r="AM573" s="5">
        <f t="shared" si="67"/>
        <v>1.375</v>
      </c>
      <c r="AN573" s="4">
        <f t="shared" si="68"/>
        <v>2.0825444907232107E-3</v>
      </c>
      <c r="AO573" s="3"/>
      <c r="AP573">
        <v>0</v>
      </c>
      <c r="AR573" t="s">
        <v>1</v>
      </c>
      <c r="AT573" s="2" t="s">
        <v>0</v>
      </c>
      <c r="AU573" s="1">
        <f t="shared" si="69"/>
        <v>1.7442253537014354</v>
      </c>
      <c r="AV573" s="1">
        <f t="shared" si="70"/>
        <v>1.3053765238074027</v>
      </c>
      <c r="AW573" s="1">
        <f t="shared" si="71"/>
        <v>0.86652769391337015</v>
      </c>
    </row>
    <row r="574" spans="1:49" x14ac:dyDescent="0.2">
      <c r="A574">
        <v>572</v>
      </c>
      <c r="B574" t="s">
        <v>3395</v>
      </c>
      <c r="C574" t="s">
        <v>3394</v>
      </c>
      <c r="D574" t="s">
        <v>3393</v>
      </c>
      <c r="F574" t="s">
        <v>3392</v>
      </c>
      <c r="G574" t="s">
        <v>5</v>
      </c>
      <c r="H574" t="s">
        <v>4</v>
      </c>
      <c r="I574" t="s">
        <v>336</v>
      </c>
      <c r="J574" t="s">
        <v>3391</v>
      </c>
      <c r="K574" t="s">
        <v>3390</v>
      </c>
      <c r="L574" t="s">
        <v>3389</v>
      </c>
      <c r="M574" t="s">
        <v>6</v>
      </c>
      <c r="N574">
        <v>5</v>
      </c>
      <c r="O574" t="s">
        <v>3388</v>
      </c>
      <c r="P574" t="s">
        <v>335</v>
      </c>
      <c r="Q574" t="s">
        <v>3387</v>
      </c>
      <c r="R574" s="7">
        <v>36100</v>
      </c>
      <c r="S574" s="8">
        <f t="shared" si="64"/>
        <v>1998</v>
      </c>
      <c r="T574" s="8">
        <v>1998</v>
      </c>
      <c r="U574" s="8">
        <f t="shared" si="65"/>
        <v>24</v>
      </c>
      <c r="V574" s="7">
        <v>36100</v>
      </c>
      <c r="W574" t="s">
        <v>633</v>
      </c>
      <c r="X574" s="2">
        <v>0.9</v>
      </c>
      <c r="Y574" s="6">
        <f t="shared" si="66"/>
        <v>2.4024985985424845E-2</v>
      </c>
      <c r="AA574">
        <v>9630252</v>
      </c>
      <c r="AB574">
        <v>29614</v>
      </c>
      <c r="AD574" t="s">
        <v>2</v>
      </c>
      <c r="AE574">
        <v>7</v>
      </c>
      <c r="AF574">
        <v>4</v>
      </c>
      <c r="AH574" t="s">
        <v>510</v>
      </c>
      <c r="AI574" t="s">
        <v>3386</v>
      </c>
      <c r="AK574" t="s">
        <v>3385</v>
      </c>
      <c r="AL574">
        <v>9</v>
      </c>
      <c r="AM574" s="5">
        <f t="shared" si="67"/>
        <v>0.375</v>
      </c>
      <c r="AN574" s="4">
        <f t="shared" si="68"/>
        <v>5.6796667928814845E-4</v>
      </c>
      <c r="AO574" s="3"/>
      <c r="AP574">
        <v>0</v>
      </c>
      <c r="AR574" t="s">
        <v>1</v>
      </c>
      <c r="AT574" s="2" t="s">
        <v>0</v>
      </c>
      <c r="AU574" s="1">
        <f t="shared" si="69"/>
        <v>1.6987880193583833</v>
      </c>
      <c r="AV574" s="1">
        <f t="shared" si="70"/>
        <v>1.2296476332356496</v>
      </c>
      <c r="AW574" s="1">
        <f t="shared" si="71"/>
        <v>0.76050724711291573</v>
      </c>
    </row>
    <row r="575" spans="1:49" x14ac:dyDescent="0.2">
      <c r="A575">
        <v>573</v>
      </c>
      <c r="B575" t="s">
        <v>3384</v>
      </c>
      <c r="E575">
        <v>9919379</v>
      </c>
      <c r="F575" t="s">
        <v>3383</v>
      </c>
      <c r="G575" t="s">
        <v>5</v>
      </c>
      <c r="H575" t="s">
        <v>4</v>
      </c>
      <c r="I575" t="s">
        <v>3382</v>
      </c>
      <c r="J575">
        <v>60012911</v>
      </c>
      <c r="K575" t="s">
        <v>3381</v>
      </c>
      <c r="L575" t="s">
        <v>568</v>
      </c>
      <c r="M575" t="s">
        <v>548</v>
      </c>
      <c r="N575">
        <v>3</v>
      </c>
      <c r="O575" t="s">
        <v>3380</v>
      </c>
      <c r="P575" t="s">
        <v>3379</v>
      </c>
      <c r="Q575" t="s">
        <v>3378</v>
      </c>
      <c r="R575" s="7">
        <v>36100</v>
      </c>
      <c r="S575" s="8">
        <f t="shared" si="64"/>
        <v>1998</v>
      </c>
      <c r="T575" s="8">
        <v>1998</v>
      </c>
      <c r="U575" s="8">
        <f t="shared" si="65"/>
        <v>24</v>
      </c>
      <c r="V575" s="7">
        <v>36100</v>
      </c>
      <c r="W575" t="s">
        <v>3377</v>
      </c>
      <c r="X575" s="2">
        <v>0.32500000000000001</v>
      </c>
      <c r="Y575" s="6">
        <f t="shared" si="66"/>
        <v>8.6756893836256385E-3</v>
      </c>
      <c r="AA575">
        <v>12107778</v>
      </c>
      <c r="AB575">
        <v>20149</v>
      </c>
      <c r="AD575" t="s">
        <v>2</v>
      </c>
      <c r="AE575">
        <v>6</v>
      </c>
      <c r="AF575">
        <v>4</v>
      </c>
      <c r="AH575" t="s">
        <v>3376</v>
      </c>
      <c r="AI575" t="s">
        <v>3375</v>
      </c>
      <c r="AJ575" t="s">
        <v>3374</v>
      </c>
      <c r="AK575" t="s">
        <v>3373</v>
      </c>
      <c r="AL575">
        <v>35</v>
      </c>
      <c r="AM575" s="5">
        <f t="shared" si="67"/>
        <v>1.4583333333333333</v>
      </c>
      <c r="AN575" s="4">
        <f t="shared" si="68"/>
        <v>2.2087593083427995E-3</v>
      </c>
      <c r="AO575" s="3"/>
      <c r="AP575">
        <v>0</v>
      </c>
      <c r="AR575" t="s">
        <v>1</v>
      </c>
      <c r="AT575" s="2">
        <v>1.163</v>
      </c>
      <c r="AU575" s="1">
        <f t="shared" si="69"/>
        <v>0.67356103610407869</v>
      </c>
      <c r="AV575" s="1">
        <f t="shared" si="70"/>
        <v>0.5442224345984219</v>
      </c>
      <c r="AW575" s="1">
        <f t="shared" si="71"/>
        <v>0.41488383309276511</v>
      </c>
    </row>
    <row r="576" spans="1:49" x14ac:dyDescent="0.2">
      <c r="A576">
        <v>574</v>
      </c>
      <c r="B576" t="s">
        <v>3372</v>
      </c>
      <c r="C576" t="s">
        <v>3371</v>
      </c>
      <c r="E576">
        <v>9751793</v>
      </c>
      <c r="F576" t="s">
        <v>3370</v>
      </c>
      <c r="G576" t="s">
        <v>5</v>
      </c>
      <c r="H576" t="s">
        <v>4</v>
      </c>
      <c r="I576" t="s">
        <v>3369</v>
      </c>
      <c r="J576">
        <v>60010954</v>
      </c>
      <c r="K576" t="s">
        <v>203</v>
      </c>
      <c r="L576" t="s">
        <v>202</v>
      </c>
      <c r="M576" t="s">
        <v>182</v>
      </c>
      <c r="N576">
        <v>3</v>
      </c>
      <c r="O576" t="s">
        <v>3368</v>
      </c>
      <c r="P576" t="s">
        <v>3367</v>
      </c>
      <c r="Q576" t="s">
        <v>3366</v>
      </c>
      <c r="R576" s="7">
        <v>36100</v>
      </c>
      <c r="S576" s="8">
        <f t="shared" si="64"/>
        <v>1998</v>
      </c>
      <c r="T576" s="8">
        <v>1998</v>
      </c>
      <c r="U576" s="8">
        <f t="shared" si="65"/>
        <v>24</v>
      </c>
      <c r="V576" s="7">
        <v>36100</v>
      </c>
      <c r="W576" t="s">
        <v>3365</v>
      </c>
      <c r="X576" s="2">
        <v>1.7569999999999999</v>
      </c>
      <c r="Y576" s="6">
        <f t="shared" si="66"/>
        <v>4.6902111529323831E-2</v>
      </c>
      <c r="AA576">
        <v>9596658</v>
      </c>
      <c r="AB576">
        <v>17511</v>
      </c>
      <c r="AD576" t="s">
        <v>2</v>
      </c>
      <c r="AE576">
        <v>8</v>
      </c>
      <c r="AF576">
        <v>11</v>
      </c>
      <c r="AH576" t="s">
        <v>3364</v>
      </c>
      <c r="AI576" t="s">
        <v>3363</v>
      </c>
      <c r="AJ576" t="s">
        <v>3362</v>
      </c>
      <c r="AK576" t="s">
        <v>3361</v>
      </c>
      <c r="AL576">
        <v>24</v>
      </c>
      <c r="AM576" s="5">
        <f t="shared" si="67"/>
        <v>1</v>
      </c>
      <c r="AN576" s="4">
        <f t="shared" si="68"/>
        <v>1.5145778114350624E-3</v>
      </c>
      <c r="AO576" s="3"/>
      <c r="AP576">
        <v>1</v>
      </c>
      <c r="AQ576" t="s">
        <v>3360</v>
      </c>
      <c r="AR576" t="s">
        <v>1</v>
      </c>
      <c r="AS576" t="s">
        <v>3359</v>
      </c>
      <c r="AT576" s="2">
        <v>4.3129999999999997</v>
      </c>
      <c r="AU576" s="1">
        <f t="shared" si="69"/>
        <v>3.3285851413957199</v>
      </c>
      <c r="AV576" s="1">
        <f t="shared" si="70"/>
        <v>2.4208344670379445</v>
      </c>
      <c r="AW576" s="1">
        <f t="shared" si="71"/>
        <v>1.5130837926801692</v>
      </c>
    </row>
    <row r="577" spans="1:49" x14ac:dyDescent="0.2">
      <c r="A577">
        <v>575</v>
      </c>
      <c r="B577" t="s">
        <v>3358</v>
      </c>
      <c r="C577" t="s">
        <v>3357</v>
      </c>
      <c r="F577" t="s">
        <v>3356</v>
      </c>
      <c r="G577" t="s">
        <v>5</v>
      </c>
      <c r="H577" t="s">
        <v>4</v>
      </c>
      <c r="I577" t="s">
        <v>3355</v>
      </c>
      <c r="J577">
        <v>60012689</v>
      </c>
      <c r="K577" t="s">
        <v>3354</v>
      </c>
      <c r="L577" t="s">
        <v>3353</v>
      </c>
      <c r="M577" t="s">
        <v>37</v>
      </c>
      <c r="N577">
        <v>2</v>
      </c>
      <c r="O577" t="s">
        <v>3352</v>
      </c>
      <c r="P577" t="s">
        <v>3351</v>
      </c>
      <c r="Q577" t="s">
        <v>3350</v>
      </c>
      <c r="R577" s="7">
        <v>36100</v>
      </c>
      <c r="S577" s="8">
        <f t="shared" si="64"/>
        <v>1998</v>
      </c>
      <c r="T577" s="8">
        <v>1998</v>
      </c>
      <c r="U577" s="8">
        <f t="shared" si="65"/>
        <v>24</v>
      </c>
      <c r="V577" s="7">
        <v>36100</v>
      </c>
      <c r="W577" t="s">
        <v>629</v>
      </c>
      <c r="X577" s="2">
        <v>0.8</v>
      </c>
      <c r="Y577" s="6">
        <f t="shared" si="66"/>
        <v>2.1355543098155415E-2</v>
      </c>
      <c r="AA577">
        <v>3407594</v>
      </c>
      <c r="AB577">
        <v>23456</v>
      </c>
      <c r="AD577" t="s">
        <v>2</v>
      </c>
      <c r="AE577">
        <v>183</v>
      </c>
      <c r="AF577">
        <v>5</v>
      </c>
      <c r="AH577" t="s">
        <v>3349</v>
      </c>
      <c r="AI577" t="s">
        <v>3348</v>
      </c>
      <c r="AJ577" t="s">
        <v>3347</v>
      </c>
      <c r="AK577" t="s">
        <v>3346</v>
      </c>
      <c r="AL577">
        <v>40</v>
      </c>
      <c r="AM577" s="5">
        <f t="shared" si="67"/>
        <v>1.6666666666666667</v>
      </c>
      <c r="AN577" s="4">
        <f t="shared" si="68"/>
        <v>2.5242963523917708E-3</v>
      </c>
      <c r="AO577" s="3"/>
      <c r="AP577">
        <v>0</v>
      </c>
      <c r="AQ577" t="s">
        <v>180</v>
      </c>
      <c r="AR577" t="s">
        <v>3345</v>
      </c>
      <c r="AS577" t="s">
        <v>179</v>
      </c>
      <c r="AT577" s="2" t="s">
        <v>0</v>
      </c>
      <c r="AU577" s="1">
        <f t="shared" si="69"/>
        <v>1.5706169074426322</v>
      </c>
      <c r="AV577" s="1">
        <f t="shared" si="70"/>
        <v>1.1939919725273593</v>
      </c>
      <c r="AW577" s="1">
        <f t="shared" si="71"/>
        <v>0.81736703761208651</v>
      </c>
    </row>
    <row r="578" spans="1:49" x14ac:dyDescent="0.2">
      <c r="A578">
        <v>576</v>
      </c>
      <c r="B578" t="s">
        <v>3344</v>
      </c>
      <c r="F578" t="s">
        <v>3343</v>
      </c>
      <c r="G578" t="s">
        <v>5</v>
      </c>
      <c r="H578" t="s">
        <v>4</v>
      </c>
      <c r="I578" t="s">
        <v>3342</v>
      </c>
      <c r="J578" t="s">
        <v>3341</v>
      </c>
      <c r="K578" t="s">
        <v>3340</v>
      </c>
      <c r="L578" t="s">
        <v>3339</v>
      </c>
      <c r="M578" t="s">
        <v>3338</v>
      </c>
      <c r="N578">
        <v>3</v>
      </c>
      <c r="O578" t="s">
        <v>3337</v>
      </c>
      <c r="P578" t="s">
        <v>3336</v>
      </c>
      <c r="Q578" t="s">
        <v>3335</v>
      </c>
      <c r="R578" s="7">
        <v>36100</v>
      </c>
      <c r="S578" s="8">
        <f t="shared" ref="S578:S641" si="72">YEAR(R578)</f>
        <v>1998</v>
      </c>
      <c r="T578" s="8">
        <v>1998</v>
      </c>
      <c r="U578" s="8">
        <f t="shared" ref="U578:U641" si="73">2022-T578</f>
        <v>24</v>
      </c>
      <c r="V578" s="7">
        <v>36100</v>
      </c>
      <c r="W578" t="s">
        <v>552</v>
      </c>
      <c r="X578" s="2">
        <v>0.33800000000000002</v>
      </c>
      <c r="Y578" s="6">
        <f t="shared" ref="Y578:Y641" si="74">(X578-$Z$3)/($Z$2-$Z$3)</f>
        <v>9.0227169589706634E-3</v>
      </c>
      <c r="AA578">
        <v>34347</v>
      </c>
      <c r="AB578">
        <v>17722</v>
      </c>
      <c r="AC578">
        <v>19589395</v>
      </c>
      <c r="AD578" t="s">
        <v>2</v>
      </c>
      <c r="AE578">
        <v>53</v>
      </c>
      <c r="AF578">
        <v>11</v>
      </c>
      <c r="AH578" t="s">
        <v>3334</v>
      </c>
      <c r="AI578" t="s">
        <v>3333</v>
      </c>
      <c r="AJ578" t="s">
        <v>3332</v>
      </c>
      <c r="AK578" t="s">
        <v>3331</v>
      </c>
      <c r="AL578">
        <v>5</v>
      </c>
      <c r="AM578" s="5">
        <f t="shared" ref="AM578:AM641" si="75">AL578/U578</f>
        <v>0.20833333333333334</v>
      </c>
      <c r="AN578" s="4">
        <f t="shared" ref="AN578:AN641" si="76">(AM578-$AO$3)/($AO$2-$AO$3)</f>
        <v>3.1553704404897135E-4</v>
      </c>
      <c r="AO578" s="3"/>
      <c r="AP578">
        <v>0</v>
      </c>
      <c r="AR578" t="s">
        <v>1</v>
      </c>
      <c r="AT578" s="2" t="s">
        <v>0</v>
      </c>
      <c r="AU578" s="1">
        <f t="shared" ref="AU578:AU641" si="77">(Y578*0.7+AN578*0.3)*100</f>
        <v>0.64105629844941558</v>
      </c>
      <c r="AV578" s="1">
        <f t="shared" ref="AV578:AV641" si="78">(Y578*0.5+AN578*0.5)*100</f>
        <v>0.46691270015098169</v>
      </c>
      <c r="AW578" s="1">
        <f t="shared" ref="AW578:AW641" si="79">(Y578*0.3+AN578*0.7)*100</f>
        <v>0.2927691018525479</v>
      </c>
    </row>
    <row r="579" spans="1:49" x14ac:dyDescent="0.2">
      <c r="A579">
        <v>577</v>
      </c>
      <c r="B579" t="s">
        <v>3330</v>
      </c>
      <c r="F579" t="s">
        <v>3329</v>
      </c>
      <c r="G579" t="s">
        <v>5</v>
      </c>
      <c r="H579" t="s">
        <v>4</v>
      </c>
      <c r="I579" t="s">
        <v>3328</v>
      </c>
      <c r="J579" t="s">
        <v>3327</v>
      </c>
      <c r="K579" t="s">
        <v>3326</v>
      </c>
      <c r="L579" t="s">
        <v>3325</v>
      </c>
      <c r="M579" t="s">
        <v>20</v>
      </c>
      <c r="N579">
        <v>4</v>
      </c>
      <c r="O579" t="s">
        <v>3324</v>
      </c>
      <c r="P579" t="s">
        <v>3323</v>
      </c>
      <c r="Q579" t="s">
        <v>3322</v>
      </c>
      <c r="R579" s="7">
        <v>36100</v>
      </c>
      <c r="S579" s="8">
        <f t="shared" si="72"/>
        <v>1998</v>
      </c>
      <c r="T579" s="8">
        <v>1998</v>
      </c>
      <c r="U579" s="8">
        <f t="shared" si="73"/>
        <v>24</v>
      </c>
      <c r="V579" s="7">
        <v>36100</v>
      </c>
      <c r="W579" t="s">
        <v>552</v>
      </c>
      <c r="X579" s="2">
        <v>0.33800000000000002</v>
      </c>
      <c r="Y579" s="6">
        <f t="shared" si="74"/>
        <v>9.0227169589706634E-3</v>
      </c>
      <c r="AA579">
        <v>34347</v>
      </c>
      <c r="AB579">
        <v>17722</v>
      </c>
      <c r="AC579">
        <v>19589395</v>
      </c>
      <c r="AD579" t="s">
        <v>2</v>
      </c>
      <c r="AE579">
        <v>53</v>
      </c>
      <c r="AF579">
        <v>11</v>
      </c>
      <c r="AH579" t="s">
        <v>3321</v>
      </c>
      <c r="AI579" t="s">
        <v>3320</v>
      </c>
      <c r="AJ579" t="s">
        <v>3319</v>
      </c>
      <c r="AK579" t="s">
        <v>3318</v>
      </c>
      <c r="AL579">
        <v>2</v>
      </c>
      <c r="AM579" s="5">
        <f t="shared" si="75"/>
        <v>8.3333333333333329E-2</v>
      </c>
      <c r="AN579" s="4">
        <f t="shared" si="76"/>
        <v>1.2621481761958852E-4</v>
      </c>
      <c r="AO579" s="3"/>
      <c r="AP579">
        <v>0</v>
      </c>
      <c r="AR579" t="s">
        <v>1</v>
      </c>
      <c r="AT579" s="2" t="s">
        <v>0</v>
      </c>
      <c r="AU579" s="1">
        <f t="shared" si="77"/>
        <v>0.63537663165653402</v>
      </c>
      <c r="AV579" s="1">
        <f t="shared" si="78"/>
        <v>0.45744658882951256</v>
      </c>
      <c r="AW579" s="1">
        <f t="shared" si="79"/>
        <v>0.2795165460024911</v>
      </c>
    </row>
    <row r="580" spans="1:49" x14ac:dyDescent="0.2">
      <c r="A580">
        <v>578</v>
      </c>
      <c r="B580" t="s">
        <v>3317</v>
      </c>
      <c r="F580" t="s">
        <v>3316</v>
      </c>
      <c r="G580" t="s">
        <v>5</v>
      </c>
      <c r="H580" t="s">
        <v>4</v>
      </c>
      <c r="I580" t="s">
        <v>3315</v>
      </c>
      <c r="J580">
        <v>60019269</v>
      </c>
      <c r="K580" t="s">
        <v>3314</v>
      </c>
      <c r="L580" t="s">
        <v>3313</v>
      </c>
      <c r="M580" t="s">
        <v>36</v>
      </c>
      <c r="N580">
        <v>2</v>
      </c>
      <c r="O580" t="s">
        <v>3312</v>
      </c>
      <c r="P580" t="s">
        <v>3311</v>
      </c>
      <c r="Q580" t="s">
        <v>3310</v>
      </c>
      <c r="R580" s="7">
        <v>36100</v>
      </c>
      <c r="S580" s="8">
        <f t="shared" si="72"/>
        <v>1998</v>
      </c>
      <c r="T580" s="8">
        <v>1998</v>
      </c>
      <c r="U580" s="8">
        <f t="shared" si="73"/>
        <v>24</v>
      </c>
      <c r="V580" s="7">
        <v>36100</v>
      </c>
      <c r="W580" t="s">
        <v>552</v>
      </c>
      <c r="X580" s="2">
        <v>0.33800000000000002</v>
      </c>
      <c r="Y580" s="6">
        <f t="shared" si="74"/>
        <v>9.0227169589706634E-3</v>
      </c>
      <c r="AA580">
        <v>34347</v>
      </c>
      <c r="AB580">
        <v>17722</v>
      </c>
      <c r="AC580">
        <v>19589395</v>
      </c>
      <c r="AD580" t="s">
        <v>2</v>
      </c>
      <c r="AE580">
        <v>53</v>
      </c>
      <c r="AF580">
        <v>11</v>
      </c>
      <c r="AH580" t="s">
        <v>3309</v>
      </c>
      <c r="AI580" t="s">
        <v>3308</v>
      </c>
      <c r="AJ580" t="s">
        <v>3307</v>
      </c>
      <c r="AK580" t="s">
        <v>3306</v>
      </c>
      <c r="AL580">
        <v>5</v>
      </c>
      <c r="AM580" s="5">
        <f t="shared" si="75"/>
        <v>0.20833333333333334</v>
      </c>
      <c r="AN580" s="4">
        <f t="shared" si="76"/>
        <v>3.1553704404897135E-4</v>
      </c>
      <c r="AO580" s="3"/>
      <c r="AP580">
        <v>0</v>
      </c>
      <c r="AR580" t="s">
        <v>1</v>
      </c>
      <c r="AT580" s="2" t="s">
        <v>0</v>
      </c>
      <c r="AU580" s="1">
        <f t="shared" si="77"/>
        <v>0.64105629844941558</v>
      </c>
      <c r="AV580" s="1">
        <f t="shared" si="78"/>
        <v>0.46691270015098169</v>
      </c>
      <c r="AW580" s="1">
        <f t="shared" si="79"/>
        <v>0.2927691018525479</v>
      </c>
    </row>
    <row r="581" spans="1:49" x14ac:dyDescent="0.2">
      <c r="A581">
        <v>579</v>
      </c>
      <c r="B581" t="s">
        <v>3305</v>
      </c>
      <c r="C581" t="s">
        <v>3304</v>
      </c>
      <c r="D581" t="s">
        <v>3303</v>
      </c>
      <c r="F581" t="s">
        <v>3302</v>
      </c>
      <c r="G581" t="s">
        <v>5</v>
      </c>
      <c r="H581" t="s">
        <v>4</v>
      </c>
      <c r="I581" t="s">
        <v>3301</v>
      </c>
      <c r="J581" t="s">
        <v>3300</v>
      </c>
      <c r="K581" t="s">
        <v>3299</v>
      </c>
      <c r="L581" t="s">
        <v>3298</v>
      </c>
      <c r="M581" t="s">
        <v>3297</v>
      </c>
      <c r="N581">
        <v>2</v>
      </c>
      <c r="O581" t="s">
        <v>3296</v>
      </c>
      <c r="P581" t="s">
        <v>3295</v>
      </c>
      <c r="Q581" t="s">
        <v>3294</v>
      </c>
      <c r="R581" s="7">
        <v>36100</v>
      </c>
      <c r="S581" s="8">
        <f t="shared" si="72"/>
        <v>1998</v>
      </c>
      <c r="T581" s="8">
        <v>1998</v>
      </c>
      <c r="U581" s="8">
        <f t="shared" si="73"/>
        <v>24</v>
      </c>
      <c r="V581" s="7">
        <v>36100</v>
      </c>
      <c r="W581" t="s">
        <v>3293</v>
      </c>
      <c r="X581" s="2">
        <v>0.54100000000000004</v>
      </c>
      <c r="Y581" s="6">
        <f t="shared" si="74"/>
        <v>1.4441686020127601E-2</v>
      </c>
      <c r="AA581">
        <v>3784754</v>
      </c>
      <c r="AB581">
        <v>12166</v>
      </c>
      <c r="AD581" t="s">
        <v>2</v>
      </c>
      <c r="AE581">
        <v>48</v>
      </c>
      <c r="AF581">
        <v>1</v>
      </c>
      <c r="AH581" s="9">
        <v>44442</v>
      </c>
      <c r="AI581" t="s">
        <v>3292</v>
      </c>
      <c r="AJ581" t="s">
        <v>3291</v>
      </c>
      <c r="AK581" t="s">
        <v>3290</v>
      </c>
      <c r="AL581">
        <v>78</v>
      </c>
      <c r="AM581" s="5">
        <f t="shared" si="75"/>
        <v>3.25</v>
      </c>
      <c r="AN581" s="4">
        <f t="shared" si="76"/>
        <v>4.9223778871639529E-3</v>
      </c>
      <c r="AO581" s="3"/>
      <c r="AP581">
        <v>0</v>
      </c>
      <c r="AR581" t="s">
        <v>3289</v>
      </c>
      <c r="AT581" s="2" t="s">
        <v>0</v>
      </c>
      <c r="AU581" s="1">
        <f t="shared" si="77"/>
        <v>1.1585893580238507</v>
      </c>
      <c r="AV581" s="1">
        <f t="shared" si="78"/>
        <v>0.96820319536457777</v>
      </c>
      <c r="AW581" s="1">
        <f t="shared" si="79"/>
        <v>0.77781703270530467</v>
      </c>
    </row>
    <row r="582" spans="1:49" x14ac:dyDescent="0.2">
      <c r="A582">
        <v>580</v>
      </c>
      <c r="B582" t="s">
        <v>3288</v>
      </c>
      <c r="C582" t="s">
        <v>3287</v>
      </c>
      <c r="E582">
        <v>9806179</v>
      </c>
      <c r="F582" t="s">
        <v>3286</v>
      </c>
      <c r="G582" t="s">
        <v>5</v>
      </c>
      <c r="H582" t="s">
        <v>4</v>
      </c>
      <c r="I582" t="s">
        <v>508</v>
      </c>
      <c r="J582" t="s">
        <v>3285</v>
      </c>
      <c r="K582" t="s">
        <v>3284</v>
      </c>
      <c r="L582" t="s">
        <v>3283</v>
      </c>
      <c r="M582" t="s">
        <v>3282</v>
      </c>
      <c r="N582">
        <v>3</v>
      </c>
      <c r="O582" t="s">
        <v>3281</v>
      </c>
      <c r="P582" t="s">
        <v>3280</v>
      </c>
      <c r="Q582" t="s">
        <v>3279</v>
      </c>
      <c r="R582" s="7">
        <v>36097</v>
      </c>
      <c r="S582" s="8">
        <f t="shared" si="72"/>
        <v>1998</v>
      </c>
      <c r="T582" s="8">
        <v>1998</v>
      </c>
      <c r="U582" s="8">
        <f t="shared" si="73"/>
        <v>24</v>
      </c>
      <c r="V582" s="7">
        <v>1998</v>
      </c>
      <c r="W582" t="s">
        <v>3278</v>
      </c>
      <c r="X582" s="2" t="s">
        <v>0</v>
      </c>
      <c r="Y582" s="6" t="e">
        <f t="shared" si="74"/>
        <v>#VALUE!</v>
      </c>
      <c r="AA582">
        <v>71331</v>
      </c>
      <c r="AB582">
        <v>36547</v>
      </c>
      <c r="AD582" t="s">
        <v>2</v>
      </c>
      <c r="AE582">
        <v>82</v>
      </c>
      <c r="AF582">
        <v>4</v>
      </c>
      <c r="AH582" t="s">
        <v>3277</v>
      </c>
      <c r="AI582" t="s">
        <v>3276</v>
      </c>
      <c r="AJ582" t="s">
        <v>3275</v>
      </c>
      <c r="AK582" t="s">
        <v>3274</v>
      </c>
      <c r="AL582">
        <v>13</v>
      </c>
      <c r="AM582" s="5">
        <f t="shared" si="75"/>
        <v>0.54166666666666663</v>
      </c>
      <c r="AN582" s="4">
        <f t="shared" si="76"/>
        <v>8.2039631452732545E-4</v>
      </c>
      <c r="AO582" s="3"/>
      <c r="AP582">
        <v>0</v>
      </c>
      <c r="AR582" t="s">
        <v>1</v>
      </c>
      <c r="AT582" s="2" t="s">
        <v>0</v>
      </c>
      <c r="AU582" s="1" t="e">
        <f t="shared" si="77"/>
        <v>#VALUE!</v>
      </c>
      <c r="AV582" s="1" t="e">
        <f t="shared" si="78"/>
        <v>#VALUE!</v>
      </c>
      <c r="AW582" s="1" t="e">
        <f t="shared" si="79"/>
        <v>#VALUE!</v>
      </c>
    </row>
    <row r="583" spans="1:49" x14ac:dyDescent="0.2">
      <c r="A583">
        <v>581</v>
      </c>
      <c r="B583" t="s">
        <v>3273</v>
      </c>
      <c r="C583" t="s">
        <v>3272</v>
      </c>
      <c r="E583">
        <v>9789087</v>
      </c>
      <c r="F583" t="s">
        <v>3271</v>
      </c>
      <c r="G583" t="s">
        <v>5</v>
      </c>
      <c r="H583" t="s">
        <v>4</v>
      </c>
      <c r="I583" t="s">
        <v>3270</v>
      </c>
      <c r="J583" t="s">
        <v>3269</v>
      </c>
      <c r="K583" t="s">
        <v>3268</v>
      </c>
      <c r="L583" t="s">
        <v>3267</v>
      </c>
      <c r="M583" t="s">
        <v>35</v>
      </c>
      <c r="N583">
        <v>4</v>
      </c>
      <c r="O583" t="s">
        <v>3266</v>
      </c>
      <c r="P583" t="s">
        <v>3265</v>
      </c>
      <c r="Q583" t="s">
        <v>3264</v>
      </c>
      <c r="R583" s="7">
        <v>36095</v>
      </c>
      <c r="S583" s="8">
        <f t="shared" si="72"/>
        <v>1998</v>
      </c>
      <c r="T583" s="8">
        <v>1998</v>
      </c>
      <c r="U583" s="8">
        <f t="shared" si="73"/>
        <v>24</v>
      </c>
      <c r="V583" s="7">
        <v>36095</v>
      </c>
      <c r="W583" t="s">
        <v>1444</v>
      </c>
      <c r="X583" s="2">
        <v>5.0110000000000001</v>
      </c>
      <c r="Y583" s="6">
        <f t="shared" si="74"/>
        <v>0.13376578308107098</v>
      </c>
      <c r="AA583">
        <v>278424</v>
      </c>
      <c r="AB583">
        <v>21121</v>
      </c>
      <c r="AD583" t="s">
        <v>2</v>
      </c>
      <c r="AE583">
        <v>95</v>
      </c>
      <c r="AF583">
        <v>22</v>
      </c>
      <c r="AH583" t="s">
        <v>3263</v>
      </c>
      <c r="AI583" t="s">
        <v>3262</v>
      </c>
      <c r="AK583" t="s">
        <v>3261</v>
      </c>
      <c r="AL583">
        <v>262</v>
      </c>
      <c r="AM583" s="5">
        <f t="shared" si="75"/>
        <v>10.916666666666666</v>
      </c>
      <c r="AN583" s="4">
        <f t="shared" si="76"/>
        <v>1.6534141108166096E-2</v>
      </c>
      <c r="AO583" s="3"/>
      <c r="AP583">
        <v>1</v>
      </c>
      <c r="AR583" t="s">
        <v>1</v>
      </c>
      <c r="AT583" s="2" t="s">
        <v>0</v>
      </c>
      <c r="AU583" s="1">
        <f t="shared" si="77"/>
        <v>9.8596290489199525</v>
      </c>
      <c r="AV583" s="1">
        <f t="shared" si="78"/>
        <v>7.5149962094618532</v>
      </c>
      <c r="AW583" s="1">
        <f t="shared" si="79"/>
        <v>5.1703633700037566</v>
      </c>
    </row>
    <row r="584" spans="1:49" x14ac:dyDescent="0.2">
      <c r="A584">
        <v>582</v>
      </c>
      <c r="B584" t="s">
        <v>3260</v>
      </c>
      <c r="C584" t="s">
        <v>3259</v>
      </c>
      <c r="E584">
        <v>9778366</v>
      </c>
      <c r="F584" t="s">
        <v>3258</v>
      </c>
      <c r="G584" t="s">
        <v>5</v>
      </c>
      <c r="H584" t="s">
        <v>4</v>
      </c>
      <c r="I584" t="s">
        <v>3257</v>
      </c>
      <c r="J584">
        <v>60003878</v>
      </c>
      <c r="K584" t="s">
        <v>3256</v>
      </c>
      <c r="L584" t="s">
        <v>699</v>
      </c>
      <c r="M584" t="s">
        <v>182</v>
      </c>
      <c r="N584">
        <v>3</v>
      </c>
      <c r="O584" t="s">
        <v>3255</v>
      </c>
      <c r="P584" t="s">
        <v>3254</v>
      </c>
      <c r="Q584" t="s">
        <v>3253</v>
      </c>
      <c r="R584" s="7">
        <v>36088</v>
      </c>
      <c r="S584" s="8">
        <f t="shared" si="72"/>
        <v>1998</v>
      </c>
      <c r="T584" s="8">
        <v>1998</v>
      </c>
      <c r="U584" s="8">
        <f t="shared" si="73"/>
        <v>24</v>
      </c>
      <c r="V584" s="7">
        <v>36088</v>
      </c>
      <c r="W584" t="s">
        <v>624</v>
      </c>
      <c r="X584" s="2">
        <v>1.43</v>
      </c>
      <c r="Y584" s="6">
        <f t="shared" si="74"/>
        <v>3.8173033287952803E-2</v>
      </c>
      <c r="AA584">
        <v>62960</v>
      </c>
      <c r="AB584">
        <v>16867</v>
      </c>
      <c r="AD584" t="s">
        <v>2</v>
      </c>
      <c r="AE584">
        <v>37</v>
      </c>
      <c r="AF584">
        <v>42</v>
      </c>
      <c r="AH584" t="s">
        <v>3252</v>
      </c>
      <c r="AI584" t="s">
        <v>3251</v>
      </c>
      <c r="AK584" t="s">
        <v>3250</v>
      </c>
      <c r="AL584">
        <v>7</v>
      </c>
      <c r="AM584" s="5">
        <f t="shared" si="75"/>
        <v>0.29166666666666669</v>
      </c>
      <c r="AN584" s="4">
        <f t="shared" si="76"/>
        <v>4.417518616685599E-4</v>
      </c>
      <c r="AO584" s="3"/>
      <c r="AP584">
        <v>0</v>
      </c>
      <c r="AR584" t="s">
        <v>1</v>
      </c>
      <c r="AT584" s="2">
        <v>3.1619999999999999</v>
      </c>
      <c r="AU584" s="1">
        <f t="shared" si="77"/>
        <v>2.6853648860067527</v>
      </c>
      <c r="AV584" s="1">
        <f t="shared" si="78"/>
        <v>1.9307392574810682</v>
      </c>
      <c r="AW584" s="1">
        <f t="shared" si="79"/>
        <v>1.1761136289553833</v>
      </c>
    </row>
    <row r="585" spans="1:49" x14ac:dyDescent="0.2">
      <c r="A585">
        <v>583</v>
      </c>
      <c r="B585" t="s">
        <v>3249</v>
      </c>
      <c r="C585" t="s">
        <v>3248</v>
      </c>
      <c r="E585">
        <v>9778363</v>
      </c>
      <c r="F585" t="s">
        <v>3247</v>
      </c>
      <c r="G585" t="s">
        <v>5</v>
      </c>
      <c r="H585" t="s">
        <v>4</v>
      </c>
      <c r="I585" t="s">
        <v>3246</v>
      </c>
      <c r="J585" t="s">
        <v>3245</v>
      </c>
      <c r="K585" t="s">
        <v>3244</v>
      </c>
      <c r="L585" t="s">
        <v>3243</v>
      </c>
      <c r="M585" t="s">
        <v>3242</v>
      </c>
      <c r="N585">
        <v>5</v>
      </c>
      <c r="O585" t="s">
        <v>3241</v>
      </c>
      <c r="P585" t="s">
        <v>3240</v>
      </c>
      <c r="Q585" t="s">
        <v>3239</v>
      </c>
      <c r="R585" s="7">
        <v>36088</v>
      </c>
      <c r="S585" s="8">
        <f t="shared" si="72"/>
        <v>1998</v>
      </c>
      <c r="T585" s="8">
        <v>1998</v>
      </c>
      <c r="U585" s="8">
        <f t="shared" si="73"/>
        <v>24</v>
      </c>
      <c r="V585" s="7">
        <v>36088</v>
      </c>
      <c r="W585" t="s">
        <v>624</v>
      </c>
      <c r="X585" s="2">
        <v>1.43</v>
      </c>
      <c r="Y585" s="6">
        <f t="shared" si="74"/>
        <v>3.8173033287952803E-2</v>
      </c>
      <c r="AA585">
        <v>62960</v>
      </c>
      <c r="AB585">
        <v>16867</v>
      </c>
      <c r="AD585" t="s">
        <v>2</v>
      </c>
      <c r="AE585">
        <v>37</v>
      </c>
      <c r="AF585">
        <v>42</v>
      </c>
      <c r="AH585" t="s">
        <v>3238</v>
      </c>
      <c r="AI585" t="s">
        <v>3237</v>
      </c>
      <c r="AK585" t="s">
        <v>3236</v>
      </c>
      <c r="AL585">
        <v>22</v>
      </c>
      <c r="AM585" s="5">
        <f t="shared" si="75"/>
        <v>0.91666666666666663</v>
      </c>
      <c r="AN585" s="4">
        <f t="shared" si="76"/>
        <v>1.3883629938154739E-3</v>
      </c>
      <c r="AO585" s="3"/>
      <c r="AP585">
        <v>0</v>
      </c>
      <c r="AR585" t="s">
        <v>1</v>
      </c>
      <c r="AT585" s="2">
        <v>3.1619999999999999</v>
      </c>
      <c r="AU585" s="1">
        <f t="shared" si="77"/>
        <v>2.7137632199711605</v>
      </c>
      <c r="AV585" s="1">
        <f t="shared" si="78"/>
        <v>1.9780698140884136</v>
      </c>
      <c r="AW585" s="1">
        <f t="shared" si="79"/>
        <v>1.2423764082056672</v>
      </c>
    </row>
    <row r="586" spans="1:49" x14ac:dyDescent="0.2">
      <c r="A586">
        <v>584</v>
      </c>
      <c r="B586" t="s">
        <v>3235</v>
      </c>
      <c r="C586" t="s">
        <v>3234</v>
      </c>
      <c r="F586" t="s">
        <v>3233</v>
      </c>
      <c r="G586" t="s">
        <v>5</v>
      </c>
      <c r="H586" t="s">
        <v>4</v>
      </c>
      <c r="I586" t="s">
        <v>3232</v>
      </c>
      <c r="J586" t="s">
        <v>3231</v>
      </c>
      <c r="K586" t="s">
        <v>3230</v>
      </c>
      <c r="L586" t="s">
        <v>3229</v>
      </c>
      <c r="M586" t="s">
        <v>3228</v>
      </c>
      <c r="N586">
        <v>10</v>
      </c>
      <c r="O586" t="s">
        <v>3227</v>
      </c>
      <c r="P586" t="s">
        <v>3226</v>
      </c>
      <c r="Q586" t="s">
        <v>3225</v>
      </c>
      <c r="R586" s="7">
        <v>36083</v>
      </c>
      <c r="S586" s="8">
        <f t="shared" si="72"/>
        <v>1998</v>
      </c>
      <c r="T586" s="8">
        <v>1998</v>
      </c>
      <c r="U586" s="8">
        <f t="shared" si="73"/>
        <v>24</v>
      </c>
      <c r="V586" s="7">
        <v>36083</v>
      </c>
      <c r="W586" t="s">
        <v>38</v>
      </c>
      <c r="X586" s="2">
        <v>0.86399999999999999</v>
      </c>
      <c r="Y586" s="6">
        <f t="shared" si="74"/>
        <v>2.3063986546007848E-2</v>
      </c>
      <c r="AA586">
        <v>15206106</v>
      </c>
      <c r="AB586">
        <v>26970</v>
      </c>
      <c r="AD586" t="s">
        <v>2</v>
      </c>
      <c r="AE586">
        <v>102</v>
      </c>
      <c r="AF586">
        <v>42</v>
      </c>
      <c r="AH586" t="s">
        <v>3224</v>
      </c>
      <c r="AI586" t="s">
        <v>3223</v>
      </c>
      <c r="AK586" t="s">
        <v>3222</v>
      </c>
      <c r="AL586">
        <v>48</v>
      </c>
      <c r="AM586" s="5">
        <f t="shared" si="75"/>
        <v>2</v>
      </c>
      <c r="AN586" s="4">
        <f t="shared" si="76"/>
        <v>3.0291556228701248E-3</v>
      </c>
      <c r="AO586" s="3"/>
      <c r="AP586">
        <v>0</v>
      </c>
      <c r="AR586" t="s">
        <v>1</v>
      </c>
      <c r="AT586" s="2">
        <v>2.9910000000000001</v>
      </c>
      <c r="AU586" s="1">
        <f t="shared" si="77"/>
        <v>1.705353726906653</v>
      </c>
      <c r="AV586" s="1">
        <f t="shared" si="78"/>
        <v>1.3046571084438987</v>
      </c>
      <c r="AW586" s="1">
        <f t="shared" si="79"/>
        <v>0.9039604899811442</v>
      </c>
    </row>
    <row r="587" spans="1:49" x14ac:dyDescent="0.2">
      <c r="A587">
        <v>585</v>
      </c>
      <c r="B587" t="s">
        <v>3221</v>
      </c>
      <c r="C587" t="s">
        <v>3220</v>
      </c>
      <c r="D587" t="s">
        <v>3219</v>
      </c>
      <c r="F587" t="s">
        <v>3218</v>
      </c>
      <c r="G587" t="s">
        <v>5</v>
      </c>
      <c r="H587" t="s">
        <v>4</v>
      </c>
      <c r="I587" t="s">
        <v>3217</v>
      </c>
      <c r="J587">
        <v>60008088</v>
      </c>
      <c r="K587" t="s">
        <v>3216</v>
      </c>
      <c r="L587" t="s">
        <v>3215</v>
      </c>
      <c r="M587" t="s">
        <v>304</v>
      </c>
      <c r="N587">
        <v>5</v>
      </c>
      <c r="O587" t="s">
        <v>3214</v>
      </c>
      <c r="P587" t="s">
        <v>3213</v>
      </c>
      <c r="Q587" t="s">
        <v>3212</v>
      </c>
      <c r="R587" s="7">
        <v>36083</v>
      </c>
      <c r="S587" s="8">
        <f t="shared" si="72"/>
        <v>1998</v>
      </c>
      <c r="T587" s="8">
        <v>1998</v>
      </c>
      <c r="U587" s="8">
        <f t="shared" si="73"/>
        <v>24</v>
      </c>
      <c r="V587" s="7">
        <v>36083</v>
      </c>
      <c r="W587" t="s">
        <v>627</v>
      </c>
      <c r="X587" s="2">
        <v>0.71399999999999997</v>
      </c>
      <c r="Y587" s="6">
        <f t="shared" si="74"/>
        <v>1.9059822215103706E-2</v>
      </c>
      <c r="AA587">
        <v>10106030</v>
      </c>
      <c r="AB587">
        <v>26966</v>
      </c>
      <c r="AD587" t="s">
        <v>2</v>
      </c>
      <c r="AE587">
        <v>118</v>
      </c>
      <c r="AF587">
        <v>1</v>
      </c>
      <c r="AH587" s="10">
        <v>43040</v>
      </c>
      <c r="AI587" t="s">
        <v>3211</v>
      </c>
      <c r="AJ587" t="s">
        <v>3210</v>
      </c>
      <c r="AK587" t="s">
        <v>3209</v>
      </c>
      <c r="AL587">
        <v>26</v>
      </c>
      <c r="AM587" s="5">
        <f t="shared" si="75"/>
        <v>1.0833333333333333</v>
      </c>
      <c r="AN587" s="4">
        <f t="shared" si="76"/>
        <v>1.6407926290546509E-3</v>
      </c>
      <c r="AO587" s="3"/>
      <c r="AP587">
        <v>0</v>
      </c>
      <c r="AQ587" t="s">
        <v>455</v>
      </c>
      <c r="AR587" t="s">
        <v>1</v>
      </c>
      <c r="AS587" t="s">
        <v>454</v>
      </c>
      <c r="AT587" s="2" t="s">
        <v>0</v>
      </c>
      <c r="AU587" s="1">
        <f t="shared" si="77"/>
        <v>1.3834113339288989</v>
      </c>
      <c r="AV587" s="1">
        <f t="shared" si="78"/>
        <v>1.0350307422079179</v>
      </c>
      <c r="AW587" s="1">
        <f t="shared" si="79"/>
        <v>0.68665015048693678</v>
      </c>
    </row>
    <row r="588" spans="1:49" x14ac:dyDescent="0.2">
      <c r="A588">
        <v>586</v>
      </c>
      <c r="B588" t="s">
        <v>3208</v>
      </c>
      <c r="C588" t="s">
        <v>3207</v>
      </c>
      <c r="F588" t="s">
        <v>3206</v>
      </c>
      <c r="G588" t="s">
        <v>5</v>
      </c>
      <c r="H588" t="s">
        <v>4</v>
      </c>
      <c r="I588" t="s">
        <v>3205</v>
      </c>
      <c r="J588">
        <v>60025858</v>
      </c>
      <c r="K588" t="s">
        <v>732</v>
      </c>
      <c r="L588" t="s">
        <v>731</v>
      </c>
      <c r="M588" t="s">
        <v>263</v>
      </c>
      <c r="N588">
        <v>2</v>
      </c>
      <c r="O588" t="s">
        <v>3204</v>
      </c>
      <c r="P588" t="s">
        <v>3203</v>
      </c>
      <c r="Q588" t="s">
        <v>730</v>
      </c>
      <c r="R588" s="7">
        <v>36083</v>
      </c>
      <c r="S588" s="8">
        <f t="shared" si="72"/>
        <v>1998</v>
      </c>
      <c r="T588" s="8">
        <v>1998</v>
      </c>
      <c r="U588" s="8">
        <f t="shared" si="73"/>
        <v>24</v>
      </c>
      <c r="V588" s="7">
        <v>36083</v>
      </c>
      <c r="W588" t="s">
        <v>133</v>
      </c>
      <c r="X588" s="2">
        <v>2.0070000000000001</v>
      </c>
      <c r="Y588" s="6">
        <f t="shared" si="74"/>
        <v>5.3575718747497406E-2</v>
      </c>
      <c r="AA588">
        <v>948276</v>
      </c>
      <c r="AB588">
        <v>27962</v>
      </c>
      <c r="AD588" t="s">
        <v>2</v>
      </c>
      <c r="AE588">
        <v>25</v>
      </c>
      <c r="AF588">
        <v>20</v>
      </c>
      <c r="AH588" t="s">
        <v>3202</v>
      </c>
      <c r="AI588" t="s">
        <v>3201</v>
      </c>
      <c r="AK588" t="s">
        <v>3200</v>
      </c>
      <c r="AL588">
        <v>23</v>
      </c>
      <c r="AM588" s="5">
        <f t="shared" si="75"/>
        <v>0.95833333333333337</v>
      </c>
      <c r="AN588" s="4">
        <f t="shared" si="76"/>
        <v>1.4514704026252683E-3</v>
      </c>
      <c r="AO588" s="3"/>
      <c r="AP588">
        <v>0</v>
      </c>
      <c r="AR588" t="s">
        <v>1</v>
      </c>
      <c r="AT588" s="2">
        <v>4.72</v>
      </c>
      <c r="AU588" s="1">
        <f t="shared" si="77"/>
        <v>3.7938444244035767</v>
      </c>
      <c r="AV588" s="1">
        <f t="shared" si="78"/>
        <v>2.7513594575061338</v>
      </c>
      <c r="AW588" s="1">
        <f t="shared" si="79"/>
        <v>1.7088744906086906</v>
      </c>
    </row>
    <row r="589" spans="1:49" x14ac:dyDescent="0.2">
      <c r="A589">
        <v>587</v>
      </c>
      <c r="B589" t="s">
        <v>3199</v>
      </c>
      <c r="C589" t="s">
        <v>3198</v>
      </c>
      <c r="E589">
        <v>9788434</v>
      </c>
      <c r="F589" t="s">
        <v>3197</v>
      </c>
      <c r="G589" t="s">
        <v>5</v>
      </c>
      <c r="H589" t="s">
        <v>4</v>
      </c>
      <c r="I589" t="s">
        <v>3196</v>
      </c>
      <c r="J589" t="s">
        <v>3195</v>
      </c>
      <c r="K589" t="s">
        <v>3194</v>
      </c>
      <c r="L589" t="s">
        <v>3193</v>
      </c>
      <c r="M589" t="s">
        <v>6</v>
      </c>
      <c r="N589">
        <v>4</v>
      </c>
      <c r="O589" t="s">
        <v>3192</v>
      </c>
      <c r="P589" t="s">
        <v>3191</v>
      </c>
      <c r="Q589" t="s">
        <v>3190</v>
      </c>
      <c r="R589" s="7">
        <v>36083</v>
      </c>
      <c r="S589" s="8">
        <f t="shared" si="72"/>
        <v>1998</v>
      </c>
      <c r="T589" s="8">
        <v>1998</v>
      </c>
      <c r="U589" s="8">
        <f t="shared" si="73"/>
        <v>24</v>
      </c>
      <c r="V589" s="7">
        <v>36083</v>
      </c>
      <c r="W589" t="s">
        <v>3189</v>
      </c>
      <c r="X589" s="2">
        <v>3.395</v>
      </c>
      <c r="Y589" s="6">
        <f t="shared" si="74"/>
        <v>9.0627586022797052E-2</v>
      </c>
      <c r="AA589">
        <v>9509232</v>
      </c>
      <c r="AB589">
        <v>12523</v>
      </c>
      <c r="AD589" t="s">
        <v>2</v>
      </c>
      <c r="AE589">
        <v>17</v>
      </c>
      <c r="AF589">
        <v>15</v>
      </c>
      <c r="AH589" t="s">
        <v>3188</v>
      </c>
      <c r="AI589" t="s">
        <v>3187</v>
      </c>
      <c r="AJ589" t="s">
        <v>3186</v>
      </c>
      <c r="AK589" t="s">
        <v>3185</v>
      </c>
      <c r="AL589">
        <v>23</v>
      </c>
      <c r="AM589" s="5">
        <f t="shared" si="75"/>
        <v>0.95833333333333337</v>
      </c>
      <c r="AN589" s="4">
        <f t="shared" si="76"/>
        <v>1.4514704026252683E-3</v>
      </c>
      <c r="AO589" s="3"/>
      <c r="AP589">
        <v>1</v>
      </c>
      <c r="AQ589" t="s">
        <v>206</v>
      </c>
      <c r="AR589" t="s">
        <v>3184</v>
      </c>
      <c r="AS589" t="s">
        <v>204</v>
      </c>
      <c r="AT589" s="2">
        <v>9.8670000000000009</v>
      </c>
      <c r="AU589" s="1">
        <f t="shared" si="77"/>
        <v>6.3874751336745517</v>
      </c>
      <c r="AV589" s="1">
        <f t="shared" si="78"/>
        <v>4.6039528212711156</v>
      </c>
      <c r="AW589" s="1">
        <f t="shared" si="79"/>
        <v>2.82043050886768</v>
      </c>
    </row>
    <row r="590" spans="1:49" x14ac:dyDescent="0.2">
      <c r="A590">
        <v>588</v>
      </c>
      <c r="B590" t="s">
        <v>3183</v>
      </c>
      <c r="C590" t="s">
        <v>3182</v>
      </c>
      <c r="F590" t="s">
        <v>3181</v>
      </c>
      <c r="G590" t="s">
        <v>5</v>
      </c>
      <c r="H590" t="s">
        <v>4</v>
      </c>
      <c r="I590" t="s">
        <v>519</v>
      </c>
      <c r="J590" t="s">
        <v>524</v>
      </c>
      <c r="K590" t="s">
        <v>523</v>
      </c>
      <c r="L590" t="s">
        <v>522</v>
      </c>
      <c r="M590" t="s">
        <v>115</v>
      </c>
      <c r="N590">
        <v>3</v>
      </c>
      <c r="O590" t="s">
        <v>3180</v>
      </c>
      <c r="P590" t="s">
        <v>3179</v>
      </c>
      <c r="Q590" t="s">
        <v>521</v>
      </c>
      <c r="R590" s="7">
        <v>36083</v>
      </c>
      <c r="S590" s="8">
        <f t="shared" si="72"/>
        <v>1998</v>
      </c>
      <c r="T590" s="8">
        <v>1998</v>
      </c>
      <c r="U590" s="8">
        <f t="shared" si="73"/>
        <v>24</v>
      </c>
      <c r="V590" s="7">
        <v>36083</v>
      </c>
      <c r="W590" t="s">
        <v>612</v>
      </c>
      <c r="X590" s="2">
        <v>0.375</v>
      </c>
      <c r="Y590" s="6">
        <f t="shared" si="74"/>
        <v>1.0010410827260351E-2</v>
      </c>
      <c r="AA590">
        <v>135194</v>
      </c>
      <c r="AB590">
        <v>24918</v>
      </c>
      <c r="AD590" t="s">
        <v>2</v>
      </c>
      <c r="AE590">
        <v>34</v>
      </c>
      <c r="AF590">
        <v>21</v>
      </c>
      <c r="AH590" t="s">
        <v>3178</v>
      </c>
      <c r="AI590" t="s">
        <v>3177</v>
      </c>
      <c r="AK590" t="s">
        <v>3176</v>
      </c>
      <c r="AL590">
        <v>29</v>
      </c>
      <c r="AM590" s="5">
        <f t="shared" si="75"/>
        <v>1.2083333333333333</v>
      </c>
      <c r="AN590" s="4">
        <f t="shared" si="76"/>
        <v>1.8301148554840337E-3</v>
      </c>
      <c r="AO590" s="3"/>
      <c r="AP590">
        <v>0</v>
      </c>
      <c r="AR590" t="s">
        <v>1</v>
      </c>
      <c r="AT590" s="2">
        <v>1.3140000000000001</v>
      </c>
      <c r="AU590" s="1">
        <f t="shared" si="77"/>
        <v>0.75563220357274552</v>
      </c>
      <c r="AV590" s="1">
        <f t="shared" si="78"/>
        <v>0.59202628413721925</v>
      </c>
      <c r="AW590" s="1">
        <f t="shared" si="79"/>
        <v>0.42842036470169281</v>
      </c>
    </row>
    <row r="591" spans="1:49" x14ac:dyDescent="0.2">
      <c r="A591">
        <v>589</v>
      </c>
      <c r="B591" t="s">
        <v>3175</v>
      </c>
      <c r="C591" t="s">
        <v>3174</v>
      </c>
      <c r="F591" t="s">
        <v>3173</v>
      </c>
      <c r="G591" t="s">
        <v>5</v>
      </c>
      <c r="H591" t="s">
        <v>4</v>
      </c>
      <c r="I591" t="s">
        <v>3172</v>
      </c>
      <c r="J591">
        <v>60025778</v>
      </c>
      <c r="K591" t="s">
        <v>409</v>
      </c>
      <c r="L591" t="s">
        <v>408</v>
      </c>
      <c r="M591" t="s">
        <v>9</v>
      </c>
      <c r="N591">
        <v>2</v>
      </c>
      <c r="O591" t="s">
        <v>3171</v>
      </c>
      <c r="P591" t="s">
        <v>3170</v>
      </c>
      <c r="Q591" t="s">
        <v>3169</v>
      </c>
      <c r="R591" s="7">
        <v>36083</v>
      </c>
      <c r="S591" s="8">
        <f t="shared" si="72"/>
        <v>1998</v>
      </c>
      <c r="T591" s="8">
        <v>1998</v>
      </c>
      <c r="U591" s="8">
        <f t="shared" si="73"/>
        <v>24</v>
      </c>
      <c r="V591" s="7">
        <v>36083</v>
      </c>
      <c r="W591" t="s">
        <v>612</v>
      </c>
      <c r="X591" s="2">
        <v>0.375</v>
      </c>
      <c r="Y591" s="6">
        <f t="shared" si="74"/>
        <v>1.0010410827260351E-2</v>
      </c>
      <c r="AA591">
        <v>135194</v>
      </c>
      <c r="AB591">
        <v>24918</v>
      </c>
      <c r="AD591" t="s">
        <v>2</v>
      </c>
      <c r="AE591">
        <v>34</v>
      </c>
      <c r="AF591">
        <v>21</v>
      </c>
      <c r="AH591" t="s">
        <v>3168</v>
      </c>
      <c r="AI591" t="s">
        <v>3167</v>
      </c>
      <c r="AK591" t="s">
        <v>3166</v>
      </c>
      <c r="AL591">
        <v>1</v>
      </c>
      <c r="AM591" s="5">
        <f t="shared" si="75"/>
        <v>4.1666666666666664E-2</v>
      </c>
      <c r="AN591" s="4">
        <f t="shared" si="76"/>
        <v>6.3107408809794262E-5</v>
      </c>
      <c r="AO591" s="3"/>
      <c r="AP591">
        <v>0</v>
      </c>
      <c r="AR591" t="s">
        <v>1</v>
      </c>
      <c r="AT591" s="2">
        <v>1.3140000000000001</v>
      </c>
      <c r="AU591" s="1">
        <f t="shared" si="77"/>
        <v>0.70262198017251842</v>
      </c>
      <c r="AV591" s="1">
        <f t="shared" si="78"/>
        <v>0.50367591180350735</v>
      </c>
      <c r="AW591" s="1">
        <f t="shared" si="79"/>
        <v>0.30472984343449611</v>
      </c>
    </row>
    <row r="592" spans="1:49" x14ac:dyDescent="0.2">
      <c r="A592">
        <v>590</v>
      </c>
      <c r="B592" t="s">
        <v>3165</v>
      </c>
      <c r="C592" t="s">
        <v>3164</v>
      </c>
      <c r="F592" t="s">
        <v>3163</v>
      </c>
      <c r="G592" t="s">
        <v>5</v>
      </c>
      <c r="H592" t="s">
        <v>4</v>
      </c>
      <c r="I592" t="s">
        <v>3162</v>
      </c>
      <c r="J592" t="s">
        <v>3161</v>
      </c>
      <c r="K592" t="s">
        <v>3160</v>
      </c>
      <c r="L592" t="s">
        <v>3159</v>
      </c>
      <c r="M592" t="s">
        <v>139</v>
      </c>
      <c r="N592">
        <v>3</v>
      </c>
      <c r="O592" t="s">
        <v>3158</v>
      </c>
      <c r="P592" t="s">
        <v>3157</v>
      </c>
      <c r="Q592" t="s">
        <v>3156</v>
      </c>
      <c r="R592" s="7">
        <v>36083</v>
      </c>
      <c r="S592" s="8">
        <f t="shared" si="72"/>
        <v>1998</v>
      </c>
      <c r="T592" s="8">
        <v>1998</v>
      </c>
      <c r="U592" s="8">
        <f t="shared" si="73"/>
        <v>24</v>
      </c>
      <c r="V592" s="7">
        <v>36083</v>
      </c>
      <c r="W592" t="s">
        <v>612</v>
      </c>
      <c r="X592" s="2">
        <v>0.375</v>
      </c>
      <c r="Y592" s="6">
        <f t="shared" si="74"/>
        <v>1.0010410827260351E-2</v>
      </c>
      <c r="AA592">
        <v>135194</v>
      </c>
      <c r="AB592">
        <v>24918</v>
      </c>
      <c r="AD592" t="s">
        <v>2</v>
      </c>
      <c r="AE592">
        <v>34</v>
      </c>
      <c r="AF592">
        <v>21</v>
      </c>
      <c r="AH592" t="s">
        <v>3155</v>
      </c>
      <c r="AI592" t="s">
        <v>3154</v>
      </c>
      <c r="AK592" t="s">
        <v>3153</v>
      </c>
      <c r="AL592">
        <v>2</v>
      </c>
      <c r="AM592" s="5">
        <f t="shared" si="75"/>
        <v>8.3333333333333329E-2</v>
      </c>
      <c r="AN592" s="4">
        <f t="shared" si="76"/>
        <v>1.2621481761958852E-4</v>
      </c>
      <c r="AO592" s="3"/>
      <c r="AP592">
        <v>0</v>
      </c>
      <c r="AR592" t="s">
        <v>1</v>
      </c>
      <c r="AT592" s="2">
        <v>1.3140000000000001</v>
      </c>
      <c r="AU592" s="1">
        <f t="shared" si="77"/>
        <v>0.7045152024368122</v>
      </c>
      <c r="AV592" s="1">
        <f t="shared" si="78"/>
        <v>0.50683128224399698</v>
      </c>
      <c r="AW592" s="1">
        <f t="shared" si="79"/>
        <v>0.30914736205118171</v>
      </c>
    </row>
    <row r="593" spans="1:49" x14ac:dyDescent="0.2">
      <c r="A593">
        <v>591</v>
      </c>
      <c r="B593" t="s">
        <v>3152</v>
      </c>
      <c r="C593" t="s">
        <v>3151</v>
      </c>
      <c r="F593" t="s">
        <v>3150</v>
      </c>
      <c r="G593" t="s">
        <v>5</v>
      </c>
      <c r="H593" t="s">
        <v>4</v>
      </c>
      <c r="I593" t="s">
        <v>3149</v>
      </c>
      <c r="J593" t="s">
        <v>3148</v>
      </c>
      <c r="K593" t="s">
        <v>3147</v>
      </c>
      <c r="L593" t="s">
        <v>3146</v>
      </c>
      <c r="M593" t="s">
        <v>1639</v>
      </c>
      <c r="N593">
        <v>6</v>
      </c>
      <c r="O593" t="s">
        <v>3145</v>
      </c>
      <c r="P593" t="s">
        <v>3144</v>
      </c>
      <c r="Q593" t="s">
        <v>3143</v>
      </c>
      <c r="R593" s="7">
        <v>36083</v>
      </c>
      <c r="S593" s="8">
        <f t="shared" si="72"/>
        <v>1998</v>
      </c>
      <c r="T593" s="8">
        <v>1998</v>
      </c>
      <c r="U593" s="8">
        <f t="shared" si="73"/>
        <v>24</v>
      </c>
      <c r="V593" s="7">
        <v>36083</v>
      </c>
      <c r="W593" t="s">
        <v>612</v>
      </c>
      <c r="X593" s="2">
        <v>0.375</v>
      </c>
      <c r="Y593" s="6">
        <f t="shared" si="74"/>
        <v>1.0010410827260351E-2</v>
      </c>
      <c r="AA593">
        <v>135194</v>
      </c>
      <c r="AB593">
        <v>24918</v>
      </c>
      <c r="AD593" t="s">
        <v>2</v>
      </c>
      <c r="AE593">
        <v>34</v>
      </c>
      <c r="AF593">
        <v>21</v>
      </c>
      <c r="AH593" t="s">
        <v>3142</v>
      </c>
      <c r="AI593" t="s">
        <v>3141</v>
      </c>
      <c r="AK593" t="s">
        <v>3140</v>
      </c>
      <c r="AL593">
        <v>7</v>
      </c>
      <c r="AM593" s="5">
        <f t="shared" si="75"/>
        <v>0.29166666666666669</v>
      </c>
      <c r="AN593" s="4">
        <f t="shared" si="76"/>
        <v>4.417518616685599E-4</v>
      </c>
      <c r="AO593" s="3"/>
      <c r="AP593">
        <v>0</v>
      </c>
      <c r="AR593" t="s">
        <v>1</v>
      </c>
      <c r="AT593" s="2">
        <v>1.3140000000000001</v>
      </c>
      <c r="AU593" s="1">
        <f t="shared" si="77"/>
        <v>0.71398131375828144</v>
      </c>
      <c r="AV593" s="1">
        <f t="shared" si="78"/>
        <v>0.5226081344464456</v>
      </c>
      <c r="AW593" s="1">
        <f t="shared" si="79"/>
        <v>0.33123495513460971</v>
      </c>
    </row>
    <row r="594" spans="1:49" x14ac:dyDescent="0.2">
      <c r="A594">
        <v>592</v>
      </c>
      <c r="B594" t="s">
        <v>3139</v>
      </c>
      <c r="C594" t="s">
        <v>3138</v>
      </c>
      <c r="F594" t="s">
        <v>3137</v>
      </c>
      <c r="G594" t="s">
        <v>5</v>
      </c>
      <c r="H594" t="s">
        <v>4</v>
      </c>
      <c r="I594" t="s">
        <v>3136</v>
      </c>
      <c r="J594" t="s">
        <v>3135</v>
      </c>
      <c r="K594" t="s">
        <v>3134</v>
      </c>
      <c r="L594" t="s">
        <v>3133</v>
      </c>
      <c r="M594" t="s">
        <v>3132</v>
      </c>
      <c r="N594">
        <v>6</v>
      </c>
      <c r="O594" t="s">
        <v>3131</v>
      </c>
      <c r="P594" t="s">
        <v>3130</v>
      </c>
      <c r="Q594" t="s">
        <v>3129</v>
      </c>
      <c r="R594" s="7">
        <v>36083</v>
      </c>
      <c r="S594" s="8">
        <f t="shared" si="72"/>
        <v>1998</v>
      </c>
      <c r="T594" s="8">
        <v>1998</v>
      </c>
      <c r="U594" s="8">
        <f t="shared" si="73"/>
        <v>24</v>
      </c>
      <c r="V594" s="7">
        <v>36083</v>
      </c>
      <c r="W594" t="s">
        <v>38</v>
      </c>
      <c r="X594" s="2">
        <v>0.86399999999999999</v>
      </c>
      <c r="Y594" s="6">
        <f t="shared" si="74"/>
        <v>2.3063986546007848E-2</v>
      </c>
      <c r="AA594">
        <v>15206106</v>
      </c>
      <c r="AB594">
        <v>26970</v>
      </c>
      <c r="AD594" t="s">
        <v>2</v>
      </c>
      <c r="AE594">
        <v>102</v>
      </c>
      <c r="AF594">
        <v>42</v>
      </c>
      <c r="AH594" t="s">
        <v>3128</v>
      </c>
      <c r="AI594" t="s">
        <v>3127</v>
      </c>
      <c r="AK594" t="s">
        <v>3126</v>
      </c>
      <c r="AL594">
        <v>17</v>
      </c>
      <c r="AM594" s="5">
        <f t="shared" si="75"/>
        <v>0.70833333333333337</v>
      </c>
      <c r="AN594" s="4">
        <f t="shared" si="76"/>
        <v>1.0728259497665025E-3</v>
      </c>
      <c r="AO594" s="3"/>
      <c r="AP594">
        <v>0</v>
      </c>
      <c r="AR594" t="s">
        <v>1</v>
      </c>
      <c r="AT594" s="2">
        <v>2.9910000000000001</v>
      </c>
      <c r="AU594" s="1">
        <f t="shared" si="77"/>
        <v>1.6466638367135442</v>
      </c>
      <c r="AV594" s="1">
        <f t="shared" si="78"/>
        <v>1.2068406247887176</v>
      </c>
      <c r="AW594" s="1">
        <f t="shared" si="79"/>
        <v>0.76701741286389058</v>
      </c>
    </row>
    <row r="595" spans="1:49" x14ac:dyDescent="0.2">
      <c r="A595">
        <v>593</v>
      </c>
      <c r="B595" t="s">
        <v>3125</v>
      </c>
      <c r="C595" t="s">
        <v>3124</v>
      </c>
      <c r="F595" t="s">
        <v>3123</v>
      </c>
      <c r="G595" t="s">
        <v>5</v>
      </c>
      <c r="H595" t="s">
        <v>4</v>
      </c>
      <c r="I595" t="s">
        <v>3122</v>
      </c>
      <c r="J595" t="s">
        <v>3121</v>
      </c>
      <c r="K595" t="s">
        <v>3120</v>
      </c>
      <c r="L595" t="s">
        <v>3119</v>
      </c>
      <c r="M595" t="s">
        <v>6</v>
      </c>
      <c r="N595">
        <v>4</v>
      </c>
      <c r="O595" t="s">
        <v>3118</v>
      </c>
      <c r="P595" t="s">
        <v>3117</v>
      </c>
      <c r="Q595" t="s">
        <v>3116</v>
      </c>
      <c r="R595" s="7">
        <v>36083</v>
      </c>
      <c r="S595" s="8">
        <f t="shared" si="72"/>
        <v>1998</v>
      </c>
      <c r="T595" s="8">
        <v>1998</v>
      </c>
      <c r="U595" s="8">
        <f t="shared" si="73"/>
        <v>24</v>
      </c>
      <c r="V595" s="7">
        <v>36083</v>
      </c>
      <c r="W595" t="s">
        <v>38</v>
      </c>
      <c r="X595" s="2">
        <v>0.86399999999999999</v>
      </c>
      <c r="Y595" s="6">
        <f t="shared" si="74"/>
        <v>2.3063986546007848E-2</v>
      </c>
      <c r="AA595">
        <v>15206106</v>
      </c>
      <c r="AB595">
        <v>26970</v>
      </c>
      <c r="AD595" t="s">
        <v>2</v>
      </c>
      <c r="AE595">
        <v>102</v>
      </c>
      <c r="AF595">
        <v>42</v>
      </c>
      <c r="AH595" t="s">
        <v>3115</v>
      </c>
      <c r="AI595" t="s">
        <v>3114</v>
      </c>
      <c r="AK595" t="s">
        <v>3113</v>
      </c>
      <c r="AL595">
        <v>22</v>
      </c>
      <c r="AM595" s="5">
        <f t="shared" si="75"/>
        <v>0.91666666666666663</v>
      </c>
      <c r="AN595" s="4">
        <f t="shared" si="76"/>
        <v>1.3883629938154739E-3</v>
      </c>
      <c r="AO595" s="3"/>
      <c r="AP595">
        <v>0</v>
      </c>
      <c r="AQ595" t="s">
        <v>206</v>
      </c>
      <c r="AR595" t="s">
        <v>3112</v>
      </c>
      <c r="AS595" t="s">
        <v>204</v>
      </c>
      <c r="AT595" s="2">
        <v>2.9910000000000001</v>
      </c>
      <c r="AU595" s="1">
        <f t="shared" si="77"/>
        <v>1.6561299480350133</v>
      </c>
      <c r="AV595" s="1">
        <f t="shared" si="78"/>
        <v>1.2226174769911662</v>
      </c>
      <c r="AW595" s="1">
        <f t="shared" si="79"/>
        <v>0.78910500594731847</v>
      </c>
    </row>
    <row r="596" spans="1:49" x14ac:dyDescent="0.2">
      <c r="A596">
        <v>594</v>
      </c>
      <c r="B596" t="s">
        <v>3111</v>
      </c>
      <c r="C596" t="s">
        <v>3110</v>
      </c>
      <c r="F596" t="s">
        <v>3109</v>
      </c>
      <c r="G596" t="s">
        <v>5</v>
      </c>
      <c r="H596" t="s">
        <v>4</v>
      </c>
      <c r="I596" t="s">
        <v>3108</v>
      </c>
      <c r="J596">
        <v>60017563</v>
      </c>
      <c r="K596" t="s">
        <v>3107</v>
      </c>
      <c r="L596" t="s">
        <v>3106</v>
      </c>
      <c r="M596" t="s">
        <v>322</v>
      </c>
      <c r="N596">
        <v>3</v>
      </c>
      <c r="O596" t="s">
        <v>3105</v>
      </c>
      <c r="P596" t="s">
        <v>3104</v>
      </c>
      <c r="Q596" t="s">
        <v>3103</v>
      </c>
      <c r="R596" s="7">
        <v>36081</v>
      </c>
      <c r="S596" s="8">
        <f t="shared" si="72"/>
        <v>1998</v>
      </c>
      <c r="T596" s="8">
        <v>1998</v>
      </c>
      <c r="U596" s="8">
        <f t="shared" si="73"/>
        <v>24</v>
      </c>
      <c r="V596" s="7">
        <v>36081</v>
      </c>
      <c r="W596" t="s">
        <v>3102</v>
      </c>
      <c r="X596" s="2">
        <v>1.042</v>
      </c>
      <c r="Y596" s="6">
        <f t="shared" si="74"/>
        <v>2.781559488534743E-2</v>
      </c>
      <c r="AA596">
        <v>7437463</v>
      </c>
      <c r="AB596">
        <v>26987</v>
      </c>
      <c r="AD596" t="s">
        <v>2</v>
      </c>
      <c r="AE596">
        <v>14</v>
      </c>
      <c r="AF596">
        <v>21</v>
      </c>
      <c r="AH596" t="s">
        <v>3101</v>
      </c>
      <c r="AI596" t="s">
        <v>3100</v>
      </c>
      <c r="AK596" t="s">
        <v>3099</v>
      </c>
      <c r="AL596">
        <v>48</v>
      </c>
      <c r="AM596" s="5">
        <f t="shared" si="75"/>
        <v>2</v>
      </c>
      <c r="AN596" s="4">
        <f t="shared" si="76"/>
        <v>3.0291556228701248E-3</v>
      </c>
      <c r="AO596" s="3"/>
      <c r="AP596">
        <v>0</v>
      </c>
      <c r="AR596" t="s">
        <v>1</v>
      </c>
      <c r="AT596" s="2">
        <v>3.8820000000000001</v>
      </c>
      <c r="AU596" s="1">
        <f t="shared" si="77"/>
        <v>2.037966310660424</v>
      </c>
      <c r="AV596" s="1">
        <f t="shared" si="78"/>
        <v>1.5422375254108778</v>
      </c>
      <c r="AW596" s="1">
        <f t="shared" si="79"/>
        <v>1.0465087401613316</v>
      </c>
    </row>
    <row r="597" spans="1:49" x14ac:dyDescent="0.2">
      <c r="A597">
        <v>595</v>
      </c>
      <c r="B597" t="s">
        <v>3098</v>
      </c>
      <c r="C597" t="s">
        <v>3097</v>
      </c>
      <c r="F597" t="s">
        <v>3096</v>
      </c>
      <c r="G597" t="s">
        <v>5</v>
      </c>
      <c r="H597" t="s">
        <v>4</v>
      </c>
      <c r="I597" t="s">
        <v>3095</v>
      </c>
      <c r="J597">
        <v>60016908</v>
      </c>
      <c r="K597" t="s">
        <v>3094</v>
      </c>
      <c r="L597" t="s">
        <v>3093</v>
      </c>
      <c r="M597" t="s">
        <v>37</v>
      </c>
      <c r="N597">
        <v>1</v>
      </c>
      <c r="O597" t="s">
        <v>3092</v>
      </c>
      <c r="P597">
        <v>7003922574</v>
      </c>
      <c r="Q597">
        <v>60016908</v>
      </c>
      <c r="R597" s="7">
        <v>36079</v>
      </c>
      <c r="S597" s="8">
        <f t="shared" si="72"/>
        <v>1998</v>
      </c>
      <c r="T597" s="8">
        <v>1998</v>
      </c>
      <c r="U597" s="8">
        <f t="shared" si="73"/>
        <v>24</v>
      </c>
      <c r="V597" s="7">
        <v>36079</v>
      </c>
      <c r="W597" t="s">
        <v>3091</v>
      </c>
      <c r="X597" s="2">
        <v>2.0579999999999998</v>
      </c>
      <c r="Y597" s="6">
        <f t="shared" si="74"/>
        <v>5.4937134620004803E-2</v>
      </c>
      <c r="AA597">
        <v>358711</v>
      </c>
      <c r="AB597">
        <v>28218</v>
      </c>
      <c r="AD597" t="s">
        <v>2</v>
      </c>
      <c r="AE597">
        <v>300</v>
      </c>
      <c r="AF597">
        <v>1</v>
      </c>
      <c r="AH597" t="s">
        <v>3090</v>
      </c>
      <c r="AI597" t="s">
        <v>3089</v>
      </c>
      <c r="AJ597" t="s">
        <v>3088</v>
      </c>
      <c r="AK597" t="s">
        <v>3087</v>
      </c>
      <c r="AL597">
        <v>86</v>
      </c>
      <c r="AM597" s="5">
        <f t="shared" si="75"/>
        <v>3.5833333333333335</v>
      </c>
      <c r="AN597" s="4">
        <f t="shared" si="76"/>
        <v>5.4272371576423077E-3</v>
      </c>
      <c r="AO597" s="3"/>
      <c r="AP597">
        <v>1</v>
      </c>
      <c r="AR597" t="s">
        <v>1</v>
      </c>
      <c r="AT597" s="2" t="s">
        <v>0</v>
      </c>
      <c r="AU597" s="1">
        <f t="shared" si="77"/>
        <v>4.0084165381296044</v>
      </c>
      <c r="AV597" s="1">
        <f t="shared" si="78"/>
        <v>3.0182185888823558</v>
      </c>
      <c r="AW597" s="1">
        <f t="shared" si="79"/>
        <v>2.0280206396351055</v>
      </c>
    </row>
    <row r="598" spans="1:49" x14ac:dyDescent="0.2">
      <c r="A598">
        <v>596</v>
      </c>
      <c r="B598" t="s">
        <v>3086</v>
      </c>
      <c r="C598" t="s">
        <v>3085</v>
      </c>
      <c r="D598" t="s">
        <v>3084</v>
      </c>
      <c r="F598" t="s">
        <v>3083</v>
      </c>
      <c r="G598" t="s">
        <v>5</v>
      </c>
      <c r="H598" t="s">
        <v>4</v>
      </c>
      <c r="I598" t="s">
        <v>3082</v>
      </c>
      <c r="J598" t="s">
        <v>3081</v>
      </c>
      <c r="K598" t="s">
        <v>3080</v>
      </c>
      <c r="L598" t="s">
        <v>3079</v>
      </c>
      <c r="M598" t="s">
        <v>174</v>
      </c>
      <c r="N598">
        <v>4</v>
      </c>
      <c r="O598" t="s">
        <v>3078</v>
      </c>
      <c r="P598" t="s">
        <v>3077</v>
      </c>
      <c r="Q598" t="s">
        <v>3076</v>
      </c>
      <c r="R598" s="7">
        <v>36079</v>
      </c>
      <c r="S598" s="8">
        <f t="shared" si="72"/>
        <v>1998</v>
      </c>
      <c r="T598" s="8">
        <v>1998</v>
      </c>
      <c r="U598" s="8">
        <f t="shared" si="73"/>
        <v>24</v>
      </c>
      <c r="V598" s="7">
        <v>36079</v>
      </c>
      <c r="W598" t="s">
        <v>3062</v>
      </c>
      <c r="X598" s="2">
        <v>0.747</v>
      </c>
      <c r="Y598" s="6">
        <f t="shared" si="74"/>
        <v>1.9940738367902621E-2</v>
      </c>
      <c r="AA598">
        <v>1689002</v>
      </c>
      <c r="AB598">
        <v>29067</v>
      </c>
      <c r="AD598" t="s">
        <v>2</v>
      </c>
      <c r="AE598">
        <v>416</v>
      </c>
      <c r="AF598">
        <v>1</v>
      </c>
      <c r="AH598" s="10">
        <v>42979</v>
      </c>
      <c r="AI598" t="s">
        <v>3075</v>
      </c>
      <c r="AJ598" t="s">
        <v>3074</v>
      </c>
      <c r="AK598" t="s">
        <v>3073</v>
      </c>
      <c r="AL598">
        <v>6</v>
      </c>
      <c r="AM598" s="5">
        <f t="shared" si="75"/>
        <v>0.25</v>
      </c>
      <c r="AN598" s="4">
        <f t="shared" si="76"/>
        <v>3.786444528587656E-4</v>
      </c>
      <c r="AO598" s="3"/>
      <c r="AP598">
        <v>0</v>
      </c>
      <c r="AR598" t="s">
        <v>1</v>
      </c>
      <c r="AT598" s="2" t="s">
        <v>0</v>
      </c>
      <c r="AU598" s="1">
        <f t="shared" si="77"/>
        <v>1.4072110193389464</v>
      </c>
      <c r="AV598" s="1">
        <f t="shared" si="78"/>
        <v>1.0159691410380693</v>
      </c>
      <c r="AW598" s="1">
        <f t="shared" si="79"/>
        <v>0.62472726273719215</v>
      </c>
    </row>
    <row r="599" spans="1:49" x14ac:dyDescent="0.2">
      <c r="A599">
        <v>597</v>
      </c>
      <c r="B599" t="s">
        <v>3072</v>
      </c>
      <c r="C599" t="s">
        <v>3071</v>
      </c>
      <c r="D599" t="s">
        <v>3070</v>
      </c>
      <c r="F599" t="s">
        <v>3069</v>
      </c>
      <c r="G599" t="s">
        <v>5</v>
      </c>
      <c r="H599" t="s">
        <v>4</v>
      </c>
      <c r="I599" t="s">
        <v>3068</v>
      </c>
      <c r="J599">
        <v>60011779</v>
      </c>
      <c r="K599" t="s">
        <v>3067</v>
      </c>
      <c r="L599" t="s">
        <v>3066</v>
      </c>
      <c r="M599" t="s">
        <v>9</v>
      </c>
      <c r="N599">
        <v>3</v>
      </c>
      <c r="O599" t="s">
        <v>3065</v>
      </c>
      <c r="P599" t="s">
        <v>3064</v>
      </c>
      <c r="Q599" t="s">
        <v>3063</v>
      </c>
      <c r="R599" s="7">
        <v>36079</v>
      </c>
      <c r="S599" s="8">
        <f t="shared" si="72"/>
        <v>1998</v>
      </c>
      <c r="T599" s="8">
        <v>1998</v>
      </c>
      <c r="U599" s="8">
        <f t="shared" si="73"/>
        <v>24</v>
      </c>
      <c r="V599" s="7">
        <v>36079</v>
      </c>
      <c r="W599" t="s">
        <v>3062</v>
      </c>
      <c r="X599" s="2">
        <v>0.747</v>
      </c>
      <c r="Y599" s="6">
        <f t="shared" si="74"/>
        <v>1.9940738367902621E-2</v>
      </c>
      <c r="AA599">
        <v>1689002</v>
      </c>
      <c r="AB599">
        <v>29067</v>
      </c>
      <c r="AD599" t="s">
        <v>2</v>
      </c>
      <c r="AE599">
        <v>416</v>
      </c>
      <c r="AF599">
        <v>1</v>
      </c>
      <c r="AH599" t="s">
        <v>3061</v>
      </c>
      <c r="AI599" t="s">
        <v>3060</v>
      </c>
      <c r="AK599" t="s">
        <v>3059</v>
      </c>
      <c r="AL599">
        <v>19</v>
      </c>
      <c r="AM599" s="5">
        <f t="shared" si="75"/>
        <v>0.79166666666666663</v>
      </c>
      <c r="AN599" s="4">
        <f t="shared" si="76"/>
        <v>1.199040767386091E-3</v>
      </c>
      <c r="AO599" s="3"/>
      <c r="AP599">
        <v>0</v>
      </c>
      <c r="AR599" t="s">
        <v>1</v>
      </c>
      <c r="AT599" s="2" t="s">
        <v>0</v>
      </c>
      <c r="AU599" s="1">
        <f t="shared" si="77"/>
        <v>1.4318229087747663</v>
      </c>
      <c r="AV599" s="1">
        <f t="shared" si="78"/>
        <v>1.0569889567644355</v>
      </c>
      <c r="AW599" s="1">
        <f t="shared" si="79"/>
        <v>0.68215500475410495</v>
      </c>
    </row>
    <row r="600" spans="1:49" x14ac:dyDescent="0.2">
      <c r="A600">
        <v>598</v>
      </c>
      <c r="B600" t="s">
        <v>3058</v>
      </c>
      <c r="C600" t="s">
        <v>3057</v>
      </c>
      <c r="D600" t="s">
        <v>3056</v>
      </c>
      <c r="E600">
        <v>9801144</v>
      </c>
      <c r="F600" t="s">
        <v>3055</v>
      </c>
      <c r="G600" t="s">
        <v>5</v>
      </c>
      <c r="H600" t="s">
        <v>4</v>
      </c>
      <c r="I600" t="s">
        <v>3054</v>
      </c>
      <c r="J600">
        <v>60008293</v>
      </c>
      <c r="K600" t="s">
        <v>3053</v>
      </c>
      <c r="L600" t="s">
        <v>3052</v>
      </c>
      <c r="M600" t="s">
        <v>37</v>
      </c>
      <c r="N600">
        <v>3</v>
      </c>
      <c r="O600" t="s">
        <v>3051</v>
      </c>
      <c r="P600" t="s">
        <v>3050</v>
      </c>
      <c r="Q600" t="s">
        <v>3049</v>
      </c>
      <c r="R600" s="7">
        <v>36077</v>
      </c>
      <c r="S600" s="8">
        <f t="shared" si="72"/>
        <v>1998</v>
      </c>
      <c r="T600" s="8">
        <v>1998</v>
      </c>
      <c r="U600" s="8">
        <f t="shared" si="73"/>
        <v>24</v>
      </c>
      <c r="V600" s="7">
        <v>36077</v>
      </c>
      <c r="W600" t="s">
        <v>655</v>
      </c>
      <c r="X600" s="2">
        <v>1.593</v>
      </c>
      <c r="Y600" s="6">
        <f t="shared" si="74"/>
        <v>4.2524225194201973E-2</v>
      </c>
      <c r="AA600">
        <v>145793</v>
      </c>
      <c r="AB600">
        <v>17481</v>
      </c>
      <c r="AD600" t="s">
        <v>2</v>
      </c>
      <c r="AE600">
        <v>436</v>
      </c>
      <c r="AF600">
        <v>3</v>
      </c>
      <c r="AH600" t="s">
        <v>3048</v>
      </c>
      <c r="AI600" t="s">
        <v>3047</v>
      </c>
      <c r="AJ600" t="s">
        <v>3046</v>
      </c>
      <c r="AK600" t="s">
        <v>3045</v>
      </c>
      <c r="AL600">
        <v>39</v>
      </c>
      <c r="AM600" s="5">
        <f t="shared" si="75"/>
        <v>1.625</v>
      </c>
      <c r="AN600" s="4">
        <f t="shared" si="76"/>
        <v>2.4611889435819764E-3</v>
      </c>
      <c r="AO600" s="3"/>
      <c r="AP600">
        <v>1</v>
      </c>
      <c r="AQ600" t="s">
        <v>180</v>
      </c>
      <c r="AR600" t="s">
        <v>3044</v>
      </c>
      <c r="AS600" t="s">
        <v>179</v>
      </c>
      <c r="AT600" s="2">
        <v>4.1239999999999997</v>
      </c>
      <c r="AU600" s="1">
        <f t="shared" si="77"/>
        <v>3.050531431901597</v>
      </c>
      <c r="AV600" s="1">
        <f t="shared" si="78"/>
        <v>2.2492707068891975</v>
      </c>
      <c r="AW600" s="1">
        <f t="shared" si="79"/>
        <v>1.4480099818767975</v>
      </c>
    </row>
    <row r="601" spans="1:49" x14ac:dyDescent="0.2">
      <c r="A601">
        <v>599</v>
      </c>
      <c r="B601" t="s">
        <v>3043</v>
      </c>
      <c r="C601" t="s">
        <v>3042</v>
      </c>
      <c r="D601" t="s">
        <v>3041</v>
      </c>
      <c r="F601" t="s">
        <v>3040</v>
      </c>
      <c r="G601" t="s">
        <v>5</v>
      </c>
      <c r="H601" t="s">
        <v>4</v>
      </c>
      <c r="I601" t="s">
        <v>3039</v>
      </c>
      <c r="J601" t="s">
        <v>3038</v>
      </c>
      <c r="K601" t="s">
        <v>3037</v>
      </c>
      <c r="L601" t="s">
        <v>3036</v>
      </c>
      <c r="M601" t="s">
        <v>216</v>
      </c>
      <c r="N601">
        <v>5</v>
      </c>
      <c r="O601" t="s">
        <v>3035</v>
      </c>
      <c r="P601" t="s">
        <v>3034</v>
      </c>
      <c r="Q601" t="s">
        <v>3033</v>
      </c>
      <c r="R601" s="7">
        <v>36076</v>
      </c>
      <c r="S601" s="8">
        <f t="shared" si="72"/>
        <v>1998</v>
      </c>
      <c r="T601" s="8">
        <v>1998</v>
      </c>
      <c r="U601" s="8">
        <f t="shared" si="73"/>
        <v>24</v>
      </c>
      <c r="V601" s="7">
        <v>36076</v>
      </c>
      <c r="W601" t="s">
        <v>704</v>
      </c>
      <c r="X601" s="2">
        <v>0.54100000000000004</v>
      </c>
      <c r="Y601" s="6">
        <f t="shared" si="74"/>
        <v>1.4441686020127601E-2</v>
      </c>
      <c r="AA601">
        <v>404039</v>
      </c>
      <c r="AB601">
        <v>26514</v>
      </c>
      <c r="AD601" t="s">
        <v>2</v>
      </c>
      <c r="AE601">
        <v>39</v>
      </c>
      <c r="AF601">
        <v>41</v>
      </c>
      <c r="AH601" t="s">
        <v>3032</v>
      </c>
      <c r="AI601" t="s">
        <v>3031</v>
      </c>
      <c r="AJ601" t="s">
        <v>3030</v>
      </c>
      <c r="AK601" t="s">
        <v>3029</v>
      </c>
      <c r="AL601">
        <v>36</v>
      </c>
      <c r="AM601" s="5">
        <f t="shared" si="75"/>
        <v>1.5</v>
      </c>
      <c r="AN601" s="4">
        <f t="shared" si="76"/>
        <v>2.2718667171525938E-3</v>
      </c>
      <c r="AO601" s="3"/>
      <c r="AP601">
        <v>0</v>
      </c>
      <c r="AR601" t="s">
        <v>1</v>
      </c>
      <c r="AT601" s="2">
        <v>2.415</v>
      </c>
      <c r="AU601" s="1">
        <f t="shared" si="77"/>
        <v>1.0790740229235098</v>
      </c>
      <c r="AV601" s="1">
        <f t="shared" si="78"/>
        <v>0.83567763686400975</v>
      </c>
      <c r="AW601" s="1">
        <f t="shared" si="79"/>
        <v>0.59228125080450955</v>
      </c>
    </row>
    <row r="602" spans="1:49" x14ac:dyDescent="0.2">
      <c r="A602">
        <v>600</v>
      </c>
      <c r="B602" t="s">
        <v>3028</v>
      </c>
      <c r="C602" t="s">
        <v>3027</v>
      </c>
      <c r="E602">
        <v>9831458</v>
      </c>
      <c r="F602" t="s">
        <v>3026</v>
      </c>
      <c r="G602" t="s">
        <v>5</v>
      </c>
      <c r="H602" t="s">
        <v>4</v>
      </c>
      <c r="I602" t="s">
        <v>3025</v>
      </c>
      <c r="J602">
        <v>60012345</v>
      </c>
      <c r="K602" t="s">
        <v>3024</v>
      </c>
      <c r="L602" t="s">
        <v>3023</v>
      </c>
      <c r="M602" t="s">
        <v>37</v>
      </c>
      <c r="N602">
        <v>3</v>
      </c>
      <c r="O602" t="s">
        <v>3022</v>
      </c>
      <c r="P602" t="s">
        <v>3021</v>
      </c>
      <c r="Q602" t="s">
        <v>3020</v>
      </c>
      <c r="R602" s="7">
        <v>36073</v>
      </c>
      <c r="S602" s="8">
        <f t="shared" si="72"/>
        <v>1998</v>
      </c>
      <c r="T602" s="8">
        <v>1998</v>
      </c>
      <c r="U602" s="8">
        <f t="shared" si="73"/>
        <v>24</v>
      </c>
      <c r="V602" s="7">
        <v>36073</v>
      </c>
      <c r="W602" t="s">
        <v>3019</v>
      </c>
      <c r="X602" s="2">
        <v>0.60699999999999998</v>
      </c>
      <c r="Y602" s="6">
        <f t="shared" si="74"/>
        <v>1.6203518325725422E-2</v>
      </c>
      <c r="AA602">
        <v>9594965</v>
      </c>
      <c r="AB602">
        <v>18022</v>
      </c>
      <c r="AD602" t="s">
        <v>2</v>
      </c>
      <c r="AE602">
        <v>9</v>
      </c>
      <c r="AF602">
        <v>14</v>
      </c>
      <c r="AH602" t="s">
        <v>3018</v>
      </c>
      <c r="AI602" t="s">
        <v>3017</v>
      </c>
      <c r="AJ602" t="s">
        <v>3016</v>
      </c>
      <c r="AK602" t="s">
        <v>3015</v>
      </c>
      <c r="AL602">
        <v>3</v>
      </c>
      <c r="AM602" s="5">
        <f t="shared" si="75"/>
        <v>0.125</v>
      </c>
      <c r="AN602" s="4">
        <f t="shared" si="76"/>
        <v>1.893222264293828E-4</v>
      </c>
      <c r="AO602" s="3"/>
      <c r="AP602">
        <v>0</v>
      </c>
      <c r="AR602" t="s">
        <v>1</v>
      </c>
      <c r="AT602" s="2">
        <v>1.837</v>
      </c>
      <c r="AU602" s="1">
        <f t="shared" si="77"/>
        <v>1.1399259495936609</v>
      </c>
      <c r="AV602" s="1">
        <f t="shared" si="78"/>
        <v>0.8196420276077403</v>
      </c>
      <c r="AW602" s="1">
        <f t="shared" si="79"/>
        <v>0.49935810562181948</v>
      </c>
    </row>
    <row r="603" spans="1:49" x14ac:dyDescent="0.2">
      <c r="A603">
        <v>601</v>
      </c>
      <c r="B603" t="s">
        <v>3014</v>
      </c>
      <c r="F603" t="s">
        <v>3013</v>
      </c>
      <c r="G603" t="s">
        <v>5</v>
      </c>
      <c r="H603" t="s">
        <v>4</v>
      </c>
      <c r="I603" t="s">
        <v>3012</v>
      </c>
      <c r="J603" t="s">
        <v>3011</v>
      </c>
      <c r="K603" t="s">
        <v>3010</v>
      </c>
      <c r="L603" t="s">
        <v>3009</v>
      </c>
      <c r="M603" t="s">
        <v>101</v>
      </c>
      <c r="N603">
        <v>1</v>
      </c>
      <c r="O603" t="s">
        <v>3008</v>
      </c>
      <c r="P603">
        <v>7102689307</v>
      </c>
      <c r="Q603" t="s">
        <v>3007</v>
      </c>
      <c r="R603" s="7">
        <v>36069</v>
      </c>
      <c r="S603" s="8">
        <f t="shared" si="72"/>
        <v>1998</v>
      </c>
      <c r="T603" s="8">
        <v>1998</v>
      </c>
      <c r="U603" s="8">
        <f t="shared" si="73"/>
        <v>24</v>
      </c>
      <c r="V603" s="7">
        <v>36069</v>
      </c>
      <c r="W603" t="s">
        <v>110</v>
      </c>
      <c r="X603" s="2">
        <v>0.13800000000000001</v>
      </c>
      <c r="Y603" s="6">
        <f t="shared" si="74"/>
        <v>3.6838311844318095E-3</v>
      </c>
      <c r="AA603">
        <v>1926225</v>
      </c>
      <c r="AB603">
        <v>18580</v>
      </c>
      <c r="AD603" t="s">
        <v>2</v>
      </c>
      <c r="AE603">
        <v>41</v>
      </c>
      <c r="AF603">
        <v>10</v>
      </c>
      <c r="AH603" t="s">
        <v>3006</v>
      </c>
      <c r="AI603" t="s">
        <v>3005</v>
      </c>
      <c r="AK603" t="s">
        <v>3004</v>
      </c>
      <c r="AL603">
        <v>0</v>
      </c>
      <c r="AM603" s="5">
        <f t="shared" si="75"/>
        <v>0</v>
      </c>
      <c r="AN603" s="4">
        <f t="shared" si="76"/>
        <v>0</v>
      </c>
      <c r="AO603" s="3"/>
      <c r="AP603">
        <v>0</v>
      </c>
      <c r="AR603" t="s">
        <v>1</v>
      </c>
      <c r="AT603" s="2">
        <v>0.30599999999999999</v>
      </c>
      <c r="AU603" s="1">
        <f t="shared" si="77"/>
        <v>0.25786818291022667</v>
      </c>
      <c r="AV603" s="1">
        <f t="shared" si="78"/>
        <v>0.18419155922159047</v>
      </c>
      <c r="AW603" s="1">
        <f t="shared" si="79"/>
        <v>0.11051493553295429</v>
      </c>
    </row>
    <row r="604" spans="1:49" x14ac:dyDescent="0.2">
      <c r="A604">
        <v>602</v>
      </c>
      <c r="B604" t="s">
        <v>3003</v>
      </c>
      <c r="C604" t="s">
        <v>3002</v>
      </c>
      <c r="D604" t="s">
        <v>3001</v>
      </c>
      <c r="F604" t="s">
        <v>3000</v>
      </c>
      <c r="G604" t="s">
        <v>5</v>
      </c>
      <c r="H604" t="s">
        <v>4</v>
      </c>
      <c r="I604" t="s">
        <v>2999</v>
      </c>
      <c r="J604" t="s">
        <v>2998</v>
      </c>
      <c r="K604" t="s">
        <v>2997</v>
      </c>
      <c r="L604" t="s">
        <v>2996</v>
      </c>
      <c r="M604" t="s">
        <v>2995</v>
      </c>
      <c r="N604">
        <v>5</v>
      </c>
      <c r="O604" t="s">
        <v>2994</v>
      </c>
      <c r="P604" t="s">
        <v>2993</v>
      </c>
      <c r="Q604" t="s">
        <v>2992</v>
      </c>
      <c r="R604" s="7">
        <v>36069</v>
      </c>
      <c r="S604" s="8">
        <f t="shared" si="72"/>
        <v>1998</v>
      </c>
      <c r="T604" s="8">
        <v>1998</v>
      </c>
      <c r="U604" s="8">
        <f t="shared" si="73"/>
        <v>24</v>
      </c>
      <c r="V604" s="7">
        <v>36069</v>
      </c>
      <c r="W604" t="s">
        <v>693</v>
      </c>
      <c r="X604" s="2">
        <v>0.998</v>
      </c>
      <c r="Y604" s="6">
        <f t="shared" si="74"/>
        <v>2.664104001494888E-2</v>
      </c>
      <c r="AA604">
        <v>207322</v>
      </c>
      <c r="AB604">
        <v>90127</v>
      </c>
      <c r="AD604" t="s">
        <v>2</v>
      </c>
      <c r="AE604">
        <v>27</v>
      </c>
      <c r="AF604">
        <v>4</v>
      </c>
      <c r="AH604" t="s">
        <v>2991</v>
      </c>
      <c r="AI604" t="s">
        <v>2990</v>
      </c>
      <c r="AJ604" t="s">
        <v>2989</v>
      </c>
      <c r="AK604" t="s">
        <v>2988</v>
      </c>
      <c r="AL604">
        <v>55</v>
      </c>
      <c r="AM604" s="5">
        <f t="shared" si="75"/>
        <v>2.2916666666666665</v>
      </c>
      <c r="AN604" s="4">
        <f t="shared" si="76"/>
        <v>3.4709074845386844E-3</v>
      </c>
      <c r="AO604" s="3"/>
      <c r="AP604">
        <v>0</v>
      </c>
      <c r="AR604" t="s">
        <v>1</v>
      </c>
      <c r="AT604" s="2" t="s">
        <v>0</v>
      </c>
      <c r="AU604" s="1">
        <f t="shared" si="77"/>
        <v>1.9690000255825821</v>
      </c>
      <c r="AV604" s="1">
        <f t="shared" si="78"/>
        <v>1.5055973749743783</v>
      </c>
      <c r="AW604" s="1">
        <f t="shared" si="79"/>
        <v>1.0421947243661742</v>
      </c>
    </row>
    <row r="605" spans="1:49" x14ac:dyDescent="0.2">
      <c r="A605">
        <v>603</v>
      </c>
      <c r="B605" t="s">
        <v>2987</v>
      </c>
      <c r="F605" t="s">
        <v>2986</v>
      </c>
      <c r="G605" t="s">
        <v>5</v>
      </c>
      <c r="H605" t="s">
        <v>4</v>
      </c>
      <c r="I605" t="s">
        <v>2985</v>
      </c>
      <c r="J605" t="s">
        <v>2984</v>
      </c>
      <c r="K605" t="s">
        <v>2983</v>
      </c>
      <c r="L605" t="s">
        <v>2982</v>
      </c>
      <c r="M605" t="s">
        <v>283</v>
      </c>
      <c r="N605">
        <v>4</v>
      </c>
      <c r="O605" t="s">
        <v>2981</v>
      </c>
      <c r="P605" t="s">
        <v>2980</v>
      </c>
      <c r="Q605" t="s">
        <v>2979</v>
      </c>
      <c r="R605" s="7">
        <v>36069</v>
      </c>
      <c r="S605" s="8">
        <f t="shared" si="72"/>
        <v>1998</v>
      </c>
      <c r="T605" s="8">
        <v>1998</v>
      </c>
      <c r="U605" s="8">
        <f t="shared" si="73"/>
        <v>24</v>
      </c>
      <c r="V605" s="7">
        <v>36069</v>
      </c>
      <c r="W605" t="s">
        <v>2978</v>
      </c>
      <c r="X605" s="2">
        <v>0.20599999999999999</v>
      </c>
      <c r="Y605" s="6">
        <f t="shared" si="74"/>
        <v>5.4990523477750197E-3</v>
      </c>
      <c r="AA605">
        <v>3678318</v>
      </c>
      <c r="AB605">
        <v>18247</v>
      </c>
      <c r="AD605" t="s">
        <v>2</v>
      </c>
      <c r="AE605">
        <v>68</v>
      </c>
      <c r="AF605">
        <v>10</v>
      </c>
      <c r="AH605" t="s">
        <v>2977</v>
      </c>
      <c r="AI605" t="s">
        <v>2976</v>
      </c>
      <c r="AJ605" t="s">
        <v>2975</v>
      </c>
      <c r="AK605" t="s">
        <v>2974</v>
      </c>
      <c r="AL605">
        <v>2</v>
      </c>
      <c r="AM605" s="5">
        <f t="shared" si="75"/>
        <v>8.3333333333333329E-2</v>
      </c>
      <c r="AN605" s="4">
        <f t="shared" si="76"/>
        <v>1.2621481761958852E-4</v>
      </c>
      <c r="AO605" s="3"/>
      <c r="AP605">
        <v>0</v>
      </c>
      <c r="AR605" t="s">
        <v>1</v>
      </c>
      <c r="AT605" s="2">
        <v>0.316</v>
      </c>
      <c r="AU605" s="1">
        <f t="shared" si="77"/>
        <v>0.38872010887283898</v>
      </c>
      <c r="AV605" s="1">
        <f t="shared" si="78"/>
        <v>0.28126335826973042</v>
      </c>
      <c r="AW605" s="1">
        <f t="shared" si="79"/>
        <v>0.17380660766662179</v>
      </c>
    </row>
    <row r="606" spans="1:49" x14ac:dyDescent="0.2">
      <c r="A606">
        <v>604</v>
      </c>
      <c r="B606" t="s">
        <v>2973</v>
      </c>
      <c r="C606" t="s">
        <v>2972</v>
      </c>
      <c r="D606" t="s">
        <v>2971</v>
      </c>
      <c r="F606" t="s">
        <v>2970</v>
      </c>
      <c r="G606" t="s">
        <v>5</v>
      </c>
      <c r="H606" t="s">
        <v>4</v>
      </c>
      <c r="I606" t="s">
        <v>2969</v>
      </c>
      <c r="J606">
        <v>60028186</v>
      </c>
      <c r="K606" t="s">
        <v>265</v>
      </c>
      <c r="L606" t="s">
        <v>264</v>
      </c>
      <c r="M606" t="s">
        <v>263</v>
      </c>
      <c r="N606">
        <v>5</v>
      </c>
      <c r="O606" t="s">
        <v>2968</v>
      </c>
      <c r="P606" t="s">
        <v>2967</v>
      </c>
      <c r="Q606" t="s">
        <v>2966</v>
      </c>
      <c r="R606" s="7">
        <v>36069</v>
      </c>
      <c r="S606" s="8">
        <f t="shared" si="72"/>
        <v>1998</v>
      </c>
      <c r="T606" s="8">
        <v>1998</v>
      </c>
      <c r="U606" s="8">
        <f t="shared" si="73"/>
        <v>24</v>
      </c>
      <c r="V606" s="7">
        <v>36069</v>
      </c>
      <c r="W606" t="s">
        <v>452</v>
      </c>
      <c r="X606" s="2">
        <v>0.627</v>
      </c>
      <c r="Y606" s="6">
        <f t="shared" si="74"/>
        <v>1.6737406903179305E-2</v>
      </c>
      <c r="AA606">
        <v>9269851</v>
      </c>
      <c r="AB606">
        <v>28435</v>
      </c>
      <c r="AD606" t="s">
        <v>2</v>
      </c>
      <c r="AE606">
        <v>40</v>
      </c>
      <c r="AF606" s="9">
        <v>44256</v>
      </c>
      <c r="AH606" t="s">
        <v>2965</v>
      </c>
      <c r="AI606" t="s">
        <v>2964</v>
      </c>
      <c r="AJ606" t="s">
        <v>2963</v>
      </c>
      <c r="AK606" t="s">
        <v>2962</v>
      </c>
      <c r="AL606">
        <v>64</v>
      </c>
      <c r="AM606" s="5">
        <f t="shared" si="75"/>
        <v>2.6666666666666665</v>
      </c>
      <c r="AN606" s="4">
        <f t="shared" si="76"/>
        <v>4.0388741638268328E-3</v>
      </c>
      <c r="AO606" s="3"/>
      <c r="AP606">
        <v>0</v>
      </c>
      <c r="AQ606" t="s">
        <v>2961</v>
      </c>
      <c r="AR606" t="s">
        <v>1</v>
      </c>
      <c r="AS606" t="s">
        <v>2960</v>
      </c>
      <c r="AT606" s="2">
        <v>2.121</v>
      </c>
      <c r="AU606" s="1">
        <f t="shared" si="77"/>
        <v>1.2927847081373562</v>
      </c>
      <c r="AV606" s="1">
        <f t="shared" si="78"/>
        <v>1.038814053350307</v>
      </c>
      <c r="AW606" s="1">
        <f t="shared" si="79"/>
        <v>0.78484339856325736</v>
      </c>
    </row>
    <row r="607" spans="1:49" x14ac:dyDescent="0.2">
      <c r="A607">
        <v>605</v>
      </c>
      <c r="B607" t="s">
        <v>2959</v>
      </c>
      <c r="C607" t="s">
        <v>2958</v>
      </c>
      <c r="D607" t="s">
        <v>2957</v>
      </c>
      <c r="F607" t="s">
        <v>2956</v>
      </c>
      <c r="G607" t="s">
        <v>5</v>
      </c>
      <c r="H607" t="s">
        <v>4</v>
      </c>
      <c r="I607" t="s">
        <v>2955</v>
      </c>
      <c r="J607" t="s">
        <v>2950</v>
      </c>
      <c r="K607" t="s">
        <v>2954</v>
      </c>
      <c r="L607" t="s">
        <v>2953</v>
      </c>
      <c r="M607" t="s">
        <v>217</v>
      </c>
      <c r="N607">
        <v>2</v>
      </c>
      <c r="O607" t="s">
        <v>2952</v>
      </c>
      <c r="P607" t="s">
        <v>2951</v>
      </c>
      <c r="Q607" t="s">
        <v>2950</v>
      </c>
      <c r="R607" s="7">
        <v>36069</v>
      </c>
      <c r="S607" s="8">
        <f t="shared" si="72"/>
        <v>1998</v>
      </c>
      <c r="T607" s="8">
        <v>1998</v>
      </c>
      <c r="U607" s="8">
        <f t="shared" si="73"/>
        <v>24</v>
      </c>
      <c r="V607" s="7">
        <v>36069</v>
      </c>
      <c r="W607" t="s">
        <v>452</v>
      </c>
      <c r="X607" s="2">
        <v>0.627</v>
      </c>
      <c r="Y607" s="6">
        <f t="shared" si="74"/>
        <v>1.6737406903179305E-2</v>
      </c>
      <c r="AA607">
        <v>9269851</v>
      </c>
      <c r="AB607">
        <v>28435</v>
      </c>
      <c r="AD607" t="s">
        <v>2</v>
      </c>
      <c r="AE607">
        <v>40</v>
      </c>
      <c r="AF607" s="9">
        <v>44256</v>
      </c>
      <c r="AH607" t="s">
        <v>401</v>
      </c>
      <c r="AI607" t="s">
        <v>2949</v>
      </c>
      <c r="AJ607" t="s">
        <v>2948</v>
      </c>
      <c r="AK607" t="s">
        <v>2947</v>
      </c>
      <c r="AL607">
        <v>47</v>
      </c>
      <c r="AM607" s="5">
        <f t="shared" si="75"/>
        <v>1.9583333333333333</v>
      </c>
      <c r="AN607" s="4">
        <f t="shared" si="76"/>
        <v>2.9660482140603304E-3</v>
      </c>
      <c r="AO607" s="3"/>
      <c r="AP607">
        <v>0</v>
      </c>
      <c r="AR607" t="s">
        <v>1</v>
      </c>
      <c r="AT607" s="2">
        <v>2.121</v>
      </c>
      <c r="AU607" s="1">
        <f t="shared" si="77"/>
        <v>1.2605999296443613</v>
      </c>
      <c r="AV607" s="1">
        <f t="shared" si="78"/>
        <v>0.98517275586198183</v>
      </c>
      <c r="AW607" s="1">
        <f t="shared" si="79"/>
        <v>0.70974558207960226</v>
      </c>
    </row>
    <row r="608" spans="1:49" x14ac:dyDescent="0.2">
      <c r="A608">
        <v>606</v>
      </c>
      <c r="B608" t="s">
        <v>2946</v>
      </c>
      <c r="C608" t="s">
        <v>2945</v>
      </c>
      <c r="D608" t="s">
        <v>2944</v>
      </c>
      <c r="F608" t="s">
        <v>2943</v>
      </c>
      <c r="G608" t="s">
        <v>5</v>
      </c>
      <c r="H608" t="s">
        <v>4</v>
      </c>
      <c r="I608" t="s">
        <v>2942</v>
      </c>
      <c r="J608">
        <v>120893809</v>
      </c>
      <c r="K608" t="s">
        <v>2941</v>
      </c>
      <c r="L608" t="s">
        <v>2940</v>
      </c>
      <c r="M608" t="s">
        <v>13</v>
      </c>
      <c r="N608">
        <v>2</v>
      </c>
      <c r="O608" t="s">
        <v>2939</v>
      </c>
      <c r="P608" t="s">
        <v>2938</v>
      </c>
      <c r="Q608" t="s">
        <v>2937</v>
      </c>
      <c r="R608" s="7">
        <v>36069</v>
      </c>
      <c r="S608" s="8">
        <f t="shared" si="72"/>
        <v>1998</v>
      </c>
      <c r="T608" s="8">
        <v>1998</v>
      </c>
      <c r="U608" s="8">
        <f t="shared" si="73"/>
        <v>24</v>
      </c>
      <c r="V608" s="7">
        <v>36069</v>
      </c>
      <c r="W608" t="s">
        <v>672</v>
      </c>
      <c r="X608" s="2">
        <v>0.89900000000000002</v>
      </c>
      <c r="Y608" s="6">
        <f t="shared" si="74"/>
        <v>2.399829155655215E-2</v>
      </c>
      <c r="AA608">
        <v>221910</v>
      </c>
      <c r="AB608">
        <v>20487</v>
      </c>
      <c r="AD608" t="s">
        <v>2</v>
      </c>
      <c r="AE608">
        <v>44</v>
      </c>
      <c r="AF608">
        <v>10</v>
      </c>
      <c r="AH608" t="s">
        <v>2936</v>
      </c>
      <c r="AI608" t="s">
        <v>2935</v>
      </c>
      <c r="AJ608" t="s">
        <v>2934</v>
      </c>
      <c r="AK608" t="s">
        <v>2933</v>
      </c>
      <c r="AL608">
        <v>26</v>
      </c>
      <c r="AM608" s="5">
        <f t="shared" si="75"/>
        <v>1.0833333333333333</v>
      </c>
      <c r="AN608" s="4">
        <f t="shared" si="76"/>
        <v>1.6407926290546509E-3</v>
      </c>
      <c r="AO608" s="3"/>
      <c r="AP608">
        <v>0</v>
      </c>
      <c r="AQ608" t="s">
        <v>2932</v>
      </c>
      <c r="AR608" t="s">
        <v>1</v>
      </c>
      <c r="AS608" t="s">
        <v>2931</v>
      </c>
      <c r="AT608" s="2">
        <v>2.3540000000000001</v>
      </c>
      <c r="AU608" s="1">
        <f t="shared" si="77"/>
        <v>1.7291041878302895</v>
      </c>
      <c r="AV608" s="1">
        <f t="shared" si="78"/>
        <v>1.28195420928034</v>
      </c>
      <c r="AW608" s="1">
        <f t="shared" si="79"/>
        <v>0.8348042307303899</v>
      </c>
    </row>
    <row r="609" spans="1:49" x14ac:dyDescent="0.2">
      <c r="A609">
        <v>607</v>
      </c>
      <c r="B609" t="s">
        <v>2930</v>
      </c>
      <c r="C609" t="s">
        <v>2929</v>
      </c>
      <c r="D609" t="s">
        <v>2928</v>
      </c>
      <c r="E609">
        <v>9807224</v>
      </c>
      <c r="F609" t="s">
        <v>2927</v>
      </c>
      <c r="G609" t="s">
        <v>5</v>
      </c>
      <c r="H609" t="s">
        <v>4</v>
      </c>
      <c r="I609" t="s">
        <v>2926</v>
      </c>
      <c r="J609">
        <v>60025272</v>
      </c>
      <c r="K609" t="s">
        <v>369</v>
      </c>
      <c r="L609" t="s">
        <v>104</v>
      </c>
      <c r="M609" t="s">
        <v>12</v>
      </c>
      <c r="N609">
        <v>4</v>
      </c>
      <c r="O609" t="s">
        <v>2925</v>
      </c>
      <c r="P609" t="s">
        <v>2924</v>
      </c>
      <c r="Q609" t="s">
        <v>368</v>
      </c>
      <c r="R609" s="7">
        <v>36069</v>
      </c>
      <c r="S609" s="8">
        <f t="shared" si="72"/>
        <v>1998</v>
      </c>
      <c r="T609" s="8">
        <v>1998</v>
      </c>
      <c r="U609" s="8">
        <f t="shared" si="73"/>
        <v>24</v>
      </c>
      <c r="V609" s="7">
        <v>36069</v>
      </c>
      <c r="W609" t="s">
        <v>536</v>
      </c>
      <c r="X609" s="2">
        <v>1.718</v>
      </c>
      <c r="Y609" s="6">
        <f t="shared" si="74"/>
        <v>4.5861028803288753E-2</v>
      </c>
      <c r="AA609">
        <v>9651748</v>
      </c>
      <c r="AB609">
        <v>20384</v>
      </c>
      <c r="AD609" t="s">
        <v>2</v>
      </c>
      <c r="AE609">
        <v>28</v>
      </c>
      <c r="AF609">
        <v>10</v>
      </c>
      <c r="AH609" t="s">
        <v>2923</v>
      </c>
      <c r="AI609" t="s">
        <v>2922</v>
      </c>
      <c r="AJ609" t="s">
        <v>2921</v>
      </c>
      <c r="AK609" t="s">
        <v>2920</v>
      </c>
      <c r="AL609">
        <v>142</v>
      </c>
      <c r="AM609" s="5">
        <f t="shared" si="75"/>
        <v>5.916666666666667</v>
      </c>
      <c r="AN609" s="4">
        <f t="shared" si="76"/>
        <v>8.9612520509907874E-3</v>
      </c>
      <c r="AO609" s="3"/>
      <c r="AP609">
        <v>0</v>
      </c>
      <c r="AQ609" t="s">
        <v>659</v>
      </c>
      <c r="AR609" t="s">
        <v>1</v>
      </c>
      <c r="AS609" t="s">
        <v>2919</v>
      </c>
      <c r="AT609" s="2" t="s">
        <v>0</v>
      </c>
      <c r="AU609" s="1">
        <f t="shared" si="77"/>
        <v>3.4791095777599361</v>
      </c>
      <c r="AV609" s="1">
        <f t="shared" si="78"/>
        <v>2.7411140427139769</v>
      </c>
      <c r="AW609" s="1">
        <f t="shared" si="79"/>
        <v>2.0031185076680176</v>
      </c>
    </row>
    <row r="610" spans="1:49" x14ac:dyDescent="0.2">
      <c r="A610">
        <v>608</v>
      </c>
      <c r="B610" t="s">
        <v>2918</v>
      </c>
      <c r="C610" t="s">
        <v>2917</v>
      </c>
      <c r="F610" t="s">
        <v>2916</v>
      </c>
      <c r="G610" t="s">
        <v>5</v>
      </c>
      <c r="H610" t="s">
        <v>4</v>
      </c>
      <c r="I610" t="s">
        <v>2915</v>
      </c>
      <c r="J610">
        <v>101284449</v>
      </c>
      <c r="K610" t="s">
        <v>2914</v>
      </c>
      <c r="N610">
        <v>1</v>
      </c>
      <c r="O610" t="s">
        <v>2913</v>
      </c>
      <c r="P610">
        <v>57198197088</v>
      </c>
      <c r="Q610">
        <v>101284449</v>
      </c>
      <c r="R610" s="7">
        <v>36069</v>
      </c>
      <c r="S610" s="8">
        <f t="shared" si="72"/>
        <v>1998</v>
      </c>
      <c r="T610" s="8">
        <v>1998</v>
      </c>
      <c r="U610" s="8">
        <f t="shared" si="73"/>
        <v>24</v>
      </c>
      <c r="V610" s="7">
        <v>36069</v>
      </c>
      <c r="W610" t="s">
        <v>2912</v>
      </c>
      <c r="X610" s="2">
        <v>0.22600000000000001</v>
      </c>
      <c r="Y610" s="6">
        <f t="shared" si="74"/>
        <v>6.0329409252289053E-3</v>
      </c>
      <c r="AA610">
        <v>2786648</v>
      </c>
      <c r="AB610">
        <v>17299</v>
      </c>
      <c r="AD610" t="s">
        <v>2</v>
      </c>
      <c r="AE610">
        <v>17</v>
      </c>
      <c r="AF610">
        <v>4</v>
      </c>
      <c r="AH610" t="s">
        <v>2911</v>
      </c>
      <c r="AI610" t="s">
        <v>2910</v>
      </c>
      <c r="AK610" t="s">
        <v>2909</v>
      </c>
      <c r="AL610">
        <v>5</v>
      </c>
      <c r="AM610" s="5">
        <f t="shared" si="75"/>
        <v>0.20833333333333334</v>
      </c>
      <c r="AN610" s="4">
        <f t="shared" si="76"/>
        <v>3.1553704404897135E-4</v>
      </c>
      <c r="AO610" s="3"/>
      <c r="AP610">
        <v>0</v>
      </c>
      <c r="AQ610" t="s">
        <v>328</v>
      </c>
      <c r="AR610" t="s">
        <v>1</v>
      </c>
      <c r="AS610" t="s">
        <v>327</v>
      </c>
      <c r="AT610" s="2" t="s">
        <v>0</v>
      </c>
      <c r="AU610" s="1">
        <f t="shared" si="77"/>
        <v>0.43177197608749252</v>
      </c>
      <c r="AV610" s="1">
        <f t="shared" si="78"/>
        <v>0.31742389846389385</v>
      </c>
      <c r="AW610" s="1">
        <f t="shared" si="79"/>
        <v>0.20307582084029513</v>
      </c>
    </row>
    <row r="611" spans="1:49" x14ac:dyDescent="0.2">
      <c r="A611">
        <v>609</v>
      </c>
      <c r="B611" t="s">
        <v>2908</v>
      </c>
      <c r="C611" t="s">
        <v>2907</v>
      </c>
      <c r="F611" t="s">
        <v>2906</v>
      </c>
      <c r="G611" t="s">
        <v>5</v>
      </c>
      <c r="H611" t="s">
        <v>4</v>
      </c>
      <c r="I611" t="s">
        <v>2905</v>
      </c>
      <c r="J611" t="s">
        <v>2904</v>
      </c>
      <c r="K611" t="s">
        <v>2903</v>
      </c>
      <c r="L611" t="s">
        <v>210</v>
      </c>
      <c r="M611" t="s">
        <v>71</v>
      </c>
      <c r="N611">
        <v>5</v>
      </c>
      <c r="O611" t="s">
        <v>2902</v>
      </c>
      <c r="P611" t="s">
        <v>2901</v>
      </c>
      <c r="Q611" t="s">
        <v>2900</v>
      </c>
      <c r="R611" s="7">
        <v>36069</v>
      </c>
      <c r="S611" s="8">
        <f t="shared" si="72"/>
        <v>1998</v>
      </c>
      <c r="T611" s="8">
        <v>1998</v>
      </c>
      <c r="U611" s="8">
        <f t="shared" si="73"/>
        <v>24</v>
      </c>
      <c r="V611" s="7">
        <v>36069</v>
      </c>
      <c r="W611" t="s">
        <v>1593</v>
      </c>
      <c r="X611" s="2">
        <v>0.39600000000000002</v>
      </c>
      <c r="Y611" s="6">
        <f t="shared" si="74"/>
        <v>1.0570993833586931E-2</v>
      </c>
      <c r="AA611">
        <v>8858985</v>
      </c>
      <c r="AB611">
        <v>25993</v>
      </c>
      <c r="AD611" t="s">
        <v>2</v>
      </c>
      <c r="AE611">
        <v>13</v>
      </c>
      <c r="AF611">
        <v>10</v>
      </c>
      <c r="AH611" t="s">
        <v>2899</v>
      </c>
      <c r="AI611" t="s">
        <v>2898</v>
      </c>
      <c r="AK611" t="s">
        <v>2897</v>
      </c>
      <c r="AL611">
        <v>10</v>
      </c>
      <c r="AM611" s="5">
        <f t="shared" si="75"/>
        <v>0.41666666666666669</v>
      </c>
      <c r="AN611" s="4">
        <f t="shared" si="76"/>
        <v>6.310740880979427E-4</v>
      </c>
      <c r="AO611" s="3"/>
      <c r="AP611">
        <v>0</v>
      </c>
      <c r="AR611" t="s">
        <v>1</v>
      </c>
      <c r="AT611" s="2" t="s">
        <v>0</v>
      </c>
      <c r="AU611" s="1">
        <f t="shared" si="77"/>
        <v>0.75890179099402344</v>
      </c>
      <c r="AV611" s="1">
        <f t="shared" si="78"/>
        <v>0.56010339608424364</v>
      </c>
      <c r="AW611" s="1">
        <f t="shared" si="79"/>
        <v>0.36130500117446385</v>
      </c>
    </row>
    <row r="612" spans="1:49" x14ac:dyDescent="0.2">
      <c r="A612">
        <v>610</v>
      </c>
      <c r="B612" t="s">
        <v>2896</v>
      </c>
      <c r="C612" t="s">
        <v>2895</v>
      </c>
      <c r="F612" t="s">
        <v>2894</v>
      </c>
      <c r="G612" t="s">
        <v>5</v>
      </c>
      <c r="H612" t="s">
        <v>4</v>
      </c>
      <c r="I612" t="s">
        <v>131</v>
      </c>
      <c r="J612">
        <v>60011357</v>
      </c>
      <c r="K612" t="s">
        <v>130</v>
      </c>
      <c r="L612" t="s">
        <v>129</v>
      </c>
      <c r="M612" t="s">
        <v>128</v>
      </c>
      <c r="N612">
        <v>2</v>
      </c>
      <c r="O612" t="s">
        <v>2893</v>
      </c>
      <c r="P612" t="s">
        <v>442</v>
      </c>
      <c r="Q612" t="s">
        <v>127</v>
      </c>
      <c r="R612" s="7">
        <v>36069</v>
      </c>
      <c r="S612" s="8">
        <f t="shared" si="72"/>
        <v>1998</v>
      </c>
      <c r="T612" s="8">
        <v>1998</v>
      </c>
      <c r="U612" s="8">
        <f t="shared" si="73"/>
        <v>24</v>
      </c>
      <c r="V612" s="7">
        <v>35796</v>
      </c>
      <c r="W612" t="s">
        <v>126</v>
      </c>
      <c r="X612" s="2">
        <v>0.30399999999999999</v>
      </c>
      <c r="Y612" s="6">
        <f t="shared" si="74"/>
        <v>8.115106377299057E-3</v>
      </c>
      <c r="AA612">
        <v>8952477</v>
      </c>
      <c r="AB612">
        <v>12250</v>
      </c>
      <c r="AD612" t="s">
        <v>2</v>
      </c>
      <c r="AE612">
        <v>19</v>
      </c>
      <c r="AF612">
        <v>3</v>
      </c>
      <c r="AH612" t="s">
        <v>591</v>
      </c>
      <c r="AI612" t="s">
        <v>2892</v>
      </c>
      <c r="AK612" t="s">
        <v>590</v>
      </c>
      <c r="AL612">
        <v>1</v>
      </c>
      <c r="AM612" s="5">
        <f t="shared" si="75"/>
        <v>4.1666666666666664E-2</v>
      </c>
      <c r="AN612" s="4">
        <f t="shared" si="76"/>
        <v>6.3107408809794262E-5</v>
      </c>
      <c r="AO612" s="3"/>
      <c r="AP612">
        <v>0</v>
      </c>
      <c r="AR612" t="s">
        <v>1</v>
      </c>
      <c r="AT612" s="2" t="s">
        <v>0</v>
      </c>
      <c r="AU612" s="1">
        <f t="shared" si="77"/>
        <v>0.5699506686752277</v>
      </c>
      <c r="AV612" s="1">
        <f t="shared" si="78"/>
        <v>0.40891068930544261</v>
      </c>
      <c r="AW612" s="1">
        <f t="shared" si="79"/>
        <v>0.2478707099356573</v>
      </c>
    </row>
    <row r="613" spans="1:49" x14ac:dyDescent="0.2">
      <c r="A613">
        <v>611</v>
      </c>
      <c r="B613" t="s">
        <v>2891</v>
      </c>
      <c r="C613" t="s">
        <v>2890</v>
      </c>
      <c r="D613" t="s">
        <v>2889</v>
      </c>
      <c r="F613" t="s">
        <v>2888</v>
      </c>
      <c r="G613" t="s">
        <v>5</v>
      </c>
      <c r="H613" t="s">
        <v>4</v>
      </c>
      <c r="I613" t="s">
        <v>2887</v>
      </c>
      <c r="J613">
        <v>60020547</v>
      </c>
      <c r="K613" t="s">
        <v>137</v>
      </c>
      <c r="L613" t="s">
        <v>136</v>
      </c>
      <c r="M613" t="s">
        <v>9</v>
      </c>
      <c r="N613">
        <v>2</v>
      </c>
      <c r="O613" t="s">
        <v>2886</v>
      </c>
      <c r="P613" t="s">
        <v>2885</v>
      </c>
      <c r="Q613" t="s">
        <v>2884</v>
      </c>
      <c r="R613" s="7">
        <v>36069</v>
      </c>
      <c r="S613" s="8">
        <f t="shared" si="72"/>
        <v>1998</v>
      </c>
      <c r="T613" s="8">
        <v>1998</v>
      </c>
      <c r="U613" s="8">
        <f t="shared" si="73"/>
        <v>24</v>
      </c>
      <c r="V613" s="7">
        <v>36069</v>
      </c>
      <c r="W613" t="s">
        <v>1666</v>
      </c>
      <c r="X613" s="2">
        <v>2.9860000000000002</v>
      </c>
      <c r="Y613" s="6">
        <f t="shared" si="74"/>
        <v>7.9709564613865094E-2</v>
      </c>
      <c r="AA613">
        <v>7338716</v>
      </c>
      <c r="AB613">
        <v>18902</v>
      </c>
      <c r="AD613" t="s">
        <v>2</v>
      </c>
      <c r="AE613">
        <v>16</v>
      </c>
      <c r="AF613">
        <v>8</v>
      </c>
      <c r="AH613" t="s">
        <v>2883</v>
      </c>
      <c r="AI613" t="s">
        <v>2882</v>
      </c>
      <c r="AJ613" t="s">
        <v>2881</v>
      </c>
      <c r="AK613" t="s">
        <v>2880</v>
      </c>
      <c r="AL613">
        <v>35</v>
      </c>
      <c r="AM613" s="5">
        <f t="shared" si="75"/>
        <v>1.4583333333333333</v>
      </c>
      <c r="AN613" s="4">
        <f t="shared" si="76"/>
        <v>2.2087593083427995E-3</v>
      </c>
      <c r="AO613" s="3"/>
      <c r="AP613">
        <v>0</v>
      </c>
      <c r="AR613" t="s">
        <v>2879</v>
      </c>
      <c r="AT613" s="2" t="s">
        <v>0</v>
      </c>
      <c r="AU613" s="1">
        <f t="shared" si="77"/>
        <v>5.6459323022208396</v>
      </c>
      <c r="AV613" s="1">
        <f t="shared" si="78"/>
        <v>4.0959161961103945</v>
      </c>
      <c r="AW613" s="1">
        <f t="shared" si="79"/>
        <v>2.5459000899999489</v>
      </c>
    </row>
    <row r="614" spans="1:49" x14ac:dyDescent="0.2">
      <c r="A614">
        <v>612</v>
      </c>
      <c r="B614" t="s">
        <v>2878</v>
      </c>
      <c r="C614" t="s">
        <v>2877</v>
      </c>
      <c r="D614" t="s">
        <v>2876</v>
      </c>
      <c r="F614" t="s">
        <v>2875</v>
      </c>
      <c r="G614" t="s">
        <v>5</v>
      </c>
      <c r="H614" t="s">
        <v>4</v>
      </c>
      <c r="I614" t="s">
        <v>2874</v>
      </c>
      <c r="J614" t="s">
        <v>2873</v>
      </c>
      <c r="K614" t="s">
        <v>2872</v>
      </c>
      <c r="L614" t="s">
        <v>2871</v>
      </c>
      <c r="M614" t="s">
        <v>6</v>
      </c>
      <c r="N614">
        <v>4</v>
      </c>
      <c r="O614" t="s">
        <v>2870</v>
      </c>
      <c r="P614" t="s">
        <v>2869</v>
      </c>
      <c r="Q614" t="s">
        <v>2868</v>
      </c>
      <c r="R614" s="7">
        <v>36069</v>
      </c>
      <c r="S614" s="8">
        <f t="shared" si="72"/>
        <v>1998</v>
      </c>
      <c r="T614" s="8">
        <v>1998</v>
      </c>
      <c r="U614" s="8">
        <f t="shared" si="73"/>
        <v>24</v>
      </c>
      <c r="V614" s="7">
        <v>36069</v>
      </c>
      <c r="W614" t="s">
        <v>1666</v>
      </c>
      <c r="X614" s="2">
        <v>2.9860000000000002</v>
      </c>
      <c r="Y614" s="6">
        <f t="shared" si="74"/>
        <v>7.9709564613865094E-2</v>
      </c>
      <c r="AA614">
        <v>7338716</v>
      </c>
      <c r="AB614">
        <v>18902</v>
      </c>
      <c r="AD614" t="s">
        <v>2</v>
      </c>
      <c r="AE614">
        <v>16</v>
      </c>
      <c r="AF614">
        <v>8</v>
      </c>
      <c r="AH614" t="s">
        <v>2867</v>
      </c>
      <c r="AI614" t="s">
        <v>2866</v>
      </c>
      <c r="AJ614" t="s">
        <v>2865</v>
      </c>
      <c r="AK614" t="s">
        <v>2864</v>
      </c>
      <c r="AL614">
        <v>316</v>
      </c>
      <c r="AM614" s="5">
        <f t="shared" si="75"/>
        <v>13.166666666666666</v>
      </c>
      <c r="AN614" s="4">
        <f t="shared" si="76"/>
        <v>1.9941941183894987E-2</v>
      </c>
      <c r="AO614" s="3"/>
      <c r="AP614">
        <v>0</v>
      </c>
      <c r="AR614" t="s">
        <v>1</v>
      </c>
      <c r="AT614" s="2" t="s">
        <v>0</v>
      </c>
      <c r="AU614" s="1">
        <f t="shared" si="77"/>
        <v>6.1779277584874057</v>
      </c>
      <c r="AV614" s="1">
        <f t="shared" si="78"/>
        <v>4.982575289888004</v>
      </c>
      <c r="AW614" s="1">
        <f t="shared" si="79"/>
        <v>3.7872228212886014</v>
      </c>
    </row>
    <row r="615" spans="1:49" x14ac:dyDescent="0.2">
      <c r="A615">
        <v>613</v>
      </c>
      <c r="B615" t="s">
        <v>2863</v>
      </c>
      <c r="C615" t="s">
        <v>2862</v>
      </c>
      <c r="D615" t="s">
        <v>2861</v>
      </c>
      <c r="F615" t="s">
        <v>2860</v>
      </c>
      <c r="G615" t="s">
        <v>5</v>
      </c>
      <c r="H615" t="s">
        <v>4</v>
      </c>
      <c r="I615" t="s">
        <v>2859</v>
      </c>
      <c r="J615">
        <v>60005415</v>
      </c>
      <c r="K615" t="s">
        <v>2858</v>
      </c>
      <c r="L615" t="s">
        <v>2857</v>
      </c>
      <c r="M615" t="s">
        <v>15</v>
      </c>
      <c r="N615">
        <v>2</v>
      </c>
      <c r="O615" t="s">
        <v>2856</v>
      </c>
      <c r="P615" t="s">
        <v>2855</v>
      </c>
      <c r="Q615" t="s">
        <v>2854</v>
      </c>
      <c r="R615" s="7">
        <v>36069</v>
      </c>
      <c r="S615" s="8">
        <f t="shared" si="72"/>
        <v>1998</v>
      </c>
      <c r="T615" s="8">
        <v>1998</v>
      </c>
      <c r="U615" s="8">
        <f t="shared" si="73"/>
        <v>24</v>
      </c>
      <c r="V615" s="7">
        <v>36069</v>
      </c>
      <c r="W615" t="s">
        <v>1666</v>
      </c>
      <c r="X615" s="2">
        <v>2.9860000000000002</v>
      </c>
      <c r="Y615" s="6">
        <f t="shared" si="74"/>
        <v>7.9709564613865094E-2</v>
      </c>
      <c r="AA615">
        <v>7338716</v>
      </c>
      <c r="AB615">
        <v>18902</v>
      </c>
      <c r="AD615" t="s">
        <v>2</v>
      </c>
      <c r="AE615">
        <v>16</v>
      </c>
      <c r="AF615">
        <v>8</v>
      </c>
      <c r="AH615" t="s">
        <v>2853</v>
      </c>
      <c r="AI615" t="s">
        <v>2852</v>
      </c>
      <c r="AJ615" t="s">
        <v>2851</v>
      </c>
      <c r="AK615" t="s">
        <v>2850</v>
      </c>
      <c r="AL615">
        <v>54</v>
      </c>
      <c r="AM615" s="5">
        <f t="shared" si="75"/>
        <v>2.25</v>
      </c>
      <c r="AN615" s="4">
        <f t="shared" si="76"/>
        <v>3.4078000757288905E-3</v>
      </c>
      <c r="AO615" s="3"/>
      <c r="AP615">
        <v>0</v>
      </c>
      <c r="AR615" t="s">
        <v>1</v>
      </c>
      <c r="AT615" s="2" t="s">
        <v>0</v>
      </c>
      <c r="AU615" s="1">
        <f t="shared" si="77"/>
        <v>5.6819035252424221</v>
      </c>
      <c r="AV615" s="1">
        <f t="shared" si="78"/>
        <v>4.1558682344796987</v>
      </c>
      <c r="AW615" s="1">
        <f t="shared" si="79"/>
        <v>2.6298329437169752</v>
      </c>
    </row>
    <row r="616" spans="1:49" x14ac:dyDescent="0.2">
      <c r="A616">
        <v>614</v>
      </c>
      <c r="B616" t="s">
        <v>2849</v>
      </c>
      <c r="C616" t="s">
        <v>2848</v>
      </c>
      <c r="D616" t="s">
        <v>2847</v>
      </c>
      <c r="F616" t="s">
        <v>2846</v>
      </c>
      <c r="G616" t="s">
        <v>5</v>
      </c>
      <c r="H616" t="s">
        <v>4</v>
      </c>
      <c r="I616" t="s">
        <v>2845</v>
      </c>
      <c r="J616" t="s">
        <v>2844</v>
      </c>
      <c r="K616" t="s">
        <v>2843</v>
      </c>
      <c r="L616" t="s">
        <v>2842</v>
      </c>
      <c r="M616" t="s">
        <v>2841</v>
      </c>
      <c r="N616">
        <v>1</v>
      </c>
      <c r="O616" t="s">
        <v>2840</v>
      </c>
      <c r="P616">
        <v>6602796546</v>
      </c>
      <c r="Q616" t="s">
        <v>2839</v>
      </c>
      <c r="R616" s="7">
        <v>36069</v>
      </c>
      <c r="S616" s="8">
        <f t="shared" si="72"/>
        <v>1998</v>
      </c>
      <c r="T616" s="8">
        <v>1998</v>
      </c>
      <c r="U616" s="8">
        <f t="shared" si="73"/>
        <v>24</v>
      </c>
      <c r="V616" s="7">
        <v>36069</v>
      </c>
      <c r="W616" t="s">
        <v>1666</v>
      </c>
      <c r="X616" s="2">
        <v>2.9860000000000002</v>
      </c>
      <c r="Y616" s="6">
        <f t="shared" si="74"/>
        <v>7.9709564613865094E-2</v>
      </c>
      <c r="AA616">
        <v>7338716</v>
      </c>
      <c r="AB616">
        <v>18902</v>
      </c>
      <c r="AD616" t="s">
        <v>2</v>
      </c>
      <c r="AE616">
        <v>16</v>
      </c>
      <c r="AF616">
        <v>8</v>
      </c>
      <c r="AH616" t="s">
        <v>2838</v>
      </c>
      <c r="AI616" t="s">
        <v>2837</v>
      </c>
      <c r="AJ616" t="s">
        <v>2836</v>
      </c>
      <c r="AK616" t="s">
        <v>2835</v>
      </c>
      <c r="AL616">
        <v>10812</v>
      </c>
      <c r="AM616" s="5">
        <f t="shared" si="75"/>
        <v>450.5</v>
      </c>
      <c r="AN616" s="4">
        <f t="shared" si="76"/>
        <v>0.6823173040514956</v>
      </c>
      <c r="AO616" s="3"/>
      <c r="AP616">
        <v>0</v>
      </c>
      <c r="AR616" t="s">
        <v>1</v>
      </c>
      <c r="AT616" s="2" t="s">
        <v>0</v>
      </c>
      <c r="AU616" s="1">
        <f t="shared" si="77"/>
        <v>26.049188644515425</v>
      </c>
      <c r="AV616" s="1">
        <f t="shared" si="78"/>
        <v>38.101343433268035</v>
      </c>
      <c r="AW616" s="1">
        <f t="shared" si="79"/>
        <v>50.153498222020644</v>
      </c>
    </row>
    <row r="617" spans="1:49" x14ac:dyDescent="0.2">
      <c r="A617">
        <v>615</v>
      </c>
      <c r="B617" t="s">
        <v>2834</v>
      </c>
      <c r="C617" t="s">
        <v>2833</v>
      </c>
      <c r="D617" t="s">
        <v>2832</v>
      </c>
      <c r="F617" t="s">
        <v>2831</v>
      </c>
      <c r="G617" t="s">
        <v>5</v>
      </c>
      <c r="H617" t="s">
        <v>4</v>
      </c>
      <c r="I617" t="s">
        <v>683</v>
      </c>
      <c r="J617">
        <v>60011754</v>
      </c>
      <c r="K617" t="s">
        <v>302</v>
      </c>
      <c r="L617" t="s">
        <v>301</v>
      </c>
      <c r="M617" t="s">
        <v>9</v>
      </c>
      <c r="N617">
        <v>2</v>
      </c>
      <c r="O617" t="s">
        <v>2830</v>
      </c>
      <c r="P617" t="s">
        <v>2829</v>
      </c>
      <c r="Q617" t="s">
        <v>2828</v>
      </c>
      <c r="R617" s="7">
        <v>36069</v>
      </c>
      <c r="S617" s="8">
        <f t="shared" si="72"/>
        <v>1998</v>
      </c>
      <c r="T617" s="8">
        <v>1998</v>
      </c>
      <c r="U617" s="8">
        <f t="shared" si="73"/>
        <v>24</v>
      </c>
      <c r="V617" s="7">
        <v>36069</v>
      </c>
      <c r="W617" t="s">
        <v>1666</v>
      </c>
      <c r="X617" s="2">
        <v>2.9860000000000002</v>
      </c>
      <c r="Y617" s="6">
        <f t="shared" si="74"/>
        <v>7.9709564613865094E-2</v>
      </c>
      <c r="AA617">
        <v>7338716</v>
      </c>
      <c r="AB617">
        <v>18902</v>
      </c>
      <c r="AD617" t="s">
        <v>2</v>
      </c>
      <c r="AE617">
        <v>16</v>
      </c>
      <c r="AF617">
        <v>8</v>
      </c>
      <c r="AH617" t="s">
        <v>2827</v>
      </c>
      <c r="AI617" t="s">
        <v>2826</v>
      </c>
      <c r="AJ617" t="s">
        <v>2825</v>
      </c>
      <c r="AK617" t="s">
        <v>2824</v>
      </c>
      <c r="AL617">
        <v>51</v>
      </c>
      <c r="AM617" s="5">
        <f t="shared" si="75"/>
        <v>2.125</v>
      </c>
      <c r="AN617" s="4">
        <f t="shared" si="76"/>
        <v>3.2184778492995079E-3</v>
      </c>
      <c r="AO617" s="3"/>
      <c r="AP617">
        <v>0</v>
      </c>
      <c r="AR617" t="s">
        <v>1</v>
      </c>
      <c r="AT617" s="2" t="s">
        <v>0</v>
      </c>
      <c r="AU617" s="1">
        <f t="shared" si="77"/>
        <v>5.676223858449541</v>
      </c>
      <c r="AV617" s="1">
        <f t="shared" si="78"/>
        <v>4.1464021231582295</v>
      </c>
      <c r="AW617" s="1">
        <f t="shared" si="79"/>
        <v>2.616580387866918</v>
      </c>
    </row>
    <row r="618" spans="1:49" x14ac:dyDescent="0.2">
      <c r="A618">
        <v>616</v>
      </c>
      <c r="B618" t="s">
        <v>2823</v>
      </c>
      <c r="C618" t="s">
        <v>2822</v>
      </c>
      <c r="D618" t="s">
        <v>2821</v>
      </c>
      <c r="F618" t="s">
        <v>2820</v>
      </c>
      <c r="G618" t="s">
        <v>5</v>
      </c>
      <c r="H618" t="s">
        <v>4</v>
      </c>
      <c r="I618" t="s">
        <v>2819</v>
      </c>
      <c r="J618" t="s">
        <v>2818</v>
      </c>
      <c r="K618" t="s">
        <v>2817</v>
      </c>
      <c r="L618" t="s">
        <v>2816</v>
      </c>
      <c r="M618" t="s">
        <v>2815</v>
      </c>
      <c r="N618">
        <v>3</v>
      </c>
      <c r="O618" t="s">
        <v>2814</v>
      </c>
      <c r="P618" t="s">
        <v>2813</v>
      </c>
      <c r="Q618" t="s">
        <v>2812</v>
      </c>
      <c r="R618" s="7">
        <v>36069</v>
      </c>
      <c r="S618" s="8">
        <f t="shared" si="72"/>
        <v>1998</v>
      </c>
      <c r="T618" s="8">
        <v>1998</v>
      </c>
      <c r="U618" s="8">
        <f t="shared" si="73"/>
        <v>24</v>
      </c>
      <c r="V618" s="7">
        <v>36069</v>
      </c>
      <c r="W618" t="s">
        <v>2811</v>
      </c>
      <c r="X618" s="2">
        <v>0.752</v>
      </c>
      <c r="Y618" s="6">
        <f t="shared" si="74"/>
        <v>2.0074210512266089E-2</v>
      </c>
      <c r="AA618">
        <v>3649059</v>
      </c>
      <c r="AB618">
        <v>17277</v>
      </c>
      <c r="AD618" t="s">
        <v>2</v>
      </c>
      <c r="AE618">
        <v>23</v>
      </c>
      <c r="AF618">
        <v>4</v>
      </c>
      <c r="AH618" t="s">
        <v>2810</v>
      </c>
      <c r="AI618" t="s">
        <v>2809</v>
      </c>
      <c r="AJ618" t="s">
        <v>2808</v>
      </c>
      <c r="AK618" t="s">
        <v>2807</v>
      </c>
      <c r="AL618">
        <v>31</v>
      </c>
      <c r="AM618" s="5">
        <f t="shared" si="75"/>
        <v>1.2916666666666667</v>
      </c>
      <c r="AN618" s="4">
        <f t="shared" si="76"/>
        <v>1.9563296731036225E-3</v>
      </c>
      <c r="AO618" s="3"/>
      <c r="AP618">
        <v>0</v>
      </c>
      <c r="AR618" t="s">
        <v>1</v>
      </c>
      <c r="AT618" s="2">
        <v>3.5539999999999998</v>
      </c>
      <c r="AU618" s="1">
        <f t="shared" si="77"/>
        <v>1.4638846260517349</v>
      </c>
      <c r="AV618" s="1">
        <f t="shared" si="78"/>
        <v>1.1015270092684855</v>
      </c>
      <c r="AW618" s="1">
        <f t="shared" si="79"/>
        <v>0.73916939248523628</v>
      </c>
    </row>
    <row r="619" spans="1:49" x14ac:dyDescent="0.2">
      <c r="A619">
        <v>617</v>
      </c>
      <c r="B619" t="s">
        <v>2806</v>
      </c>
      <c r="C619" t="s">
        <v>2805</v>
      </c>
      <c r="D619" t="s">
        <v>2804</v>
      </c>
      <c r="F619" t="s">
        <v>2803</v>
      </c>
      <c r="G619" t="s">
        <v>5</v>
      </c>
      <c r="H619" t="s">
        <v>4</v>
      </c>
      <c r="I619" t="s">
        <v>2802</v>
      </c>
      <c r="J619" t="s">
        <v>2801</v>
      </c>
      <c r="K619" t="s">
        <v>2800</v>
      </c>
      <c r="L619" t="s">
        <v>2799</v>
      </c>
      <c r="M619" t="s">
        <v>2798</v>
      </c>
      <c r="N619">
        <v>2</v>
      </c>
      <c r="O619" t="s">
        <v>2797</v>
      </c>
      <c r="P619" t="s">
        <v>2796</v>
      </c>
      <c r="Q619" t="s">
        <v>2795</v>
      </c>
      <c r="R619" s="7">
        <v>36069</v>
      </c>
      <c r="S619" s="8">
        <f t="shared" si="72"/>
        <v>1998</v>
      </c>
      <c r="T619" s="8">
        <v>1998</v>
      </c>
      <c r="U619" s="8">
        <f t="shared" si="73"/>
        <v>24</v>
      </c>
      <c r="V619" s="7">
        <v>36069</v>
      </c>
      <c r="W619" t="s">
        <v>1666</v>
      </c>
      <c r="X619" s="2">
        <v>2.9860000000000002</v>
      </c>
      <c r="Y619" s="6">
        <f t="shared" si="74"/>
        <v>7.9709564613865094E-2</v>
      </c>
      <c r="AA619">
        <v>7338716</v>
      </c>
      <c r="AB619">
        <v>18902</v>
      </c>
      <c r="AD619" t="s">
        <v>2</v>
      </c>
      <c r="AE619">
        <v>16</v>
      </c>
      <c r="AF619">
        <v>8</v>
      </c>
      <c r="AH619" t="s">
        <v>2794</v>
      </c>
      <c r="AI619" t="s">
        <v>2793</v>
      </c>
      <c r="AJ619" t="s">
        <v>2792</v>
      </c>
      <c r="AK619" t="s">
        <v>2791</v>
      </c>
      <c r="AL619">
        <v>20</v>
      </c>
      <c r="AM619" s="5">
        <f t="shared" si="75"/>
        <v>0.83333333333333337</v>
      </c>
      <c r="AN619" s="4">
        <f t="shared" si="76"/>
        <v>1.2621481761958854E-3</v>
      </c>
      <c r="AO619" s="3"/>
      <c r="AP619">
        <v>0</v>
      </c>
      <c r="AQ619" t="s">
        <v>17</v>
      </c>
      <c r="AR619" t="s">
        <v>2790</v>
      </c>
      <c r="AS619" t="s">
        <v>16</v>
      </c>
      <c r="AT619" s="2" t="s">
        <v>0</v>
      </c>
      <c r="AU619" s="1">
        <f t="shared" si="77"/>
        <v>5.6175339682564331</v>
      </c>
      <c r="AV619" s="1">
        <f t="shared" si="78"/>
        <v>4.0485856395030488</v>
      </c>
      <c r="AW619" s="1">
        <f t="shared" si="79"/>
        <v>2.4796373107496645</v>
      </c>
    </row>
    <row r="620" spans="1:49" x14ac:dyDescent="0.2">
      <c r="A620">
        <v>618</v>
      </c>
      <c r="B620" t="s">
        <v>2789</v>
      </c>
      <c r="C620" t="s">
        <v>2788</v>
      </c>
      <c r="D620" t="s">
        <v>2787</v>
      </c>
      <c r="F620" t="s">
        <v>2786</v>
      </c>
      <c r="G620" t="s">
        <v>5</v>
      </c>
      <c r="H620" t="s">
        <v>4</v>
      </c>
      <c r="I620" t="s">
        <v>2785</v>
      </c>
      <c r="J620" t="s">
        <v>2784</v>
      </c>
      <c r="K620" t="s">
        <v>2783</v>
      </c>
      <c r="L620" t="s">
        <v>2782</v>
      </c>
      <c r="M620" t="s">
        <v>2781</v>
      </c>
      <c r="N620">
        <v>3</v>
      </c>
      <c r="O620" t="s">
        <v>2780</v>
      </c>
      <c r="P620" t="s">
        <v>2779</v>
      </c>
      <c r="Q620" t="s">
        <v>2778</v>
      </c>
      <c r="R620" s="7">
        <v>36069</v>
      </c>
      <c r="S620" s="8">
        <f t="shared" si="72"/>
        <v>1998</v>
      </c>
      <c r="T620" s="8">
        <v>1998</v>
      </c>
      <c r="U620" s="8">
        <f t="shared" si="73"/>
        <v>24</v>
      </c>
      <c r="V620" s="7">
        <v>36069</v>
      </c>
      <c r="W620" t="s">
        <v>1666</v>
      </c>
      <c r="X620" s="2">
        <v>2.9860000000000002</v>
      </c>
      <c r="Y620" s="6">
        <f t="shared" si="74"/>
        <v>7.9709564613865094E-2</v>
      </c>
      <c r="AA620">
        <v>7338716</v>
      </c>
      <c r="AB620">
        <v>18902</v>
      </c>
      <c r="AD620" t="s">
        <v>2</v>
      </c>
      <c r="AE620">
        <v>16</v>
      </c>
      <c r="AF620">
        <v>8</v>
      </c>
      <c r="AH620" t="s">
        <v>2777</v>
      </c>
      <c r="AI620" t="s">
        <v>2776</v>
      </c>
      <c r="AJ620" t="s">
        <v>2775</v>
      </c>
      <c r="AK620" t="s">
        <v>2774</v>
      </c>
      <c r="AL620">
        <v>677</v>
      </c>
      <c r="AM620" s="5">
        <f t="shared" si="75"/>
        <v>28.208333333333332</v>
      </c>
      <c r="AN620" s="4">
        <f t="shared" si="76"/>
        <v>4.2723715764230716E-2</v>
      </c>
      <c r="AO620" s="3"/>
      <c r="AP620">
        <v>0</v>
      </c>
      <c r="AQ620" t="s">
        <v>17</v>
      </c>
      <c r="AR620" t="s">
        <v>2773</v>
      </c>
      <c r="AS620" t="s">
        <v>16</v>
      </c>
      <c r="AT620" s="2" t="s">
        <v>0</v>
      </c>
      <c r="AU620" s="1">
        <f t="shared" si="77"/>
        <v>6.861380995897477</v>
      </c>
      <c r="AV620" s="1">
        <f t="shared" si="78"/>
        <v>6.1216640189047906</v>
      </c>
      <c r="AW620" s="1">
        <f t="shared" si="79"/>
        <v>5.3819470419121025</v>
      </c>
    </row>
    <row r="621" spans="1:49" x14ac:dyDescent="0.2">
      <c r="A621">
        <v>619</v>
      </c>
      <c r="B621" t="s">
        <v>2772</v>
      </c>
      <c r="F621" t="s">
        <v>2771</v>
      </c>
      <c r="G621" t="s">
        <v>5</v>
      </c>
      <c r="H621" t="s">
        <v>4</v>
      </c>
      <c r="I621" t="s">
        <v>2770</v>
      </c>
      <c r="N621">
        <v>3</v>
      </c>
      <c r="O621" t="s">
        <v>2769</v>
      </c>
      <c r="P621" t="s">
        <v>2768</v>
      </c>
      <c r="Q621" t="s">
        <v>99</v>
      </c>
      <c r="R621" s="7">
        <v>36069</v>
      </c>
      <c r="S621" s="8">
        <f t="shared" si="72"/>
        <v>1998</v>
      </c>
      <c r="T621" s="8">
        <v>1998</v>
      </c>
      <c r="U621" s="8">
        <f t="shared" si="73"/>
        <v>24</v>
      </c>
      <c r="V621" s="7">
        <v>36069</v>
      </c>
      <c r="W621" t="s">
        <v>2767</v>
      </c>
      <c r="X621" s="2" t="s">
        <v>0</v>
      </c>
      <c r="Y621" s="6" t="e">
        <f t="shared" si="74"/>
        <v>#VALUE!</v>
      </c>
      <c r="AA621">
        <v>1492136</v>
      </c>
      <c r="AB621">
        <v>17020</v>
      </c>
      <c r="AD621" t="s">
        <v>2</v>
      </c>
      <c r="AE621">
        <v>50</v>
      </c>
      <c r="AF621">
        <v>10</v>
      </c>
      <c r="AH621" t="s">
        <v>2766</v>
      </c>
      <c r="AI621" t="s">
        <v>2765</v>
      </c>
      <c r="AK621" t="s">
        <v>2764</v>
      </c>
      <c r="AL621">
        <v>2</v>
      </c>
      <c r="AM621" s="5">
        <f t="shared" si="75"/>
        <v>8.3333333333333329E-2</v>
      </c>
      <c r="AN621" s="4">
        <f t="shared" si="76"/>
        <v>1.2621481761958852E-4</v>
      </c>
      <c r="AO621" s="3"/>
      <c r="AP621">
        <v>0</v>
      </c>
      <c r="AR621" t="s">
        <v>1</v>
      </c>
      <c r="AT621" s="2" t="s">
        <v>0</v>
      </c>
      <c r="AU621" s="1" t="e">
        <f t="shared" si="77"/>
        <v>#VALUE!</v>
      </c>
      <c r="AV621" s="1" t="e">
        <f t="shared" si="78"/>
        <v>#VALUE!</v>
      </c>
      <c r="AW621" s="1" t="e">
        <f t="shared" si="79"/>
        <v>#VALUE!</v>
      </c>
    </row>
    <row r="622" spans="1:49" x14ac:dyDescent="0.2">
      <c r="A622">
        <v>620</v>
      </c>
      <c r="B622" t="s">
        <v>2763</v>
      </c>
      <c r="C622" t="s">
        <v>2762</v>
      </c>
      <c r="D622" t="s">
        <v>2761</v>
      </c>
      <c r="F622" t="s">
        <v>2760</v>
      </c>
      <c r="G622" t="s">
        <v>5</v>
      </c>
      <c r="H622" t="s">
        <v>4</v>
      </c>
      <c r="I622" t="s">
        <v>2759</v>
      </c>
      <c r="J622">
        <v>60012132</v>
      </c>
      <c r="K622" t="s">
        <v>2758</v>
      </c>
      <c r="L622" t="s">
        <v>41</v>
      </c>
      <c r="M622" t="s">
        <v>9</v>
      </c>
      <c r="N622">
        <v>1</v>
      </c>
      <c r="O622" t="s">
        <v>2757</v>
      </c>
      <c r="P622">
        <v>56203754900</v>
      </c>
      <c r="Q622">
        <v>60012132</v>
      </c>
      <c r="R622" s="7">
        <v>36069</v>
      </c>
      <c r="S622" s="8">
        <f t="shared" si="72"/>
        <v>1998</v>
      </c>
      <c r="T622" s="8">
        <v>1998</v>
      </c>
      <c r="U622" s="8">
        <f t="shared" si="73"/>
        <v>24</v>
      </c>
      <c r="V622" s="7">
        <v>36069</v>
      </c>
      <c r="W622" t="s">
        <v>1666</v>
      </c>
      <c r="X622" s="2">
        <v>2.9860000000000002</v>
      </c>
      <c r="Y622" s="6">
        <f t="shared" si="74"/>
        <v>7.9709564613865094E-2</v>
      </c>
      <c r="AA622">
        <v>7338716</v>
      </c>
      <c r="AB622">
        <v>18902</v>
      </c>
      <c r="AD622" t="s">
        <v>2</v>
      </c>
      <c r="AE622">
        <v>16</v>
      </c>
      <c r="AF622">
        <v>8</v>
      </c>
      <c r="AH622" t="s">
        <v>2756</v>
      </c>
      <c r="AI622" t="s">
        <v>2755</v>
      </c>
      <c r="AJ622" t="s">
        <v>2754</v>
      </c>
      <c r="AK622" t="s">
        <v>2753</v>
      </c>
      <c r="AL622">
        <v>6</v>
      </c>
      <c r="AM622" s="5">
        <f t="shared" si="75"/>
        <v>0.25</v>
      </c>
      <c r="AN622" s="4">
        <f t="shared" si="76"/>
        <v>3.786444528587656E-4</v>
      </c>
      <c r="AO622" s="3"/>
      <c r="AP622">
        <v>0</v>
      </c>
      <c r="AR622" t="s">
        <v>1</v>
      </c>
      <c r="AT622" s="2" t="s">
        <v>0</v>
      </c>
      <c r="AU622" s="1">
        <f t="shared" si="77"/>
        <v>5.5910288565563189</v>
      </c>
      <c r="AV622" s="1">
        <f t="shared" si="78"/>
        <v>4.0044104533361926</v>
      </c>
      <c r="AW622" s="1">
        <f t="shared" si="79"/>
        <v>2.4177920501160663</v>
      </c>
    </row>
    <row r="623" spans="1:49" x14ac:dyDescent="0.2">
      <c r="A623">
        <v>621</v>
      </c>
      <c r="B623" t="s">
        <v>2752</v>
      </c>
      <c r="C623" t="s">
        <v>2751</v>
      </c>
      <c r="D623" t="s">
        <v>2750</v>
      </c>
      <c r="F623" t="s">
        <v>2749</v>
      </c>
      <c r="G623" t="s">
        <v>5</v>
      </c>
      <c r="H623" t="s">
        <v>4</v>
      </c>
      <c r="I623" t="s">
        <v>2748</v>
      </c>
      <c r="J623" t="s">
        <v>2747</v>
      </c>
      <c r="K623" t="s">
        <v>2746</v>
      </c>
      <c r="L623" t="s">
        <v>2745</v>
      </c>
      <c r="M623" t="s">
        <v>2744</v>
      </c>
      <c r="N623">
        <v>4</v>
      </c>
      <c r="O623" t="s">
        <v>2743</v>
      </c>
      <c r="P623" t="s">
        <v>2742</v>
      </c>
      <c r="Q623" t="s">
        <v>2741</v>
      </c>
      <c r="R623" s="7">
        <v>36069</v>
      </c>
      <c r="S623" s="8">
        <f t="shared" si="72"/>
        <v>1998</v>
      </c>
      <c r="T623" s="8">
        <v>1998</v>
      </c>
      <c r="U623" s="8">
        <f t="shared" si="73"/>
        <v>24</v>
      </c>
      <c r="V623" s="7">
        <v>36069</v>
      </c>
      <c r="W623" t="s">
        <v>1666</v>
      </c>
      <c r="X623" s="2">
        <v>2.9860000000000002</v>
      </c>
      <c r="Y623" s="6">
        <f t="shared" si="74"/>
        <v>7.9709564613865094E-2</v>
      </c>
      <c r="AA623">
        <v>7338716</v>
      </c>
      <c r="AB623">
        <v>18902</v>
      </c>
      <c r="AD623" t="s">
        <v>2</v>
      </c>
      <c r="AE623">
        <v>16</v>
      </c>
      <c r="AF623">
        <v>8</v>
      </c>
      <c r="AH623" t="s">
        <v>2740</v>
      </c>
      <c r="AI623" t="s">
        <v>2739</v>
      </c>
      <c r="AJ623" t="s">
        <v>2738</v>
      </c>
      <c r="AK623" t="s">
        <v>2737</v>
      </c>
      <c r="AL623">
        <v>623</v>
      </c>
      <c r="AM623" s="5">
        <f t="shared" si="75"/>
        <v>25.958333333333332</v>
      </c>
      <c r="AN623" s="4">
        <f t="shared" si="76"/>
        <v>3.9315915688501825E-2</v>
      </c>
      <c r="AO623" s="3"/>
      <c r="AP623">
        <v>0</v>
      </c>
      <c r="AQ623" t="s">
        <v>17</v>
      </c>
      <c r="AR623" t="s">
        <v>2736</v>
      </c>
      <c r="AS623" t="s">
        <v>16</v>
      </c>
      <c r="AT623" s="2" t="s">
        <v>0</v>
      </c>
      <c r="AU623" s="1">
        <f t="shared" si="77"/>
        <v>6.7591469936256106</v>
      </c>
      <c r="AV623" s="1">
        <f t="shared" si="78"/>
        <v>5.9512740151183463</v>
      </c>
      <c r="AW623" s="1">
        <f t="shared" si="79"/>
        <v>5.1434010366110803</v>
      </c>
    </row>
    <row r="624" spans="1:49" x14ac:dyDescent="0.2">
      <c r="A624">
        <v>622</v>
      </c>
      <c r="B624" t="s">
        <v>2735</v>
      </c>
      <c r="C624" t="s">
        <v>2734</v>
      </c>
      <c r="F624" t="s">
        <v>2733</v>
      </c>
      <c r="G624" t="s">
        <v>5</v>
      </c>
      <c r="H624" t="s">
        <v>4</v>
      </c>
      <c r="I624" t="s">
        <v>2732</v>
      </c>
      <c r="N624">
        <v>1</v>
      </c>
      <c r="O624" t="s">
        <v>2731</v>
      </c>
      <c r="P624">
        <v>7202734410</v>
      </c>
      <c r="R624" s="7">
        <v>36069</v>
      </c>
      <c r="S624" s="8">
        <f t="shared" si="72"/>
        <v>1998</v>
      </c>
      <c r="T624" s="8">
        <v>1998</v>
      </c>
      <c r="U624" s="8">
        <f t="shared" si="73"/>
        <v>24</v>
      </c>
      <c r="V624" s="7">
        <v>36069</v>
      </c>
      <c r="W624" t="s">
        <v>2730</v>
      </c>
      <c r="X624" s="2">
        <v>0.22500000000000001</v>
      </c>
      <c r="Y624" s="6">
        <f t="shared" si="74"/>
        <v>6.0062464963562111E-3</v>
      </c>
      <c r="AA624">
        <v>189235</v>
      </c>
      <c r="AB624">
        <v>17318</v>
      </c>
      <c r="AD624" t="s">
        <v>2</v>
      </c>
      <c r="AE624">
        <v>35</v>
      </c>
      <c r="AF624">
        <v>10</v>
      </c>
      <c r="AH624" t="s">
        <v>603</v>
      </c>
      <c r="AI624" t="s">
        <v>2729</v>
      </c>
      <c r="AK624" t="s">
        <v>2728</v>
      </c>
      <c r="AL624">
        <v>8</v>
      </c>
      <c r="AM624" s="5">
        <f t="shared" si="75"/>
        <v>0.33333333333333331</v>
      </c>
      <c r="AN624" s="4">
        <f t="shared" si="76"/>
        <v>5.048592704783541E-4</v>
      </c>
      <c r="AO624" s="3"/>
      <c r="AP624">
        <v>0</v>
      </c>
      <c r="AR624" t="s">
        <v>1</v>
      </c>
      <c r="AT624" s="2">
        <v>2.875</v>
      </c>
      <c r="AU624" s="1">
        <f t="shared" si="77"/>
        <v>0.4355830328592854</v>
      </c>
      <c r="AV624" s="1">
        <f t="shared" si="78"/>
        <v>0.32555528834172826</v>
      </c>
      <c r="AW624" s="1">
        <f t="shared" si="79"/>
        <v>0.21552754382417111</v>
      </c>
    </row>
    <row r="625" spans="1:49" x14ac:dyDescent="0.2">
      <c r="A625">
        <v>623</v>
      </c>
      <c r="B625" t="s">
        <v>2727</v>
      </c>
      <c r="C625" t="s">
        <v>2726</v>
      </c>
      <c r="F625" t="s">
        <v>2725</v>
      </c>
      <c r="G625" t="s">
        <v>5</v>
      </c>
      <c r="H625" t="s">
        <v>4</v>
      </c>
      <c r="I625" t="s">
        <v>2724</v>
      </c>
      <c r="J625">
        <v>60003500</v>
      </c>
      <c r="K625" t="s">
        <v>1656</v>
      </c>
      <c r="L625" t="s">
        <v>1655</v>
      </c>
      <c r="M625" t="s">
        <v>9</v>
      </c>
      <c r="N625">
        <v>2</v>
      </c>
      <c r="O625" t="s">
        <v>2723</v>
      </c>
      <c r="P625" t="s">
        <v>2722</v>
      </c>
      <c r="Q625" t="s">
        <v>1652</v>
      </c>
      <c r="R625" s="7">
        <v>36069</v>
      </c>
      <c r="S625" s="8">
        <f t="shared" si="72"/>
        <v>1998</v>
      </c>
      <c r="T625" s="8">
        <v>1998</v>
      </c>
      <c r="U625" s="8">
        <f t="shared" si="73"/>
        <v>24</v>
      </c>
      <c r="V625" s="7">
        <v>36069</v>
      </c>
      <c r="W625" s="11" t="s">
        <v>252</v>
      </c>
      <c r="X625" s="2">
        <v>2.383</v>
      </c>
      <c r="Y625" s="6">
        <f t="shared" si="74"/>
        <v>6.3612824003630442E-2</v>
      </c>
      <c r="AA625">
        <v>13502395</v>
      </c>
      <c r="AB625">
        <v>17418</v>
      </c>
      <c r="AD625" t="s">
        <v>2</v>
      </c>
      <c r="AE625">
        <v>145</v>
      </c>
      <c r="AF625">
        <v>5</v>
      </c>
      <c r="AH625" t="s">
        <v>2721</v>
      </c>
      <c r="AI625" t="s">
        <v>2720</v>
      </c>
      <c r="AK625" t="s">
        <v>2719</v>
      </c>
      <c r="AL625">
        <v>10</v>
      </c>
      <c r="AM625" s="5">
        <f t="shared" si="75"/>
        <v>0.41666666666666669</v>
      </c>
      <c r="AN625" s="4">
        <f t="shared" si="76"/>
        <v>6.310740880979427E-4</v>
      </c>
      <c r="AO625" s="3"/>
      <c r="AP625">
        <v>0</v>
      </c>
      <c r="AR625" t="s">
        <v>1</v>
      </c>
      <c r="AT625" s="2" t="s">
        <v>0</v>
      </c>
      <c r="AU625" s="1">
        <f t="shared" si="77"/>
        <v>4.4718299028970687</v>
      </c>
      <c r="AV625" s="1">
        <f t="shared" si="78"/>
        <v>3.2121949045864193</v>
      </c>
      <c r="AW625" s="1">
        <f t="shared" si="79"/>
        <v>1.9525599062757693</v>
      </c>
    </row>
    <row r="626" spans="1:49" x14ac:dyDescent="0.2">
      <c r="A626">
        <v>624</v>
      </c>
      <c r="B626" t="s">
        <v>2718</v>
      </c>
      <c r="C626" t="s">
        <v>2717</v>
      </c>
      <c r="D626" t="s">
        <v>2716</v>
      </c>
      <c r="F626" t="s">
        <v>2715</v>
      </c>
      <c r="G626" t="s">
        <v>5</v>
      </c>
      <c r="H626" t="s">
        <v>4</v>
      </c>
      <c r="I626" t="s">
        <v>176</v>
      </c>
      <c r="J626">
        <v>60024590</v>
      </c>
      <c r="K626" t="s">
        <v>2706</v>
      </c>
      <c r="L626" t="s">
        <v>2714</v>
      </c>
      <c r="M626" t="s">
        <v>9</v>
      </c>
      <c r="N626">
        <v>2</v>
      </c>
      <c r="O626" t="s">
        <v>2713</v>
      </c>
      <c r="P626" t="s">
        <v>2712</v>
      </c>
      <c r="Q626" t="s">
        <v>2711</v>
      </c>
      <c r="R626" s="7">
        <v>36069</v>
      </c>
      <c r="S626" s="8">
        <f t="shared" si="72"/>
        <v>1998</v>
      </c>
      <c r="T626" s="8">
        <v>1998</v>
      </c>
      <c r="U626" s="8">
        <f t="shared" si="73"/>
        <v>24</v>
      </c>
      <c r="V626" s="7">
        <v>36069</v>
      </c>
      <c r="W626" t="s">
        <v>1666</v>
      </c>
      <c r="X626" s="2">
        <v>2.9860000000000002</v>
      </c>
      <c r="Y626" s="6">
        <f t="shared" si="74"/>
        <v>7.9709564613865094E-2</v>
      </c>
      <c r="AA626">
        <v>7338716</v>
      </c>
      <c r="AB626">
        <v>18902</v>
      </c>
      <c r="AD626" t="s">
        <v>2</v>
      </c>
      <c r="AE626">
        <v>16</v>
      </c>
      <c r="AF626">
        <v>8</v>
      </c>
      <c r="AH626" t="s">
        <v>2710</v>
      </c>
      <c r="AI626" t="s">
        <v>2709</v>
      </c>
      <c r="AJ626" t="s">
        <v>2708</v>
      </c>
      <c r="AK626" t="s">
        <v>2707</v>
      </c>
      <c r="AL626">
        <v>10</v>
      </c>
      <c r="AM626" s="5">
        <f t="shared" si="75"/>
        <v>0.41666666666666669</v>
      </c>
      <c r="AN626" s="4">
        <f t="shared" si="76"/>
        <v>6.310740880979427E-4</v>
      </c>
      <c r="AO626" s="3"/>
      <c r="AP626">
        <v>0</v>
      </c>
      <c r="AR626" t="s">
        <v>1</v>
      </c>
      <c r="AS626" t="s">
        <v>2706</v>
      </c>
      <c r="AT626" s="2" t="s">
        <v>0</v>
      </c>
      <c r="AU626" s="1">
        <f t="shared" si="77"/>
        <v>5.598601745613494</v>
      </c>
      <c r="AV626" s="1">
        <f t="shared" si="78"/>
        <v>4.017031935098152</v>
      </c>
      <c r="AW626" s="1">
        <f t="shared" si="79"/>
        <v>2.4354621245828088</v>
      </c>
    </row>
    <row r="627" spans="1:49" x14ac:dyDescent="0.2">
      <c r="A627">
        <v>625</v>
      </c>
      <c r="B627" t="s">
        <v>2705</v>
      </c>
      <c r="C627" t="s">
        <v>2704</v>
      </c>
      <c r="D627" t="s">
        <v>2703</v>
      </c>
      <c r="F627" t="s">
        <v>2702</v>
      </c>
      <c r="G627" t="s">
        <v>5</v>
      </c>
      <c r="H627" t="s">
        <v>4</v>
      </c>
      <c r="I627" t="s">
        <v>2701</v>
      </c>
      <c r="J627">
        <v>60004661</v>
      </c>
      <c r="K627" t="s">
        <v>2700</v>
      </c>
      <c r="L627" t="s">
        <v>2195</v>
      </c>
      <c r="M627" t="s">
        <v>215</v>
      </c>
      <c r="N627">
        <v>2</v>
      </c>
      <c r="O627" t="s">
        <v>2699</v>
      </c>
      <c r="P627" t="s">
        <v>2698</v>
      </c>
      <c r="Q627" t="s">
        <v>2697</v>
      </c>
      <c r="R627" s="7">
        <v>36069</v>
      </c>
      <c r="S627" s="8">
        <f t="shared" si="72"/>
        <v>1998</v>
      </c>
      <c r="T627" s="8">
        <v>1998</v>
      </c>
      <c r="U627" s="8">
        <f t="shared" si="73"/>
        <v>24</v>
      </c>
      <c r="V627" s="7">
        <v>36069</v>
      </c>
      <c r="W627" t="s">
        <v>1666</v>
      </c>
      <c r="X627" s="2">
        <v>2.9860000000000002</v>
      </c>
      <c r="Y627" s="6">
        <f t="shared" si="74"/>
        <v>7.9709564613865094E-2</v>
      </c>
      <c r="AA627">
        <v>7338716</v>
      </c>
      <c r="AB627">
        <v>18902</v>
      </c>
      <c r="AD627" t="s">
        <v>2</v>
      </c>
      <c r="AE627">
        <v>16</v>
      </c>
      <c r="AF627">
        <v>8</v>
      </c>
      <c r="AH627" t="s">
        <v>2696</v>
      </c>
      <c r="AI627" t="s">
        <v>2695</v>
      </c>
      <c r="AJ627" t="s">
        <v>2694</v>
      </c>
      <c r="AK627" t="s">
        <v>2693</v>
      </c>
      <c r="AL627">
        <v>16</v>
      </c>
      <c r="AM627" s="5">
        <f t="shared" si="75"/>
        <v>0.66666666666666663</v>
      </c>
      <c r="AN627" s="4">
        <f t="shared" si="76"/>
        <v>1.0097185409567082E-3</v>
      </c>
      <c r="AO627" s="3"/>
      <c r="AP627">
        <v>0</v>
      </c>
      <c r="AR627" t="s">
        <v>1</v>
      </c>
      <c r="AT627" s="2" t="s">
        <v>0</v>
      </c>
      <c r="AU627" s="1">
        <f t="shared" si="77"/>
        <v>5.6099610791992571</v>
      </c>
      <c r="AV627" s="1">
        <f t="shared" si="78"/>
        <v>4.0359641577410894</v>
      </c>
      <c r="AW627" s="1">
        <f t="shared" si="79"/>
        <v>2.4619672362829226</v>
      </c>
    </row>
    <row r="628" spans="1:49" x14ac:dyDescent="0.2">
      <c r="A628">
        <v>626</v>
      </c>
      <c r="B628" t="s">
        <v>2692</v>
      </c>
      <c r="C628" t="s">
        <v>2691</v>
      </c>
      <c r="D628" t="s">
        <v>2690</v>
      </c>
      <c r="F628" t="s">
        <v>2689</v>
      </c>
      <c r="G628" t="s">
        <v>5</v>
      </c>
      <c r="H628" t="s">
        <v>4</v>
      </c>
      <c r="I628" t="s">
        <v>2688</v>
      </c>
      <c r="J628" t="s">
        <v>2687</v>
      </c>
      <c r="K628" t="s">
        <v>2686</v>
      </c>
      <c r="L628" t="s">
        <v>2685</v>
      </c>
      <c r="M628" t="s">
        <v>2684</v>
      </c>
      <c r="N628">
        <v>5</v>
      </c>
      <c r="O628" t="s">
        <v>2683</v>
      </c>
      <c r="P628" t="s">
        <v>2682</v>
      </c>
      <c r="Q628" t="s">
        <v>2681</v>
      </c>
      <c r="R628" s="7">
        <v>36069</v>
      </c>
      <c r="S628" s="8">
        <f t="shared" si="72"/>
        <v>1998</v>
      </c>
      <c r="T628" s="8">
        <v>1998</v>
      </c>
      <c r="U628" s="8">
        <f t="shared" si="73"/>
        <v>24</v>
      </c>
      <c r="V628" s="7">
        <v>36069</v>
      </c>
      <c r="W628" t="s">
        <v>1666</v>
      </c>
      <c r="X628" s="2">
        <v>2.9860000000000002</v>
      </c>
      <c r="Y628" s="6">
        <f t="shared" si="74"/>
        <v>7.9709564613865094E-2</v>
      </c>
      <c r="AA628">
        <v>7338716</v>
      </c>
      <c r="AB628">
        <v>18902</v>
      </c>
      <c r="AD628" t="s">
        <v>2</v>
      </c>
      <c r="AE628">
        <v>16</v>
      </c>
      <c r="AF628">
        <v>8</v>
      </c>
      <c r="AH628" t="s">
        <v>2680</v>
      </c>
      <c r="AI628" t="s">
        <v>2679</v>
      </c>
      <c r="AJ628" t="s">
        <v>2678</v>
      </c>
      <c r="AK628" t="s">
        <v>2677</v>
      </c>
      <c r="AL628">
        <v>198</v>
      </c>
      <c r="AM628" s="5">
        <f t="shared" si="75"/>
        <v>8.25</v>
      </c>
      <c r="AN628" s="4">
        <f t="shared" si="76"/>
        <v>1.2495266944339266E-2</v>
      </c>
      <c r="AO628" s="3"/>
      <c r="AP628">
        <v>0</v>
      </c>
      <c r="AQ628" t="s">
        <v>350</v>
      </c>
      <c r="AR628" t="s">
        <v>2676</v>
      </c>
      <c r="AS628" t="s">
        <v>349</v>
      </c>
      <c r="AT628" s="2" t="s">
        <v>0</v>
      </c>
      <c r="AU628" s="1">
        <f t="shared" si="77"/>
        <v>5.9545275313007338</v>
      </c>
      <c r="AV628" s="1">
        <f t="shared" si="78"/>
        <v>4.6102415779102177</v>
      </c>
      <c r="AW628" s="1">
        <f t="shared" si="79"/>
        <v>3.2659556245197017</v>
      </c>
    </row>
    <row r="629" spans="1:49" x14ac:dyDescent="0.2">
      <c r="A629">
        <v>627</v>
      </c>
      <c r="B629" t="s">
        <v>2675</v>
      </c>
      <c r="C629" t="s">
        <v>2674</v>
      </c>
      <c r="D629" t="s">
        <v>2673</v>
      </c>
      <c r="F629" t="s">
        <v>2672</v>
      </c>
      <c r="G629" t="s">
        <v>5</v>
      </c>
      <c r="H629" t="s">
        <v>4</v>
      </c>
      <c r="I629" t="s">
        <v>2671</v>
      </c>
      <c r="J629" t="s">
        <v>2670</v>
      </c>
      <c r="K629" t="s">
        <v>2669</v>
      </c>
      <c r="L629" t="s">
        <v>2668</v>
      </c>
      <c r="M629" t="s">
        <v>2667</v>
      </c>
      <c r="N629">
        <v>3</v>
      </c>
      <c r="O629" t="s">
        <v>2666</v>
      </c>
      <c r="P629" t="s">
        <v>2665</v>
      </c>
      <c r="Q629" t="s">
        <v>2664</v>
      </c>
      <c r="R629" s="7">
        <v>36069</v>
      </c>
      <c r="S629" s="8">
        <f t="shared" si="72"/>
        <v>1998</v>
      </c>
      <c r="T629" s="8">
        <v>1998</v>
      </c>
      <c r="U629" s="8">
        <f t="shared" si="73"/>
        <v>24</v>
      </c>
      <c r="V629" s="7">
        <v>36069</v>
      </c>
      <c r="W629" t="s">
        <v>1666</v>
      </c>
      <c r="X629" s="2">
        <v>2.9860000000000002</v>
      </c>
      <c r="Y629" s="6">
        <f t="shared" si="74"/>
        <v>7.9709564613865094E-2</v>
      </c>
      <c r="AA629">
        <v>7338716</v>
      </c>
      <c r="AB629">
        <v>18902</v>
      </c>
      <c r="AD629" t="s">
        <v>2</v>
      </c>
      <c r="AE629">
        <v>16</v>
      </c>
      <c r="AF629">
        <v>8</v>
      </c>
      <c r="AH629" t="s">
        <v>2663</v>
      </c>
      <c r="AI629" t="s">
        <v>2662</v>
      </c>
      <c r="AJ629" t="s">
        <v>2661</v>
      </c>
      <c r="AK629" t="s">
        <v>2660</v>
      </c>
      <c r="AL629">
        <v>36</v>
      </c>
      <c r="AM629" s="5">
        <f t="shared" si="75"/>
        <v>1.5</v>
      </c>
      <c r="AN629" s="4">
        <f t="shared" si="76"/>
        <v>2.2718667171525938E-3</v>
      </c>
      <c r="AO629" s="3"/>
      <c r="AP629">
        <v>0</v>
      </c>
      <c r="AQ629" t="s">
        <v>2659</v>
      </c>
      <c r="AR629" t="s">
        <v>1</v>
      </c>
      <c r="AS629" t="s">
        <v>2658</v>
      </c>
      <c r="AT629" s="2" t="s">
        <v>0</v>
      </c>
      <c r="AU629" s="1">
        <f t="shared" si="77"/>
        <v>5.6478255244851336</v>
      </c>
      <c r="AV629" s="1">
        <f t="shared" si="78"/>
        <v>4.0990715665508848</v>
      </c>
      <c r="AW629" s="1">
        <f t="shared" si="79"/>
        <v>2.5503176086166346</v>
      </c>
    </row>
    <row r="630" spans="1:49" x14ac:dyDescent="0.2">
      <c r="A630">
        <v>628</v>
      </c>
      <c r="B630" t="s">
        <v>2657</v>
      </c>
      <c r="F630" t="s">
        <v>2656</v>
      </c>
      <c r="G630" t="s">
        <v>5</v>
      </c>
      <c r="H630" t="s">
        <v>4</v>
      </c>
      <c r="I630" t="s">
        <v>2655</v>
      </c>
      <c r="N630">
        <v>1</v>
      </c>
      <c r="O630" t="s">
        <v>2654</v>
      </c>
      <c r="P630">
        <v>7004015900</v>
      </c>
      <c r="R630" s="7">
        <v>36069</v>
      </c>
      <c r="S630" s="8">
        <f t="shared" si="72"/>
        <v>1998</v>
      </c>
      <c r="T630" s="8">
        <v>1998</v>
      </c>
      <c r="U630" s="8">
        <f t="shared" si="73"/>
        <v>24</v>
      </c>
      <c r="V630" s="7">
        <v>35796</v>
      </c>
      <c r="W630" t="s">
        <v>2653</v>
      </c>
      <c r="X630" s="2" t="s">
        <v>0</v>
      </c>
      <c r="Y630" s="6" t="e">
        <f t="shared" si="74"/>
        <v>#VALUE!</v>
      </c>
      <c r="AA630">
        <v>3636399</v>
      </c>
      <c r="AB630">
        <v>58083</v>
      </c>
      <c r="AD630" t="s">
        <v>2</v>
      </c>
      <c r="AE630">
        <v>27</v>
      </c>
      <c r="AF630">
        <v>15</v>
      </c>
      <c r="AI630" t="s">
        <v>2652</v>
      </c>
      <c r="AK630" t="s">
        <v>2651</v>
      </c>
      <c r="AL630">
        <v>0</v>
      </c>
      <c r="AM630" s="5">
        <f t="shared" si="75"/>
        <v>0</v>
      </c>
      <c r="AN630" s="4">
        <f t="shared" si="76"/>
        <v>0</v>
      </c>
      <c r="AO630" s="3"/>
      <c r="AP630">
        <v>0</v>
      </c>
      <c r="AR630" t="s">
        <v>1</v>
      </c>
      <c r="AT630" s="2" t="s">
        <v>0</v>
      </c>
      <c r="AU630" s="1" t="e">
        <f t="shared" si="77"/>
        <v>#VALUE!</v>
      </c>
      <c r="AV630" s="1" t="e">
        <f t="shared" si="78"/>
        <v>#VALUE!</v>
      </c>
      <c r="AW630" s="1" t="e">
        <f t="shared" si="79"/>
        <v>#VALUE!</v>
      </c>
    </row>
    <row r="631" spans="1:49" x14ac:dyDescent="0.2">
      <c r="A631">
        <v>629</v>
      </c>
      <c r="B631" t="s">
        <v>2650</v>
      </c>
      <c r="C631" t="s">
        <v>2649</v>
      </c>
      <c r="D631" t="s">
        <v>2648</v>
      </c>
      <c r="F631" t="s">
        <v>2647</v>
      </c>
      <c r="G631" t="s">
        <v>5</v>
      </c>
      <c r="H631" t="s">
        <v>4</v>
      </c>
      <c r="I631" t="s">
        <v>2646</v>
      </c>
      <c r="J631">
        <v>60020438</v>
      </c>
      <c r="K631" t="s">
        <v>2645</v>
      </c>
      <c r="L631" t="s">
        <v>2644</v>
      </c>
      <c r="M631" t="s">
        <v>12</v>
      </c>
      <c r="N631">
        <v>4</v>
      </c>
      <c r="O631" t="s">
        <v>2643</v>
      </c>
      <c r="P631" t="s">
        <v>2642</v>
      </c>
      <c r="Q631" t="s">
        <v>2641</v>
      </c>
      <c r="R631" s="7">
        <v>36069</v>
      </c>
      <c r="S631" s="8">
        <f t="shared" si="72"/>
        <v>1998</v>
      </c>
      <c r="T631" s="8">
        <v>1998</v>
      </c>
      <c r="U631" s="8">
        <f t="shared" si="73"/>
        <v>24</v>
      </c>
      <c r="V631" s="7">
        <v>36069</v>
      </c>
      <c r="W631" t="s">
        <v>2619</v>
      </c>
      <c r="X631" s="2" t="s">
        <v>0</v>
      </c>
      <c r="Y631" s="6" t="e">
        <f t="shared" si="74"/>
        <v>#VALUE!</v>
      </c>
      <c r="AA631">
        <v>3894304</v>
      </c>
      <c r="AB631">
        <v>23995</v>
      </c>
      <c r="AD631" t="s">
        <v>2</v>
      </c>
      <c r="AE631">
        <v>19</v>
      </c>
      <c r="AF631">
        <v>4</v>
      </c>
      <c r="AH631" t="s">
        <v>2640</v>
      </c>
      <c r="AL631">
        <v>0</v>
      </c>
      <c r="AM631" s="5">
        <f t="shared" si="75"/>
        <v>0</v>
      </c>
      <c r="AN631" s="4">
        <f t="shared" si="76"/>
        <v>0</v>
      </c>
      <c r="AO631" s="3"/>
      <c r="AP631">
        <v>0</v>
      </c>
      <c r="AR631" t="s">
        <v>1</v>
      </c>
      <c r="AT631" s="2" t="s">
        <v>0</v>
      </c>
      <c r="AU631" s="1" t="e">
        <f t="shared" si="77"/>
        <v>#VALUE!</v>
      </c>
      <c r="AV631" s="1" t="e">
        <f t="shared" si="78"/>
        <v>#VALUE!</v>
      </c>
      <c r="AW631" s="1" t="e">
        <f t="shared" si="79"/>
        <v>#VALUE!</v>
      </c>
    </row>
    <row r="632" spans="1:49" x14ac:dyDescent="0.2">
      <c r="A632">
        <v>630</v>
      </c>
      <c r="B632" t="s">
        <v>2639</v>
      </c>
      <c r="C632" t="s">
        <v>2638</v>
      </c>
      <c r="F632" t="s">
        <v>2637</v>
      </c>
      <c r="G632" t="s">
        <v>5</v>
      </c>
      <c r="H632" t="s">
        <v>4</v>
      </c>
      <c r="I632" t="s">
        <v>367</v>
      </c>
      <c r="J632">
        <v>60004176</v>
      </c>
      <c r="K632" t="s">
        <v>377</v>
      </c>
      <c r="L632" t="s">
        <v>376</v>
      </c>
      <c r="M632" t="s">
        <v>12</v>
      </c>
      <c r="N632">
        <v>3</v>
      </c>
      <c r="O632" t="s">
        <v>2636</v>
      </c>
      <c r="P632" t="s">
        <v>2635</v>
      </c>
      <c r="Q632" t="s">
        <v>2634</v>
      </c>
      <c r="R632" s="7">
        <v>36069</v>
      </c>
      <c r="S632" s="8">
        <f t="shared" si="72"/>
        <v>1998</v>
      </c>
      <c r="T632" s="8">
        <v>1998</v>
      </c>
      <c r="U632" s="8">
        <f t="shared" si="73"/>
        <v>24</v>
      </c>
      <c r="V632" s="7">
        <v>36069</v>
      </c>
      <c r="W632" t="s">
        <v>612</v>
      </c>
      <c r="X632" s="2">
        <v>0.375</v>
      </c>
      <c r="Y632" s="6">
        <f t="shared" si="74"/>
        <v>1.0010410827260351E-2</v>
      </c>
      <c r="AA632">
        <v>135194</v>
      </c>
      <c r="AB632">
        <v>24918</v>
      </c>
      <c r="AD632" t="s">
        <v>2</v>
      </c>
      <c r="AE632">
        <v>34</v>
      </c>
      <c r="AF632">
        <v>20</v>
      </c>
      <c r="AH632" t="s">
        <v>2633</v>
      </c>
      <c r="AI632" t="s">
        <v>2632</v>
      </c>
      <c r="AK632" t="s">
        <v>2631</v>
      </c>
      <c r="AL632">
        <v>6</v>
      </c>
      <c r="AM632" s="5">
        <f t="shared" si="75"/>
        <v>0.25</v>
      </c>
      <c r="AN632" s="4">
        <f t="shared" si="76"/>
        <v>3.786444528587656E-4</v>
      </c>
      <c r="AO632" s="3"/>
      <c r="AP632">
        <v>0</v>
      </c>
      <c r="AR632" t="s">
        <v>1</v>
      </c>
      <c r="AT632" s="2">
        <v>1.3140000000000001</v>
      </c>
      <c r="AU632" s="1">
        <f t="shared" si="77"/>
        <v>0.71208809149398755</v>
      </c>
      <c r="AV632" s="1">
        <f t="shared" si="78"/>
        <v>0.51945276400595586</v>
      </c>
      <c r="AW632" s="1">
        <f t="shared" si="79"/>
        <v>0.32681743651792411</v>
      </c>
    </row>
    <row r="633" spans="1:49" x14ac:dyDescent="0.2">
      <c r="A633">
        <v>631</v>
      </c>
      <c r="B633" t="s">
        <v>2630</v>
      </c>
      <c r="C633" t="s">
        <v>2629</v>
      </c>
      <c r="D633" t="s">
        <v>2628</v>
      </c>
      <c r="F633" t="s">
        <v>2627</v>
      </c>
      <c r="G633" t="s">
        <v>5</v>
      </c>
      <c r="H633" t="s">
        <v>4</v>
      </c>
      <c r="I633" t="s">
        <v>2626</v>
      </c>
      <c r="J633" t="s">
        <v>2625</v>
      </c>
      <c r="K633" t="s">
        <v>2624</v>
      </c>
      <c r="L633" t="s">
        <v>2623</v>
      </c>
      <c r="M633" t="s">
        <v>67</v>
      </c>
      <c r="N633">
        <v>5</v>
      </c>
      <c r="O633" t="s">
        <v>2622</v>
      </c>
      <c r="P633" t="s">
        <v>2621</v>
      </c>
      <c r="Q633" t="s">
        <v>2620</v>
      </c>
      <c r="R633" s="7">
        <v>36069</v>
      </c>
      <c r="S633" s="8">
        <f t="shared" si="72"/>
        <v>1998</v>
      </c>
      <c r="T633" s="8">
        <v>1998</v>
      </c>
      <c r="U633" s="8">
        <f t="shared" si="73"/>
        <v>24</v>
      </c>
      <c r="V633" s="7">
        <v>36069</v>
      </c>
      <c r="W633" t="s">
        <v>2619</v>
      </c>
      <c r="X633" s="2" t="s">
        <v>0</v>
      </c>
      <c r="Y633" s="6" t="e">
        <f t="shared" si="74"/>
        <v>#VALUE!</v>
      </c>
      <c r="AA633">
        <v>3894304</v>
      </c>
      <c r="AB633">
        <v>23995</v>
      </c>
      <c r="AD633" t="s">
        <v>2</v>
      </c>
      <c r="AE633">
        <v>19</v>
      </c>
      <c r="AF633">
        <v>4</v>
      </c>
      <c r="AH633" t="s">
        <v>2618</v>
      </c>
      <c r="AI633" t="s">
        <v>2617</v>
      </c>
      <c r="AK633" t="s">
        <v>2616</v>
      </c>
      <c r="AL633">
        <v>0</v>
      </c>
      <c r="AM633" s="5">
        <f t="shared" si="75"/>
        <v>0</v>
      </c>
      <c r="AN633" s="4">
        <f t="shared" si="76"/>
        <v>0</v>
      </c>
      <c r="AO633" s="3"/>
      <c r="AP633">
        <v>0</v>
      </c>
      <c r="AR633" t="s">
        <v>1</v>
      </c>
      <c r="AT633" s="2" t="s">
        <v>0</v>
      </c>
      <c r="AU633" s="1" t="e">
        <f t="shared" si="77"/>
        <v>#VALUE!</v>
      </c>
      <c r="AV633" s="1" t="e">
        <f t="shared" si="78"/>
        <v>#VALUE!</v>
      </c>
      <c r="AW633" s="1" t="e">
        <f t="shared" si="79"/>
        <v>#VALUE!</v>
      </c>
    </row>
    <row r="634" spans="1:49" x14ac:dyDescent="0.2">
      <c r="A634">
        <v>632</v>
      </c>
      <c r="B634" t="s">
        <v>2615</v>
      </c>
      <c r="C634" t="s">
        <v>2614</v>
      </c>
      <c r="F634" t="s">
        <v>2613</v>
      </c>
      <c r="G634" t="s">
        <v>5</v>
      </c>
      <c r="H634" t="s">
        <v>4</v>
      </c>
      <c r="I634" t="s">
        <v>165</v>
      </c>
      <c r="J634">
        <v>60021255</v>
      </c>
      <c r="K634" t="s">
        <v>615</v>
      </c>
      <c r="L634" t="s">
        <v>614</v>
      </c>
      <c r="M634" t="s">
        <v>445</v>
      </c>
      <c r="N634">
        <v>1</v>
      </c>
      <c r="O634" t="s">
        <v>613</v>
      </c>
      <c r="P634">
        <v>7202843461</v>
      </c>
      <c r="Q634">
        <v>60021255</v>
      </c>
      <c r="R634" s="7">
        <v>36069</v>
      </c>
      <c r="S634" s="8">
        <f t="shared" si="72"/>
        <v>1998</v>
      </c>
      <c r="T634" s="8">
        <v>1998</v>
      </c>
      <c r="U634" s="8">
        <f t="shared" si="73"/>
        <v>24</v>
      </c>
      <c r="V634" s="7">
        <v>36069</v>
      </c>
      <c r="W634" t="s">
        <v>612</v>
      </c>
      <c r="X634" s="2">
        <v>0.375</v>
      </c>
      <c r="Y634" s="6">
        <f t="shared" si="74"/>
        <v>1.0010410827260351E-2</v>
      </c>
      <c r="AA634">
        <v>135194</v>
      </c>
      <c r="AB634">
        <v>24918</v>
      </c>
      <c r="AD634" t="s">
        <v>2</v>
      </c>
      <c r="AE634">
        <v>34</v>
      </c>
      <c r="AF634">
        <v>20</v>
      </c>
      <c r="AH634" t="s">
        <v>2612</v>
      </c>
      <c r="AI634" t="s">
        <v>2611</v>
      </c>
      <c r="AK634" t="s">
        <v>2610</v>
      </c>
      <c r="AL634">
        <v>11</v>
      </c>
      <c r="AM634" s="5">
        <f t="shared" si="75"/>
        <v>0.45833333333333331</v>
      </c>
      <c r="AN634" s="4">
        <f t="shared" si="76"/>
        <v>6.9418149690773695E-4</v>
      </c>
      <c r="AO634" s="3"/>
      <c r="AP634">
        <v>0</v>
      </c>
      <c r="AR634" t="s">
        <v>1</v>
      </c>
      <c r="AT634" s="2">
        <v>1.3140000000000001</v>
      </c>
      <c r="AU634" s="1">
        <f t="shared" si="77"/>
        <v>0.72155420281545668</v>
      </c>
      <c r="AV634" s="1">
        <f t="shared" si="78"/>
        <v>0.53522961620840448</v>
      </c>
      <c r="AW634" s="1">
        <f t="shared" si="79"/>
        <v>0.34890502960135211</v>
      </c>
    </row>
    <row r="635" spans="1:49" x14ac:dyDescent="0.2">
      <c r="A635">
        <v>633</v>
      </c>
      <c r="B635" t="s">
        <v>2609</v>
      </c>
      <c r="C635" t="s">
        <v>2608</v>
      </c>
      <c r="F635" t="s">
        <v>2607</v>
      </c>
      <c r="G635" t="s">
        <v>5</v>
      </c>
      <c r="H635" t="s">
        <v>4</v>
      </c>
      <c r="I635" t="s">
        <v>2606</v>
      </c>
      <c r="J635">
        <v>60027012</v>
      </c>
      <c r="K635" t="s">
        <v>2605</v>
      </c>
      <c r="L635" t="s">
        <v>2604</v>
      </c>
      <c r="M635" t="s">
        <v>728</v>
      </c>
      <c r="N635">
        <v>1</v>
      </c>
      <c r="O635" t="s">
        <v>2603</v>
      </c>
      <c r="P635">
        <v>6602652703</v>
      </c>
      <c r="Q635">
        <v>60027012</v>
      </c>
      <c r="R635" s="7">
        <v>36069</v>
      </c>
      <c r="S635" s="8">
        <f t="shared" si="72"/>
        <v>1998</v>
      </c>
      <c r="T635" s="8">
        <v>1998</v>
      </c>
      <c r="U635" s="8">
        <f t="shared" si="73"/>
        <v>24</v>
      </c>
      <c r="V635" s="7">
        <v>36069</v>
      </c>
      <c r="W635" s="11" t="s">
        <v>241</v>
      </c>
      <c r="X635" s="2">
        <v>2.383</v>
      </c>
      <c r="Y635" s="6">
        <f t="shared" si="74"/>
        <v>6.3612824003630442E-2</v>
      </c>
      <c r="AA635">
        <v>13502417</v>
      </c>
      <c r="AB635">
        <v>17416</v>
      </c>
      <c r="AD635" t="s">
        <v>2</v>
      </c>
      <c r="AE635">
        <v>145</v>
      </c>
      <c r="AF635">
        <v>5</v>
      </c>
      <c r="AH635" t="s">
        <v>2602</v>
      </c>
      <c r="AI635" t="s">
        <v>2601</v>
      </c>
      <c r="AK635" t="s">
        <v>2600</v>
      </c>
      <c r="AL635">
        <v>4</v>
      </c>
      <c r="AM635" s="5">
        <f t="shared" si="75"/>
        <v>0.16666666666666666</v>
      </c>
      <c r="AN635" s="4">
        <f t="shared" si="76"/>
        <v>2.5242963523917705E-4</v>
      </c>
      <c r="AO635" s="3"/>
      <c r="AP635">
        <v>0</v>
      </c>
      <c r="AR635" t="s">
        <v>1</v>
      </c>
      <c r="AT635" s="2" t="s">
        <v>0</v>
      </c>
      <c r="AU635" s="1">
        <f t="shared" si="77"/>
        <v>4.4604705693113065</v>
      </c>
      <c r="AV635" s="1">
        <f t="shared" si="78"/>
        <v>3.1932626819434811</v>
      </c>
      <c r="AW635" s="1">
        <f t="shared" si="79"/>
        <v>1.9260547945756556</v>
      </c>
    </row>
    <row r="636" spans="1:49" x14ac:dyDescent="0.2">
      <c r="A636">
        <v>634</v>
      </c>
      <c r="B636" t="s">
        <v>2599</v>
      </c>
      <c r="C636" t="s">
        <v>2598</v>
      </c>
      <c r="F636" t="s">
        <v>2597</v>
      </c>
      <c r="G636" t="s">
        <v>5</v>
      </c>
      <c r="H636" t="s">
        <v>4</v>
      </c>
      <c r="I636" t="s">
        <v>2596</v>
      </c>
      <c r="J636">
        <v>60004572</v>
      </c>
      <c r="K636" t="s">
        <v>2595</v>
      </c>
      <c r="L636" t="s">
        <v>2594</v>
      </c>
      <c r="M636" t="s">
        <v>13</v>
      </c>
      <c r="N636">
        <v>1</v>
      </c>
      <c r="O636" t="s">
        <v>2593</v>
      </c>
      <c r="P636">
        <v>6603168204</v>
      </c>
      <c r="Q636">
        <v>60004572</v>
      </c>
      <c r="R636" s="7">
        <v>36069</v>
      </c>
      <c r="S636" s="8">
        <f t="shared" si="72"/>
        <v>1998</v>
      </c>
      <c r="T636" s="8">
        <v>1998</v>
      </c>
      <c r="U636" s="8">
        <f t="shared" si="73"/>
        <v>24</v>
      </c>
      <c r="V636" s="7">
        <v>36069</v>
      </c>
      <c r="W636" t="s">
        <v>2592</v>
      </c>
      <c r="X636" s="2">
        <v>0.93</v>
      </c>
      <c r="Y636" s="6">
        <f t="shared" si="74"/>
        <v>2.4825818851605671E-2</v>
      </c>
      <c r="AA636">
        <v>253162</v>
      </c>
      <c r="AB636">
        <v>12165</v>
      </c>
      <c r="AD636" t="s">
        <v>2</v>
      </c>
      <c r="AE636">
        <v>132</v>
      </c>
      <c r="AF636">
        <v>3</v>
      </c>
      <c r="AH636" t="s">
        <v>2591</v>
      </c>
      <c r="AI636" t="s">
        <v>2590</v>
      </c>
      <c r="AK636" t="s">
        <v>2589</v>
      </c>
      <c r="AL636">
        <v>22</v>
      </c>
      <c r="AM636" s="5">
        <f t="shared" si="75"/>
        <v>0.91666666666666663</v>
      </c>
      <c r="AN636" s="4">
        <f t="shared" si="76"/>
        <v>1.3883629938154739E-3</v>
      </c>
      <c r="AO636" s="3"/>
      <c r="AP636">
        <v>0</v>
      </c>
      <c r="AR636" t="s">
        <v>1</v>
      </c>
      <c r="AT636" s="2">
        <v>2.573</v>
      </c>
      <c r="AU636" s="1">
        <f t="shared" si="77"/>
        <v>1.7794582094268609</v>
      </c>
      <c r="AV636" s="1">
        <f t="shared" si="78"/>
        <v>1.3107090922710574</v>
      </c>
      <c r="AW636" s="1">
        <f t="shared" si="79"/>
        <v>0.84195997511525322</v>
      </c>
    </row>
    <row r="637" spans="1:49" x14ac:dyDescent="0.2">
      <c r="A637">
        <v>635</v>
      </c>
      <c r="B637" t="s">
        <v>2588</v>
      </c>
      <c r="C637" t="s">
        <v>2587</v>
      </c>
      <c r="F637" t="s">
        <v>2586</v>
      </c>
      <c r="G637" t="s">
        <v>5</v>
      </c>
      <c r="H637" t="s">
        <v>4</v>
      </c>
      <c r="I637" t="s">
        <v>2585</v>
      </c>
      <c r="J637">
        <v>60000986</v>
      </c>
      <c r="K637" t="s">
        <v>2584</v>
      </c>
      <c r="L637" t="s">
        <v>2583</v>
      </c>
      <c r="M637" t="s">
        <v>9</v>
      </c>
      <c r="N637">
        <v>3</v>
      </c>
      <c r="O637" t="s">
        <v>2582</v>
      </c>
      <c r="P637" t="s">
        <v>2581</v>
      </c>
      <c r="Q637" t="s">
        <v>2580</v>
      </c>
      <c r="R637" s="7">
        <v>36069</v>
      </c>
      <c r="S637" s="8">
        <f t="shared" si="72"/>
        <v>1998</v>
      </c>
      <c r="T637" s="8">
        <v>1998</v>
      </c>
      <c r="U637" s="8">
        <f t="shared" si="73"/>
        <v>24</v>
      </c>
      <c r="V637" s="7">
        <v>36069</v>
      </c>
      <c r="W637" t="s">
        <v>629</v>
      </c>
      <c r="X637" s="2">
        <v>0.8</v>
      </c>
      <c r="Y637" s="6">
        <f t="shared" si="74"/>
        <v>2.1355543098155415E-2</v>
      </c>
      <c r="AA637">
        <v>3407594</v>
      </c>
      <c r="AB637">
        <v>23456</v>
      </c>
      <c r="AD637" t="s">
        <v>2</v>
      </c>
      <c r="AE637">
        <v>183</v>
      </c>
      <c r="AF637">
        <v>4</v>
      </c>
      <c r="AH637" t="s">
        <v>2579</v>
      </c>
      <c r="AI637" t="s">
        <v>2578</v>
      </c>
      <c r="AJ637" t="s">
        <v>2577</v>
      </c>
      <c r="AK637" t="s">
        <v>2576</v>
      </c>
      <c r="AL637">
        <v>12</v>
      </c>
      <c r="AM637" s="5">
        <f t="shared" si="75"/>
        <v>0.5</v>
      </c>
      <c r="AN637" s="4">
        <f t="shared" si="76"/>
        <v>7.572889057175312E-4</v>
      </c>
      <c r="AO637" s="3"/>
      <c r="AP637">
        <v>0</v>
      </c>
      <c r="AR637" t="s">
        <v>2575</v>
      </c>
      <c r="AS637" t="s">
        <v>16</v>
      </c>
      <c r="AT637" s="2" t="s">
        <v>0</v>
      </c>
      <c r="AU637" s="1">
        <f t="shared" si="77"/>
        <v>1.5176066840424047</v>
      </c>
      <c r="AV637" s="1">
        <f t="shared" si="78"/>
        <v>1.1056416001936473</v>
      </c>
      <c r="AW637" s="1">
        <f t="shared" si="79"/>
        <v>0.69367651634488958</v>
      </c>
    </row>
    <row r="638" spans="1:49" x14ac:dyDescent="0.2">
      <c r="A638">
        <v>636</v>
      </c>
      <c r="B638" t="s">
        <v>2574</v>
      </c>
      <c r="C638" t="s">
        <v>2573</v>
      </c>
      <c r="F638" t="s">
        <v>2572</v>
      </c>
      <c r="G638" t="s">
        <v>5</v>
      </c>
      <c r="H638" t="s">
        <v>4</v>
      </c>
      <c r="I638" t="s">
        <v>2571</v>
      </c>
      <c r="J638" t="s">
        <v>2570</v>
      </c>
      <c r="K638" t="s">
        <v>2569</v>
      </c>
      <c r="L638" t="s">
        <v>2568</v>
      </c>
      <c r="M638" t="s">
        <v>2567</v>
      </c>
      <c r="N638">
        <v>3</v>
      </c>
      <c r="O638" t="s">
        <v>2566</v>
      </c>
      <c r="P638" t="s">
        <v>2565</v>
      </c>
      <c r="Q638" t="s">
        <v>2564</v>
      </c>
      <c r="R638" s="7">
        <v>36069</v>
      </c>
      <c r="S638" s="8">
        <f t="shared" si="72"/>
        <v>1998</v>
      </c>
      <c r="T638" s="8">
        <v>1998</v>
      </c>
      <c r="U638" s="8">
        <f t="shared" si="73"/>
        <v>24</v>
      </c>
      <c r="V638" s="7">
        <v>36069</v>
      </c>
      <c r="W638" t="s">
        <v>2176</v>
      </c>
      <c r="X638" s="2">
        <v>2.823</v>
      </c>
      <c r="Y638" s="6">
        <f t="shared" si="74"/>
        <v>7.5358372707615917E-2</v>
      </c>
      <c r="AA638">
        <v>1636804</v>
      </c>
      <c r="AB638">
        <v>17249</v>
      </c>
      <c r="AD638" t="s">
        <v>2</v>
      </c>
      <c r="AE638">
        <v>36</v>
      </c>
      <c r="AF638">
        <v>10</v>
      </c>
      <c r="AH638" t="s">
        <v>2563</v>
      </c>
      <c r="AI638" t="s">
        <v>2562</v>
      </c>
      <c r="AK638" t="s">
        <v>2561</v>
      </c>
      <c r="AL638">
        <v>42</v>
      </c>
      <c r="AM638" s="5">
        <f t="shared" si="75"/>
        <v>1.75</v>
      </c>
      <c r="AN638" s="4">
        <f t="shared" si="76"/>
        <v>2.6505111700113595E-3</v>
      </c>
      <c r="AO638" s="3"/>
      <c r="AP638">
        <v>0</v>
      </c>
      <c r="AR638" t="s">
        <v>1</v>
      </c>
      <c r="AT638" s="2">
        <v>9.6189999999999998</v>
      </c>
      <c r="AU638" s="1">
        <f t="shared" si="77"/>
        <v>5.3546014246334543</v>
      </c>
      <c r="AV638" s="1">
        <f t="shared" si="78"/>
        <v>3.9004441938813637</v>
      </c>
      <c r="AW638" s="1">
        <f t="shared" si="79"/>
        <v>2.4462869631292725</v>
      </c>
    </row>
    <row r="639" spans="1:49" x14ac:dyDescent="0.2">
      <c r="A639">
        <v>637</v>
      </c>
      <c r="B639" t="s">
        <v>2560</v>
      </c>
      <c r="C639" t="s">
        <v>2559</v>
      </c>
      <c r="E639">
        <v>9753445</v>
      </c>
      <c r="F639" t="s">
        <v>2558</v>
      </c>
      <c r="G639" t="s">
        <v>5</v>
      </c>
      <c r="H639" t="s">
        <v>4</v>
      </c>
      <c r="I639" t="s">
        <v>2557</v>
      </c>
      <c r="J639" t="s">
        <v>2556</v>
      </c>
      <c r="K639" t="s">
        <v>2555</v>
      </c>
      <c r="L639" t="s">
        <v>2554</v>
      </c>
      <c r="M639" t="s">
        <v>2553</v>
      </c>
      <c r="N639">
        <v>4</v>
      </c>
      <c r="O639" t="s">
        <v>2552</v>
      </c>
      <c r="P639" t="s">
        <v>2551</v>
      </c>
      <c r="Q639" t="s">
        <v>2550</v>
      </c>
      <c r="R639" s="7">
        <v>36067</v>
      </c>
      <c r="S639" s="8">
        <f t="shared" si="72"/>
        <v>1998</v>
      </c>
      <c r="T639" s="8">
        <v>1998</v>
      </c>
      <c r="U639" s="8">
        <f t="shared" si="73"/>
        <v>24</v>
      </c>
      <c r="V639" s="7">
        <v>36067</v>
      </c>
      <c r="W639" t="s">
        <v>624</v>
      </c>
      <c r="X639" s="2">
        <v>1.43</v>
      </c>
      <c r="Y639" s="6">
        <f t="shared" si="74"/>
        <v>3.8173033287952803E-2</v>
      </c>
      <c r="AA639">
        <v>62960</v>
      </c>
      <c r="AB639">
        <v>16867</v>
      </c>
      <c r="AD639" t="s">
        <v>2</v>
      </c>
      <c r="AE639">
        <v>37</v>
      </c>
      <c r="AF639">
        <v>39</v>
      </c>
      <c r="AH639" t="s">
        <v>2549</v>
      </c>
      <c r="AI639" t="s">
        <v>2548</v>
      </c>
      <c r="AK639" t="s">
        <v>2547</v>
      </c>
      <c r="AL639">
        <v>118</v>
      </c>
      <c r="AM639" s="5">
        <f t="shared" si="75"/>
        <v>4.916666666666667</v>
      </c>
      <c r="AN639" s="4">
        <f t="shared" si="76"/>
        <v>7.4466742395557246E-3</v>
      </c>
      <c r="AO639" s="3"/>
      <c r="AP639">
        <v>0</v>
      </c>
      <c r="AR639" t="s">
        <v>1</v>
      </c>
      <c r="AT639" s="2">
        <v>3.1619999999999999</v>
      </c>
      <c r="AU639" s="1">
        <f t="shared" si="77"/>
        <v>2.895512557343368</v>
      </c>
      <c r="AV639" s="1">
        <f t="shared" si="78"/>
        <v>2.2809853763754262</v>
      </c>
      <c r="AW639" s="1">
        <f t="shared" si="79"/>
        <v>1.6664581954074849</v>
      </c>
    </row>
    <row r="640" spans="1:49" x14ac:dyDescent="0.2">
      <c r="A640">
        <v>638</v>
      </c>
      <c r="B640" t="s">
        <v>2546</v>
      </c>
      <c r="C640" t="s">
        <v>2545</v>
      </c>
      <c r="D640" t="s">
        <v>2544</v>
      </c>
      <c r="F640" t="s">
        <v>2543</v>
      </c>
      <c r="G640" t="s">
        <v>5</v>
      </c>
      <c r="H640" t="s">
        <v>4</v>
      </c>
      <c r="I640" t="s">
        <v>2542</v>
      </c>
      <c r="J640">
        <v>60007457</v>
      </c>
      <c r="K640" t="s">
        <v>226</v>
      </c>
      <c r="L640" t="s">
        <v>225</v>
      </c>
      <c r="M640" t="s">
        <v>106</v>
      </c>
      <c r="N640">
        <v>3</v>
      </c>
      <c r="O640" t="s">
        <v>2541</v>
      </c>
      <c r="P640" t="s">
        <v>2540</v>
      </c>
      <c r="Q640" t="s">
        <v>224</v>
      </c>
      <c r="R640" s="7">
        <v>36066</v>
      </c>
      <c r="S640" s="8">
        <f t="shared" si="72"/>
        <v>1998</v>
      </c>
      <c r="T640" s="8">
        <v>1998</v>
      </c>
      <c r="U640" s="8">
        <f t="shared" si="73"/>
        <v>24</v>
      </c>
      <c r="V640" s="7">
        <v>36066</v>
      </c>
      <c r="W640" t="s">
        <v>537</v>
      </c>
      <c r="X640" s="2">
        <v>0.499</v>
      </c>
      <c r="Y640" s="6">
        <f t="shared" si="74"/>
        <v>1.332052000747444E-2</v>
      </c>
      <c r="AA640">
        <v>3759601</v>
      </c>
      <c r="AB640">
        <v>29464</v>
      </c>
      <c r="AD640" t="s">
        <v>2</v>
      </c>
      <c r="AE640">
        <v>246</v>
      </c>
      <c r="AF640">
        <v>6</v>
      </c>
      <c r="AH640" t="s">
        <v>2539</v>
      </c>
      <c r="AI640" t="s">
        <v>2538</v>
      </c>
      <c r="AK640" t="s">
        <v>2537</v>
      </c>
      <c r="AL640">
        <v>26</v>
      </c>
      <c r="AM640" s="5">
        <f t="shared" si="75"/>
        <v>1.0833333333333333</v>
      </c>
      <c r="AN640" s="4">
        <f t="shared" si="76"/>
        <v>1.6407926290546509E-3</v>
      </c>
      <c r="AO640" s="3"/>
      <c r="AP640">
        <v>0</v>
      </c>
      <c r="AQ640" t="s">
        <v>17</v>
      </c>
      <c r="AR640" t="s">
        <v>2536</v>
      </c>
      <c r="AS640" t="s">
        <v>16</v>
      </c>
      <c r="AT640" s="2" t="s">
        <v>0</v>
      </c>
      <c r="AU640" s="1">
        <f t="shared" si="77"/>
        <v>0.9816601793948504</v>
      </c>
      <c r="AV640" s="1">
        <f t="shared" si="78"/>
        <v>0.74806563182645458</v>
      </c>
      <c r="AW640" s="1">
        <f t="shared" si="79"/>
        <v>0.51447108425805876</v>
      </c>
    </row>
    <row r="641" spans="1:49" x14ac:dyDescent="0.2">
      <c r="A641">
        <v>639</v>
      </c>
      <c r="B641" t="s">
        <v>2535</v>
      </c>
      <c r="C641" t="s">
        <v>2534</v>
      </c>
      <c r="F641" t="s">
        <v>2533</v>
      </c>
      <c r="G641" t="s">
        <v>5</v>
      </c>
      <c r="H641" t="s">
        <v>4</v>
      </c>
      <c r="I641" t="s">
        <v>2532</v>
      </c>
      <c r="J641" t="s">
        <v>2531</v>
      </c>
      <c r="K641" t="s">
        <v>2530</v>
      </c>
      <c r="L641" t="s">
        <v>2529</v>
      </c>
      <c r="M641" t="s">
        <v>6</v>
      </c>
      <c r="N641">
        <v>4</v>
      </c>
      <c r="O641" t="s">
        <v>2528</v>
      </c>
      <c r="P641" t="s">
        <v>2527</v>
      </c>
      <c r="Q641" t="s">
        <v>2526</v>
      </c>
      <c r="R641" s="7">
        <v>36062</v>
      </c>
      <c r="S641" s="8">
        <f t="shared" si="72"/>
        <v>1998</v>
      </c>
      <c r="T641" s="8">
        <v>1998</v>
      </c>
      <c r="U641" s="8">
        <f t="shared" si="73"/>
        <v>24</v>
      </c>
      <c r="V641" s="7">
        <v>36062</v>
      </c>
      <c r="W641" t="s">
        <v>38</v>
      </c>
      <c r="X641" s="2">
        <v>0.86399999999999999</v>
      </c>
      <c r="Y641" s="6">
        <f t="shared" si="74"/>
        <v>2.3063986546007848E-2</v>
      </c>
      <c r="AA641">
        <v>15206106</v>
      </c>
      <c r="AB641">
        <v>26970</v>
      </c>
      <c r="AD641" t="s">
        <v>2</v>
      </c>
      <c r="AE641">
        <v>102</v>
      </c>
      <c r="AF641">
        <v>39</v>
      </c>
      <c r="AH641" t="s">
        <v>2525</v>
      </c>
      <c r="AI641" t="s">
        <v>2524</v>
      </c>
      <c r="AK641" t="s">
        <v>2523</v>
      </c>
      <c r="AL641">
        <v>113</v>
      </c>
      <c r="AM641" s="5">
        <f t="shared" si="75"/>
        <v>4.708333333333333</v>
      </c>
      <c r="AN641" s="4">
        <f t="shared" si="76"/>
        <v>7.1311371955067523E-3</v>
      </c>
      <c r="AO641" s="3"/>
      <c r="AP641">
        <v>0</v>
      </c>
      <c r="AR641" t="s">
        <v>1</v>
      </c>
      <c r="AT641" s="2">
        <v>2.9910000000000001</v>
      </c>
      <c r="AU641" s="1">
        <f t="shared" si="77"/>
        <v>1.8284131740857517</v>
      </c>
      <c r="AV641" s="1">
        <f t="shared" si="78"/>
        <v>1.5097561870757301</v>
      </c>
      <c r="AW641" s="1">
        <f t="shared" si="79"/>
        <v>1.1910992000657081</v>
      </c>
    </row>
    <row r="642" spans="1:49" x14ac:dyDescent="0.2">
      <c r="A642">
        <v>640</v>
      </c>
      <c r="B642" t="s">
        <v>2522</v>
      </c>
      <c r="F642" t="s">
        <v>2521</v>
      </c>
      <c r="G642" t="s">
        <v>5</v>
      </c>
      <c r="H642" t="s">
        <v>4</v>
      </c>
      <c r="I642" t="s">
        <v>2515</v>
      </c>
      <c r="J642">
        <v>100411895</v>
      </c>
      <c r="K642" t="s">
        <v>2514</v>
      </c>
      <c r="L642" t="s">
        <v>10</v>
      </c>
      <c r="M642" t="s">
        <v>9</v>
      </c>
      <c r="N642">
        <v>1</v>
      </c>
      <c r="O642" t="s">
        <v>2520</v>
      </c>
      <c r="P642">
        <v>8594222100</v>
      </c>
      <c r="Q642">
        <v>100411895</v>
      </c>
      <c r="R642" s="7">
        <v>36056</v>
      </c>
      <c r="S642" s="8">
        <f t="shared" ref="S642:S705" si="80">YEAR(R642)</f>
        <v>1998</v>
      </c>
      <c r="T642" s="8">
        <v>1998</v>
      </c>
      <c r="U642" s="8">
        <f t="shared" ref="U642:U705" si="81">2022-T642</f>
        <v>24</v>
      </c>
      <c r="V642" s="7">
        <v>36056</v>
      </c>
      <c r="W642" t="s">
        <v>753</v>
      </c>
      <c r="X642" s="2">
        <v>0.26900000000000002</v>
      </c>
      <c r="Y642" s="6">
        <f t="shared" ref="Y642:Y705" si="82">(X642-$Z$3)/($Z$2-$Z$3)</f>
        <v>7.1808013667547591E-3</v>
      </c>
      <c r="AA642" t="s">
        <v>752</v>
      </c>
      <c r="AB642">
        <v>13669</v>
      </c>
      <c r="AD642" t="s">
        <v>2</v>
      </c>
      <c r="AE642">
        <v>111</v>
      </c>
      <c r="AF642">
        <v>3</v>
      </c>
      <c r="AH642" t="s">
        <v>2519</v>
      </c>
      <c r="AI642" t="s">
        <v>2518</v>
      </c>
      <c r="AK642" t="s">
        <v>2510</v>
      </c>
      <c r="AL642">
        <v>0</v>
      </c>
      <c r="AM642" s="5">
        <f t="shared" ref="AM642:AM705" si="83">AL642/U642</f>
        <v>0</v>
      </c>
      <c r="AN642" s="4">
        <f t="shared" ref="AN642:AN705" si="84">(AM642-$AO$3)/($AO$2-$AO$3)</f>
        <v>0</v>
      </c>
      <c r="AO642" s="3"/>
      <c r="AP642">
        <v>0</v>
      </c>
      <c r="AR642" t="s">
        <v>1</v>
      </c>
      <c r="AT642" s="2" t="s">
        <v>0</v>
      </c>
      <c r="AU642" s="1">
        <f t="shared" ref="AU642:AU705" si="85">(Y642*0.7+AN642*0.3)*100</f>
        <v>0.50265609567283309</v>
      </c>
      <c r="AV642" s="1">
        <f t="shared" ref="AV642:AV705" si="86">(Y642*0.5+AN642*0.5)*100</f>
        <v>0.35904006833773794</v>
      </c>
      <c r="AW642" s="1">
        <f t="shared" ref="AW642:AW705" si="87">(Y642*0.3+AN642*0.7)*100</f>
        <v>0.21542404100264279</v>
      </c>
    </row>
    <row r="643" spans="1:49" x14ac:dyDescent="0.2">
      <c r="A643">
        <v>641</v>
      </c>
      <c r="B643" t="s">
        <v>2517</v>
      </c>
      <c r="F643" t="s">
        <v>2516</v>
      </c>
      <c r="G643" t="s">
        <v>5</v>
      </c>
      <c r="H643" t="s">
        <v>4</v>
      </c>
      <c r="I643" t="s">
        <v>2515</v>
      </c>
      <c r="J643">
        <v>100411895</v>
      </c>
      <c r="K643" t="s">
        <v>2514</v>
      </c>
      <c r="L643" t="s">
        <v>10</v>
      </c>
      <c r="M643" t="s">
        <v>9</v>
      </c>
      <c r="N643">
        <v>1</v>
      </c>
      <c r="O643" t="s">
        <v>2513</v>
      </c>
      <c r="P643">
        <v>8594222100</v>
      </c>
      <c r="Q643">
        <v>100411895</v>
      </c>
      <c r="R643" s="7">
        <v>36056</v>
      </c>
      <c r="S643" s="8">
        <f t="shared" si="80"/>
        <v>1998</v>
      </c>
      <c r="T643" s="8">
        <v>1998</v>
      </c>
      <c r="U643" s="8">
        <f t="shared" si="81"/>
        <v>24</v>
      </c>
      <c r="V643" s="7">
        <v>36056</v>
      </c>
      <c r="W643" t="s">
        <v>753</v>
      </c>
      <c r="X643" s="2">
        <v>0.26900000000000002</v>
      </c>
      <c r="Y643" s="6">
        <f t="shared" si="82"/>
        <v>7.1808013667547591E-3</v>
      </c>
      <c r="AA643" t="s">
        <v>752</v>
      </c>
      <c r="AB643">
        <v>13669</v>
      </c>
      <c r="AD643" t="s">
        <v>2</v>
      </c>
      <c r="AE643">
        <v>111</v>
      </c>
      <c r="AF643">
        <v>3</v>
      </c>
      <c r="AH643" t="s">
        <v>2512</v>
      </c>
      <c r="AI643" t="s">
        <v>2511</v>
      </c>
      <c r="AK643" t="s">
        <v>2510</v>
      </c>
      <c r="AL643">
        <v>0</v>
      </c>
      <c r="AM643" s="5">
        <f t="shared" si="83"/>
        <v>0</v>
      </c>
      <c r="AN643" s="4">
        <f t="shared" si="84"/>
        <v>0</v>
      </c>
      <c r="AO643" s="3"/>
      <c r="AP643">
        <v>0</v>
      </c>
      <c r="AR643" t="s">
        <v>1</v>
      </c>
      <c r="AT643" s="2" t="s">
        <v>0</v>
      </c>
      <c r="AU643" s="1">
        <f t="shared" si="85"/>
        <v>0.50265609567283309</v>
      </c>
      <c r="AV643" s="1">
        <f t="shared" si="86"/>
        <v>0.35904006833773794</v>
      </c>
      <c r="AW643" s="1">
        <f t="shared" si="87"/>
        <v>0.21542404100264279</v>
      </c>
    </row>
    <row r="644" spans="1:49" x14ac:dyDescent="0.2">
      <c r="A644">
        <v>642</v>
      </c>
      <c r="B644" t="s">
        <v>2509</v>
      </c>
      <c r="C644" t="s">
        <v>2508</v>
      </c>
      <c r="D644" t="s">
        <v>2507</v>
      </c>
      <c r="E644">
        <v>9753610</v>
      </c>
      <c r="F644" t="s">
        <v>2506</v>
      </c>
      <c r="G644" t="s">
        <v>5</v>
      </c>
      <c r="H644" t="s">
        <v>4</v>
      </c>
      <c r="I644" t="s">
        <v>2505</v>
      </c>
      <c r="J644" t="s">
        <v>2504</v>
      </c>
      <c r="K644" t="s">
        <v>2503</v>
      </c>
      <c r="L644" t="s">
        <v>2502</v>
      </c>
      <c r="M644" t="s">
        <v>2501</v>
      </c>
      <c r="N644">
        <v>3</v>
      </c>
      <c r="O644" t="s">
        <v>2500</v>
      </c>
      <c r="P644" t="s">
        <v>2499</v>
      </c>
      <c r="Q644" t="s">
        <v>2498</v>
      </c>
      <c r="R644" s="7">
        <v>36056</v>
      </c>
      <c r="S644" s="8">
        <f t="shared" si="80"/>
        <v>1998</v>
      </c>
      <c r="T644" s="8">
        <v>1998</v>
      </c>
      <c r="U644" s="8">
        <f t="shared" si="81"/>
        <v>24</v>
      </c>
      <c r="V644" s="7">
        <v>36056</v>
      </c>
      <c r="W644" t="s">
        <v>611</v>
      </c>
      <c r="X644" s="2">
        <v>0.998</v>
      </c>
      <c r="Y644" s="6">
        <f t="shared" si="82"/>
        <v>2.664104001494888E-2</v>
      </c>
      <c r="AA644" t="s">
        <v>610</v>
      </c>
      <c r="AB644">
        <v>16845</v>
      </c>
      <c r="AD644" t="s">
        <v>2</v>
      </c>
      <c r="AE644">
        <v>250</v>
      </c>
      <c r="AF644">
        <v>2</v>
      </c>
      <c r="AH644" t="s">
        <v>2497</v>
      </c>
      <c r="AI644" t="s">
        <v>2496</v>
      </c>
      <c r="AK644" t="s">
        <v>2495</v>
      </c>
      <c r="AL644">
        <v>94</v>
      </c>
      <c r="AM644" s="5">
        <f t="shared" si="83"/>
        <v>3.9166666666666665</v>
      </c>
      <c r="AN644" s="4">
        <f t="shared" si="84"/>
        <v>5.9320964281206609E-3</v>
      </c>
      <c r="AO644" s="3"/>
      <c r="AP644">
        <v>0</v>
      </c>
      <c r="AQ644" t="s">
        <v>685</v>
      </c>
      <c r="AR644" t="s">
        <v>1</v>
      </c>
      <c r="AS644" t="s">
        <v>684</v>
      </c>
      <c r="AT644" s="2" t="s">
        <v>0</v>
      </c>
      <c r="AU644" s="1">
        <f t="shared" si="85"/>
        <v>2.0428356938900416</v>
      </c>
      <c r="AV644" s="1">
        <f t="shared" si="86"/>
        <v>1.6286568221534772</v>
      </c>
      <c r="AW644" s="1">
        <f t="shared" si="87"/>
        <v>1.2144779504169125</v>
      </c>
    </row>
    <row r="645" spans="1:49" x14ac:dyDescent="0.2">
      <c r="A645">
        <v>643</v>
      </c>
      <c r="B645" t="s">
        <v>2494</v>
      </c>
      <c r="C645" t="s">
        <v>2493</v>
      </c>
      <c r="F645" t="s">
        <v>2492</v>
      </c>
      <c r="G645" t="s">
        <v>5</v>
      </c>
      <c r="H645" t="s">
        <v>4</v>
      </c>
      <c r="I645" t="s">
        <v>2491</v>
      </c>
      <c r="J645" t="s">
        <v>681</v>
      </c>
      <c r="K645" t="s">
        <v>680</v>
      </c>
      <c r="L645" t="s">
        <v>679</v>
      </c>
      <c r="M645" t="s">
        <v>678</v>
      </c>
      <c r="N645">
        <v>4</v>
      </c>
      <c r="O645" t="s">
        <v>2490</v>
      </c>
      <c r="P645" t="s">
        <v>2489</v>
      </c>
      <c r="Q645" t="s">
        <v>2464</v>
      </c>
      <c r="R645" s="7">
        <v>36055</v>
      </c>
      <c r="S645" s="8">
        <f t="shared" si="80"/>
        <v>1998</v>
      </c>
      <c r="T645" s="8">
        <v>1998</v>
      </c>
      <c r="U645" s="8">
        <f t="shared" si="81"/>
        <v>24</v>
      </c>
      <c r="V645" s="7">
        <v>36055</v>
      </c>
      <c r="W645" t="s">
        <v>612</v>
      </c>
      <c r="X645" s="2">
        <v>0.375</v>
      </c>
      <c r="Y645" s="6">
        <f t="shared" si="82"/>
        <v>1.0010410827260351E-2</v>
      </c>
      <c r="AA645">
        <v>135194</v>
      </c>
      <c r="AB645">
        <v>24918</v>
      </c>
      <c r="AD645" t="s">
        <v>2</v>
      </c>
      <c r="AE645">
        <v>34</v>
      </c>
      <c r="AF645">
        <v>19</v>
      </c>
      <c r="AH645" t="s">
        <v>2488</v>
      </c>
      <c r="AI645" t="s">
        <v>2487</v>
      </c>
      <c r="AK645" t="s">
        <v>2486</v>
      </c>
      <c r="AL645">
        <v>107</v>
      </c>
      <c r="AM645" s="5">
        <f t="shared" si="83"/>
        <v>4.458333333333333</v>
      </c>
      <c r="AN645" s="4">
        <f t="shared" si="84"/>
        <v>6.7524927426479862E-3</v>
      </c>
      <c r="AO645" s="3"/>
      <c r="AP645">
        <v>0</v>
      </c>
      <c r="AR645" t="s">
        <v>1</v>
      </c>
      <c r="AT645" s="2">
        <v>1.3140000000000001</v>
      </c>
      <c r="AU645" s="1">
        <f t="shared" si="85"/>
        <v>0.90330354018766412</v>
      </c>
      <c r="AV645" s="1">
        <f t="shared" si="86"/>
        <v>0.83814517849541692</v>
      </c>
      <c r="AW645" s="1">
        <f t="shared" si="87"/>
        <v>0.7729868168031695</v>
      </c>
    </row>
    <row r="646" spans="1:49" x14ac:dyDescent="0.2">
      <c r="A646">
        <v>644</v>
      </c>
      <c r="B646" t="s">
        <v>2485</v>
      </c>
      <c r="C646" t="s">
        <v>2484</v>
      </c>
      <c r="F646" t="s">
        <v>2483</v>
      </c>
      <c r="G646" t="s">
        <v>5</v>
      </c>
      <c r="H646" t="s">
        <v>4</v>
      </c>
      <c r="I646" t="s">
        <v>2482</v>
      </c>
      <c r="J646">
        <v>60021097</v>
      </c>
      <c r="K646" t="s">
        <v>404</v>
      </c>
      <c r="L646" t="s">
        <v>403</v>
      </c>
      <c r="M646" t="s">
        <v>13</v>
      </c>
      <c r="N646">
        <v>2</v>
      </c>
      <c r="O646" t="s">
        <v>2481</v>
      </c>
      <c r="P646" t="s">
        <v>2480</v>
      </c>
      <c r="Q646" t="s">
        <v>402</v>
      </c>
      <c r="R646" s="7">
        <v>36055</v>
      </c>
      <c r="S646" s="8">
        <f t="shared" si="80"/>
        <v>1998</v>
      </c>
      <c r="T646" s="8">
        <v>1998</v>
      </c>
      <c r="U646" s="8">
        <f t="shared" si="81"/>
        <v>24</v>
      </c>
      <c r="V646" s="7">
        <v>36055</v>
      </c>
      <c r="W646" t="s">
        <v>612</v>
      </c>
      <c r="X646" s="2">
        <v>0.375</v>
      </c>
      <c r="Y646" s="6">
        <f t="shared" si="82"/>
        <v>1.0010410827260351E-2</v>
      </c>
      <c r="AA646">
        <v>135194</v>
      </c>
      <c r="AB646">
        <v>24918</v>
      </c>
      <c r="AD646" t="s">
        <v>2</v>
      </c>
      <c r="AE646">
        <v>34</v>
      </c>
      <c r="AF646">
        <v>19</v>
      </c>
      <c r="AH646" t="s">
        <v>2479</v>
      </c>
      <c r="AI646" t="s">
        <v>2478</v>
      </c>
      <c r="AK646" t="s">
        <v>2477</v>
      </c>
      <c r="AL646">
        <v>1</v>
      </c>
      <c r="AM646" s="5">
        <f t="shared" si="83"/>
        <v>4.1666666666666664E-2</v>
      </c>
      <c r="AN646" s="4">
        <f t="shared" si="84"/>
        <v>6.3107408809794262E-5</v>
      </c>
      <c r="AO646" s="3"/>
      <c r="AP646">
        <v>0</v>
      </c>
      <c r="AR646" t="s">
        <v>1</v>
      </c>
      <c r="AT646" s="2">
        <v>1.3140000000000001</v>
      </c>
      <c r="AU646" s="1">
        <f t="shared" si="85"/>
        <v>0.70262198017251842</v>
      </c>
      <c r="AV646" s="1">
        <f t="shared" si="86"/>
        <v>0.50367591180350735</v>
      </c>
      <c r="AW646" s="1">
        <f t="shared" si="87"/>
        <v>0.30472984343449611</v>
      </c>
    </row>
    <row r="647" spans="1:49" x14ac:dyDescent="0.2">
      <c r="A647">
        <v>645</v>
      </c>
      <c r="B647" t="s">
        <v>2476</v>
      </c>
      <c r="C647" t="s">
        <v>2475</v>
      </c>
      <c r="F647" t="s">
        <v>2474</v>
      </c>
      <c r="G647" t="s">
        <v>5</v>
      </c>
      <c r="H647" t="s">
        <v>4</v>
      </c>
      <c r="I647" t="s">
        <v>262</v>
      </c>
      <c r="J647">
        <v>60020650</v>
      </c>
      <c r="K647" t="s">
        <v>261</v>
      </c>
      <c r="L647" t="s">
        <v>260</v>
      </c>
      <c r="M647" t="s">
        <v>13</v>
      </c>
      <c r="N647">
        <v>1</v>
      </c>
      <c r="O647" t="s">
        <v>2473</v>
      </c>
      <c r="P647">
        <v>7004302468</v>
      </c>
      <c r="Q647">
        <v>60020650</v>
      </c>
      <c r="R647" s="7">
        <v>36055</v>
      </c>
      <c r="S647" s="8">
        <f t="shared" si="80"/>
        <v>1998</v>
      </c>
      <c r="T647" s="8">
        <v>1998</v>
      </c>
      <c r="U647" s="8">
        <f t="shared" si="81"/>
        <v>24</v>
      </c>
      <c r="V647" s="7">
        <v>36055</v>
      </c>
      <c r="W647" t="s">
        <v>612</v>
      </c>
      <c r="X647" s="2">
        <v>0.375</v>
      </c>
      <c r="Y647" s="6">
        <f t="shared" si="82"/>
        <v>1.0010410827260351E-2</v>
      </c>
      <c r="AA647">
        <v>135194</v>
      </c>
      <c r="AB647">
        <v>24918</v>
      </c>
      <c r="AD647" t="s">
        <v>2</v>
      </c>
      <c r="AE647">
        <v>34</v>
      </c>
      <c r="AF647">
        <v>19</v>
      </c>
      <c r="AH647" t="s">
        <v>2472</v>
      </c>
      <c r="AI647" t="s">
        <v>2471</v>
      </c>
      <c r="AK647" t="s">
        <v>2470</v>
      </c>
      <c r="AL647">
        <v>10</v>
      </c>
      <c r="AM647" s="5">
        <f t="shared" si="83"/>
        <v>0.41666666666666669</v>
      </c>
      <c r="AN647" s="4">
        <f t="shared" si="84"/>
        <v>6.310740880979427E-4</v>
      </c>
      <c r="AO647" s="3"/>
      <c r="AP647">
        <v>0</v>
      </c>
      <c r="AR647" t="s">
        <v>1</v>
      </c>
      <c r="AT647" s="2">
        <v>1.3140000000000001</v>
      </c>
      <c r="AU647" s="1">
        <f t="shared" si="85"/>
        <v>0.71966098055116279</v>
      </c>
      <c r="AV647" s="1">
        <f t="shared" si="86"/>
        <v>0.53207424576791473</v>
      </c>
      <c r="AW647" s="1">
        <f t="shared" si="87"/>
        <v>0.34448751098466646</v>
      </c>
    </row>
    <row r="648" spans="1:49" x14ac:dyDescent="0.2">
      <c r="A648">
        <v>646</v>
      </c>
      <c r="B648" t="s">
        <v>2469</v>
      </c>
      <c r="C648" t="s">
        <v>2468</v>
      </c>
      <c r="F648" t="s">
        <v>2467</v>
      </c>
      <c r="G648" t="s">
        <v>5</v>
      </c>
      <c r="H648" t="s">
        <v>4</v>
      </c>
      <c r="I648" t="s">
        <v>682</v>
      </c>
      <c r="J648" t="s">
        <v>681</v>
      </c>
      <c r="K648" t="s">
        <v>680</v>
      </c>
      <c r="L648" t="s">
        <v>679</v>
      </c>
      <c r="M648" t="s">
        <v>678</v>
      </c>
      <c r="N648">
        <v>4</v>
      </c>
      <c r="O648" t="s">
        <v>2466</v>
      </c>
      <c r="P648" t="s">
        <v>2465</v>
      </c>
      <c r="Q648" t="s">
        <v>2464</v>
      </c>
      <c r="R648" s="7">
        <v>36055</v>
      </c>
      <c r="S648" s="8">
        <f t="shared" si="80"/>
        <v>1998</v>
      </c>
      <c r="T648" s="8">
        <v>1998</v>
      </c>
      <c r="U648" s="8">
        <f t="shared" si="81"/>
        <v>24</v>
      </c>
      <c r="V648" s="7">
        <v>36055</v>
      </c>
      <c r="W648" t="s">
        <v>612</v>
      </c>
      <c r="X648" s="2">
        <v>0.375</v>
      </c>
      <c r="Y648" s="6">
        <f t="shared" si="82"/>
        <v>1.0010410827260351E-2</v>
      </c>
      <c r="AA648">
        <v>135194</v>
      </c>
      <c r="AB648">
        <v>24918</v>
      </c>
      <c r="AD648" t="s">
        <v>2</v>
      </c>
      <c r="AE648">
        <v>34</v>
      </c>
      <c r="AF648">
        <v>19</v>
      </c>
      <c r="AH648" t="s">
        <v>2463</v>
      </c>
      <c r="AI648" t="s">
        <v>2462</v>
      </c>
      <c r="AK648" t="s">
        <v>2461</v>
      </c>
      <c r="AL648">
        <v>61</v>
      </c>
      <c r="AM648" s="5">
        <f t="shared" si="83"/>
        <v>2.5416666666666665</v>
      </c>
      <c r="AN648" s="4">
        <f t="shared" si="84"/>
        <v>3.8495519373974501E-3</v>
      </c>
      <c r="AO648" s="3"/>
      <c r="AP648">
        <v>0</v>
      </c>
      <c r="AR648" t="s">
        <v>1</v>
      </c>
      <c r="AT648" s="2">
        <v>1.3140000000000001</v>
      </c>
      <c r="AU648" s="1">
        <f t="shared" si="85"/>
        <v>0.81621531603014807</v>
      </c>
      <c r="AV648" s="1">
        <f t="shared" si="86"/>
        <v>0.69299813823289014</v>
      </c>
      <c r="AW648" s="1">
        <f t="shared" si="87"/>
        <v>0.56978096043563198</v>
      </c>
    </row>
    <row r="649" spans="1:49" x14ac:dyDescent="0.2">
      <c r="A649">
        <v>647</v>
      </c>
      <c r="B649" t="s">
        <v>2460</v>
      </c>
      <c r="C649" t="s">
        <v>2459</v>
      </c>
      <c r="F649" t="s">
        <v>2458</v>
      </c>
      <c r="G649" t="s">
        <v>5</v>
      </c>
      <c r="H649" t="s">
        <v>4</v>
      </c>
      <c r="I649" t="s">
        <v>352</v>
      </c>
      <c r="J649">
        <v>60011357</v>
      </c>
      <c r="K649" t="s">
        <v>130</v>
      </c>
      <c r="L649" t="s">
        <v>129</v>
      </c>
      <c r="M649" t="s">
        <v>128</v>
      </c>
      <c r="N649">
        <v>2</v>
      </c>
      <c r="O649" t="s">
        <v>2457</v>
      </c>
      <c r="P649" t="s">
        <v>2456</v>
      </c>
      <c r="Q649" t="s">
        <v>127</v>
      </c>
      <c r="R649" s="7">
        <v>36055</v>
      </c>
      <c r="S649" s="8">
        <f t="shared" si="80"/>
        <v>1998</v>
      </c>
      <c r="T649" s="8">
        <v>1998</v>
      </c>
      <c r="U649" s="8">
        <f t="shared" si="81"/>
        <v>24</v>
      </c>
      <c r="V649" s="7">
        <v>36055</v>
      </c>
      <c r="W649" t="s">
        <v>612</v>
      </c>
      <c r="X649" s="2">
        <v>0.375</v>
      </c>
      <c r="Y649" s="6">
        <f t="shared" si="82"/>
        <v>1.0010410827260351E-2</v>
      </c>
      <c r="AA649">
        <v>135194</v>
      </c>
      <c r="AB649">
        <v>24918</v>
      </c>
      <c r="AD649" t="s">
        <v>2</v>
      </c>
      <c r="AE649">
        <v>34</v>
      </c>
      <c r="AF649">
        <v>19</v>
      </c>
      <c r="AH649" t="s">
        <v>2455</v>
      </c>
      <c r="AI649" t="s">
        <v>2454</v>
      </c>
      <c r="AK649" t="s">
        <v>2453</v>
      </c>
      <c r="AL649">
        <v>37</v>
      </c>
      <c r="AM649" s="5">
        <f t="shared" si="83"/>
        <v>1.5416666666666667</v>
      </c>
      <c r="AN649" s="4">
        <f t="shared" si="84"/>
        <v>2.3349741259623882E-3</v>
      </c>
      <c r="AO649" s="3"/>
      <c r="AP649">
        <v>0</v>
      </c>
      <c r="AR649" t="s">
        <v>1</v>
      </c>
      <c r="AT649" s="2">
        <v>1.3140000000000001</v>
      </c>
      <c r="AU649" s="1">
        <f t="shared" si="85"/>
        <v>0.77077798168709621</v>
      </c>
      <c r="AV649" s="1">
        <f t="shared" si="86"/>
        <v>0.617269247661137</v>
      </c>
      <c r="AW649" s="1">
        <f t="shared" si="87"/>
        <v>0.46376051363517767</v>
      </c>
    </row>
    <row r="650" spans="1:49" x14ac:dyDescent="0.2">
      <c r="A650">
        <v>648</v>
      </c>
      <c r="B650" t="s">
        <v>2452</v>
      </c>
      <c r="C650" t="s">
        <v>2451</v>
      </c>
      <c r="F650" t="s">
        <v>2450</v>
      </c>
      <c r="G650" t="s">
        <v>5</v>
      </c>
      <c r="H650" t="s">
        <v>4</v>
      </c>
      <c r="I650" t="s">
        <v>2449</v>
      </c>
      <c r="J650">
        <v>60026851</v>
      </c>
      <c r="K650" t="s">
        <v>562</v>
      </c>
      <c r="L650" t="s">
        <v>561</v>
      </c>
      <c r="M650" t="s">
        <v>13</v>
      </c>
      <c r="N650">
        <v>2</v>
      </c>
      <c r="O650" t="s">
        <v>2448</v>
      </c>
      <c r="P650" t="s">
        <v>2447</v>
      </c>
      <c r="Q650" t="s">
        <v>560</v>
      </c>
      <c r="R650" s="7">
        <v>36055</v>
      </c>
      <c r="S650" s="8">
        <f t="shared" si="80"/>
        <v>1998</v>
      </c>
      <c r="T650" s="8">
        <v>1998</v>
      </c>
      <c r="U650" s="8">
        <f t="shared" si="81"/>
        <v>24</v>
      </c>
      <c r="V650" s="7">
        <v>36055</v>
      </c>
      <c r="W650" t="s">
        <v>612</v>
      </c>
      <c r="X650" s="2">
        <v>0.375</v>
      </c>
      <c r="Y650" s="6">
        <f t="shared" si="82"/>
        <v>1.0010410827260351E-2</v>
      </c>
      <c r="AA650">
        <v>135194</v>
      </c>
      <c r="AB650">
        <v>24918</v>
      </c>
      <c r="AD650" t="s">
        <v>2</v>
      </c>
      <c r="AE650">
        <v>34</v>
      </c>
      <c r="AF650">
        <v>19</v>
      </c>
      <c r="AH650" t="s">
        <v>2446</v>
      </c>
      <c r="AI650" t="s">
        <v>2445</v>
      </c>
      <c r="AK650" t="s">
        <v>2444</v>
      </c>
      <c r="AL650">
        <v>10</v>
      </c>
      <c r="AM650" s="5">
        <f t="shared" si="83"/>
        <v>0.41666666666666669</v>
      </c>
      <c r="AN650" s="4">
        <f t="shared" si="84"/>
        <v>6.310740880979427E-4</v>
      </c>
      <c r="AO650" s="3"/>
      <c r="AP650">
        <v>0</v>
      </c>
      <c r="AR650" t="s">
        <v>1</v>
      </c>
      <c r="AT650" s="2">
        <v>1.3140000000000001</v>
      </c>
      <c r="AU650" s="1">
        <f t="shared" si="85"/>
        <v>0.71966098055116279</v>
      </c>
      <c r="AV650" s="1">
        <f t="shared" si="86"/>
        <v>0.53207424576791473</v>
      </c>
      <c r="AW650" s="1">
        <f t="shared" si="87"/>
        <v>0.34448751098466646</v>
      </c>
    </row>
    <row r="651" spans="1:49" x14ac:dyDescent="0.2">
      <c r="A651">
        <v>649</v>
      </c>
      <c r="B651" t="s">
        <v>2443</v>
      </c>
      <c r="C651" t="s">
        <v>2442</v>
      </c>
      <c r="E651">
        <v>9744432</v>
      </c>
      <c r="F651" t="s">
        <v>2441</v>
      </c>
      <c r="G651" t="s">
        <v>5</v>
      </c>
      <c r="H651" t="s">
        <v>4</v>
      </c>
      <c r="I651" t="s">
        <v>2440</v>
      </c>
      <c r="J651" t="s">
        <v>2439</v>
      </c>
      <c r="K651" t="s">
        <v>2438</v>
      </c>
      <c r="L651" t="s">
        <v>2437</v>
      </c>
      <c r="M651" t="s">
        <v>101</v>
      </c>
      <c r="N651">
        <v>3</v>
      </c>
      <c r="O651" t="s">
        <v>2436</v>
      </c>
      <c r="P651" t="s">
        <v>2435</v>
      </c>
      <c r="Q651" t="s">
        <v>2434</v>
      </c>
      <c r="R651" s="7">
        <v>36055</v>
      </c>
      <c r="S651" s="8">
        <f t="shared" si="80"/>
        <v>1998</v>
      </c>
      <c r="T651" s="8">
        <v>1998</v>
      </c>
      <c r="U651" s="8">
        <f t="shared" si="81"/>
        <v>24</v>
      </c>
      <c r="V651" s="7">
        <v>1998</v>
      </c>
      <c r="W651" t="s">
        <v>211</v>
      </c>
      <c r="X651" s="2">
        <v>0.68600000000000005</v>
      </c>
      <c r="Y651" s="6">
        <f t="shared" si="82"/>
        <v>1.831237820666827E-2</v>
      </c>
      <c r="AA651">
        <v>1478389</v>
      </c>
      <c r="AB651">
        <v>20516</v>
      </c>
      <c r="AD651" t="s">
        <v>2</v>
      </c>
      <c r="AE651">
        <v>21</v>
      </c>
      <c r="AF651">
        <v>9</v>
      </c>
      <c r="AH651" t="s">
        <v>2433</v>
      </c>
      <c r="AI651" t="s">
        <v>2432</v>
      </c>
      <c r="AJ651" t="s">
        <v>2431</v>
      </c>
      <c r="AK651" t="s">
        <v>2430</v>
      </c>
      <c r="AL651">
        <v>35</v>
      </c>
      <c r="AM651" s="5">
        <f t="shared" si="83"/>
        <v>1.4583333333333333</v>
      </c>
      <c r="AN651" s="4">
        <f t="shared" si="84"/>
        <v>2.2087593083427995E-3</v>
      </c>
      <c r="AO651" s="3"/>
      <c r="AP651">
        <v>0</v>
      </c>
      <c r="AR651" t="s">
        <v>1</v>
      </c>
      <c r="AT651" s="2" t="s">
        <v>0</v>
      </c>
      <c r="AU651" s="1">
        <f t="shared" si="85"/>
        <v>1.3481292537170628</v>
      </c>
      <c r="AV651" s="1">
        <f t="shared" si="86"/>
        <v>1.0260568757505535</v>
      </c>
      <c r="AW651" s="1">
        <f t="shared" si="87"/>
        <v>0.70398449778404404</v>
      </c>
    </row>
    <row r="652" spans="1:49" x14ac:dyDescent="0.2">
      <c r="A652">
        <v>650</v>
      </c>
      <c r="B652" t="s">
        <v>2429</v>
      </c>
      <c r="C652" t="s">
        <v>2428</v>
      </c>
      <c r="E652">
        <v>9780236</v>
      </c>
      <c r="F652" t="s">
        <v>2427</v>
      </c>
      <c r="G652" t="s">
        <v>5</v>
      </c>
      <c r="H652" t="s">
        <v>4</v>
      </c>
      <c r="I652" t="s">
        <v>2426</v>
      </c>
      <c r="J652">
        <v>60003892</v>
      </c>
      <c r="K652" t="s">
        <v>47</v>
      </c>
      <c r="L652" t="s">
        <v>46</v>
      </c>
      <c r="M652" t="s">
        <v>9</v>
      </c>
      <c r="N652">
        <v>2</v>
      </c>
      <c r="O652" t="s">
        <v>2425</v>
      </c>
      <c r="P652" t="s">
        <v>2424</v>
      </c>
      <c r="Q652" t="s">
        <v>2423</v>
      </c>
      <c r="R652" s="7">
        <v>36053</v>
      </c>
      <c r="S652" s="8">
        <f t="shared" si="80"/>
        <v>1998</v>
      </c>
      <c r="T652" s="8">
        <v>1998</v>
      </c>
      <c r="U652" s="8">
        <f t="shared" si="81"/>
        <v>24</v>
      </c>
      <c r="V652" s="7">
        <v>36053</v>
      </c>
      <c r="W652" t="s">
        <v>700</v>
      </c>
      <c r="X652" s="2">
        <v>1.9810000000000001</v>
      </c>
      <c r="Y652" s="6">
        <f t="shared" si="82"/>
        <v>5.2881663596807349E-2</v>
      </c>
      <c r="AA652">
        <v>142956</v>
      </c>
      <c r="AB652">
        <v>39034</v>
      </c>
      <c r="AD652" t="s">
        <v>2</v>
      </c>
      <c r="AE652">
        <v>256</v>
      </c>
      <c r="AF652">
        <v>3</v>
      </c>
      <c r="AH652" t="s">
        <v>2422</v>
      </c>
      <c r="AI652" t="s">
        <v>2421</v>
      </c>
      <c r="AJ652" t="s">
        <v>2420</v>
      </c>
      <c r="AK652" t="s">
        <v>2419</v>
      </c>
      <c r="AL652">
        <v>18</v>
      </c>
      <c r="AM652" s="5">
        <f t="shared" si="83"/>
        <v>0.75</v>
      </c>
      <c r="AN652" s="4">
        <f t="shared" si="84"/>
        <v>1.1359333585762969E-3</v>
      </c>
      <c r="AO652" s="3"/>
      <c r="AP652">
        <v>1</v>
      </c>
      <c r="AR652" t="s">
        <v>1</v>
      </c>
      <c r="AT652" s="2" t="s">
        <v>0</v>
      </c>
      <c r="AU652" s="1">
        <f t="shared" si="85"/>
        <v>3.7357944525338027</v>
      </c>
      <c r="AV652" s="1">
        <f t="shared" si="86"/>
        <v>2.7008798477691824</v>
      </c>
      <c r="AW652" s="1">
        <f t="shared" si="87"/>
        <v>1.6659652430045611</v>
      </c>
    </row>
    <row r="653" spans="1:49" x14ac:dyDescent="0.2">
      <c r="A653">
        <v>651</v>
      </c>
      <c r="B653" t="s">
        <v>2418</v>
      </c>
      <c r="C653" t="s">
        <v>2417</v>
      </c>
      <c r="E653">
        <v>9736646</v>
      </c>
      <c r="F653" t="s">
        <v>2416</v>
      </c>
      <c r="G653" t="s">
        <v>5</v>
      </c>
      <c r="H653" t="s">
        <v>4</v>
      </c>
      <c r="I653" t="s">
        <v>2415</v>
      </c>
      <c r="J653" t="s">
        <v>2414</v>
      </c>
      <c r="K653" t="s">
        <v>2413</v>
      </c>
      <c r="L653" t="s">
        <v>2412</v>
      </c>
      <c r="M653" t="s">
        <v>6</v>
      </c>
      <c r="N653">
        <v>5</v>
      </c>
      <c r="O653" t="s">
        <v>2411</v>
      </c>
      <c r="P653" t="s">
        <v>2410</v>
      </c>
      <c r="Q653" t="s">
        <v>2409</v>
      </c>
      <c r="R653" s="7">
        <v>36053</v>
      </c>
      <c r="S653" s="8">
        <f t="shared" si="80"/>
        <v>1998</v>
      </c>
      <c r="T653" s="8">
        <v>1998</v>
      </c>
      <c r="U653" s="8">
        <f t="shared" si="81"/>
        <v>24</v>
      </c>
      <c r="V653" s="7">
        <v>36053</v>
      </c>
      <c r="W653" t="s">
        <v>741</v>
      </c>
      <c r="X653" s="2">
        <v>3.4830000000000001</v>
      </c>
      <c r="Y653" s="6">
        <f t="shared" si="82"/>
        <v>9.2976695763594144E-2</v>
      </c>
      <c r="AA653">
        <v>2706474</v>
      </c>
      <c r="AB653">
        <v>16764</v>
      </c>
      <c r="AD653" t="s">
        <v>2</v>
      </c>
      <c r="AE653">
        <v>18</v>
      </c>
      <c r="AF653">
        <v>18</v>
      </c>
      <c r="AH653" t="s">
        <v>2408</v>
      </c>
      <c r="AI653" t="s">
        <v>2407</v>
      </c>
      <c r="AJ653" t="s">
        <v>2406</v>
      </c>
      <c r="AK653" t="s">
        <v>2405</v>
      </c>
      <c r="AL653">
        <v>107</v>
      </c>
      <c r="AM653" s="5">
        <f t="shared" si="83"/>
        <v>4.458333333333333</v>
      </c>
      <c r="AN653" s="4">
        <f t="shared" si="84"/>
        <v>6.7524927426479862E-3</v>
      </c>
      <c r="AO653" s="3"/>
      <c r="AP653">
        <v>0</v>
      </c>
      <c r="AQ653" t="s">
        <v>2001</v>
      </c>
      <c r="AR653" t="s">
        <v>2404</v>
      </c>
      <c r="AS653" t="s">
        <v>1999</v>
      </c>
      <c r="AT653" s="2">
        <v>6.1669999999999998</v>
      </c>
      <c r="AU653" s="1">
        <f t="shared" si="85"/>
        <v>6.7109434857310291</v>
      </c>
      <c r="AV653" s="1">
        <f t="shared" si="86"/>
        <v>4.9864594253121064</v>
      </c>
      <c r="AW653" s="1">
        <f t="shared" si="87"/>
        <v>3.2619753648931833</v>
      </c>
    </row>
    <row r="654" spans="1:49" x14ac:dyDescent="0.2">
      <c r="A654">
        <v>652</v>
      </c>
      <c r="B654" t="s">
        <v>2403</v>
      </c>
      <c r="C654" t="s">
        <v>2402</v>
      </c>
      <c r="D654" t="s">
        <v>2401</v>
      </c>
      <c r="F654" t="s">
        <v>2400</v>
      </c>
      <c r="G654" t="s">
        <v>5</v>
      </c>
      <c r="H654" t="s">
        <v>4</v>
      </c>
      <c r="I654" t="s">
        <v>466</v>
      </c>
      <c r="J654">
        <v>60027161</v>
      </c>
      <c r="K654" t="s">
        <v>465</v>
      </c>
      <c r="L654" t="s">
        <v>464</v>
      </c>
      <c r="M654" t="s">
        <v>322</v>
      </c>
      <c r="N654">
        <v>2</v>
      </c>
      <c r="O654" t="s">
        <v>463</v>
      </c>
      <c r="P654" t="s">
        <v>462</v>
      </c>
      <c r="Q654" t="s">
        <v>461</v>
      </c>
      <c r="R654" s="7">
        <v>36053</v>
      </c>
      <c r="S654" s="8">
        <f t="shared" si="80"/>
        <v>1998</v>
      </c>
      <c r="T654" s="8">
        <v>1998</v>
      </c>
      <c r="U654" s="8">
        <f t="shared" si="81"/>
        <v>24</v>
      </c>
      <c r="V654" s="7">
        <v>36053</v>
      </c>
      <c r="W654" t="s">
        <v>2399</v>
      </c>
      <c r="X654" s="2">
        <v>0.69899999999999995</v>
      </c>
      <c r="Y654" s="6">
        <f t="shared" si="82"/>
        <v>1.8659405782013295E-2</v>
      </c>
      <c r="AA654">
        <v>9244247</v>
      </c>
      <c r="AB654">
        <v>13660</v>
      </c>
      <c r="AD654" t="s">
        <v>2</v>
      </c>
      <c r="AE654">
        <v>69</v>
      </c>
      <c r="AF654">
        <v>3</v>
      </c>
      <c r="AH654" t="s">
        <v>2398</v>
      </c>
      <c r="AI654" t="s">
        <v>2397</v>
      </c>
      <c r="AJ654" t="s">
        <v>2396</v>
      </c>
      <c r="AK654" t="s">
        <v>2395</v>
      </c>
      <c r="AL654">
        <v>2</v>
      </c>
      <c r="AM654" s="5">
        <f t="shared" si="83"/>
        <v>8.3333333333333329E-2</v>
      </c>
      <c r="AN654" s="4">
        <f t="shared" si="84"/>
        <v>1.2621481761958852E-4</v>
      </c>
      <c r="AO654" s="3"/>
      <c r="AP654">
        <v>0</v>
      </c>
      <c r="AR654" t="s">
        <v>1</v>
      </c>
      <c r="AT654" s="2" t="s">
        <v>0</v>
      </c>
      <c r="AU654" s="1">
        <f t="shared" si="85"/>
        <v>1.309944849269518</v>
      </c>
      <c r="AV654" s="1">
        <f t="shared" si="86"/>
        <v>0.9392810299816442</v>
      </c>
      <c r="AW654" s="1">
        <f t="shared" si="87"/>
        <v>0.56861721069377003</v>
      </c>
    </row>
    <row r="655" spans="1:49" x14ac:dyDescent="0.2">
      <c r="A655">
        <v>653</v>
      </c>
      <c r="B655" t="s">
        <v>2394</v>
      </c>
      <c r="C655" t="s">
        <v>2393</v>
      </c>
      <c r="F655" t="s">
        <v>2392</v>
      </c>
      <c r="G655" t="s">
        <v>5</v>
      </c>
      <c r="H655" t="s">
        <v>4</v>
      </c>
      <c r="I655" t="s">
        <v>344</v>
      </c>
      <c r="J655" t="s">
        <v>2391</v>
      </c>
      <c r="K655" t="s">
        <v>2390</v>
      </c>
      <c r="L655" t="s">
        <v>2389</v>
      </c>
      <c r="M655" t="s">
        <v>174</v>
      </c>
      <c r="N655">
        <v>3</v>
      </c>
      <c r="O655" t="s">
        <v>2388</v>
      </c>
      <c r="P655" t="s">
        <v>2387</v>
      </c>
      <c r="Q655" t="s">
        <v>2386</v>
      </c>
      <c r="R655" s="7">
        <v>36053</v>
      </c>
      <c r="S655" s="8">
        <f t="shared" si="80"/>
        <v>1998</v>
      </c>
      <c r="T655" s="8">
        <v>1998</v>
      </c>
      <c r="U655" s="8">
        <f t="shared" si="81"/>
        <v>24</v>
      </c>
      <c r="V655" s="7">
        <v>36053</v>
      </c>
      <c r="W655" t="s">
        <v>341</v>
      </c>
      <c r="X655" s="2">
        <v>1.276</v>
      </c>
      <c r="Y655" s="6">
        <f t="shared" si="82"/>
        <v>3.4062091241557887E-2</v>
      </c>
      <c r="AA655">
        <v>214922</v>
      </c>
      <c r="AB655">
        <v>75087</v>
      </c>
      <c r="AD655" t="s">
        <v>2</v>
      </c>
      <c r="AE655">
        <v>37</v>
      </c>
      <c r="AF655" t="s">
        <v>2385</v>
      </c>
      <c r="AI655" t="s">
        <v>2384</v>
      </c>
      <c r="AJ655" t="s">
        <v>2383</v>
      </c>
      <c r="AK655" t="s">
        <v>2382</v>
      </c>
      <c r="AL655">
        <v>41</v>
      </c>
      <c r="AM655" s="5">
        <f t="shared" si="83"/>
        <v>1.7083333333333333</v>
      </c>
      <c r="AN655" s="4">
        <f t="shared" si="84"/>
        <v>2.5874037612015652E-3</v>
      </c>
      <c r="AO655" s="3"/>
      <c r="AP655">
        <v>0</v>
      </c>
      <c r="AR655" t="s">
        <v>1</v>
      </c>
      <c r="AT655" s="2" t="s">
        <v>0</v>
      </c>
      <c r="AU655" s="1">
        <f t="shared" si="85"/>
        <v>2.4619684997450988</v>
      </c>
      <c r="AV655" s="1">
        <f t="shared" si="86"/>
        <v>1.8324747501379726</v>
      </c>
      <c r="AW655" s="1">
        <f t="shared" si="87"/>
        <v>1.2029810005308461</v>
      </c>
    </row>
    <row r="656" spans="1:49" x14ac:dyDescent="0.2">
      <c r="A656">
        <v>654</v>
      </c>
      <c r="B656" t="s">
        <v>2381</v>
      </c>
      <c r="C656" t="s">
        <v>2380</v>
      </c>
      <c r="D656" t="s">
        <v>2379</v>
      </c>
      <c r="F656" t="s">
        <v>2378</v>
      </c>
      <c r="G656" t="s">
        <v>5</v>
      </c>
      <c r="H656" t="s">
        <v>4</v>
      </c>
      <c r="I656" t="s">
        <v>2377</v>
      </c>
      <c r="J656" t="s">
        <v>2376</v>
      </c>
      <c r="K656" t="s">
        <v>2375</v>
      </c>
      <c r="L656" t="s">
        <v>2374</v>
      </c>
      <c r="M656" t="s">
        <v>2373</v>
      </c>
      <c r="N656">
        <v>3</v>
      </c>
      <c r="O656" t="s">
        <v>2372</v>
      </c>
      <c r="P656" t="s">
        <v>2371</v>
      </c>
      <c r="Q656" t="s">
        <v>2370</v>
      </c>
      <c r="R656" s="7">
        <v>36052</v>
      </c>
      <c r="S656" s="8">
        <f t="shared" si="80"/>
        <v>1998</v>
      </c>
      <c r="T656" s="8">
        <v>1998</v>
      </c>
      <c r="U656" s="8">
        <f t="shared" si="81"/>
        <v>24</v>
      </c>
      <c r="V656" s="7">
        <v>36052</v>
      </c>
      <c r="W656" t="s">
        <v>537</v>
      </c>
      <c r="X656" s="2">
        <v>0.499</v>
      </c>
      <c r="Y656" s="6">
        <f t="shared" si="82"/>
        <v>1.332052000747444E-2</v>
      </c>
      <c r="AA656">
        <v>3759601</v>
      </c>
      <c r="AB656">
        <v>29464</v>
      </c>
      <c r="AD656" t="s">
        <v>2</v>
      </c>
      <c r="AE656">
        <v>246</v>
      </c>
      <c r="AF656" s="9">
        <v>44289</v>
      </c>
      <c r="AH656" t="s">
        <v>2369</v>
      </c>
      <c r="AI656" t="s">
        <v>2368</v>
      </c>
      <c r="AK656" t="s">
        <v>2367</v>
      </c>
      <c r="AL656">
        <v>85</v>
      </c>
      <c r="AM656" s="5">
        <f t="shared" si="83"/>
        <v>3.5416666666666665</v>
      </c>
      <c r="AN656" s="4">
        <f t="shared" si="84"/>
        <v>5.364129748832513E-3</v>
      </c>
      <c r="AO656" s="3"/>
      <c r="AP656">
        <v>0</v>
      </c>
      <c r="AR656" t="s">
        <v>1</v>
      </c>
      <c r="AT656" s="2" t="s">
        <v>0</v>
      </c>
      <c r="AU656" s="1">
        <f t="shared" si="85"/>
        <v>1.093360292988186</v>
      </c>
      <c r="AV656" s="1">
        <f t="shared" si="86"/>
        <v>0.93423248781534762</v>
      </c>
      <c r="AW656" s="1">
        <f t="shared" si="87"/>
        <v>0.77510468264250909</v>
      </c>
    </row>
    <row r="657" spans="1:49" x14ac:dyDescent="0.2">
      <c r="A657">
        <v>655</v>
      </c>
      <c r="B657" t="s">
        <v>2366</v>
      </c>
      <c r="C657" t="s">
        <v>2365</v>
      </c>
      <c r="D657" t="s">
        <v>2364</v>
      </c>
      <c r="E657">
        <v>9733981</v>
      </c>
      <c r="F657" t="s">
        <v>2363</v>
      </c>
      <c r="G657" t="s">
        <v>5</v>
      </c>
      <c r="H657" t="s">
        <v>4</v>
      </c>
      <c r="I657" t="s">
        <v>712</v>
      </c>
      <c r="J657">
        <v>60030807</v>
      </c>
      <c r="K657" t="s">
        <v>711</v>
      </c>
      <c r="L657" t="s">
        <v>710</v>
      </c>
      <c r="M657" t="s">
        <v>37</v>
      </c>
      <c r="N657">
        <v>3</v>
      </c>
      <c r="O657" t="s">
        <v>2362</v>
      </c>
      <c r="P657" t="s">
        <v>2361</v>
      </c>
      <c r="Q657" t="s">
        <v>709</v>
      </c>
      <c r="R657" s="7">
        <v>36052</v>
      </c>
      <c r="S657" s="8">
        <f t="shared" si="80"/>
        <v>1998</v>
      </c>
      <c r="T657" s="8">
        <v>1998</v>
      </c>
      <c r="U657" s="8">
        <f t="shared" si="81"/>
        <v>24</v>
      </c>
      <c r="V657" s="7">
        <v>36052</v>
      </c>
      <c r="W657" t="s">
        <v>2360</v>
      </c>
      <c r="X657" s="2">
        <v>1.0369999999999999</v>
      </c>
      <c r="Y657" s="6">
        <f t="shared" si="82"/>
        <v>2.7682122740983955E-2</v>
      </c>
      <c r="AA657">
        <v>68993</v>
      </c>
      <c r="AB657">
        <v>14346</v>
      </c>
      <c r="AD657" t="s">
        <v>2</v>
      </c>
      <c r="AE657">
        <v>805</v>
      </c>
      <c r="AF657" s="9">
        <v>44228</v>
      </c>
      <c r="AH657" t="s">
        <v>2359</v>
      </c>
      <c r="AI657" t="s">
        <v>2358</v>
      </c>
      <c r="AJ657" t="s">
        <v>2357</v>
      </c>
      <c r="AK657" t="s">
        <v>2356</v>
      </c>
      <c r="AL657">
        <v>18</v>
      </c>
      <c r="AM657" s="5">
        <f t="shared" si="83"/>
        <v>0.75</v>
      </c>
      <c r="AN657" s="4">
        <f t="shared" si="84"/>
        <v>1.1359333585762969E-3</v>
      </c>
      <c r="AO657" s="3"/>
      <c r="AP657">
        <v>0</v>
      </c>
      <c r="AR657" t="s">
        <v>1</v>
      </c>
      <c r="AT657" s="2">
        <v>3.2519999999999998</v>
      </c>
      <c r="AU657" s="1">
        <f t="shared" si="85"/>
        <v>1.9718265926261656</v>
      </c>
      <c r="AV657" s="1">
        <f t="shared" si="86"/>
        <v>1.4409028049780126</v>
      </c>
      <c r="AW657" s="1">
        <f t="shared" si="87"/>
        <v>0.90997901732985942</v>
      </c>
    </row>
    <row r="658" spans="1:49" x14ac:dyDescent="0.2">
      <c r="A658">
        <v>656</v>
      </c>
      <c r="B658" t="s">
        <v>2355</v>
      </c>
      <c r="C658" t="s">
        <v>2354</v>
      </c>
      <c r="F658" t="s">
        <v>2353</v>
      </c>
      <c r="G658" t="s">
        <v>5</v>
      </c>
      <c r="H658" t="s">
        <v>4</v>
      </c>
      <c r="I658" t="s">
        <v>2352</v>
      </c>
      <c r="J658">
        <v>60027550</v>
      </c>
      <c r="K658" t="s">
        <v>11</v>
      </c>
      <c r="L658" t="s">
        <v>10</v>
      </c>
      <c r="M658" t="s">
        <v>9</v>
      </c>
      <c r="N658">
        <v>2</v>
      </c>
      <c r="O658" t="s">
        <v>2351</v>
      </c>
      <c r="P658" t="s">
        <v>2350</v>
      </c>
      <c r="Q658" t="s">
        <v>8</v>
      </c>
      <c r="R658" s="7">
        <v>36045</v>
      </c>
      <c r="S658" s="8">
        <f t="shared" si="80"/>
        <v>1998</v>
      </c>
      <c r="T658" s="8">
        <v>1998</v>
      </c>
      <c r="U658" s="8">
        <f t="shared" si="81"/>
        <v>24</v>
      </c>
      <c r="V658" s="7">
        <v>36045</v>
      </c>
      <c r="W658" t="s">
        <v>39</v>
      </c>
      <c r="X658" s="2">
        <v>3.6880000000000002</v>
      </c>
      <c r="Y658" s="6">
        <f t="shared" si="82"/>
        <v>9.8449053682496471E-2</v>
      </c>
      <c r="AA658">
        <v>319007</v>
      </c>
      <c r="AB658">
        <v>29150</v>
      </c>
      <c r="AC658">
        <v>10797114</v>
      </c>
      <c r="AD658" t="s">
        <v>2</v>
      </c>
      <c r="AE658">
        <v>81</v>
      </c>
      <c r="AF658">
        <v>10</v>
      </c>
      <c r="AH658" t="s">
        <v>2349</v>
      </c>
      <c r="AI658" t="s">
        <v>2348</v>
      </c>
      <c r="AK658" t="s">
        <v>2347</v>
      </c>
      <c r="AL658">
        <v>18</v>
      </c>
      <c r="AM658" s="5">
        <f t="shared" si="83"/>
        <v>0.75</v>
      </c>
      <c r="AN658" s="4">
        <f t="shared" si="84"/>
        <v>1.1359333585762969E-3</v>
      </c>
      <c r="AO658" s="3"/>
      <c r="AP658">
        <v>0</v>
      </c>
      <c r="AR658" t="s">
        <v>1</v>
      </c>
      <c r="AT658" s="2">
        <v>9.1609999999999996</v>
      </c>
      <c r="AU658" s="1">
        <f t="shared" si="85"/>
        <v>6.9255117585320409</v>
      </c>
      <c r="AV658" s="1">
        <f t="shared" si="86"/>
        <v>4.9792493520536389</v>
      </c>
      <c r="AW658" s="1">
        <f t="shared" si="87"/>
        <v>3.0329869455752347</v>
      </c>
    </row>
    <row r="659" spans="1:49" x14ac:dyDescent="0.2">
      <c r="A659">
        <v>657</v>
      </c>
      <c r="B659" t="s">
        <v>2346</v>
      </c>
      <c r="C659" t="s">
        <v>2345</v>
      </c>
      <c r="D659" t="s">
        <v>2344</v>
      </c>
      <c r="F659" t="s">
        <v>2343</v>
      </c>
      <c r="G659" t="s">
        <v>5</v>
      </c>
      <c r="H659" t="s">
        <v>4</v>
      </c>
      <c r="I659" t="s">
        <v>2342</v>
      </c>
      <c r="J659" t="s">
        <v>2341</v>
      </c>
      <c r="K659" t="s">
        <v>2340</v>
      </c>
      <c r="L659" t="s">
        <v>2339</v>
      </c>
      <c r="M659" t="s">
        <v>2338</v>
      </c>
      <c r="N659">
        <v>5</v>
      </c>
      <c r="O659" t="s">
        <v>2337</v>
      </c>
      <c r="P659" t="s">
        <v>2336</v>
      </c>
      <c r="Q659" t="s">
        <v>2335</v>
      </c>
      <c r="R659" s="7">
        <v>36045</v>
      </c>
      <c r="S659" s="8">
        <f t="shared" si="80"/>
        <v>1998</v>
      </c>
      <c r="T659" s="8">
        <v>1998</v>
      </c>
      <c r="U659" s="8">
        <f t="shared" si="81"/>
        <v>24</v>
      </c>
      <c r="V659" s="7">
        <v>36045</v>
      </c>
      <c r="W659" t="s">
        <v>625</v>
      </c>
      <c r="X659" s="2">
        <v>1.59</v>
      </c>
      <c r="Y659" s="6">
        <f t="shared" si="82"/>
        <v>4.2444141907583888E-2</v>
      </c>
      <c r="AA659">
        <v>52728</v>
      </c>
      <c r="AB659">
        <v>16791</v>
      </c>
      <c r="AD659" t="s">
        <v>2</v>
      </c>
      <c r="AE659">
        <v>1366</v>
      </c>
      <c r="AF659">
        <v>3</v>
      </c>
      <c r="AH659" t="s">
        <v>2334</v>
      </c>
      <c r="AI659" t="s">
        <v>2333</v>
      </c>
      <c r="AJ659" t="s">
        <v>2332</v>
      </c>
      <c r="AK659" t="s">
        <v>2331</v>
      </c>
      <c r="AL659">
        <v>23</v>
      </c>
      <c r="AM659" s="5">
        <f t="shared" si="83"/>
        <v>0.95833333333333337</v>
      </c>
      <c r="AN659" s="4">
        <f t="shared" si="84"/>
        <v>1.4514704026252683E-3</v>
      </c>
      <c r="AO659" s="3"/>
      <c r="AP659">
        <v>1</v>
      </c>
      <c r="AQ659" t="s">
        <v>17</v>
      </c>
      <c r="AR659" t="s">
        <v>2330</v>
      </c>
      <c r="AS659" t="s">
        <v>16</v>
      </c>
      <c r="AT659" s="2" t="s">
        <v>0</v>
      </c>
      <c r="AU659" s="1">
        <f t="shared" si="85"/>
        <v>3.0146340456096299</v>
      </c>
      <c r="AV659" s="1">
        <f t="shared" si="86"/>
        <v>2.1947806155104579</v>
      </c>
      <c r="AW659" s="1">
        <f t="shared" si="87"/>
        <v>1.3749271854112854</v>
      </c>
    </row>
    <row r="660" spans="1:49" x14ac:dyDescent="0.2">
      <c r="A660">
        <v>658</v>
      </c>
      <c r="B660" t="s">
        <v>2329</v>
      </c>
      <c r="C660" t="s">
        <v>2328</v>
      </c>
      <c r="F660" t="s">
        <v>2327</v>
      </c>
      <c r="G660" t="s">
        <v>5</v>
      </c>
      <c r="H660" t="s">
        <v>4</v>
      </c>
      <c r="I660" t="s">
        <v>352</v>
      </c>
      <c r="J660">
        <v>60011357</v>
      </c>
      <c r="K660" t="s">
        <v>130</v>
      </c>
      <c r="L660" t="s">
        <v>129</v>
      </c>
      <c r="M660" t="s">
        <v>128</v>
      </c>
      <c r="N660">
        <v>2</v>
      </c>
      <c r="O660" t="s">
        <v>2326</v>
      </c>
      <c r="P660" t="s">
        <v>2325</v>
      </c>
      <c r="Q660" t="s">
        <v>127</v>
      </c>
      <c r="R660" s="7">
        <v>36041</v>
      </c>
      <c r="S660" s="8">
        <f t="shared" si="80"/>
        <v>1998</v>
      </c>
      <c r="T660" s="8">
        <v>1998</v>
      </c>
      <c r="U660" s="8">
        <f t="shared" si="81"/>
        <v>24</v>
      </c>
      <c r="V660" s="7">
        <v>36041</v>
      </c>
      <c r="W660" t="s">
        <v>612</v>
      </c>
      <c r="X660" s="2">
        <v>0.375</v>
      </c>
      <c r="Y660" s="6">
        <f t="shared" si="82"/>
        <v>1.0010410827260351E-2</v>
      </c>
      <c r="AA660">
        <v>135194</v>
      </c>
      <c r="AB660">
        <v>24918</v>
      </c>
      <c r="AD660" t="s">
        <v>2</v>
      </c>
      <c r="AE660">
        <v>34</v>
      </c>
      <c r="AF660">
        <v>18</v>
      </c>
      <c r="AH660" t="s">
        <v>2324</v>
      </c>
      <c r="AI660" t="s">
        <v>2323</v>
      </c>
      <c r="AK660" t="s">
        <v>2322</v>
      </c>
      <c r="AL660">
        <v>25</v>
      </c>
      <c r="AM660" s="5">
        <f t="shared" si="83"/>
        <v>1.0416666666666667</v>
      </c>
      <c r="AN660" s="4">
        <f t="shared" si="84"/>
        <v>1.5776852202448568E-3</v>
      </c>
      <c r="AO660" s="3"/>
      <c r="AP660">
        <v>0</v>
      </c>
      <c r="AR660" t="s">
        <v>1</v>
      </c>
      <c r="AT660" s="2">
        <v>1.3140000000000001</v>
      </c>
      <c r="AU660" s="1">
        <f t="shared" si="85"/>
        <v>0.74805931451557028</v>
      </c>
      <c r="AV660" s="1">
        <f t="shared" si="86"/>
        <v>0.57940480237526037</v>
      </c>
      <c r="AW660" s="1">
        <f t="shared" si="87"/>
        <v>0.41075029023495047</v>
      </c>
    </row>
    <row r="661" spans="1:49" x14ac:dyDescent="0.2">
      <c r="A661">
        <v>659</v>
      </c>
      <c r="B661" t="s">
        <v>2321</v>
      </c>
      <c r="C661" t="s">
        <v>2320</v>
      </c>
      <c r="F661" t="s">
        <v>2319</v>
      </c>
      <c r="G661" t="s">
        <v>5</v>
      </c>
      <c r="H661" t="s">
        <v>4</v>
      </c>
      <c r="I661" t="s">
        <v>2318</v>
      </c>
      <c r="J661">
        <v>60011774</v>
      </c>
      <c r="K661" t="s">
        <v>676</v>
      </c>
      <c r="L661" t="s">
        <v>448</v>
      </c>
      <c r="M661" t="s">
        <v>106</v>
      </c>
      <c r="N661">
        <v>3</v>
      </c>
      <c r="O661" t="s">
        <v>2317</v>
      </c>
      <c r="P661" t="s">
        <v>2316</v>
      </c>
      <c r="Q661" t="s">
        <v>2315</v>
      </c>
      <c r="R661" s="7">
        <v>36039</v>
      </c>
      <c r="S661" s="8">
        <f t="shared" si="80"/>
        <v>1998</v>
      </c>
      <c r="T661" s="8">
        <v>1998</v>
      </c>
      <c r="U661" s="8">
        <f t="shared" si="81"/>
        <v>24</v>
      </c>
      <c r="V661" s="7">
        <v>36039</v>
      </c>
      <c r="W661" t="s">
        <v>567</v>
      </c>
      <c r="X661" s="2">
        <v>0.318</v>
      </c>
      <c r="Y661" s="6">
        <f t="shared" si="82"/>
        <v>8.4888283815167786E-3</v>
      </c>
      <c r="AA661">
        <v>338443</v>
      </c>
      <c r="AB661">
        <v>27160</v>
      </c>
      <c r="AC661">
        <v>15739120</v>
      </c>
      <c r="AD661" t="s">
        <v>2</v>
      </c>
      <c r="AE661">
        <v>41</v>
      </c>
      <c r="AF661">
        <v>9</v>
      </c>
      <c r="AH661" t="s">
        <v>2314</v>
      </c>
      <c r="AI661" t="s">
        <v>2313</v>
      </c>
      <c r="AK661" t="s">
        <v>2312</v>
      </c>
      <c r="AL661">
        <v>2</v>
      </c>
      <c r="AM661" s="5">
        <f t="shared" si="83"/>
        <v>8.3333333333333329E-2</v>
      </c>
      <c r="AN661" s="4">
        <f t="shared" si="84"/>
        <v>1.2621481761958852E-4</v>
      </c>
      <c r="AO661" s="3"/>
      <c r="AP661">
        <v>0</v>
      </c>
      <c r="AQ661" t="s">
        <v>533</v>
      </c>
      <c r="AR661" t="s">
        <v>2311</v>
      </c>
      <c r="AS661" t="s">
        <v>532</v>
      </c>
      <c r="AT661" s="2">
        <v>0.77</v>
      </c>
      <c r="AU661" s="1">
        <f t="shared" si="85"/>
        <v>0.5980044312347621</v>
      </c>
      <c r="AV661" s="1">
        <f t="shared" si="86"/>
        <v>0.43075215995681831</v>
      </c>
      <c r="AW661" s="1">
        <f t="shared" si="87"/>
        <v>0.26349988867887458</v>
      </c>
    </row>
    <row r="662" spans="1:49" x14ac:dyDescent="0.2">
      <c r="A662">
        <v>660</v>
      </c>
      <c r="B662" t="s">
        <v>2310</v>
      </c>
      <c r="F662" t="s">
        <v>2309</v>
      </c>
      <c r="G662" t="s">
        <v>5</v>
      </c>
      <c r="H662" t="s">
        <v>4</v>
      </c>
      <c r="I662" t="s">
        <v>2308</v>
      </c>
      <c r="J662">
        <v>60032468</v>
      </c>
      <c r="K662" t="s">
        <v>2307</v>
      </c>
      <c r="L662" t="s">
        <v>2306</v>
      </c>
      <c r="M662" t="s">
        <v>106</v>
      </c>
      <c r="N662">
        <v>1</v>
      </c>
      <c r="O662" t="s">
        <v>2305</v>
      </c>
      <c r="P662">
        <v>8968068300</v>
      </c>
      <c r="Q662">
        <v>60032468</v>
      </c>
      <c r="R662" s="7">
        <v>36039</v>
      </c>
      <c r="S662" s="8">
        <f t="shared" si="80"/>
        <v>1998</v>
      </c>
      <c r="T662" s="8">
        <v>1998</v>
      </c>
      <c r="U662" s="8">
        <f t="shared" si="81"/>
        <v>24</v>
      </c>
      <c r="V662" s="7">
        <v>36039</v>
      </c>
      <c r="W662" t="s">
        <v>70</v>
      </c>
      <c r="X662" s="2">
        <v>0.39900000000000002</v>
      </c>
      <c r="Y662" s="6">
        <f t="shared" si="82"/>
        <v>1.0651077120205014E-2</v>
      </c>
      <c r="AA662">
        <v>109525</v>
      </c>
      <c r="AB662">
        <v>13876</v>
      </c>
      <c r="AD662" t="s">
        <v>2</v>
      </c>
      <c r="AE662">
        <v>36</v>
      </c>
      <c r="AF662">
        <v>5</v>
      </c>
      <c r="AH662" t="s">
        <v>2304</v>
      </c>
      <c r="AI662" t="s">
        <v>2303</v>
      </c>
      <c r="AK662" t="s">
        <v>2302</v>
      </c>
      <c r="AL662">
        <v>0</v>
      </c>
      <c r="AM662" s="5">
        <f t="shared" si="83"/>
        <v>0</v>
      </c>
      <c r="AN662" s="4">
        <f t="shared" si="84"/>
        <v>0</v>
      </c>
      <c r="AO662" s="3"/>
      <c r="AP662">
        <v>0</v>
      </c>
      <c r="AR662" t="s">
        <v>1</v>
      </c>
      <c r="AT662" s="2">
        <v>0.41899999999999998</v>
      </c>
      <c r="AU662" s="1">
        <f t="shared" si="85"/>
        <v>0.74557539841435094</v>
      </c>
      <c r="AV662" s="1">
        <f t="shared" si="86"/>
        <v>0.53255385601025074</v>
      </c>
      <c r="AW662" s="1">
        <f t="shared" si="87"/>
        <v>0.31953231360615042</v>
      </c>
    </row>
    <row r="663" spans="1:49" x14ac:dyDescent="0.2">
      <c r="A663">
        <v>661</v>
      </c>
      <c r="B663" t="s">
        <v>2301</v>
      </c>
      <c r="F663" t="s">
        <v>2300</v>
      </c>
      <c r="G663" t="s">
        <v>5</v>
      </c>
      <c r="H663" t="s">
        <v>4</v>
      </c>
      <c r="I663" t="s">
        <v>2299</v>
      </c>
      <c r="N663">
        <v>2</v>
      </c>
      <c r="O663" t="s">
        <v>2298</v>
      </c>
      <c r="P663" t="s">
        <v>2297</v>
      </c>
      <c r="Q663" t="s">
        <v>207</v>
      </c>
      <c r="R663" s="7">
        <v>36039</v>
      </c>
      <c r="S663" s="8">
        <f t="shared" si="80"/>
        <v>1998</v>
      </c>
      <c r="T663" s="8">
        <v>1998</v>
      </c>
      <c r="U663" s="8">
        <f t="shared" si="81"/>
        <v>24</v>
      </c>
      <c r="V663" s="7">
        <v>36039</v>
      </c>
      <c r="W663" t="s">
        <v>2296</v>
      </c>
      <c r="X663" s="2" t="s">
        <v>0</v>
      </c>
      <c r="Y663" s="6" t="e">
        <f t="shared" si="82"/>
        <v>#VALUE!</v>
      </c>
      <c r="AA663">
        <v>3052109</v>
      </c>
      <c r="AB663">
        <v>18265</v>
      </c>
      <c r="AD663" t="s">
        <v>2</v>
      </c>
      <c r="AE663">
        <v>25</v>
      </c>
      <c r="AF663">
        <v>9</v>
      </c>
      <c r="AH663">
        <v>69</v>
      </c>
      <c r="AI663" t="s">
        <v>2295</v>
      </c>
      <c r="AK663" t="s">
        <v>2294</v>
      </c>
      <c r="AL663">
        <v>0</v>
      </c>
      <c r="AM663" s="5">
        <f t="shared" si="83"/>
        <v>0</v>
      </c>
      <c r="AN663" s="4">
        <f t="shared" si="84"/>
        <v>0</v>
      </c>
      <c r="AO663" s="3"/>
      <c r="AP663">
        <v>0</v>
      </c>
      <c r="AR663" t="s">
        <v>1</v>
      </c>
      <c r="AT663" s="2" t="s">
        <v>0</v>
      </c>
      <c r="AU663" s="1" t="e">
        <f t="shared" si="85"/>
        <v>#VALUE!</v>
      </c>
      <c r="AV663" s="1" t="e">
        <f t="shared" si="86"/>
        <v>#VALUE!</v>
      </c>
      <c r="AW663" s="1" t="e">
        <f t="shared" si="87"/>
        <v>#VALUE!</v>
      </c>
    </row>
    <row r="664" spans="1:49" x14ac:dyDescent="0.2">
      <c r="A664">
        <v>662</v>
      </c>
      <c r="B664" t="s">
        <v>2293</v>
      </c>
      <c r="F664" t="s">
        <v>2292</v>
      </c>
      <c r="G664" t="s">
        <v>5</v>
      </c>
      <c r="H664" t="s">
        <v>4</v>
      </c>
      <c r="R664" s="7">
        <v>36039</v>
      </c>
      <c r="S664" s="8">
        <f t="shared" si="80"/>
        <v>1998</v>
      </c>
      <c r="T664" s="8">
        <v>1998</v>
      </c>
      <c r="U664" s="8">
        <f t="shared" si="81"/>
        <v>24</v>
      </c>
      <c r="V664" s="7">
        <v>36039</v>
      </c>
      <c r="W664" t="s">
        <v>543</v>
      </c>
      <c r="X664" s="2" t="s">
        <v>0</v>
      </c>
      <c r="Y664" s="6" t="e">
        <f t="shared" si="82"/>
        <v>#VALUE!</v>
      </c>
      <c r="AA664">
        <v>13654675</v>
      </c>
      <c r="AB664">
        <v>58615</v>
      </c>
      <c r="AD664" t="s">
        <v>2</v>
      </c>
      <c r="AE664">
        <v>104</v>
      </c>
      <c r="AF664">
        <v>1749</v>
      </c>
      <c r="AH664" t="s">
        <v>2291</v>
      </c>
      <c r="AI664" t="s">
        <v>2290</v>
      </c>
      <c r="AK664" t="s">
        <v>2289</v>
      </c>
      <c r="AL664">
        <v>0</v>
      </c>
      <c r="AM664" s="5">
        <f t="shared" si="83"/>
        <v>0</v>
      </c>
      <c r="AN664" s="4">
        <f t="shared" si="84"/>
        <v>0</v>
      </c>
      <c r="AO664" s="3"/>
      <c r="AP664">
        <v>0</v>
      </c>
      <c r="AR664" t="s">
        <v>1</v>
      </c>
      <c r="AT664" s="2" t="s">
        <v>0</v>
      </c>
      <c r="AU664" s="1" t="e">
        <f t="shared" si="85"/>
        <v>#VALUE!</v>
      </c>
      <c r="AV664" s="1" t="e">
        <f t="shared" si="86"/>
        <v>#VALUE!</v>
      </c>
      <c r="AW664" s="1" t="e">
        <f t="shared" si="87"/>
        <v>#VALUE!</v>
      </c>
    </row>
    <row r="665" spans="1:49" x14ac:dyDescent="0.2">
      <c r="A665">
        <v>663</v>
      </c>
      <c r="B665" t="s">
        <v>2288</v>
      </c>
      <c r="F665" t="s">
        <v>2287</v>
      </c>
      <c r="G665" t="s">
        <v>5</v>
      </c>
      <c r="H665" t="s">
        <v>4</v>
      </c>
      <c r="I665" t="s">
        <v>2286</v>
      </c>
      <c r="J665">
        <v>60032442</v>
      </c>
      <c r="K665" t="s">
        <v>300</v>
      </c>
      <c r="L665" t="s">
        <v>299</v>
      </c>
      <c r="M665" t="s">
        <v>102</v>
      </c>
      <c r="N665">
        <v>1</v>
      </c>
      <c r="O665" t="s">
        <v>2285</v>
      </c>
      <c r="P665">
        <v>7006266876</v>
      </c>
      <c r="Q665">
        <v>60032442</v>
      </c>
      <c r="R665" s="7">
        <v>36039</v>
      </c>
      <c r="S665" s="8">
        <f t="shared" si="80"/>
        <v>1998</v>
      </c>
      <c r="T665" s="8">
        <v>1998</v>
      </c>
      <c r="U665" s="8">
        <f t="shared" si="81"/>
        <v>24</v>
      </c>
      <c r="V665" s="7">
        <v>36039</v>
      </c>
      <c r="W665" t="s">
        <v>2284</v>
      </c>
      <c r="X665" s="2">
        <v>0.30499999999999999</v>
      </c>
      <c r="Y665" s="6">
        <f t="shared" si="82"/>
        <v>8.141800806171752E-3</v>
      </c>
      <c r="AA665">
        <v>347744</v>
      </c>
      <c r="AB665">
        <v>13567</v>
      </c>
      <c r="AD665" t="s">
        <v>2</v>
      </c>
      <c r="AE665">
        <v>46</v>
      </c>
      <c r="AF665">
        <v>3</v>
      </c>
      <c r="AH665" t="s">
        <v>2283</v>
      </c>
      <c r="AI665" t="s">
        <v>2282</v>
      </c>
      <c r="AJ665" t="s">
        <v>2281</v>
      </c>
      <c r="AK665" t="s">
        <v>2280</v>
      </c>
      <c r="AL665">
        <v>4</v>
      </c>
      <c r="AM665" s="5">
        <f t="shared" si="83"/>
        <v>0.16666666666666666</v>
      </c>
      <c r="AN665" s="4">
        <f t="shared" si="84"/>
        <v>2.5242963523917705E-4</v>
      </c>
      <c r="AO665" s="3"/>
      <c r="AP665">
        <v>0</v>
      </c>
      <c r="AR665" t="s">
        <v>1</v>
      </c>
      <c r="AT665" s="2">
        <v>0.72299999999999998</v>
      </c>
      <c r="AU665" s="1">
        <f t="shared" si="85"/>
        <v>0.57749894548919789</v>
      </c>
      <c r="AV665" s="1">
        <f t="shared" si="86"/>
        <v>0.41971152207054646</v>
      </c>
      <c r="AW665" s="1">
        <f t="shared" si="87"/>
        <v>0.26192409865189492</v>
      </c>
    </row>
    <row r="666" spans="1:49" x14ac:dyDescent="0.2">
      <c r="A666">
        <v>664</v>
      </c>
      <c r="B666" t="s">
        <v>2279</v>
      </c>
      <c r="C666" t="s">
        <v>2278</v>
      </c>
      <c r="E666">
        <v>9735566</v>
      </c>
      <c r="F666" t="s">
        <v>2277</v>
      </c>
      <c r="G666" t="s">
        <v>5</v>
      </c>
      <c r="H666" t="s">
        <v>4</v>
      </c>
      <c r="I666" t="s">
        <v>2276</v>
      </c>
      <c r="J666" t="s">
        <v>2275</v>
      </c>
      <c r="K666" t="s">
        <v>2274</v>
      </c>
      <c r="L666" t="s">
        <v>2273</v>
      </c>
      <c r="M666" t="s">
        <v>101</v>
      </c>
      <c r="N666">
        <v>3</v>
      </c>
      <c r="O666" t="s">
        <v>2272</v>
      </c>
      <c r="P666" t="s">
        <v>2271</v>
      </c>
      <c r="Q666" t="s">
        <v>2270</v>
      </c>
      <c r="R666" s="7">
        <v>36039</v>
      </c>
      <c r="S666" s="8">
        <f t="shared" si="80"/>
        <v>1998</v>
      </c>
      <c r="T666" s="8">
        <v>1998</v>
      </c>
      <c r="U666" s="8">
        <f t="shared" si="81"/>
        <v>24</v>
      </c>
      <c r="V666" s="7">
        <v>36039</v>
      </c>
      <c r="W666" t="s">
        <v>1131</v>
      </c>
      <c r="X666" s="2">
        <v>1.1479999999999999</v>
      </c>
      <c r="Y666" s="6">
        <f t="shared" si="82"/>
        <v>3.0645204345853019E-2</v>
      </c>
      <c r="AA666">
        <v>189294</v>
      </c>
      <c r="AB666">
        <v>16318</v>
      </c>
      <c r="AD666" t="s">
        <v>2</v>
      </c>
      <c r="AE666">
        <v>45</v>
      </c>
      <c r="AF666">
        <v>9</v>
      </c>
      <c r="AH666" t="s">
        <v>2269</v>
      </c>
      <c r="AI666" t="s">
        <v>2268</v>
      </c>
      <c r="AJ666" t="s">
        <v>2267</v>
      </c>
      <c r="AK666" t="s">
        <v>2266</v>
      </c>
      <c r="AL666">
        <v>55</v>
      </c>
      <c r="AM666" s="5">
        <f t="shared" si="83"/>
        <v>2.2916666666666665</v>
      </c>
      <c r="AN666" s="4">
        <f t="shared" si="84"/>
        <v>3.4709074845386844E-3</v>
      </c>
      <c r="AO666" s="3"/>
      <c r="AP666">
        <v>0</v>
      </c>
      <c r="AQ666" t="s">
        <v>206</v>
      </c>
      <c r="AR666" t="s">
        <v>2265</v>
      </c>
      <c r="AS666" t="s">
        <v>204</v>
      </c>
      <c r="AT666" s="2" t="s">
        <v>0</v>
      </c>
      <c r="AU666" s="1">
        <f t="shared" si="85"/>
        <v>2.2492915287458719</v>
      </c>
      <c r="AV666" s="1">
        <f t="shared" si="86"/>
        <v>1.7058055915195851</v>
      </c>
      <c r="AW666" s="1">
        <f t="shared" si="87"/>
        <v>1.1623196542932983</v>
      </c>
    </row>
    <row r="667" spans="1:49" x14ac:dyDescent="0.2">
      <c r="A667">
        <v>665</v>
      </c>
      <c r="B667" t="s">
        <v>2264</v>
      </c>
      <c r="C667" t="s">
        <v>2263</v>
      </c>
      <c r="F667" t="s">
        <v>2262</v>
      </c>
      <c r="G667" t="s">
        <v>5</v>
      </c>
      <c r="H667" t="s">
        <v>4</v>
      </c>
      <c r="I667" t="s">
        <v>2261</v>
      </c>
      <c r="J667">
        <v>60008435</v>
      </c>
      <c r="K667" t="s">
        <v>1549</v>
      </c>
      <c r="L667" t="s">
        <v>1548</v>
      </c>
      <c r="M667" t="s">
        <v>12</v>
      </c>
      <c r="N667">
        <v>3</v>
      </c>
      <c r="O667" t="s">
        <v>2260</v>
      </c>
      <c r="P667" t="s">
        <v>2259</v>
      </c>
      <c r="Q667" t="s">
        <v>2258</v>
      </c>
      <c r="R667" s="7">
        <v>36039</v>
      </c>
      <c r="S667" s="8">
        <f t="shared" si="80"/>
        <v>1998</v>
      </c>
      <c r="T667" s="8">
        <v>1998</v>
      </c>
      <c r="U667" s="8">
        <f t="shared" si="81"/>
        <v>24</v>
      </c>
      <c r="V667" s="7" t="s">
        <v>438</v>
      </c>
      <c r="W667" t="s">
        <v>2257</v>
      </c>
      <c r="X667" s="2">
        <v>0.73499999999999999</v>
      </c>
      <c r="Y667" s="6">
        <f t="shared" si="82"/>
        <v>1.9620405221430288E-2</v>
      </c>
      <c r="AA667">
        <v>168025</v>
      </c>
      <c r="AB667">
        <v>27961</v>
      </c>
      <c r="AD667" t="s">
        <v>2</v>
      </c>
      <c r="AE667">
        <v>46</v>
      </c>
      <c r="AF667">
        <v>5</v>
      </c>
      <c r="AH667" t="s">
        <v>2256</v>
      </c>
      <c r="AI667" t="s">
        <v>2255</v>
      </c>
      <c r="AK667" t="s">
        <v>2254</v>
      </c>
      <c r="AL667">
        <v>41</v>
      </c>
      <c r="AM667" s="5">
        <f t="shared" si="83"/>
        <v>1.7083333333333333</v>
      </c>
      <c r="AN667" s="4">
        <f t="shared" si="84"/>
        <v>2.5874037612015652E-3</v>
      </c>
      <c r="AO667" s="3"/>
      <c r="AP667">
        <v>0</v>
      </c>
      <c r="AR667" t="s">
        <v>1</v>
      </c>
      <c r="AT667" s="2">
        <v>1.742</v>
      </c>
      <c r="AU667" s="1">
        <f t="shared" si="85"/>
        <v>1.4510504783361671</v>
      </c>
      <c r="AV667" s="1">
        <f t="shared" si="86"/>
        <v>1.1103904491315926</v>
      </c>
      <c r="AW667" s="1">
        <f t="shared" si="87"/>
        <v>0.76973041992701818</v>
      </c>
    </row>
    <row r="668" spans="1:49" x14ac:dyDescent="0.2">
      <c r="A668">
        <v>666</v>
      </c>
      <c r="B668" t="s">
        <v>2253</v>
      </c>
      <c r="C668" t="s">
        <v>2252</v>
      </c>
      <c r="D668" t="s">
        <v>2251</v>
      </c>
      <c r="E668">
        <v>9809636</v>
      </c>
      <c r="F668" t="s">
        <v>2250</v>
      </c>
      <c r="G668" t="s">
        <v>5</v>
      </c>
      <c r="H668" t="s">
        <v>4</v>
      </c>
      <c r="I668" t="s">
        <v>2249</v>
      </c>
      <c r="J668" t="s">
        <v>2248</v>
      </c>
      <c r="K668" t="s">
        <v>2247</v>
      </c>
      <c r="L668" t="s">
        <v>2246</v>
      </c>
      <c r="M668" t="s">
        <v>60</v>
      </c>
      <c r="N668">
        <v>4</v>
      </c>
      <c r="O668" t="s">
        <v>2245</v>
      </c>
      <c r="P668" t="s">
        <v>2244</v>
      </c>
      <c r="Q668" t="s">
        <v>2243</v>
      </c>
      <c r="R668" s="7">
        <v>36039</v>
      </c>
      <c r="S668" s="8">
        <f t="shared" si="80"/>
        <v>1998</v>
      </c>
      <c r="T668" s="8">
        <v>1998</v>
      </c>
      <c r="U668" s="8">
        <f t="shared" si="81"/>
        <v>24</v>
      </c>
      <c r="V668" s="7">
        <v>36039</v>
      </c>
      <c r="W668" t="s">
        <v>2242</v>
      </c>
      <c r="X668" s="2">
        <v>0.89300000000000002</v>
      </c>
      <c r="Y668" s="6">
        <f t="shared" si="82"/>
        <v>2.3838124983315983E-2</v>
      </c>
      <c r="AA668">
        <v>3015629</v>
      </c>
      <c r="AB668">
        <v>35716</v>
      </c>
      <c r="AD668" t="s">
        <v>2</v>
      </c>
      <c r="AE668">
        <v>24</v>
      </c>
      <c r="AF668">
        <v>7</v>
      </c>
      <c r="AH668" t="s">
        <v>2241</v>
      </c>
      <c r="AI668" t="s">
        <v>2240</v>
      </c>
      <c r="AJ668" t="s">
        <v>2239</v>
      </c>
      <c r="AK668" t="s">
        <v>2238</v>
      </c>
      <c r="AL668">
        <v>53</v>
      </c>
      <c r="AM668" s="5">
        <f t="shared" si="83"/>
        <v>2.2083333333333335</v>
      </c>
      <c r="AN668" s="4">
        <f t="shared" si="84"/>
        <v>3.3446926669190966E-3</v>
      </c>
      <c r="AO668" s="3"/>
      <c r="AP668">
        <v>0</v>
      </c>
      <c r="AR668" t="s">
        <v>1</v>
      </c>
      <c r="AT668" s="2">
        <v>2.9980000000000002</v>
      </c>
      <c r="AU668" s="1">
        <f t="shared" si="85"/>
        <v>1.7690095288396916</v>
      </c>
      <c r="AV668" s="1">
        <f t="shared" si="86"/>
        <v>1.3591408825117539</v>
      </c>
      <c r="AW668" s="1">
        <f t="shared" si="87"/>
        <v>0.94927223618381618</v>
      </c>
    </row>
    <row r="669" spans="1:49" x14ac:dyDescent="0.2">
      <c r="A669">
        <v>667</v>
      </c>
      <c r="B669" t="s">
        <v>2237</v>
      </c>
      <c r="C669" t="s">
        <v>2236</v>
      </c>
      <c r="F669" t="s">
        <v>2235</v>
      </c>
      <c r="G669" t="s">
        <v>5</v>
      </c>
      <c r="H669" t="s">
        <v>4</v>
      </c>
      <c r="I669" t="s">
        <v>2234</v>
      </c>
      <c r="J669">
        <v>60019987</v>
      </c>
      <c r="K669" t="s">
        <v>2233</v>
      </c>
      <c r="L669" t="s">
        <v>2232</v>
      </c>
      <c r="M669" t="s">
        <v>728</v>
      </c>
      <c r="N669">
        <v>2</v>
      </c>
      <c r="O669" t="s">
        <v>2231</v>
      </c>
      <c r="P669" t="s">
        <v>2230</v>
      </c>
      <c r="Q669" t="s">
        <v>2229</v>
      </c>
      <c r="R669" s="7">
        <v>36039</v>
      </c>
      <c r="S669" s="8">
        <f t="shared" si="80"/>
        <v>1998</v>
      </c>
      <c r="T669" s="8">
        <v>1998</v>
      </c>
      <c r="U669" s="8">
        <f t="shared" si="81"/>
        <v>24</v>
      </c>
      <c r="V669" s="7">
        <v>36039</v>
      </c>
      <c r="W669" t="s">
        <v>2228</v>
      </c>
      <c r="X669" s="2">
        <v>2.4969999999999999</v>
      </c>
      <c r="Y669" s="6">
        <f t="shared" si="82"/>
        <v>6.6655988895117591E-2</v>
      </c>
      <c r="AA669" t="s">
        <v>2227</v>
      </c>
      <c r="AB669">
        <v>21537</v>
      </c>
      <c r="AD669" t="s">
        <v>2</v>
      </c>
      <c r="AE669">
        <v>32</v>
      </c>
      <c r="AF669">
        <v>17</v>
      </c>
      <c r="AH669" t="s">
        <v>2226</v>
      </c>
      <c r="AI669" t="s">
        <v>2225</v>
      </c>
      <c r="AK669" t="s">
        <v>2224</v>
      </c>
      <c r="AL669">
        <v>85</v>
      </c>
      <c r="AM669" s="5">
        <f t="shared" si="83"/>
        <v>3.5416666666666665</v>
      </c>
      <c r="AN669" s="4">
        <f t="shared" si="84"/>
        <v>5.364129748832513E-3</v>
      </c>
      <c r="AO669" s="3"/>
      <c r="AP669">
        <v>0</v>
      </c>
      <c r="AR669" t="s">
        <v>1</v>
      </c>
      <c r="AT669" s="2" t="s">
        <v>0</v>
      </c>
      <c r="AU669" s="1">
        <f t="shared" si="85"/>
        <v>4.8268431151232063</v>
      </c>
      <c r="AV669" s="1">
        <f t="shared" si="86"/>
        <v>3.6010059321975056</v>
      </c>
      <c r="AW669" s="1">
        <f t="shared" si="87"/>
        <v>2.3751687492718032</v>
      </c>
    </row>
    <row r="670" spans="1:49" x14ac:dyDescent="0.2">
      <c r="A670">
        <v>668</v>
      </c>
      <c r="B670" t="s">
        <v>2223</v>
      </c>
      <c r="C670" t="s">
        <v>2222</v>
      </c>
      <c r="F670" t="s">
        <v>2221</v>
      </c>
      <c r="G670" t="s">
        <v>5</v>
      </c>
      <c r="H670" t="s">
        <v>4</v>
      </c>
      <c r="I670" t="s">
        <v>2220</v>
      </c>
      <c r="J670" t="s">
        <v>2219</v>
      </c>
      <c r="K670" t="s">
        <v>2218</v>
      </c>
      <c r="L670" t="s">
        <v>2217</v>
      </c>
      <c r="M670" t="s">
        <v>2216</v>
      </c>
      <c r="N670">
        <v>4</v>
      </c>
      <c r="O670" t="s">
        <v>2215</v>
      </c>
      <c r="P670" t="s">
        <v>2214</v>
      </c>
      <c r="Q670" t="s">
        <v>2213</v>
      </c>
      <c r="R670" s="7">
        <v>36039</v>
      </c>
      <c r="S670" s="8">
        <f t="shared" si="80"/>
        <v>1998</v>
      </c>
      <c r="T670" s="8">
        <v>1998</v>
      </c>
      <c r="U670" s="8">
        <f t="shared" si="81"/>
        <v>24</v>
      </c>
      <c r="V670" s="7">
        <v>36039</v>
      </c>
      <c r="W670" t="s">
        <v>2176</v>
      </c>
      <c r="X670" s="2">
        <v>2.823</v>
      </c>
      <c r="Y670" s="6">
        <f t="shared" si="82"/>
        <v>7.5358372707615917E-2</v>
      </c>
      <c r="AA670">
        <v>1636804</v>
      </c>
      <c r="AB670">
        <v>17249</v>
      </c>
      <c r="AD670" t="s">
        <v>2</v>
      </c>
      <c r="AE670">
        <v>36</v>
      </c>
      <c r="AF670">
        <v>9</v>
      </c>
      <c r="AH670" t="s">
        <v>2212</v>
      </c>
      <c r="AI670" t="s">
        <v>2211</v>
      </c>
      <c r="AK670" t="s">
        <v>2210</v>
      </c>
      <c r="AL670">
        <v>392</v>
      </c>
      <c r="AM670" s="5">
        <f t="shared" si="83"/>
        <v>16.333333333333332</v>
      </c>
      <c r="AN670" s="4">
        <f t="shared" si="84"/>
        <v>2.4738104253439353E-2</v>
      </c>
      <c r="AO670" s="3"/>
      <c r="AP670">
        <v>0</v>
      </c>
      <c r="AR670" t="s">
        <v>1</v>
      </c>
      <c r="AT670" s="2">
        <v>9.6189999999999998</v>
      </c>
      <c r="AU670" s="1">
        <f t="shared" si="85"/>
        <v>6.0172292171362951</v>
      </c>
      <c r="AV670" s="1">
        <f t="shared" si="86"/>
        <v>5.0048238480527631</v>
      </c>
      <c r="AW670" s="1">
        <f t="shared" si="87"/>
        <v>3.9924184789692321</v>
      </c>
    </row>
    <row r="671" spans="1:49" x14ac:dyDescent="0.2">
      <c r="A671">
        <v>669</v>
      </c>
      <c r="B671" t="s">
        <v>2209</v>
      </c>
      <c r="C671" t="s">
        <v>2208</v>
      </c>
      <c r="F671" t="s">
        <v>584</v>
      </c>
      <c r="G671" t="s">
        <v>5</v>
      </c>
      <c r="H671" t="s">
        <v>4</v>
      </c>
      <c r="I671" t="s">
        <v>583</v>
      </c>
      <c r="J671">
        <v>60013983</v>
      </c>
      <c r="K671" t="s">
        <v>34</v>
      </c>
      <c r="L671" t="s">
        <v>33</v>
      </c>
      <c r="M671" t="s">
        <v>32</v>
      </c>
      <c r="N671">
        <v>3</v>
      </c>
      <c r="O671" t="s">
        <v>582</v>
      </c>
      <c r="P671" t="s">
        <v>581</v>
      </c>
      <c r="Q671" t="s">
        <v>580</v>
      </c>
      <c r="R671" s="7">
        <v>36039</v>
      </c>
      <c r="S671" s="8">
        <f t="shared" si="80"/>
        <v>1998</v>
      </c>
      <c r="T671" s="8">
        <v>1998</v>
      </c>
      <c r="U671" s="8">
        <f t="shared" si="81"/>
        <v>24</v>
      </c>
      <c r="V671" s="7">
        <v>36039</v>
      </c>
      <c r="W671" t="s">
        <v>126</v>
      </c>
      <c r="X671" s="2">
        <v>0.30399999999999999</v>
      </c>
      <c r="Y671" s="6">
        <f t="shared" si="82"/>
        <v>8.115106377299057E-3</v>
      </c>
      <c r="AA671">
        <v>8952477</v>
      </c>
      <c r="AB671">
        <v>12250</v>
      </c>
      <c r="AD671" t="s">
        <v>2</v>
      </c>
      <c r="AE671">
        <v>19</v>
      </c>
      <c r="AF671">
        <v>1</v>
      </c>
      <c r="AH671" t="s">
        <v>579</v>
      </c>
      <c r="AI671" t="s">
        <v>2207</v>
      </c>
      <c r="AK671" t="s">
        <v>578</v>
      </c>
      <c r="AL671">
        <v>1</v>
      </c>
      <c r="AM671" s="5">
        <f t="shared" si="83"/>
        <v>4.1666666666666664E-2</v>
      </c>
      <c r="AN671" s="4">
        <f t="shared" si="84"/>
        <v>6.3107408809794262E-5</v>
      </c>
      <c r="AO671" s="3"/>
      <c r="AP671">
        <v>0</v>
      </c>
      <c r="AR671" t="s">
        <v>1</v>
      </c>
      <c r="AT671" s="2" t="s">
        <v>0</v>
      </c>
      <c r="AU671" s="1">
        <f t="shared" si="85"/>
        <v>0.5699506686752277</v>
      </c>
      <c r="AV671" s="1">
        <f t="shared" si="86"/>
        <v>0.40891068930544261</v>
      </c>
      <c r="AW671" s="1">
        <f t="shared" si="87"/>
        <v>0.2478707099356573</v>
      </c>
    </row>
    <row r="672" spans="1:49" x14ac:dyDescent="0.2">
      <c r="A672">
        <v>670</v>
      </c>
      <c r="B672" t="s">
        <v>2206</v>
      </c>
      <c r="F672" t="s">
        <v>2205</v>
      </c>
      <c r="G672" t="s">
        <v>5</v>
      </c>
      <c r="H672" t="s">
        <v>4</v>
      </c>
      <c r="I672" t="s">
        <v>2204</v>
      </c>
      <c r="J672">
        <v>60076595</v>
      </c>
      <c r="K672" t="s">
        <v>440</v>
      </c>
      <c r="L672" t="s">
        <v>439</v>
      </c>
      <c r="M672" t="s">
        <v>9</v>
      </c>
      <c r="N672">
        <v>1</v>
      </c>
      <c r="O672" t="s">
        <v>2203</v>
      </c>
      <c r="P672">
        <v>7402750641</v>
      </c>
      <c r="Q672">
        <v>60076595</v>
      </c>
      <c r="R672" s="7">
        <v>36039</v>
      </c>
      <c r="S672" s="8">
        <f t="shared" si="80"/>
        <v>1998</v>
      </c>
      <c r="T672" s="8">
        <v>1998</v>
      </c>
      <c r="U672" s="8">
        <f t="shared" si="81"/>
        <v>24</v>
      </c>
      <c r="V672" s="7">
        <v>36039</v>
      </c>
      <c r="W672" t="s">
        <v>725</v>
      </c>
      <c r="X672" s="2" t="s">
        <v>0</v>
      </c>
      <c r="Y672" s="6" t="e">
        <f t="shared" si="82"/>
        <v>#VALUE!</v>
      </c>
      <c r="AA672">
        <v>134902</v>
      </c>
      <c r="AB672">
        <v>32898</v>
      </c>
      <c r="AD672" t="s">
        <v>2</v>
      </c>
      <c r="AE672">
        <v>70</v>
      </c>
      <c r="AF672">
        <v>860</v>
      </c>
      <c r="AH672" t="s">
        <v>289</v>
      </c>
      <c r="AI672" t="s">
        <v>2202</v>
      </c>
      <c r="AK672" t="s">
        <v>2201</v>
      </c>
      <c r="AL672">
        <v>0</v>
      </c>
      <c r="AM672" s="5">
        <f t="shared" si="83"/>
        <v>0</v>
      </c>
      <c r="AN672" s="4">
        <f t="shared" si="84"/>
        <v>0</v>
      </c>
      <c r="AO672" s="3"/>
      <c r="AP672">
        <v>0</v>
      </c>
      <c r="AR672" t="s">
        <v>1</v>
      </c>
      <c r="AT672" s="2" t="s">
        <v>0</v>
      </c>
      <c r="AU672" s="1" t="e">
        <f t="shared" si="85"/>
        <v>#VALUE!</v>
      </c>
      <c r="AV672" s="1" t="e">
        <f t="shared" si="86"/>
        <v>#VALUE!</v>
      </c>
      <c r="AW672" s="1" t="e">
        <f t="shared" si="87"/>
        <v>#VALUE!</v>
      </c>
    </row>
    <row r="673" spans="1:49" x14ac:dyDescent="0.2">
      <c r="A673">
        <v>671</v>
      </c>
      <c r="B673" t="s">
        <v>2200</v>
      </c>
      <c r="C673" t="s">
        <v>2199</v>
      </c>
      <c r="F673" t="s">
        <v>2198</v>
      </c>
      <c r="G673" t="s">
        <v>5</v>
      </c>
      <c r="H673" t="s">
        <v>4</v>
      </c>
      <c r="I673" t="s">
        <v>2197</v>
      </c>
      <c r="J673">
        <v>60002014</v>
      </c>
      <c r="K673" t="s">
        <v>2196</v>
      </c>
      <c r="L673" t="s">
        <v>2195</v>
      </c>
      <c r="M673" t="s">
        <v>215</v>
      </c>
      <c r="N673">
        <v>3</v>
      </c>
      <c r="O673" t="s">
        <v>2194</v>
      </c>
      <c r="P673" t="s">
        <v>2193</v>
      </c>
      <c r="Q673" t="s">
        <v>2192</v>
      </c>
      <c r="R673" s="7">
        <v>36039</v>
      </c>
      <c r="S673" s="8">
        <f t="shared" si="80"/>
        <v>1998</v>
      </c>
      <c r="T673" s="8">
        <v>1998</v>
      </c>
      <c r="U673" s="8">
        <f t="shared" si="81"/>
        <v>24</v>
      </c>
      <c r="V673" s="7">
        <v>36039</v>
      </c>
      <c r="W673" t="s">
        <v>2191</v>
      </c>
      <c r="X673" s="2">
        <v>1.6379999999999999</v>
      </c>
      <c r="Y673" s="6">
        <f t="shared" si="82"/>
        <v>4.3725474493473214E-2</v>
      </c>
      <c r="AA673" t="s">
        <v>2190</v>
      </c>
      <c r="AB673">
        <v>17391</v>
      </c>
      <c r="AD673" t="s">
        <v>2</v>
      </c>
      <c r="AE673">
        <v>46</v>
      </c>
      <c r="AF673">
        <v>9</v>
      </c>
      <c r="AH673" t="s">
        <v>2189</v>
      </c>
      <c r="AI673" t="s">
        <v>2188</v>
      </c>
      <c r="AK673" t="s">
        <v>2187</v>
      </c>
      <c r="AL673">
        <v>47</v>
      </c>
      <c r="AM673" s="5">
        <f t="shared" si="83"/>
        <v>1.9583333333333333</v>
      </c>
      <c r="AN673" s="4">
        <f t="shared" si="84"/>
        <v>2.9660482140603304E-3</v>
      </c>
      <c r="AO673" s="3"/>
      <c r="AP673">
        <v>0</v>
      </c>
      <c r="AR673" t="s">
        <v>1</v>
      </c>
      <c r="AT673" s="2">
        <v>4.931</v>
      </c>
      <c r="AU673" s="1">
        <f t="shared" si="85"/>
        <v>3.149764660964935</v>
      </c>
      <c r="AV673" s="1">
        <f t="shared" si="86"/>
        <v>2.3345761353766772</v>
      </c>
      <c r="AW673" s="1">
        <f t="shared" si="87"/>
        <v>1.5193876097884196</v>
      </c>
    </row>
    <row r="674" spans="1:49" x14ac:dyDescent="0.2">
      <c r="A674">
        <v>672</v>
      </c>
      <c r="B674" t="s">
        <v>2186</v>
      </c>
      <c r="C674" t="s">
        <v>2185</v>
      </c>
      <c r="F674" t="s">
        <v>2184</v>
      </c>
      <c r="G674" t="s">
        <v>5</v>
      </c>
      <c r="H674" t="s">
        <v>4</v>
      </c>
      <c r="I674" t="s">
        <v>388</v>
      </c>
      <c r="J674" t="s">
        <v>2183</v>
      </c>
      <c r="K674" t="s">
        <v>2182</v>
      </c>
      <c r="L674" t="s">
        <v>2181</v>
      </c>
      <c r="M674" t="s">
        <v>2180</v>
      </c>
      <c r="N674">
        <v>3</v>
      </c>
      <c r="O674" t="s">
        <v>2179</v>
      </c>
      <c r="P674" t="s">
        <v>2178</v>
      </c>
      <c r="Q674" t="s">
        <v>2177</v>
      </c>
      <c r="R674" s="7">
        <v>36039</v>
      </c>
      <c r="S674" s="8">
        <f t="shared" si="80"/>
        <v>1998</v>
      </c>
      <c r="T674" s="8">
        <v>1998</v>
      </c>
      <c r="U674" s="8">
        <f t="shared" si="81"/>
        <v>24</v>
      </c>
      <c r="V674" s="7">
        <v>36039</v>
      </c>
      <c r="W674" t="s">
        <v>2176</v>
      </c>
      <c r="X674" s="2">
        <v>2.823</v>
      </c>
      <c r="Y674" s="6">
        <f t="shared" si="82"/>
        <v>7.5358372707615917E-2</v>
      </c>
      <c r="AA674">
        <v>1636804</v>
      </c>
      <c r="AB674">
        <v>17249</v>
      </c>
      <c r="AD674" t="s">
        <v>2</v>
      </c>
      <c r="AE674">
        <v>36</v>
      </c>
      <c r="AF674">
        <v>9</v>
      </c>
      <c r="AH674" t="s">
        <v>2175</v>
      </c>
      <c r="AI674" t="s">
        <v>2174</v>
      </c>
      <c r="AK674" t="s">
        <v>2173</v>
      </c>
      <c r="AL674">
        <v>683</v>
      </c>
      <c r="AM674" s="5">
        <f t="shared" si="83"/>
        <v>28.458333333333332</v>
      </c>
      <c r="AN674" s="4">
        <f t="shared" si="84"/>
        <v>4.3102360217089485E-2</v>
      </c>
      <c r="AO674" s="3"/>
      <c r="AP674">
        <v>0</v>
      </c>
      <c r="AR674" t="s">
        <v>1</v>
      </c>
      <c r="AT674" s="2">
        <v>9.6189999999999998</v>
      </c>
      <c r="AU674" s="1">
        <f t="shared" si="85"/>
        <v>6.5681568960457986</v>
      </c>
      <c r="AV674" s="1">
        <f t="shared" si="86"/>
        <v>5.9230366462352704</v>
      </c>
      <c r="AW674" s="1">
        <f t="shared" si="87"/>
        <v>5.2779163964247404</v>
      </c>
    </row>
    <row r="675" spans="1:49" x14ac:dyDescent="0.2">
      <c r="A675">
        <v>673</v>
      </c>
      <c r="B675" t="s">
        <v>2172</v>
      </c>
      <c r="F675" t="s">
        <v>2171</v>
      </c>
      <c r="G675" t="s">
        <v>5</v>
      </c>
      <c r="H675" t="s">
        <v>4</v>
      </c>
      <c r="I675" t="s">
        <v>2170</v>
      </c>
      <c r="J675" t="s">
        <v>2169</v>
      </c>
      <c r="K675" t="s">
        <v>2168</v>
      </c>
      <c r="L675" t="s">
        <v>2167</v>
      </c>
      <c r="M675" t="s">
        <v>2166</v>
      </c>
      <c r="N675">
        <v>3</v>
      </c>
      <c r="O675" t="s">
        <v>2165</v>
      </c>
      <c r="P675" t="s">
        <v>2164</v>
      </c>
      <c r="Q675" t="s">
        <v>2163</v>
      </c>
      <c r="R675" s="7">
        <v>36039</v>
      </c>
      <c r="S675" s="8">
        <f t="shared" si="80"/>
        <v>1998</v>
      </c>
      <c r="T675" s="8">
        <v>1998</v>
      </c>
      <c r="U675" s="8">
        <f t="shared" si="81"/>
        <v>24</v>
      </c>
      <c r="V675" s="7">
        <v>36039</v>
      </c>
      <c r="W675" t="s">
        <v>110</v>
      </c>
      <c r="X675" s="2">
        <v>0.13800000000000001</v>
      </c>
      <c r="Y675" s="6">
        <f t="shared" si="82"/>
        <v>3.6838311844318095E-3</v>
      </c>
      <c r="AA675">
        <v>1926225</v>
      </c>
      <c r="AB675">
        <v>18580</v>
      </c>
      <c r="AD675" t="s">
        <v>2</v>
      </c>
      <c r="AE675">
        <v>41</v>
      </c>
      <c r="AF675">
        <v>9</v>
      </c>
      <c r="AH675" t="s">
        <v>2162</v>
      </c>
      <c r="AI675" t="s">
        <v>2161</v>
      </c>
      <c r="AK675" t="s">
        <v>2160</v>
      </c>
      <c r="AL675">
        <v>16</v>
      </c>
      <c r="AM675" s="5">
        <f t="shared" si="83"/>
        <v>0.66666666666666663</v>
      </c>
      <c r="AN675" s="4">
        <f t="shared" si="84"/>
        <v>1.0097185409567082E-3</v>
      </c>
      <c r="AO675" s="3"/>
      <c r="AP675">
        <v>0</v>
      </c>
      <c r="AR675" t="s">
        <v>1</v>
      </c>
      <c r="AT675" s="2">
        <v>0.30599999999999999</v>
      </c>
      <c r="AU675" s="1">
        <f t="shared" si="85"/>
        <v>0.2881597391389279</v>
      </c>
      <c r="AV675" s="1">
        <f t="shared" si="86"/>
        <v>0.23467748626942586</v>
      </c>
      <c r="AW675" s="1">
        <f t="shared" si="87"/>
        <v>0.18119523339992386</v>
      </c>
    </row>
    <row r="676" spans="1:49" x14ac:dyDescent="0.2">
      <c r="A676">
        <v>674</v>
      </c>
      <c r="B676" t="s">
        <v>2159</v>
      </c>
      <c r="F676" t="s">
        <v>2158</v>
      </c>
      <c r="G676" t="s">
        <v>5</v>
      </c>
      <c r="H676" t="s">
        <v>4</v>
      </c>
      <c r="I676" t="s">
        <v>2157</v>
      </c>
      <c r="J676">
        <v>60002642</v>
      </c>
      <c r="K676" t="s">
        <v>327</v>
      </c>
      <c r="L676" t="s">
        <v>2156</v>
      </c>
      <c r="M676" t="s">
        <v>9</v>
      </c>
      <c r="N676">
        <v>2</v>
      </c>
      <c r="O676" t="s">
        <v>2155</v>
      </c>
      <c r="P676" t="s">
        <v>2154</v>
      </c>
      <c r="Q676" t="s">
        <v>2153</v>
      </c>
      <c r="R676" s="7">
        <v>36039</v>
      </c>
      <c r="S676" s="8">
        <f t="shared" si="80"/>
        <v>1998</v>
      </c>
      <c r="T676" s="8">
        <v>1998</v>
      </c>
      <c r="U676" s="8">
        <f t="shared" si="81"/>
        <v>24</v>
      </c>
      <c r="V676" s="7">
        <v>36039</v>
      </c>
      <c r="W676" t="s">
        <v>110</v>
      </c>
      <c r="X676" s="2">
        <v>0.13800000000000001</v>
      </c>
      <c r="Y676" s="6">
        <f t="shared" si="82"/>
        <v>3.6838311844318095E-3</v>
      </c>
      <c r="AA676">
        <v>1926225</v>
      </c>
      <c r="AB676">
        <v>18580</v>
      </c>
      <c r="AD676" t="s">
        <v>2</v>
      </c>
      <c r="AE676">
        <v>41</v>
      </c>
      <c r="AF676">
        <v>9</v>
      </c>
      <c r="AI676" t="s">
        <v>2152</v>
      </c>
      <c r="AK676" t="s">
        <v>2151</v>
      </c>
      <c r="AL676">
        <v>2</v>
      </c>
      <c r="AM676" s="5">
        <f t="shared" si="83"/>
        <v>8.3333333333333329E-2</v>
      </c>
      <c r="AN676" s="4">
        <f t="shared" si="84"/>
        <v>1.2621481761958852E-4</v>
      </c>
      <c r="AO676" s="3"/>
      <c r="AP676">
        <v>0</v>
      </c>
      <c r="AR676" t="s">
        <v>1</v>
      </c>
      <c r="AT676" s="2">
        <v>0.30599999999999999</v>
      </c>
      <c r="AU676" s="1">
        <f t="shared" si="85"/>
        <v>0.26165462743881435</v>
      </c>
      <c r="AV676" s="1">
        <f t="shared" si="86"/>
        <v>0.19050230010256991</v>
      </c>
      <c r="AW676" s="1">
        <f t="shared" si="87"/>
        <v>0.11934997276632547</v>
      </c>
    </row>
    <row r="677" spans="1:49" x14ac:dyDescent="0.2">
      <c r="A677">
        <v>675</v>
      </c>
      <c r="B677" t="s">
        <v>2150</v>
      </c>
      <c r="C677" t="s">
        <v>2149</v>
      </c>
      <c r="D677" t="s">
        <v>2148</v>
      </c>
      <c r="F677" t="s">
        <v>2147</v>
      </c>
      <c r="G677" t="s">
        <v>5</v>
      </c>
      <c r="H677" t="s">
        <v>4</v>
      </c>
      <c r="I677" t="s">
        <v>2146</v>
      </c>
      <c r="J677" t="s">
        <v>2145</v>
      </c>
      <c r="K677" t="s">
        <v>2144</v>
      </c>
      <c r="L677" t="s">
        <v>2143</v>
      </c>
      <c r="M677" t="s">
        <v>174</v>
      </c>
      <c r="N677">
        <v>11</v>
      </c>
      <c r="O677" t="s">
        <v>2142</v>
      </c>
      <c r="P677" t="s">
        <v>2141</v>
      </c>
      <c r="Q677" t="s">
        <v>2140</v>
      </c>
      <c r="R677" s="7">
        <v>36039</v>
      </c>
      <c r="S677" s="8">
        <f t="shared" si="80"/>
        <v>1998</v>
      </c>
      <c r="T677" s="8">
        <v>1998</v>
      </c>
      <c r="U677" s="8">
        <f t="shared" si="81"/>
        <v>24</v>
      </c>
      <c r="V677" s="7">
        <v>36039</v>
      </c>
      <c r="W677" t="s">
        <v>297</v>
      </c>
      <c r="X677" s="2">
        <v>0.65600000000000003</v>
      </c>
      <c r="Y677" s="6">
        <f t="shared" si="82"/>
        <v>1.751154534048744E-2</v>
      </c>
      <c r="AA677">
        <v>9203796</v>
      </c>
      <c r="AB677">
        <v>20344</v>
      </c>
      <c r="AD677" t="s">
        <v>2</v>
      </c>
      <c r="AE677" t="s">
        <v>2104</v>
      </c>
      <c r="AH677" t="s">
        <v>2139</v>
      </c>
      <c r="AI677" t="s">
        <v>2138</v>
      </c>
      <c r="AK677" t="s">
        <v>2137</v>
      </c>
      <c r="AL677">
        <v>5</v>
      </c>
      <c r="AM677" s="5">
        <f t="shared" si="83"/>
        <v>0.20833333333333334</v>
      </c>
      <c r="AN677" s="4">
        <f t="shared" si="84"/>
        <v>3.1553704404897135E-4</v>
      </c>
      <c r="AO677" s="3"/>
      <c r="AP677">
        <v>0</v>
      </c>
      <c r="AR677" t="s">
        <v>1</v>
      </c>
      <c r="AT677" s="2">
        <v>1.4530000000000001</v>
      </c>
      <c r="AU677" s="1">
        <f t="shared" si="85"/>
        <v>1.23527428515559</v>
      </c>
      <c r="AV677" s="1">
        <f t="shared" si="86"/>
        <v>0.89135411922682051</v>
      </c>
      <c r="AW677" s="1">
        <f t="shared" si="87"/>
        <v>0.54743395329805122</v>
      </c>
    </row>
    <row r="678" spans="1:49" x14ac:dyDescent="0.2">
      <c r="A678">
        <v>676</v>
      </c>
      <c r="B678" t="s">
        <v>2136</v>
      </c>
      <c r="C678" t="s">
        <v>2135</v>
      </c>
      <c r="D678" t="s">
        <v>2134</v>
      </c>
      <c r="F678" t="s">
        <v>2133</v>
      </c>
      <c r="G678" t="s">
        <v>5</v>
      </c>
      <c r="H678" t="s">
        <v>4</v>
      </c>
      <c r="I678" t="s">
        <v>2132</v>
      </c>
      <c r="J678">
        <v>60020697</v>
      </c>
      <c r="K678" t="s">
        <v>2131</v>
      </c>
      <c r="L678" t="s">
        <v>2130</v>
      </c>
      <c r="M678" t="s">
        <v>82</v>
      </c>
      <c r="N678">
        <v>8</v>
      </c>
      <c r="O678" t="s">
        <v>2129</v>
      </c>
      <c r="P678" t="s">
        <v>2128</v>
      </c>
      <c r="Q678" t="s">
        <v>2127</v>
      </c>
      <c r="R678" s="7">
        <v>36039</v>
      </c>
      <c r="S678" s="8">
        <f t="shared" si="80"/>
        <v>1998</v>
      </c>
      <c r="T678" s="8">
        <v>1998</v>
      </c>
      <c r="U678" s="8">
        <f t="shared" si="81"/>
        <v>24</v>
      </c>
      <c r="V678" s="7">
        <v>36039</v>
      </c>
      <c r="W678" t="s">
        <v>297</v>
      </c>
      <c r="X678" s="2">
        <v>0.65600000000000003</v>
      </c>
      <c r="Y678" s="6">
        <f t="shared" si="82"/>
        <v>1.751154534048744E-2</v>
      </c>
      <c r="AA678">
        <v>9203796</v>
      </c>
      <c r="AB678">
        <v>20344</v>
      </c>
      <c r="AD678" t="s">
        <v>2</v>
      </c>
      <c r="AE678" t="s">
        <v>2104</v>
      </c>
      <c r="AH678" t="s">
        <v>2126</v>
      </c>
      <c r="AI678" t="s">
        <v>2125</v>
      </c>
      <c r="AK678" t="s">
        <v>2124</v>
      </c>
      <c r="AL678">
        <v>7</v>
      </c>
      <c r="AM678" s="5">
        <f t="shared" si="83"/>
        <v>0.29166666666666669</v>
      </c>
      <c r="AN678" s="4">
        <f t="shared" si="84"/>
        <v>4.417518616685599E-4</v>
      </c>
      <c r="AO678" s="3"/>
      <c r="AP678">
        <v>0</v>
      </c>
      <c r="AR678" t="s">
        <v>1</v>
      </c>
      <c r="AT678" s="2">
        <v>1.4530000000000001</v>
      </c>
      <c r="AU678" s="1">
        <f t="shared" si="85"/>
        <v>1.2390607296841776</v>
      </c>
      <c r="AV678" s="1">
        <f t="shared" si="86"/>
        <v>0.8976648601078</v>
      </c>
      <c r="AW678" s="1">
        <f t="shared" si="87"/>
        <v>0.55626899053142242</v>
      </c>
    </row>
    <row r="679" spans="1:49" x14ac:dyDescent="0.2">
      <c r="A679">
        <v>677</v>
      </c>
      <c r="B679" t="s">
        <v>2123</v>
      </c>
      <c r="C679" t="s">
        <v>2122</v>
      </c>
      <c r="D679" t="s">
        <v>2121</v>
      </c>
      <c r="F679" t="s">
        <v>2120</v>
      </c>
      <c r="G679" t="s">
        <v>5</v>
      </c>
      <c r="H679" t="s">
        <v>4</v>
      </c>
      <c r="I679" t="s">
        <v>68</v>
      </c>
      <c r="J679" t="s">
        <v>2119</v>
      </c>
      <c r="K679" t="s">
        <v>2118</v>
      </c>
      <c r="L679" t="s">
        <v>2117</v>
      </c>
      <c r="M679" t="s">
        <v>174</v>
      </c>
      <c r="N679">
        <v>8</v>
      </c>
      <c r="O679" t="s">
        <v>2116</v>
      </c>
      <c r="P679" t="s">
        <v>2115</v>
      </c>
      <c r="Q679" t="s">
        <v>2114</v>
      </c>
      <c r="R679" s="7">
        <v>36039</v>
      </c>
      <c r="S679" s="8">
        <f t="shared" si="80"/>
        <v>1998</v>
      </c>
      <c r="T679" s="8">
        <v>1998</v>
      </c>
      <c r="U679" s="8">
        <f t="shared" si="81"/>
        <v>24</v>
      </c>
      <c r="V679" s="7">
        <v>36039</v>
      </c>
      <c r="W679" t="s">
        <v>297</v>
      </c>
      <c r="X679" s="2">
        <v>0.65600000000000003</v>
      </c>
      <c r="Y679" s="6">
        <f t="shared" si="82"/>
        <v>1.751154534048744E-2</v>
      </c>
      <c r="AA679">
        <v>9203796</v>
      </c>
      <c r="AB679">
        <v>20344</v>
      </c>
      <c r="AD679" t="s">
        <v>2</v>
      </c>
      <c r="AE679" t="s">
        <v>2104</v>
      </c>
      <c r="AH679" t="s">
        <v>2113</v>
      </c>
      <c r="AI679" t="s">
        <v>2112</v>
      </c>
      <c r="AK679" t="s">
        <v>2111</v>
      </c>
      <c r="AL679">
        <v>4</v>
      </c>
      <c r="AM679" s="5">
        <f t="shared" si="83"/>
        <v>0.16666666666666666</v>
      </c>
      <c r="AN679" s="4">
        <f t="shared" si="84"/>
        <v>2.5242963523917705E-4</v>
      </c>
      <c r="AO679" s="3"/>
      <c r="AP679">
        <v>0</v>
      </c>
      <c r="AR679" t="s">
        <v>1</v>
      </c>
      <c r="AT679" s="2">
        <v>1.4530000000000001</v>
      </c>
      <c r="AU679" s="1">
        <f t="shared" si="85"/>
        <v>1.233381062891296</v>
      </c>
      <c r="AV679" s="1">
        <f t="shared" si="86"/>
        <v>0.88819874878633076</v>
      </c>
      <c r="AW679" s="1">
        <f t="shared" si="87"/>
        <v>0.54301643468136562</v>
      </c>
    </row>
    <row r="680" spans="1:49" x14ac:dyDescent="0.2">
      <c r="A680">
        <v>678</v>
      </c>
      <c r="B680" t="s">
        <v>2110</v>
      </c>
      <c r="C680" t="s">
        <v>2109</v>
      </c>
      <c r="D680" t="s">
        <v>2108</v>
      </c>
      <c r="F680" t="s">
        <v>2107</v>
      </c>
      <c r="G680" t="s">
        <v>5</v>
      </c>
      <c r="H680" t="s">
        <v>4</v>
      </c>
      <c r="I680" t="s">
        <v>2106</v>
      </c>
      <c r="J680">
        <v>60013901</v>
      </c>
      <c r="K680" t="s">
        <v>421</v>
      </c>
      <c r="L680" t="s">
        <v>420</v>
      </c>
      <c r="M680" t="s">
        <v>9</v>
      </c>
      <c r="N680">
        <v>1</v>
      </c>
      <c r="O680" t="s">
        <v>2105</v>
      </c>
      <c r="P680">
        <v>6603816446</v>
      </c>
      <c r="Q680">
        <v>60013901</v>
      </c>
      <c r="R680" s="7">
        <v>36039</v>
      </c>
      <c r="S680" s="8">
        <f t="shared" si="80"/>
        <v>1998</v>
      </c>
      <c r="T680" s="8">
        <v>1998</v>
      </c>
      <c r="U680" s="8">
        <f t="shared" si="81"/>
        <v>24</v>
      </c>
      <c r="V680" s="7">
        <v>36039</v>
      </c>
      <c r="W680" t="s">
        <v>297</v>
      </c>
      <c r="X680" s="2">
        <v>0.65600000000000003</v>
      </c>
      <c r="Y680" s="6">
        <f t="shared" si="82"/>
        <v>1.751154534048744E-2</v>
      </c>
      <c r="AA680">
        <v>9203796</v>
      </c>
      <c r="AB680">
        <v>20344</v>
      </c>
      <c r="AD680" t="s">
        <v>2</v>
      </c>
      <c r="AE680" t="s">
        <v>2104</v>
      </c>
      <c r="AH680" t="s">
        <v>2103</v>
      </c>
      <c r="AI680" t="s">
        <v>2102</v>
      </c>
      <c r="AK680" t="s">
        <v>2101</v>
      </c>
      <c r="AL680">
        <v>0</v>
      </c>
      <c r="AM680" s="5">
        <f t="shared" si="83"/>
        <v>0</v>
      </c>
      <c r="AN680" s="4">
        <f t="shared" si="84"/>
        <v>0</v>
      </c>
      <c r="AO680" s="3"/>
      <c r="AP680">
        <v>0</v>
      </c>
      <c r="AR680" t="s">
        <v>1</v>
      </c>
      <c r="AT680" s="2">
        <v>1.4530000000000001</v>
      </c>
      <c r="AU680" s="1">
        <f t="shared" si="85"/>
        <v>1.2258081738341209</v>
      </c>
      <c r="AV680" s="1">
        <f t="shared" si="86"/>
        <v>0.875577267024372</v>
      </c>
      <c r="AW680" s="1">
        <f t="shared" si="87"/>
        <v>0.52534636021462322</v>
      </c>
    </row>
    <row r="681" spans="1:49" x14ac:dyDescent="0.2">
      <c r="A681">
        <v>679</v>
      </c>
      <c r="B681" t="s">
        <v>2100</v>
      </c>
      <c r="F681" t="s">
        <v>2099</v>
      </c>
      <c r="G681" t="s">
        <v>5</v>
      </c>
      <c r="H681" t="s">
        <v>4</v>
      </c>
      <c r="I681" t="s">
        <v>2098</v>
      </c>
      <c r="J681">
        <v>60003527</v>
      </c>
      <c r="K681" t="s">
        <v>2097</v>
      </c>
      <c r="L681" t="s">
        <v>2096</v>
      </c>
      <c r="M681" t="s">
        <v>9</v>
      </c>
      <c r="N681">
        <v>1</v>
      </c>
      <c r="O681" t="s">
        <v>2095</v>
      </c>
      <c r="P681">
        <v>7005361811</v>
      </c>
      <c r="Q681">
        <v>60003527</v>
      </c>
      <c r="R681" s="7">
        <v>36039</v>
      </c>
      <c r="S681" s="8">
        <f t="shared" si="80"/>
        <v>1998</v>
      </c>
      <c r="T681" s="8">
        <v>1998</v>
      </c>
      <c r="U681" s="8">
        <f t="shared" si="81"/>
        <v>24</v>
      </c>
      <c r="V681" s="7">
        <v>36039</v>
      </c>
      <c r="W681" t="s">
        <v>2094</v>
      </c>
      <c r="X681" s="2">
        <v>0.17299999999999999</v>
      </c>
      <c r="Y681" s="6">
        <f t="shared" si="82"/>
        <v>4.6181361949761083E-3</v>
      </c>
      <c r="AA681">
        <v>384909</v>
      </c>
      <c r="AB681">
        <v>24895</v>
      </c>
      <c r="AD681" t="s">
        <v>2</v>
      </c>
      <c r="AE681">
        <v>43</v>
      </c>
      <c r="AF681">
        <v>3</v>
      </c>
      <c r="AH681" t="s">
        <v>2093</v>
      </c>
      <c r="AI681" t="s">
        <v>2092</v>
      </c>
      <c r="AK681" t="s">
        <v>2091</v>
      </c>
      <c r="AL681">
        <v>0</v>
      </c>
      <c r="AM681" s="5">
        <f t="shared" si="83"/>
        <v>0</v>
      </c>
      <c r="AN681" s="4">
        <f t="shared" si="84"/>
        <v>0</v>
      </c>
      <c r="AO681" s="3"/>
      <c r="AP681">
        <v>0</v>
      </c>
      <c r="AR681" t="s">
        <v>1</v>
      </c>
      <c r="AT681" s="2">
        <v>0.26700000000000002</v>
      </c>
      <c r="AU681" s="1">
        <f t="shared" si="85"/>
        <v>0.32326953364832756</v>
      </c>
      <c r="AV681" s="1">
        <f t="shared" si="86"/>
        <v>0.23090680974880542</v>
      </c>
      <c r="AW681" s="1">
        <f t="shared" si="87"/>
        <v>0.13854408584928327</v>
      </c>
    </row>
    <row r="682" spans="1:49" x14ac:dyDescent="0.2">
      <c r="A682">
        <v>680</v>
      </c>
      <c r="B682" t="s">
        <v>2090</v>
      </c>
      <c r="C682" t="s">
        <v>2089</v>
      </c>
      <c r="D682" t="s">
        <v>2088</v>
      </c>
      <c r="F682" t="s">
        <v>2087</v>
      </c>
      <c r="G682" t="s">
        <v>5</v>
      </c>
      <c r="H682" t="s">
        <v>4</v>
      </c>
      <c r="I682" t="s">
        <v>209</v>
      </c>
      <c r="J682">
        <v>60032116</v>
      </c>
      <c r="K682" t="s">
        <v>2086</v>
      </c>
      <c r="L682" t="s">
        <v>104</v>
      </c>
      <c r="M682" t="s">
        <v>12</v>
      </c>
      <c r="N682">
        <v>2</v>
      </c>
      <c r="O682" t="s">
        <v>2085</v>
      </c>
      <c r="P682" t="s">
        <v>2084</v>
      </c>
      <c r="Q682" t="s">
        <v>2083</v>
      </c>
      <c r="R682" s="7">
        <v>36039</v>
      </c>
      <c r="S682" s="8">
        <f t="shared" si="80"/>
        <v>1998</v>
      </c>
      <c r="T682" s="8">
        <v>1998</v>
      </c>
      <c r="U682" s="8">
        <f t="shared" si="81"/>
        <v>24</v>
      </c>
      <c r="V682" s="7">
        <v>36039</v>
      </c>
      <c r="W682" t="s">
        <v>660</v>
      </c>
      <c r="X682" s="2">
        <v>0.436</v>
      </c>
      <c r="Y682" s="6">
        <f t="shared" si="82"/>
        <v>1.1638770988494702E-2</v>
      </c>
      <c r="AA682">
        <v>12268615</v>
      </c>
      <c r="AB682">
        <v>11700154717</v>
      </c>
      <c r="AD682" t="s">
        <v>2</v>
      </c>
      <c r="AE682">
        <v>1</v>
      </c>
      <c r="AF682">
        <v>2</v>
      </c>
      <c r="AH682" t="s">
        <v>2082</v>
      </c>
      <c r="AI682" t="s">
        <v>2081</v>
      </c>
      <c r="AJ682" t="s">
        <v>2080</v>
      </c>
      <c r="AK682" t="s">
        <v>2079</v>
      </c>
      <c r="AL682">
        <v>21</v>
      </c>
      <c r="AM682" s="5">
        <f t="shared" si="83"/>
        <v>0.875</v>
      </c>
      <c r="AN682" s="4">
        <f t="shared" si="84"/>
        <v>1.3252555850056798E-3</v>
      </c>
      <c r="AO682" s="3"/>
      <c r="AP682">
        <v>0</v>
      </c>
      <c r="AR682" t="s">
        <v>1</v>
      </c>
      <c r="AT682" s="2">
        <v>1.3029999999999999</v>
      </c>
      <c r="AU682" s="1">
        <f t="shared" si="85"/>
        <v>0.85447163674479942</v>
      </c>
      <c r="AV682" s="1">
        <f t="shared" si="86"/>
        <v>0.64820132867501912</v>
      </c>
      <c r="AW682" s="1">
        <f t="shared" si="87"/>
        <v>0.44193102060523859</v>
      </c>
    </row>
    <row r="683" spans="1:49" x14ac:dyDescent="0.2">
      <c r="A683">
        <v>681</v>
      </c>
      <c r="B683" t="s">
        <v>2078</v>
      </c>
      <c r="C683" t="s">
        <v>2077</v>
      </c>
      <c r="D683" t="s">
        <v>2076</v>
      </c>
      <c r="F683" t="s">
        <v>2075</v>
      </c>
      <c r="G683" t="s">
        <v>5</v>
      </c>
      <c r="H683" t="s">
        <v>4</v>
      </c>
      <c r="I683" t="s">
        <v>2074</v>
      </c>
      <c r="J683" t="s">
        <v>2073</v>
      </c>
      <c r="K683" t="s">
        <v>2072</v>
      </c>
      <c r="L683" t="s">
        <v>2071</v>
      </c>
      <c r="M683" t="s">
        <v>2070</v>
      </c>
      <c r="N683">
        <v>3</v>
      </c>
      <c r="O683" t="s">
        <v>2069</v>
      </c>
      <c r="P683" t="s">
        <v>2068</v>
      </c>
      <c r="Q683" t="s">
        <v>2067</v>
      </c>
      <c r="R683" s="7">
        <v>36039</v>
      </c>
      <c r="S683" s="8">
        <f t="shared" si="80"/>
        <v>1998</v>
      </c>
      <c r="T683" s="8">
        <v>1998</v>
      </c>
      <c r="U683" s="8">
        <f t="shared" si="81"/>
        <v>24</v>
      </c>
      <c r="V683" s="7">
        <v>36039</v>
      </c>
      <c r="W683" t="s">
        <v>397</v>
      </c>
      <c r="X683" s="2">
        <v>2.5710000000000002</v>
      </c>
      <c r="Y683" s="6">
        <f t="shared" si="82"/>
        <v>6.8631376631696966E-2</v>
      </c>
      <c r="AA683">
        <v>189200</v>
      </c>
      <c r="AB683">
        <v>17278</v>
      </c>
      <c r="AD683" t="s">
        <v>2</v>
      </c>
      <c r="AE683">
        <v>33</v>
      </c>
      <c r="AF683">
        <v>9</v>
      </c>
      <c r="AH683" t="s">
        <v>2066</v>
      </c>
      <c r="AI683" t="s">
        <v>2065</v>
      </c>
      <c r="AJ683" t="s">
        <v>2064</v>
      </c>
      <c r="AK683" t="s">
        <v>2063</v>
      </c>
      <c r="AL683">
        <v>20</v>
      </c>
      <c r="AM683" s="5">
        <f t="shared" si="83"/>
        <v>0.83333333333333337</v>
      </c>
      <c r="AN683" s="4">
        <f t="shared" si="84"/>
        <v>1.2621481761958854E-3</v>
      </c>
      <c r="AO683" s="3"/>
      <c r="AP683">
        <v>0</v>
      </c>
      <c r="AQ683" t="s">
        <v>223</v>
      </c>
      <c r="AR683" t="s">
        <v>1</v>
      </c>
      <c r="AS683" t="s">
        <v>222</v>
      </c>
      <c r="AT683" s="2">
        <v>5.0129999999999999</v>
      </c>
      <c r="AU683" s="1">
        <f t="shared" si="85"/>
        <v>4.8420608095046642</v>
      </c>
      <c r="AV683" s="1">
        <f t="shared" si="86"/>
        <v>3.4946762403946425</v>
      </c>
      <c r="AW683" s="1">
        <f t="shared" si="87"/>
        <v>2.1472916712846213</v>
      </c>
    </row>
    <row r="684" spans="1:49" x14ac:dyDescent="0.2">
      <c r="A684">
        <v>682</v>
      </c>
      <c r="B684" t="s">
        <v>2062</v>
      </c>
      <c r="C684" t="s">
        <v>2061</v>
      </c>
      <c r="D684" t="s">
        <v>2060</v>
      </c>
      <c r="E684">
        <v>9725599</v>
      </c>
      <c r="F684" t="s">
        <v>2059</v>
      </c>
      <c r="G684" t="s">
        <v>5</v>
      </c>
      <c r="H684" t="s">
        <v>4</v>
      </c>
      <c r="I684" t="s">
        <v>219</v>
      </c>
      <c r="J684" t="s">
        <v>2058</v>
      </c>
      <c r="K684" t="s">
        <v>2057</v>
      </c>
      <c r="L684" t="s">
        <v>2056</v>
      </c>
      <c r="M684" t="s">
        <v>2055</v>
      </c>
      <c r="N684">
        <v>4</v>
      </c>
      <c r="O684" t="s">
        <v>2054</v>
      </c>
      <c r="P684" t="s">
        <v>2053</v>
      </c>
      <c r="Q684" t="s">
        <v>2052</v>
      </c>
      <c r="R684" s="7">
        <v>36031</v>
      </c>
      <c r="S684" s="8">
        <f t="shared" si="80"/>
        <v>1998</v>
      </c>
      <c r="T684" s="8">
        <v>1998</v>
      </c>
      <c r="U684" s="8">
        <f t="shared" si="81"/>
        <v>24</v>
      </c>
      <c r="V684" s="7">
        <v>1998</v>
      </c>
      <c r="W684" t="s">
        <v>2051</v>
      </c>
      <c r="X684" s="2">
        <v>1.3120000000000001</v>
      </c>
      <c r="Y684" s="6">
        <f t="shared" si="82"/>
        <v>3.502309068097488E-2</v>
      </c>
      <c r="AA684">
        <v>319155</v>
      </c>
      <c r="AB684">
        <v>29203</v>
      </c>
      <c r="AD684" t="s">
        <v>2</v>
      </c>
      <c r="AE684">
        <v>43</v>
      </c>
      <c r="AF684">
        <v>8</v>
      </c>
      <c r="AH684" t="s">
        <v>2050</v>
      </c>
      <c r="AI684" t="s">
        <v>2049</v>
      </c>
      <c r="AK684" t="s">
        <v>2048</v>
      </c>
      <c r="AL684">
        <v>13</v>
      </c>
      <c r="AM684" s="5">
        <f t="shared" si="83"/>
        <v>0.54166666666666663</v>
      </c>
      <c r="AN684" s="4">
        <f t="shared" si="84"/>
        <v>8.2039631452732545E-4</v>
      </c>
      <c r="AO684" s="3"/>
      <c r="AP684">
        <v>0</v>
      </c>
      <c r="AR684" t="s">
        <v>1</v>
      </c>
      <c r="AT684" s="2">
        <v>3.609</v>
      </c>
      <c r="AU684" s="1">
        <f t="shared" si="85"/>
        <v>2.4762282371040616</v>
      </c>
      <c r="AV684" s="1">
        <f t="shared" si="86"/>
        <v>1.7921743497751104</v>
      </c>
      <c r="AW684" s="1">
        <f t="shared" si="87"/>
        <v>1.1081204624461594</v>
      </c>
    </row>
    <row r="685" spans="1:49" x14ac:dyDescent="0.2">
      <c r="A685">
        <v>683</v>
      </c>
      <c r="B685" t="s">
        <v>2047</v>
      </c>
      <c r="C685" t="s">
        <v>2046</v>
      </c>
      <c r="F685" t="s">
        <v>2045</v>
      </c>
      <c r="G685" t="s">
        <v>5</v>
      </c>
      <c r="H685" t="s">
        <v>4</v>
      </c>
      <c r="I685" t="s">
        <v>200</v>
      </c>
      <c r="J685">
        <v>60011362</v>
      </c>
      <c r="K685" t="s">
        <v>199</v>
      </c>
      <c r="L685" t="s">
        <v>72</v>
      </c>
      <c r="M685" t="s">
        <v>27</v>
      </c>
      <c r="N685">
        <v>1</v>
      </c>
      <c r="O685" t="s">
        <v>2044</v>
      </c>
      <c r="P685">
        <v>35478779700</v>
      </c>
      <c r="Q685">
        <v>60011362</v>
      </c>
      <c r="R685" s="7">
        <v>36027</v>
      </c>
      <c r="S685" s="8">
        <f t="shared" si="80"/>
        <v>1998</v>
      </c>
      <c r="T685" s="8">
        <v>1998</v>
      </c>
      <c r="U685" s="8">
        <f t="shared" si="81"/>
        <v>24</v>
      </c>
      <c r="V685" s="7">
        <v>36027</v>
      </c>
      <c r="W685" t="s">
        <v>612</v>
      </c>
      <c r="X685" s="2">
        <v>0.375</v>
      </c>
      <c r="Y685" s="6">
        <f t="shared" si="82"/>
        <v>1.0010410827260351E-2</v>
      </c>
      <c r="AA685">
        <v>135194</v>
      </c>
      <c r="AB685">
        <v>24918</v>
      </c>
      <c r="AD685" t="s">
        <v>2</v>
      </c>
      <c r="AE685">
        <v>34</v>
      </c>
      <c r="AF685">
        <v>17</v>
      </c>
      <c r="AH685" t="s">
        <v>2043</v>
      </c>
      <c r="AI685" t="s">
        <v>2042</v>
      </c>
      <c r="AK685" t="s">
        <v>2041</v>
      </c>
      <c r="AL685">
        <v>2</v>
      </c>
      <c r="AM685" s="5">
        <f t="shared" si="83"/>
        <v>8.3333333333333329E-2</v>
      </c>
      <c r="AN685" s="4">
        <f t="shared" si="84"/>
        <v>1.2621481761958852E-4</v>
      </c>
      <c r="AO685" s="3"/>
      <c r="AP685">
        <v>0</v>
      </c>
      <c r="AR685" t="s">
        <v>1</v>
      </c>
      <c r="AT685" s="2">
        <v>1.3140000000000001</v>
      </c>
      <c r="AU685" s="1">
        <f t="shared" si="85"/>
        <v>0.7045152024368122</v>
      </c>
      <c r="AV685" s="1">
        <f t="shared" si="86"/>
        <v>0.50683128224399698</v>
      </c>
      <c r="AW685" s="1">
        <f t="shared" si="87"/>
        <v>0.30914736205118171</v>
      </c>
    </row>
    <row r="686" spans="1:49" x14ac:dyDescent="0.2">
      <c r="A686">
        <v>684</v>
      </c>
      <c r="B686" t="s">
        <v>2040</v>
      </c>
      <c r="C686" t="s">
        <v>2039</v>
      </c>
      <c r="F686" t="s">
        <v>2038</v>
      </c>
      <c r="G686" t="s">
        <v>5</v>
      </c>
      <c r="H686" t="s">
        <v>4</v>
      </c>
      <c r="I686" t="s">
        <v>2037</v>
      </c>
      <c r="J686">
        <v>60006861</v>
      </c>
      <c r="K686" t="s">
        <v>2036</v>
      </c>
      <c r="L686" t="s">
        <v>2035</v>
      </c>
      <c r="M686" t="s">
        <v>2034</v>
      </c>
      <c r="N686">
        <v>2</v>
      </c>
      <c r="O686" t="s">
        <v>2033</v>
      </c>
      <c r="P686" t="s">
        <v>2032</v>
      </c>
      <c r="Q686" t="s">
        <v>2031</v>
      </c>
      <c r="R686" s="7">
        <v>36027</v>
      </c>
      <c r="S686" s="8">
        <f t="shared" si="80"/>
        <v>1998</v>
      </c>
      <c r="T686" s="8">
        <v>1998</v>
      </c>
      <c r="U686" s="8">
        <f t="shared" si="81"/>
        <v>24</v>
      </c>
      <c r="V686" s="7">
        <v>36027</v>
      </c>
      <c r="W686" t="s">
        <v>612</v>
      </c>
      <c r="X686" s="2">
        <v>0.375</v>
      </c>
      <c r="Y686" s="6">
        <f t="shared" si="82"/>
        <v>1.0010410827260351E-2</v>
      </c>
      <c r="AA686">
        <v>135194</v>
      </c>
      <c r="AB686">
        <v>24918</v>
      </c>
      <c r="AD686" t="s">
        <v>2</v>
      </c>
      <c r="AE686">
        <v>34</v>
      </c>
      <c r="AF686">
        <v>17</v>
      </c>
      <c r="AH686" t="s">
        <v>2030</v>
      </c>
      <c r="AI686" t="s">
        <v>2029</v>
      </c>
      <c r="AK686" t="s">
        <v>2028</v>
      </c>
      <c r="AL686">
        <v>1</v>
      </c>
      <c r="AM686" s="5">
        <f t="shared" si="83"/>
        <v>4.1666666666666664E-2</v>
      </c>
      <c r="AN686" s="4">
        <f t="shared" si="84"/>
        <v>6.3107408809794262E-5</v>
      </c>
      <c r="AO686" s="3"/>
      <c r="AP686">
        <v>0</v>
      </c>
      <c r="AR686" t="s">
        <v>1</v>
      </c>
      <c r="AT686" s="2">
        <v>1.3140000000000001</v>
      </c>
      <c r="AU686" s="1">
        <f t="shared" si="85"/>
        <v>0.70262198017251842</v>
      </c>
      <c r="AV686" s="1">
        <f t="shared" si="86"/>
        <v>0.50367591180350735</v>
      </c>
      <c r="AW686" s="1">
        <f t="shared" si="87"/>
        <v>0.30472984343449611</v>
      </c>
    </row>
    <row r="687" spans="1:49" x14ac:dyDescent="0.2">
      <c r="A687">
        <v>685</v>
      </c>
      <c r="B687" t="s">
        <v>2027</v>
      </c>
      <c r="C687" t="s">
        <v>2026</v>
      </c>
      <c r="F687" t="s">
        <v>2025</v>
      </c>
      <c r="G687" t="s">
        <v>5</v>
      </c>
      <c r="H687" t="s">
        <v>4</v>
      </c>
      <c r="I687" t="s">
        <v>2024</v>
      </c>
      <c r="J687" t="s">
        <v>2023</v>
      </c>
      <c r="K687" t="s">
        <v>2022</v>
      </c>
      <c r="L687" t="s">
        <v>2021</v>
      </c>
      <c r="M687" t="s">
        <v>2020</v>
      </c>
      <c r="N687">
        <v>7</v>
      </c>
      <c r="O687" t="s">
        <v>2019</v>
      </c>
      <c r="P687" t="s">
        <v>2018</v>
      </c>
      <c r="Q687" t="s">
        <v>2017</v>
      </c>
      <c r="R687" s="7">
        <v>36027</v>
      </c>
      <c r="S687" s="8">
        <f t="shared" si="80"/>
        <v>1998</v>
      </c>
      <c r="T687" s="8">
        <v>1998</v>
      </c>
      <c r="U687" s="8">
        <f t="shared" si="81"/>
        <v>24</v>
      </c>
      <c r="V687" s="7">
        <v>36027</v>
      </c>
      <c r="W687" t="s">
        <v>612</v>
      </c>
      <c r="X687" s="2">
        <v>0.375</v>
      </c>
      <c r="Y687" s="6">
        <f t="shared" si="82"/>
        <v>1.0010410827260351E-2</v>
      </c>
      <c r="AA687">
        <v>135194</v>
      </c>
      <c r="AB687">
        <v>24918</v>
      </c>
      <c r="AD687" t="s">
        <v>2</v>
      </c>
      <c r="AE687">
        <v>34</v>
      </c>
      <c r="AF687">
        <v>17</v>
      </c>
      <c r="AH687" t="s">
        <v>2016</v>
      </c>
      <c r="AI687" t="s">
        <v>2015</v>
      </c>
      <c r="AK687" t="s">
        <v>2014</v>
      </c>
      <c r="AL687">
        <v>14</v>
      </c>
      <c r="AM687" s="5">
        <f t="shared" si="83"/>
        <v>0.58333333333333337</v>
      </c>
      <c r="AN687" s="4">
        <f t="shared" si="84"/>
        <v>8.835037233371198E-4</v>
      </c>
      <c r="AO687" s="3"/>
      <c r="AP687">
        <v>0</v>
      </c>
      <c r="AR687" t="s">
        <v>1</v>
      </c>
      <c r="AT687" s="2">
        <v>1.3140000000000001</v>
      </c>
      <c r="AU687" s="1">
        <f t="shared" si="85"/>
        <v>0.72723386960833813</v>
      </c>
      <c r="AV687" s="1">
        <f t="shared" si="86"/>
        <v>0.54469572752987361</v>
      </c>
      <c r="AW687" s="1">
        <f t="shared" si="87"/>
        <v>0.36215758545140891</v>
      </c>
    </row>
    <row r="688" spans="1:49" x14ac:dyDescent="0.2">
      <c r="A688">
        <v>686</v>
      </c>
      <c r="B688" t="s">
        <v>2013</v>
      </c>
      <c r="C688" t="s">
        <v>2012</v>
      </c>
      <c r="E688">
        <v>9703031</v>
      </c>
      <c r="F688" t="s">
        <v>2011</v>
      </c>
      <c r="G688" t="s">
        <v>5</v>
      </c>
      <c r="H688" t="s">
        <v>4</v>
      </c>
      <c r="I688" t="s">
        <v>2010</v>
      </c>
      <c r="J688" t="s">
        <v>770</v>
      </c>
      <c r="K688" t="s">
        <v>769</v>
      </c>
      <c r="L688" t="s">
        <v>768</v>
      </c>
      <c r="M688" t="s">
        <v>6</v>
      </c>
      <c r="N688">
        <v>4</v>
      </c>
      <c r="O688" t="s">
        <v>2009</v>
      </c>
      <c r="P688" t="s">
        <v>2008</v>
      </c>
      <c r="Q688" t="s">
        <v>2007</v>
      </c>
      <c r="R688" s="7">
        <v>36024</v>
      </c>
      <c r="S688" s="8">
        <f t="shared" si="80"/>
        <v>1998</v>
      </c>
      <c r="T688" s="8">
        <v>1998</v>
      </c>
      <c r="U688" s="8">
        <f t="shared" si="81"/>
        <v>24</v>
      </c>
      <c r="V688" s="7">
        <v>36024</v>
      </c>
      <c r="W688" t="s">
        <v>2006</v>
      </c>
      <c r="X688" s="2">
        <v>1.855</v>
      </c>
      <c r="Y688" s="6">
        <f t="shared" si="82"/>
        <v>4.9518165558847867E-2</v>
      </c>
      <c r="AA688">
        <v>219967</v>
      </c>
      <c r="AB688">
        <v>16689</v>
      </c>
      <c r="AD688" t="s">
        <v>2</v>
      </c>
      <c r="AE688">
        <v>398</v>
      </c>
      <c r="AF688">
        <v>1</v>
      </c>
      <c r="AH688" t="s">
        <v>2005</v>
      </c>
      <c r="AI688" t="s">
        <v>2004</v>
      </c>
      <c r="AJ688" t="s">
        <v>2003</v>
      </c>
      <c r="AK688" t="s">
        <v>2002</v>
      </c>
      <c r="AL688">
        <v>36</v>
      </c>
      <c r="AM688" s="5">
        <f t="shared" si="83"/>
        <v>1.5</v>
      </c>
      <c r="AN688" s="4">
        <f t="shared" si="84"/>
        <v>2.2718667171525938E-3</v>
      </c>
      <c r="AO688" s="3"/>
      <c r="AP688">
        <v>0</v>
      </c>
      <c r="AQ688" t="s">
        <v>2001</v>
      </c>
      <c r="AR688" t="s">
        <v>2000</v>
      </c>
      <c r="AS688" t="s">
        <v>1999</v>
      </c>
      <c r="AT688" s="2">
        <v>3.2149999999999999</v>
      </c>
      <c r="AU688" s="1">
        <f t="shared" si="85"/>
        <v>3.5344275906339284</v>
      </c>
      <c r="AV688" s="1">
        <f t="shared" si="86"/>
        <v>2.5895016138000231</v>
      </c>
      <c r="AW688" s="1">
        <f t="shared" si="87"/>
        <v>1.6445756369661175</v>
      </c>
    </row>
    <row r="689" spans="1:49" x14ac:dyDescent="0.2">
      <c r="A689">
        <v>687</v>
      </c>
      <c r="B689" t="s">
        <v>1998</v>
      </c>
      <c r="C689" t="s">
        <v>1997</v>
      </c>
      <c r="F689" t="s">
        <v>1996</v>
      </c>
      <c r="G689" t="s">
        <v>5</v>
      </c>
      <c r="H689" t="s">
        <v>4</v>
      </c>
      <c r="I689" t="s">
        <v>1995</v>
      </c>
      <c r="J689">
        <v>60009037</v>
      </c>
      <c r="K689" t="s">
        <v>396</v>
      </c>
      <c r="L689" t="s">
        <v>74</v>
      </c>
      <c r="M689" t="s">
        <v>9</v>
      </c>
      <c r="N689">
        <v>2</v>
      </c>
      <c r="O689" t="s">
        <v>1994</v>
      </c>
      <c r="P689" t="s">
        <v>1993</v>
      </c>
      <c r="Q689" t="s">
        <v>1992</v>
      </c>
      <c r="R689" s="7">
        <v>36022</v>
      </c>
      <c r="S689" s="8">
        <f t="shared" si="80"/>
        <v>1998</v>
      </c>
      <c r="T689" s="8">
        <v>1998</v>
      </c>
      <c r="U689" s="8">
        <f t="shared" si="81"/>
        <v>24</v>
      </c>
      <c r="V689" s="7">
        <v>36022</v>
      </c>
      <c r="W689" t="s">
        <v>3</v>
      </c>
      <c r="X689" s="2">
        <v>1.887</v>
      </c>
      <c r="Y689" s="6">
        <f t="shared" si="82"/>
        <v>5.0372387282774087E-2</v>
      </c>
      <c r="AA689">
        <v>5562821</v>
      </c>
      <c r="AB689">
        <v>29459</v>
      </c>
      <c r="AD689" t="s">
        <v>2</v>
      </c>
      <c r="AE689">
        <v>58</v>
      </c>
      <c r="AF689">
        <v>4</v>
      </c>
      <c r="AG689">
        <v>42002</v>
      </c>
      <c r="AH689" t="s">
        <v>1991</v>
      </c>
      <c r="AI689" t="s">
        <v>1990</v>
      </c>
      <c r="AK689" t="s">
        <v>1989</v>
      </c>
      <c r="AL689">
        <v>20</v>
      </c>
      <c r="AM689" s="5">
        <f t="shared" si="83"/>
        <v>0.83333333333333337</v>
      </c>
      <c r="AN689" s="4">
        <f t="shared" si="84"/>
        <v>1.2621481761958854E-3</v>
      </c>
      <c r="AO689" s="3"/>
      <c r="AP689">
        <v>0</v>
      </c>
      <c r="AR689" t="s">
        <v>1</v>
      </c>
      <c r="AT689" s="2" t="s">
        <v>0</v>
      </c>
      <c r="AU689" s="1">
        <f t="shared" si="85"/>
        <v>3.5639315550800625</v>
      </c>
      <c r="AV689" s="1">
        <f t="shared" si="86"/>
        <v>2.5817267729484983</v>
      </c>
      <c r="AW689" s="1">
        <f t="shared" si="87"/>
        <v>1.5995219908169342</v>
      </c>
    </row>
    <row r="690" spans="1:49" x14ac:dyDescent="0.2">
      <c r="A690">
        <v>688</v>
      </c>
      <c r="B690" t="s">
        <v>1988</v>
      </c>
      <c r="C690" t="s">
        <v>1987</v>
      </c>
      <c r="D690" t="s">
        <v>1986</v>
      </c>
      <c r="F690" t="s">
        <v>1985</v>
      </c>
      <c r="G690" t="s">
        <v>5</v>
      </c>
      <c r="H690" t="s">
        <v>4</v>
      </c>
      <c r="I690" t="s">
        <v>1984</v>
      </c>
      <c r="J690" t="s">
        <v>1983</v>
      </c>
      <c r="K690" t="s">
        <v>1982</v>
      </c>
      <c r="L690" t="s">
        <v>1981</v>
      </c>
      <c r="M690" t="s">
        <v>1980</v>
      </c>
      <c r="N690">
        <v>10</v>
      </c>
      <c r="O690" t="s">
        <v>1979</v>
      </c>
      <c r="P690" t="s">
        <v>1978</v>
      </c>
      <c r="Q690" t="s">
        <v>1977</v>
      </c>
      <c r="R690" s="7">
        <v>36022</v>
      </c>
      <c r="S690" s="8">
        <f t="shared" si="80"/>
        <v>1998</v>
      </c>
      <c r="T690" s="8">
        <v>1998</v>
      </c>
      <c r="U690" s="8">
        <f t="shared" si="81"/>
        <v>24</v>
      </c>
      <c r="V690" s="7">
        <v>36022</v>
      </c>
      <c r="W690" t="s">
        <v>542</v>
      </c>
      <c r="X690" s="2">
        <v>0.60599999999999998</v>
      </c>
      <c r="Y690" s="6">
        <f t="shared" si="82"/>
        <v>1.6176823896852727E-2</v>
      </c>
      <c r="AA690">
        <v>13861425</v>
      </c>
      <c r="AB690">
        <v>24530</v>
      </c>
      <c r="AD690" t="s">
        <v>2</v>
      </c>
      <c r="AE690">
        <v>54</v>
      </c>
      <c r="AF690">
        <v>9</v>
      </c>
      <c r="AH690" t="s">
        <v>1976</v>
      </c>
      <c r="AI690" t="s">
        <v>1975</v>
      </c>
      <c r="AJ690" t="s">
        <v>1974</v>
      </c>
      <c r="AK690" t="s">
        <v>1973</v>
      </c>
      <c r="AL690">
        <v>37</v>
      </c>
      <c r="AM690" s="5">
        <f t="shared" si="83"/>
        <v>1.5416666666666667</v>
      </c>
      <c r="AN690" s="4">
        <f t="shared" si="84"/>
        <v>2.3349741259623882E-3</v>
      </c>
      <c r="AO690" s="3"/>
      <c r="AP690">
        <v>0</v>
      </c>
      <c r="AQ690" t="s">
        <v>223</v>
      </c>
      <c r="AR690" t="s">
        <v>1</v>
      </c>
      <c r="AS690" t="s">
        <v>222</v>
      </c>
      <c r="AT690" s="2" t="s">
        <v>0</v>
      </c>
      <c r="AU690" s="1">
        <f t="shared" si="85"/>
        <v>1.2024268965585625</v>
      </c>
      <c r="AV690" s="1">
        <f t="shared" si="86"/>
        <v>0.92558990114075568</v>
      </c>
      <c r="AW690" s="1">
        <f t="shared" si="87"/>
        <v>0.64875290572294897</v>
      </c>
    </row>
    <row r="691" spans="1:49" x14ac:dyDescent="0.2">
      <c r="A691">
        <v>689</v>
      </c>
      <c r="B691" t="s">
        <v>1972</v>
      </c>
      <c r="C691" t="s">
        <v>1971</v>
      </c>
      <c r="F691" t="s">
        <v>1970</v>
      </c>
      <c r="G691" t="s">
        <v>5</v>
      </c>
      <c r="H691" t="s">
        <v>4</v>
      </c>
      <c r="I691" t="s">
        <v>1969</v>
      </c>
      <c r="J691" t="s">
        <v>1968</v>
      </c>
      <c r="K691" t="s">
        <v>1967</v>
      </c>
      <c r="L691" t="s">
        <v>1966</v>
      </c>
      <c r="M691" t="s">
        <v>174</v>
      </c>
      <c r="N691">
        <v>5</v>
      </c>
      <c r="O691" t="s">
        <v>1965</v>
      </c>
      <c r="P691" t="s">
        <v>1964</v>
      </c>
      <c r="Q691" t="s">
        <v>1963</v>
      </c>
      <c r="R691" s="7">
        <v>36022</v>
      </c>
      <c r="S691" s="8">
        <f t="shared" si="80"/>
        <v>1998</v>
      </c>
      <c r="T691" s="8">
        <v>1998</v>
      </c>
      <c r="U691" s="8">
        <f t="shared" si="81"/>
        <v>24</v>
      </c>
      <c r="V691" s="7">
        <v>36022</v>
      </c>
      <c r="W691" t="s">
        <v>341</v>
      </c>
      <c r="X691" s="2">
        <v>1.276</v>
      </c>
      <c r="Y691" s="6">
        <f t="shared" si="82"/>
        <v>3.4062091241557887E-2</v>
      </c>
      <c r="AA691">
        <v>214922</v>
      </c>
      <c r="AB691">
        <v>75087</v>
      </c>
      <c r="AD691" t="s">
        <v>2</v>
      </c>
      <c r="AE691">
        <v>37</v>
      </c>
      <c r="AF691" t="s">
        <v>1962</v>
      </c>
      <c r="AI691" t="s">
        <v>1961</v>
      </c>
      <c r="AJ691" t="s">
        <v>1960</v>
      </c>
      <c r="AK691" t="s">
        <v>1959</v>
      </c>
      <c r="AL691">
        <v>35</v>
      </c>
      <c r="AM691" s="5">
        <f t="shared" si="83"/>
        <v>1.4583333333333333</v>
      </c>
      <c r="AN691" s="4">
        <f t="shared" si="84"/>
        <v>2.2087593083427995E-3</v>
      </c>
      <c r="AO691" s="3"/>
      <c r="AP691">
        <v>0</v>
      </c>
      <c r="AR691" t="s">
        <v>1</v>
      </c>
      <c r="AT691" s="2" t="s">
        <v>0</v>
      </c>
      <c r="AU691" s="1">
        <f t="shared" si="85"/>
        <v>2.4506091661593361</v>
      </c>
      <c r="AV691" s="1">
        <f t="shared" si="86"/>
        <v>1.8135425274950343</v>
      </c>
      <c r="AW691" s="1">
        <f t="shared" si="87"/>
        <v>1.1764758888307325</v>
      </c>
    </row>
    <row r="692" spans="1:49" x14ac:dyDescent="0.2">
      <c r="A692">
        <v>690</v>
      </c>
      <c r="B692" t="s">
        <v>1958</v>
      </c>
      <c r="C692" t="s">
        <v>1957</v>
      </c>
      <c r="D692" t="s">
        <v>1956</v>
      </c>
      <c r="E692">
        <v>9705851</v>
      </c>
      <c r="F692" t="s">
        <v>1955</v>
      </c>
      <c r="G692" t="s">
        <v>5</v>
      </c>
      <c r="H692" t="s">
        <v>4</v>
      </c>
      <c r="I692" t="s">
        <v>1954</v>
      </c>
      <c r="J692" t="s">
        <v>1953</v>
      </c>
      <c r="K692" t="s">
        <v>1952</v>
      </c>
      <c r="L692" t="s">
        <v>1951</v>
      </c>
      <c r="M692" t="s">
        <v>283</v>
      </c>
      <c r="N692">
        <v>4</v>
      </c>
      <c r="O692" t="s">
        <v>1950</v>
      </c>
      <c r="P692" t="s">
        <v>1949</v>
      </c>
      <c r="Q692" t="s">
        <v>1948</v>
      </c>
      <c r="R692" s="7">
        <v>36017</v>
      </c>
      <c r="S692" s="8">
        <f t="shared" si="80"/>
        <v>1998</v>
      </c>
      <c r="T692" s="8">
        <v>1998</v>
      </c>
      <c r="U692" s="8">
        <f t="shared" si="81"/>
        <v>24</v>
      </c>
      <c r="V692" s="7">
        <v>36017</v>
      </c>
      <c r="W692" t="s">
        <v>611</v>
      </c>
      <c r="X692" s="2">
        <v>0.998</v>
      </c>
      <c r="Y692" s="6">
        <f t="shared" si="82"/>
        <v>2.664104001494888E-2</v>
      </c>
      <c r="AA692" t="s">
        <v>610</v>
      </c>
      <c r="AB692">
        <v>16845</v>
      </c>
      <c r="AD692" t="s">
        <v>2</v>
      </c>
      <c r="AE692">
        <v>249</v>
      </c>
      <c r="AF692">
        <v>1</v>
      </c>
      <c r="AH692" t="s">
        <v>1947</v>
      </c>
      <c r="AI692" t="s">
        <v>1946</v>
      </c>
      <c r="AK692" t="s">
        <v>1945</v>
      </c>
      <c r="AL692">
        <v>22</v>
      </c>
      <c r="AM692" s="5">
        <f t="shared" si="83"/>
        <v>0.91666666666666663</v>
      </c>
      <c r="AN692" s="4">
        <f t="shared" si="84"/>
        <v>1.3883629938154739E-3</v>
      </c>
      <c r="AO692" s="3"/>
      <c r="AP692">
        <v>0</v>
      </c>
      <c r="AR692" t="s">
        <v>1</v>
      </c>
      <c r="AS692" t="s">
        <v>1944</v>
      </c>
      <c r="AT692" s="2" t="s">
        <v>0</v>
      </c>
      <c r="AU692" s="1">
        <f t="shared" si="85"/>
        <v>1.9065236908608858</v>
      </c>
      <c r="AV692" s="1">
        <f t="shared" si="86"/>
        <v>1.4014701504382177</v>
      </c>
      <c r="AW692" s="1">
        <f t="shared" si="87"/>
        <v>0.89641661001554962</v>
      </c>
    </row>
    <row r="693" spans="1:49" x14ac:dyDescent="0.2">
      <c r="A693">
        <v>691</v>
      </c>
      <c r="B693" t="s">
        <v>1943</v>
      </c>
      <c r="C693" t="s">
        <v>1942</v>
      </c>
      <c r="F693" t="s">
        <v>1941</v>
      </c>
      <c r="G693" t="s">
        <v>5</v>
      </c>
      <c r="H693" t="s">
        <v>4</v>
      </c>
      <c r="I693" t="s">
        <v>1940</v>
      </c>
      <c r="J693" t="s">
        <v>1939</v>
      </c>
      <c r="K693" t="s">
        <v>1938</v>
      </c>
      <c r="L693" t="s">
        <v>1937</v>
      </c>
      <c r="M693" t="s">
        <v>6</v>
      </c>
      <c r="N693">
        <v>2</v>
      </c>
      <c r="O693" t="s">
        <v>1936</v>
      </c>
      <c r="P693" t="s">
        <v>1935</v>
      </c>
      <c r="Q693" t="s">
        <v>1934</v>
      </c>
      <c r="R693" s="7">
        <v>36017</v>
      </c>
      <c r="S693" s="8">
        <f t="shared" si="80"/>
        <v>1998</v>
      </c>
      <c r="T693" s="8">
        <v>1998</v>
      </c>
      <c r="U693" s="8">
        <f t="shared" si="81"/>
        <v>24</v>
      </c>
      <c r="V693" s="7">
        <v>36017</v>
      </c>
      <c r="W693" t="s">
        <v>698</v>
      </c>
      <c r="X693" s="2">
        <v>0.66800000000000004</v>
      </c>
      <c r="Y693" s="6">
        <f t="shared" si="82"/>
        <v>1.7831878486959774E-2</v>
      </c>
      <c r="AA693" t="s">
        <v>697</v>
      </c>
      <c r="AB693">
        <v>29593</v>
      </c>
      <c r="AC693">
        <v>21553165</v>
      </c>
      <c r="AD693" t="s">
        <v>2</v>
      </c>
      <c r="AE693">
        <v>37</v>
      </c>
      <c r="AF693">
        <v>23</v>
      </c>
      <c r="AH693" t="s">
        <v>1933</v>
      </c>
      <c r="AI693" t="s">
        <v>1932</v>
      </c>
      <c r="AK693" t="s">
        <v>1931</v>
      </c>
      <c r="AL693">
        <v>11</v>
      </c>
      <c r="AM693" s="5">
        <f t="shared" si="83"/>
        <v>0.45833333333333331</v>
      </c>
      <c r="AN693" s="4">
        <f t="shared" si="84"/>
        <v>6.9418149690773695E-4</v>
      </c>
      <c r="AO693" s="3"/>
      <c r="AP693">
        <v>0</v>
      </c>
      <c r="AR693" t="s">
        <v>1</v>
      </c>
      <c r="AT693" s="2">
        <v>1.98</v>
      </c>
      <c r="AU693" s="1">
        <f t="shared" si="85"/>
        <v>1.2690569389944162</v>
      </c>
      <c r="AV693" s="1">
        <f t="shared" si="86"/>
        <v>0.92630299919337544</v>
      </c>
      <c r="AW693" s="1">
        <f t="shared" si="87"/>
        <v>0.58354905939233481</v>
      </c>
    </row>
    <row r="694" spans="1:49" x14ac:dyDescent="0.2">
      <c r="A694">
        <v>692</v>
      </c>
      <c r="B694" t="s">
        <v>1930</v>
      </c>
      <c r="C694" t="s">
        <v>1929</v>
      </c>
      <c r="F694" t="s">
        <v>1928</v>
      </c>
      <c r="G694" t="s">
        <v>5</v>
      </c>
      <c r="H694" t="s">
        <v>4</v>
      </c>
      <c r="I694" t="s">
        <v>352</v>
      </c>
      <c r="J694">
        <v>60011357</v>
      </c>
      <c r="K694" t="s">
        <v>130</v>
      </c>
      <c r="L694" t="s">
        <v>129</v>
      </c>
      <c r="M694" t="s">
        <v>128</v>
      </c>
      <c r="N694">
        <v>2</v>
      </c>
      <c r="O694" t="s">
        <v>423</v>
      </c>
      <c r="P694" t="s">
        <v>422</v>
      </c>
      <c r="Q694" t="s">
        <v>127</v>
      </c>
      <c r="R694" s="7">
        <v>36013</v>
      </c>
      <c r="S694" s="8">
        <f t="shared" si="80"/>
        <v>1998</v>
      </c>
      <c r="T694" s="8">
        <v>1998</v>
      </c>
      <c r="U694" s="8">
        <f t="shared" si="81"/>
        <v>24</v>
      </c>
      <c r="V694" s="7">
        <v>36013</v>
      </c>
      <c r="W694" t="s">
        <v>612</v>
      </c>
      <c r="X694" s="2">
        <v>0.375</v>
      </c>
      <c r="Y694" s="6">
        <f t="shared" si="82"/>
        <v>1.0010410827260351E-2</v>
      </c>
      <c r="AA694">
        <v>135194</v>
      </c>
      <c r="AB694">
        <v>24918</v>
      </c>
      <c r="AD694" t="s">
        <v>2</v>
      </c>
      <c r="AE694">
        <v>34</v>
      </c>
      <c r="AF694">
        <v>16</v>
      </c>
      <c r="AH694" t="s">
        <v>1927</v>
      </c>
      <c r="AI694" t="s">
        <v>1926</v>
      </c>
      <c r="AK694" t="s">
        <v>1925</v>
      </c>
      <c r="AL694">
        <v>16</v>
      </c>
      <c r="AM694" s="5">
        <f t="shared" si="83"/>
        <v>0.66666666666666663</v>
      </c>
      <c r="AN694" s="4">
        <f t="shared" si="84"/>
        <v>1.0097185409567082E-3</v>
      </c>
      <c r="AO694" s="3"/>
      <c r="AP694">
        <v>0</v>
      </c>
      <c r="AR694" t="s">
        <v>1</v>
      </c>
      <c r="AT694" s="2">
        <v>1.3140000000000001</v>
      </c>
      <c r="AU694" s="1">
        <f t="shared" si="85"/>
        <v>0.73102031413692581</v>
      </c>
      <c r="AV694" s="1">
        <f t="shared" si="86"/>
        <v>0.55100646841085299</v>
      </c>
      <c r="AW694" s="1">
        <f t="shared" si="87"/>
        <v>0.37099262268478006</v>
      </c>
    </row>
    <row r="695" spans="1:49" x14ac:dyDescent="0.2">
      <c r="A695">
        <v>693</v>
      </c>
      <c r="B695" t="s">
        <v>1924</v>
      </c>
      <c r="C695" t="s">
        <v>1923</v>
      </c>
      <c r="F695" t="s">
        <v>1922</v>
      </c>
      <c r="G695" t="s">
        <v>5</v>
      </c>
      <c r="H695" t="s">
        <v>4</v>
      </c>
      <c r="I695" t="s">
        <v>1921</v>
      </c>
      <c r="J695" t="s">
        <v>1920</v>
      </c>
      <c r="K695" t="s">
        <v>1919</v>
      </c>
      <c r="L695" t="s">
        <v>1918</v>
      </c>
      <c r="M695" t="s">
        <v>1639</v>
      </c>
      <c r="N695">
        <v>6</v>
      </c>
      <c r="O695" t="s">
        <v>1917</v>
      </c>
      <c r="P695" t="s">
        <v>1916</v>
      </c>
      <c r="Q695" t="s">
        <v>1915</v>
      </c>
      <c r="R695" s="7">
        <v>36013</v>
      </c>
      <c r="S695" s="8">
        <f t="shared" si="80"/>
        <v>1998</v>
      </c>
      <c r="T695" s="8">
        <v>1998</v>
      </c>
      <c r="U695" s="8">
        <f t="shared" si="81"/>
        <v>24</v>
      </c>
      <c r="V695" s="7">
        <v>36013</v>
      </c>
      <c r="W695" t="s">
        <v>612</v>
      </c>
      <c r="X695" s="2">
        <v>0.375</v>
      </c>
      <c r="Y695" s="6">
        <f t="shared" si="82"/>
        <v>1.0010410827260351E-2</v>
      </c>
      <c r="AA695">
        <v>135194</v>
      </c>
      <c r="AB695">
        <v>24918</v>
      </c>
      <c r="AD695" t="s">
        <v>2</v>
      </c>
      <c r="AE695">
        <v>34</v>
      </c>
      <c r="AF695">
        <v>16</v>
      </c>
      <c r="AH695" t="s">
        <v>1914</v>
      </c>
      <c r="AI695" t="s">
        <v>1913</v>
      </c>
      <c r="AK695" t="s">
        <v>1912</v>
      </c>
      <c r="AL695">
        <v>25</v>
      </c>
      <c r="AM695" s="5">
        <f t="shared" si="83"/>
        <v>1.0416666666666667</v>
      </c>
      <c r="AN695" s="4">
        <f t="shared" si="84"/>
        <v>1.5776852202448568E-3</v>
      </c>
      <c r="AO695" s="3"/>
      <c r="AP695">
        <v>0</v>
      </c>
      <c r="AR695" t="s">
        <v>1</v>
      </c>
      <c r="AT695" s="2">
        <v>1.3140000000000001</v>
      </c>
      <c r="AU695" s="1">
        <f t="shared" si="85"/>
        <v>0.74805931451557028</v>
      </c>
      <c r="AV695" s="1">
        <f t="shared" si="86"/>
        <v>0.57940480237526037</v>
      </c>
      <c r="AW695" s="1">
        <f t="shared" si="87"/>
        <v>0.41075029023495047</v>
      </c>
    </row>
    <row r="696" spans="1:49" x14ac:dyDescent="0.2">
      <c r="A696">
        <v>694</v>
      </c>
      <c r="B696" t="s">
        <v>1911</v>
      </c>
      <c r="C696" t="s">
        <v>1910</v>
      </c>
      <c r="F696" t="s">
        <v>1909</v>
      </c>
      <c r="G696" t="s">
        <v>5</v>
      </c>
      <c r="H696" t="s">
        <v>4</v>
      </c>
      <c r="I696" t="s">
        <v>1908</v>
      </c>
      <c r="J696">
        <v>60011897</v>
      </c>
      <c r="K696" t="s">
        <v>1907</v>
      </c>
      <c r="L696" t="s">
        <v>1716</v>
      </c>
      <c r="M696" t="s">
        <v>13</v>
      </c>
      <c r="N696">
        <v>2</v>
      </c>
      <c r="O696" t="s">
        <v>1906</v>
      </c>
      <c r="P696" t="s">
        <v>1905</v>
      </c>
      <c r="Q696" t="s">
        <v>1904</v>
      </c>
      <c r="R696" s="7">
        <v>36013</v>
      </c>
      <c r="S696" s="8">
        <f t="shared" si="80"/>
        <v>1998</v>
      </c>
      <c r="T696" s="8">
        <v>1998</v>
      </c>
      <c r="U696" s="8">
        <f t="shared" si="81"/>
        <v>24</v>
      </c>
      <c r="V696" s="7">
        <v>36013</v>
      </c>
      <c r="W696" t="s">
        <v>612</v>
      </c>
      <c r="X696" s="2">
        <v>0.375</v>
      </c>
      <c r="Y696" s="6">
        <f t="shared" si="82"/>
        <v>1.0010410827260351E-2</v>
      </c>
      <c r="AA696">
        <v>135194</v>
      </c>
      <c r="AB696">
        <v>24918</v>
      </c>
      <c r="AD696" t="s">
        <v>2</v>
      </c>
      <c r="AE696">
        <v>34</v>
      </c>
      <c r="AF696">
        <v>16</v>
      </c>
      <c r="AH696" t="s">
        <v>1903</v>
      </c>
      <c r="AI696" t="s">
        <v>1902</v>
      </c>
      <c r="AK696" t="s">
        <v>1901</v>
      </c>
      <c r="AL696">
        <v>22</v>
      </c>
      <c r="AM696" s="5">
        <f t="shared" si="83"/>
        <v>0.91666666666666663</v>
      </c>
      <c r="AN696" s="4">
        <f t="shared" si="84"/>
        <v>1.3883629938154739E-3</v>
      </c>
      <c r="AO696" s="3"/>
      <c r="AP696">
        <v>0</v>
      </c>
      <c r="AR696" t="s">
        <v>1</v>
      </c>
      <c r="AT696" s="2">
        <v>1.3140000000000001</v>
      </c>
      <c r="AU696" s="1">
        <f t="shared" si="85"/>
        <v>0.74237964772268883</v>
      </c>
      <c r="AV696" s="1">
        <f t="shared" si="86"/>
        <v>0.56993869105379125</v>
      </c>
      <c r="AW696" s="1">
        <f t="shared" si="87"/>
        <v>0.39749773438489366</v>
      </c>
    </row>
    <row r="697" spans="1:49" x14ac:dyDescent="0.2">
      <c r="A697">
        <v>695</v>
      </c>
      <c r="B697" t="s">
        <v>1900</v>
      </c>
      <c r="C697" t="s">
        <v>1899</v>
      </c>
      <c r="F697" t="s">
        <v>1898</v>
      </c>
      <c r="G697" t="s">
        <v>5</v>
      </c>
      <c r="H697" t="s">
        <v>4</v>
      </c>
      <c r="I697" t="s">
        <v>1897</v>
      </c>
      <c r="J697">
        <v>60009658</v>
      </c>
      <c r="K697" t="s">
        <v>1896</v>
      </c>
      <c r="L697" t="s">
        <v>1895</v>
      </c>
      <c r="M697" t="s">
        <v>13</v>
      </c>
      <c r="N697">
        <v>2</v>
      </c>
      <c r="O697" t="s">
        <v>1894</v>
      </c>
      <c r="P697" t="s">
        <v>1893</v>
      </c>
      <c r="Q697" t="s">
        <v>1892</v>
      </c>
      <c r="R697" s="7">
        <v>36013</v>
      </c>
      <c r="S697" s="8">
        <f t="shared" si="80"/>
        <v>1998</v>
      </c>
      <c r="T697" s="8">
        <v>1998</v>
      </c>
      <c r="U697" s="8">
        <f t="shared" si="81"/>
        <v>24</v>
      </c>
      <c r="V697" s="7">
        <v>36013</v>
      </c>
      <c r="W697" t="s">
        <v>612</v>
      </c>
      <c r="X697" s="2">
        <v>0.375</v>
      </c>
      <c r="Y697" s="6">
        <f t="shared" si="82"/>
        <v>1.0010410827260351E-2</v>
      </c>
      <c r="AA697">
        <v>135194</v>
      </c>
      <c r="AB697">
        <v>24918</v>
      </c>
      <c r="AD697" t="s">
        <v>2</v>
      </c>
      <c r="AE697">
        <v>34</v>
      </c>
      <c r="AF697">
        <v>16</v>
      </c>
      <c r="AH697" t="s">
        <v>1891</v>
      </c>
      <c r="AI697" t="s">
        <v>1890</v>
      </c>
      <c r="AK697" t="s">
        <v>1889</v>
      </c>
      <c r="AL697">
        <v>29</v>
      </c>
      <c r="AM697" s="5">
        <f t="shared" si="83"/>
        <v>1.2083333333333333</v>
      </c>
      <c r="AN697" s="4">
        <f t="shared" si="84"/>
        <v>1.8301148554840337E-3</v>
      </c>
      <c r="AO697" s="3"/>
      <c r="AP697">
        <v>0</v>
      </c>
      <c r="AR697" t="s">
        <v>1</v>
      </c>
      <c r="AT697" s="2">
        <v>1.3140000000000001</v>
      </c>
      <c r="AU697" s="1">
        <f t="shared" si="85"/>
        <v>0.75563220357274552</v>
      </c>
      <c r="AV697" s="1">
        <f t="shared" si="86"/>
        <v>0.59202628413721925</v>
      </c>
      <c r="AW697" s="1">
        <f t="shared" si="87"/>
        <v>0.42842036470169281</v>
      </c>
    </row>
    <row r="698" spans="1:49" x14ac:dyDescent="0.2">
      <c r="A698">
        <v>696</v>
      </c>
      <c r="B698" t="s">
        <v>1888</v>
      </c>
      <c r="C698" t="s">
        <v>1887</v>
      </c>
      <c r="F698" t="s">
        <v>1886</v>
      </c>
      <c r="G698" t="s">
        <v>5</v>
      </c>
      <c r="H698" t="s">
        <v>4</v>
      </c>
      <c r="I698" t="s">
        <v>1885</v>
      </c>
      <c r="J698">
        <v>60033461</v>
      </c>
      <c r="K698" t="s">
        <v>1884</v>
      </c>
      <c r="L698" t="s">
        <v>1883</v>
      </c>
      <c r="M698" t="s">
        <v>9</v>
      </c>
      <c r="N698">
        <v>1</v>
      </c>
      <c r="O698" t="s">
        <v>1882</v>
      </c>
      <c r="P698">
        <v>7003292725</v>
      </c>
      <c r="Q698">
        <v>60033461</v>
      </c>
      <c r="R698" s="7">
        <v>36013</v>
      </c>
      <c r="S698" s="8">
        <f t="shared" si="80"/>
        <v>1998</v>
      </c>
      <c r="T698" s="8">
        <v>1998</v>
      </c>
      <c r="U698" s="8">
        <f t="shared" si="81"/>
        <v>24</v>
      </c>
      <c r="V698" s="7">
        <v>36013</v>
      </c>
      <c r="W698" t="s">
        <v>612</v>
      </c>
      <c r="X698" s="2">
        <v>0.375</v>
      </c>
      <c r="Y698" s="6">
        <f t="shared" si="82"/>
        <v>1.0010410827260351E-2</v>
      </c>
      <c r="AA698">
        <v>135194</v>
      </c>
      <c r="AB698">
        <v>24918</v>
      </c>
      <c r="AD698" t="s">
        <v>2</v>
      </c>
      <c r="AE698">
        <v>34</v>
      </c>
      <c r="AF698">
        <v>16</v>
      </c>
      <c r="AH698" t="s">
        <v>1881</v>
      </c>
      <c r="AI698" t="s">
        <v>1880</v>
      </c>
      <c r="AK698" t="s">
        <v>1879</v>
      </c>
      <c r="AL698">
        <v>1</v>
      </c>
      <c r="AM698" s="5">
        <f t="shared" si="83"/>
        <v>4.1666666666666664E-2</v>
      </c>
      <c r="AN698" s="4">
        <f t="shared" si="84"/>
        <v>6.3107408809794262E-5</v>
      </c>
      <c r="AO698" s="3"/>
      <c r="AP698">
        <v>0</v>
      </c>
      <c r="AR698" t="s">
        <v>1</v>
      </c>
      <c r="AT698" s="2">
        <v>1.3140000000000001</v>
      </c>
      <c r="AU698" s="1">
        <f t="shared" si="85"/>
        <v>0.70262198017251842</v>
      </c>
      <c r="AV698" s="1">
        <f t="shared" si="86"/>
        <v>0.50367591180350735</v>
      </c>
      <c r="AW698" s="1">
        <f t="shared" si="87"/>
        <v>0.30472984343449611</v>
      </c>
    </row>
    <row r="699" spans="1:49" x14ac:dyDescent="0.2">
      <c r="A699">
        <v>697</v>
      </c>
      <c r="B699" t="s">
        <v>1878</v>
      </c>
      <c r="C699" t="s">
        <v>1877</v>
      </c>
      <c r="F699" t="s">
        <v>1876</v>
      </c>
      <c r="G699" t="s">
        <v>5</v>
      </c>
      <c r="H699" t="s">
        <v>4</v>
      </c>
      <c r="I699" t="s">
        <v>1875</v>
      </c>
      <c r="J699">
        <v>60030553</v>
      </c>
      <c r="K699" t="s">
        <v>326</v>
      </c>
      <c r="L699" t="s">
        <v>325</v>
      </c>
      <c r="M699" t="s">
        <v>36</v>
      </c>
      <c r="N699">
        <v>4</v>
      </c>
      <c r="O699" t="s">
        <v>1874</v>
      </c>
      <c r="P699" t="s">
        <v>1873</v>
      </c>
      <c r="Q699" t="s">
        <v>738</v>
      </c>
      <c r="R699" s="7">
        <v>36013</v>
      </c>
      <c r="S699" s="8">
        <f t="shared" si="80"/>
        <v>1998</v>
      </c>
      <c r="T699" s="8">
        <v>1998</v>
      </c>
      <c r="U699" s="8">
        <f t="shared" si="81"/>
        <v>24</v>
      </c>
      <c r="V699" s="7">
        <v>36013</v>
      </c>
      <c r="W699" t="s">
        <v>612</v>
      </c>
      <c r="X699" s="2">
        <v>0.375</v>
      </c>
      <c r="Y699" s="6">
        <f t="shared" si="82"/>
        <v>1.0010410827260351E-2</v>
      </c>
      <c r="AA699">
        <v>135194</v>
      </c>
      <c r="AB699">
        <v>24918</v>
      </c>
      <c r="AD699" t="s">
        <v>2</v>
      </c>
      <c r="AE699">
        <v>34</v>
      </c>
      <c r="AF699">
        <v>16</v>
      </c>
      <c r="AH699" t="s">
        <v>1872</v>
      </c>
      <c r="AI699" t="s">
        <v>1871</v>
      </c>
      <c r="AK699" t="s">
        <v>1870</v>
      </c>
      <c r="AL699">
        <v>8</v>
      </c>
      <c r="AM699" s="5">
        <f t="shared" si="83"/>
        <v>0.33333333333333331</v>
      </c>
      <c r="AN699" s="4">
        <f t="shared" si="84"/>
        <v>5.048592704783541E-4</v>
      </c>
      <c r="AO699" s="3"/>
      <c r="AP699">
        <v>0</v>
      </c>
      <c r="AR699" t="s">
        <v>1</v>
      </c>
      <c r="AT699" s="2">
        <v>1.3140000000000001</v>
      </c>
      <c r="AU699" s="1">
        <f t="shared" si="85"/>
        <v>0.71587453602257523</v>
      </c>
      <c r="AV699" s="1">
        <f t="shared" si="86"/>
        <v>0.52576350488693535</v>
      </c>
      <c r="AW699" s="1">
        <f t="shared" si="87"/>
        <v>0.33565247375129531</v>
      </c>
    </row>
    <row r="700" spans="1:49" x14ac:dyDescent="0.2">
      <c r="A700">
        <v>698</v>
      </c>
      <c r="B700" t="s">
        <v>1869</v>
      </c>
      <c r="C700" t="s">
        <v>1868</v>
      </c>
      <c r="F700" t="s">
        <v>1867</v>
      </c>
      <c r="G700" t="s">
        <v>5</v>
      </c>
      <c r="H700" t="s">
        <v>4</v>
      </c>
      <c r="I700" t="s">
        <v>589</v>
      </c>
      <c r="J700">
        <v>60031004</v>
      </c>
      <c r="K700" t="s">
        <v>192</v>
      </c>
      <c r="L700" t="s">
        <v>191</v>
      </c>
      <c r="M700" t="s">
        <v>27</v>
      </c>
      <c r="N700">
        <v>2</v>
      </c>
      <c r="O700" t="s">
        <v>588</v>
      </c>
      <c r="P700" t="s">
        <v>587</v>
      </c>
      <c r="Q700" t="s">
        <v>190</v>
      </c>
      <c r="R700" s="7">
        <v>36012</v>
      </c>
      <c r="S700" s="8">
        <f t="shared" si="80"/>
        <v>1998</v>
      </c>
      <c r="T700" s="8">
        <v>1998</v>
      </c>
      <c r="U700" s="8">
        <f t="shared" si="81"/>
        <v>24</v>
      </c>
      <c r="V700" s="7">
        <v>36012</v>
      </c>
      <c r="W700" t="s">
        <v>126</v>
      </c>
      <c r="X700" s="2">
        <v>0.30399999999999999</v>
      </c>
      <c r="Y700" s="6">
        <f t="shared" si="82"/>
        <v>8.115106377299057E-3</v>
      </c>
      <c r="AA700">
        <v>8952477</v>
      </c>
      <c r="AB700">
        <v>12250</v>
      </c>
      <c r="AD700" t="s">
        <v>2</v>
      </c>
      <c r="AE700">
        <v>18</v>
      </c>
      <c r="AF700">
        <v>5</v>
      </c>
      <c r="AH700" t="s">
        <v>586</v>
      </c>
      <c r="AI700" t="s">
        <v>1866</v>
      </c>
      <c r="AK700" t="s">
        <v>585</v>
      </c>
      <c r="AL700">
        <v>7</v>
      </c>
      <c r="AM700" s="5">
        <f t="shared" si="83"/>
        <v>0.29166666666666669</v>
      </c>
      <c r="AN700" s="4">
        <f t="shared" si="84"/>
        <v>4.417518616685599E-4</v>
      </c>
      <c r="AO700" s="3"/>
      <c r="AP700">
        <v>0</v>
      </c>
      <c r="AR700" t="s">
        <v>1</v>
      </c>
      <c r="AT700" s="2" t="s">
        <v>0</v>
      </c>
      <c r="AU700" s="1">
        <f t="shared" si="85"/>
        <v>0.58131000226099072</v>
      </c>
      <c r="AV700" s="1">
        <f t="shared" si="86"/>
        <v>0.42784291194838087</v>
      </c>
      <c r="AW700" s="1">
        <f t="shared" si="87"/>
        <v>0.27437582163577096</v>
      </c>
    </row>
    <row r="701" spans="1:49" x14ac:dyDescent="0.2">
      <c r="A701">
        <v>699</v>
      </c>
      <c r="B701" t="s">
        <v>1865</v>
      </c>
      <c r="C701" t="s">
        <v>1864</v>
      </c>
      <c r="D701" t="s">
        <v>1863</v>
      </c>
      <c r="E701">
        <v>9693000</v>
      </c>
      <c r="F701" t="s">
        <v>1862</v>
      </c>
      <c r="G701" t="s">
        <v>5</v>
      </c>
      <c r="H701" t="s">
        <v>4</v>
      </c>
      <c r="I701" t="s">
        <v>656</v>
      </c>
      <c r="J701" t="s">
        <v>1861</v>
      </c>
      <c r="K701" t="s">
        <v>1860</v>
      </c>
      <c r="L701" t="s">
        <v>1859</v>
      </c>
      <c r="M701" t="s">
        <v>1858</v>
      </c>
      <c r="N701">
        <v>2</v>
      </c>
      <c r="O701" t="s">
        <v>1857</v>
      </c>
      <c r="P701" t="s">
        <v>1856</v>
      </c>
      <c r="Q701" t="s">
        <v>1855</v>
      </c>
      <c r="R701" s="7">
        <v>36011</v>
      </c>
      <c r="S701" s="8">
        <f t="shared" si="80"/>
        <v>1998</v>
      </c>
      <c r="T701" s="8">
        <v>1998</v>
      </c>
      <c r="U701" s="8">
        <f t="shared" si="81"/>
        <v>24</v>
      </c>
      <c r="V701" s="7">
        <v>36011</v>
      </c>
      <c r="W701" t="s">
        <v>624</v>
      </c>
      <c r="X701" s="2">
        <v>1.43</v>
      </c>
      <c r="Y701" s="6">
        <f t="shared" si="82"/>
        <v>3.8173033287952803E-2</v>
      </c>
      <c r="AA701">
        <v>62960</v>
      </c>
      <c r="AB701">
        <v>16867</v>
      </c>
      <c r="AD701" t="s">
        <v>2</v>
      </c>
      <c r="AE701">
        <v>37</v>
      </c>
      <c r="AF701">
        <v>31</v>
      </c>
      <c r="AH701" t="s">
        <v>1854</v>
      </c>
      <c r="AI701" t="s">
        <v>1853</v>
      </c>
      <c r="AK701" t="s">
        <v>1852</v>
      </c>
      <c r="AL701">
        <v>33</v>
      </c>
      <c r="AM701" s="5">
        <f t="shared" si="83"/>
        <v>1.375</v>
      </c>
      <c r="AN701" s="4">
        <f t="shared" si="84"/>
        <v>2.0825444907232107E-3</v>
      </c>
      <c r="AO701" s="3"/>
      <c r="AP701">
        <v>0</v>
      </c>
      <c r="AR701" t="s">
        <v>1</v>
      </c>
      <c r="AT701" s="2">
        <v>3.1619999999999999</v>
      </c>
      <c r="AU701" s="1">
        <f t="shared" si="85"/>
        <v>2.7345886648783924</v>
      </c>
      <c r="AV701" s="1">
        <f t="shared" si="86"/>
        <v>2.0127788889338007</v>
      </c>
      <c r="AW701" s="1">
        <f t="shared" si="87"/>
        <v>1.2909691129892087</v>
      </c>
    </row>
    <row r="702" spans="1:49" x14ac:dyDescent="0.2">
      <c r="A702">
        <v>700</v>
      </c>
      <c r="B702" t="s">
        <v>1851</v>
      </c>
      <c r="C702" t="s">
        <v>1850</v>
      </c>
      <c r="D702" t="s">
        <v>1849</v>
      </c>
      <c r="E702">
        <v>9693001</v>
      </c>
      <c r="F702" t="s">
        <v>1848</v>
      </c>
      <c r="G702" t="s">
        <v>5</v>
      </c>
      <c r="H702" t="s">
        <v>4</v>
      </c>
      <c r="I702" t="s">
        <v>1847</v>
      </c>
      <c r="J702" t="s">
        <v>1846</v>
      </c>
      <c r="K702" t="s">
        <v>1845</v>
      </c>
      <c r="L702" t="s">
        <v>1844</v>
      </c>
      <c r="M702" t="s">
        <v>1843</v>
      </c>
      <c r="N702">
        <v>7</v>
      </c>
      <c r="O702" t="s">
        <v>1842</v>
      </c>
      <c r="P702" t="s">
        <v>1841</v>
      </c>
      <c r="Q702" t="s">
        <v>1840</v>
      </c>
      <c r="R702" s="7">
        <v>36011</v>
      </c>
      <c r="S702" s="8">
        <f t="shared" si="80"/>
        <v>1998</v>
      </c>
      <c r="T702" s="8">
        <v>1998</v>
      </c>
      <c r="U702" s="8">
        <f t="shared" si="81"/>
        <v>24</v>
      </c>
      <c r="V702" s="7">
        <v>36011</v>
      </c>
      <c r="W702" t="s">
        <v>624</v>
      </c>
      <c r="X702" s="2">
        <v>1.43</v>
      </c>
      <c r="Y702" s="6">
        <f t="shared" si="82"/>
        <v>3.8173033287952803E-2</v>
      </c>
      <c r="AA702">
        <v>62960</v>
      </c>
      <c r="AB702">
        <v>16867</v>
      </c>
      <c r="AD702" t="s">
        <v>2</v>
      </c>
      <c r="AE702">
        <v>37</v>
      </c>
      <c r="AF702">
        <v>31</v>
      </c>
      <c r="AH702" t="s">
        <v>1839</v>
      </c>
      <c r="AI702" t="s">
        <v>1838</v>
      </c>
      <c r="AK702" t="s">
        <v>1837</v>
      </c>
      <c r="AL702">
        <v>50</v>
      </c>
      <c r="AM702" s="5">
        <f t="shared" si="83"/>
        <v>2.0833333333333335</v>
      </c>
      <c r="AN702" s="4">
        <f t="shared" si="84"/>
        <v>3.1553704404897135E-3</v>
      </c>
      <c r="AO702" s="3"/>
      <c r="AP702">
        <v>0</v>
      </c>
      <c r="AR702" t="s">
        <v>1</v>
      </c>
      <c r="AT702" s="2">
        <v>3.1619999999999999</v>
      </c>
      <c r="AU702" s="1">
        <f t="shared" si="85"/>
        <v>2.7667734433713878</v>
      </c>
      <c r="AV702" s="1">
        <f t="shared" si="86"/>
        <v>2.0664201864221257</v>
      </c>
      <c r="AW702" s="1">
        <f t="shared" si="87"/>
        <v>1.366066929472864</v>
      </c>
    </row>
    <row r="703" spans="1:49" x14ac:dyDescent="0.2">
      <c r="A703">
        <v>701</v>
      </c>
      <c r="B703" t="s">
        <v>1836</v>
      </c>
      <c r="C703" t="s">
        <v>1835</v>
      </c>
      <c r="F703" t="s">
        <v>1834</v>
      </c>
      <c r="G703" t="s">
        <v>5</v>
      </c>
      <c r="H703" t="s">
        <v>4</v>
      </c>
      <c r="I703" t="s">
        <v>1833</v>
      </c>
      <c r="J703">
        <v>60008673</v>
      </c>
      <c r="K703" t="s">
        <v>449</v>
      </c>
      <c r="L703" t="s">
        <v>448</v>
      </c>
      <c r="M703" t="s">
        <v>106</v>
      </c>
      <c r="N703">
        <v>2</v>
      </c>
      <c r="O703" t="s">
        <v>1832</v>
      </c>
      <c r="P703" t="s">
        <v>1831</v>
      </c>
      <c r="Q703" t="s">
        <v>574</v>
      </c>
      <c r="R703" s="7">
        <v>36008</v>
      </c>
      <c r="S703" s="8">
        <f t="shared" si="80"/>
        <v>1998</v>
      </c>
      <c r="T703" s="8">
        <v>1998</v>
      </c>
      <c r="U703" s="8">
        <f t="shared" si="81"/>
        <v>24</v>
      </c>
      <c r="V703" s="7">
        <v>36008</v>
      </c>
      <c r="W703" t="s">
        <v>567</v>
      </c>
      <c r="X703" s="2">
        <v>0.318</v>
      </c>
      <c r="Y703" s="6">
        <f t="shared" si="82"/>
        <v>8.4888283815167786E-3</v>
      </c>
      <c r="AA703">
        <v>338443</v>
      </c>
      <c r="AB703">
        <v>27160</v>
      </c>
      <c r="AC703">
        <v>15739120</v>
      </c>
      <c r="AD703" t="s">
        <v>2</v>
      </c>
      <c r="AE703">
        <v>41</v>
      </c>
      <c r="AF703">
        <v>8</v>
      </c>
      <c r="AH703" t="s">
        <v>1830</v>
      </c>
      <c r="AI703" t="s">
        <v>1829</v>
      </c>
      <c r="AK703" t="s">
        <v>1828</v>
      </c>
      <c r="AL703">
        <v>1</v>
      </c>
      <c r="AM703" s="5">
        <f t="shared" si="83"/>
        <v>4.1666666666666664E-2</v>
      </c>
      <c r="AN703" s="4">
        <f t="shared" si="84"/>
        <v>6.3107408809794262E-5</v>
      </c>
      <c r="AO703" s="3"/>
      <c r="AP703">
        <v>0</v>
      </c>
      <c r="AR703" t="s">
        <v>1</v>
      </c>
      <c r="AT703" s="2">
        <v>0.77</v>
      </c>
      <c r="AU703" s="1">
        <f t="shared" si="85"/>
        <v>0.59611120897046832</v>
      </c>
      <c r="AV703" s="1">
        <f t="shared" si="86"/>
        <v>0.42759678951632868</v>
      </c>
      <c r="AW703" s="1">
        <f t="shared" si="87"/>
        <v>0.25908237006218893</v>
      </c>
    </row>
    <row r="704" spans="1:49" x14ac:dyDescent="0.2">
      <c r="A704">
        <v>702</v>
      </c>
      <c r="B704" t="s">
        <v>1827</v>
      </c>
      <c r="F704" t="s">
        <v>1826</v>
      </c>
      <c r="G704" t="s">
        <v>5</v>
      </c>
      <c r="H704" t="s">
        <v>4</v>
      </c>
      <c r="I704" t="s">
        <v>1825</v>
      </c>
      <c r="J704">
        <v>60031514</v>
      </c>
      <c r="K704" t="s">
        <v>1824</v>
      </c>
      <c r="L704" t="s">
        <v>1823</v>
      </c>
      <c r="M704" t="s">
        <v>37</v>
      </c>
      <c r="N704">
        <v>1</v>
      </c>
      <c r="O704" t="s">
        <v>1822</v>
      </c>
      <c r="P704">
        <v>8776365700</v>
      </c>
      <c r="Q704">
        <v>60031514</v>
      </c>
      <c r="R704" s="7">
        <v>36008</v>
      </c>
      <c r="S704" s="8">
        <f t="shared" si="80"/>
        <v>1998</v>
      </c>
      <c r="T704" s="8">
        <v>1998</v>
      </c>
      <c r="U704" s="8">
        <f t="shared" si="81"/>
        <v>24</v>
      </c>
      <c r="V704" s="7">
        <v>36008</v>
      </c>
      <c r="W704" t="s">
        <v>746</v>
      </c>
      <c r="X704" s="2">
        <v>2.137</v>
      </c>
      <c r="Y704" s="6">
        <f t="shared" si="82"/>
        <v>5.7045994500947654E-2</v>
      </c>
      <c r="AA704">
        <v>46361</v>
      </c>
      <c r="AB704">
        <v>26750</v>
      </c>
      <c r="AD704" t="s">
        <v>2</v>
      </c>
      <c r="AE704">
        <v>336</v>
      </c>
      <c r="AF704">
        <v>1</v>
      </c>
      <c r="AH704" t="s">
        <v>1821</v>
      </c>
      <c r="AI704" t="s">
        <v>1820</v>
      </c>
      <c r="AJ704" t="s">
        <v>1819</v>
      </c>
      <c r="AK704" t="s">
        <v>1818</v>
      </c>
      <c r="AL704">
        <v>22</v>
      </c>
      <c r="AM704" s="5">
        <f t="shared" si="83"/>
        <v>0.91666666666666663</v>
      </c>
      <c r="AN704" s="4">
        <f t="shared" si="84"/>
        <v>1.3883629938154739E-3</v>
      </c>
      <c r="AO704" s="3"/>
      <c r="AP704">
        <v>0</v>
      </c>
      <c r="AR704" t="s">
        <v>1</v>
      </c>
      <c r="AT704" s="2" t="s">
        <v>0</v>
      </c>
      <c r="AU704" s="1">
        <f t="shared" si="85"/>
        <v>4.0348705048808</v>
      </c>
      <c r="AV704" s="1">
        <f t="shared" si="86"/>
        <v>2.9217178747381563</v>
      </c>
      <c r="AW704" s="1">
        <f t="shared" si="87"/>
        <v>1.8085652445955125</v>
      </c>
    </row>
    <row r="705" spans="1:49" x14ac:dyDescent="0.2">
      <c r="A705">
        <v>703</v>
      </c>
      <c r="B705" t="s">
        <v>1817</v>
      </c>
      <c r="C705" t="s">
        <v>1816</v>
      </c>
      <c r="D705" t="s">
        <v>1815</v>
      </c>
      <c r="F705" t="s">
        <v>1814</v>
      </c>
      <c r="G705" t="s">
        <v>5</v>
      </c>
      <c r="H705" t="s">
        <v>4</v>
      </c>
      <c r="I705" t="s">
        <v>1813</v>
      </c>
      <c r="J705" t="s">
        <v>1812</v>
      </c>
      <c r="K705" t="s">
        <v>1811</v>
      </c>
      <c r="L705" t="s">
        <v>1810</v>
      </c>
      <c r="M705" t="s">
        <v>1809</v>
      </c>
      <c r="N705">
        <v>2</v>
      </c>
      <c r="O705" t="s">
        <v>1808</v>
      </c>
      <c r="P705" t="s">
        <v>1807</v>
      </c>
      <c r="Q705" t="s">
        <v>1806</v>
      </c>
      <c r="R705" s="7">
        <v>36008</v>
      </c>
      <c r="S705" s="8">
        <f t="shared" si="80"/>
        <v>1998</v>
      </c>
      <c r="T705" s="8">
        <v>1998</v>
      </c>
      <c r="U705" s="8">
        <f t="shared" si="81"/>
        <v>24</v>
      </c>
      <c r="V705" s="7">
        <v>36008</v>
      </c>
      <c r="W705" t="s">
        <v>1805</v>
      </c>
      <c r="X705" s="2">
        <v>0.94</v>
      </c>
      <c r="Y705" s="6">
        <f t="shared" si="82"/>
        <v>2.5092763140332611E-2</v>
      </c>
      <c r="AA705">
        <v>9574158</v>
      </c>
      <c r="AB705">
        <v>21096</v>
      </c>
      <c r="AD705" t="s">
        <v>2</v>
      </c>
      <c r="AE705">
        <v>8</v>
      </c>
      <c r="AF705">
        <v>6</v>
      </c>
      <c r="AH705" t="s">
        <v>1804</v>
      </c>
      <c r="AI705" t="s">
        <v>1803</v>
      </c>
      <c r="AK705" t="s">
        <v>1802</v>
      </c>
      <c r="AL705">
        <v>7</v>
      </c>
      <c r="AM705" s="5">
        <f t="shared" si="83"/>
        <v>0.29166666666666669</v>
      </c>
      <c r="AN705" s="4">
        <f t="shared" si="84"/>
        <v>4.417518616685599E-4</v>
      </c>
      <c r="AO705" s="3"/>
      <c r="AP705">
        <v>0</v>
      </c>
      <c r="AR705" t="s">
        <v>1</v>
      </c>
      <c r="AT705" s="2">
        <v>3.4980000000000002</v>
      </c>
      <c r="AU705" s="1">
        <f t="shared" si="85"/>
        <v>1.7697459756733394</v>
      </c>
      <c r="AV705" s="1">
        <f t="shared" si="86"/>
        <v>1.2767257501000586</v>
      </c>
      <c r="AW705" s="1">
        <f t="shared" si="87"/>
        <v>0.78370552452677755</v>
      </c>
    </row>
    <row r="706" spans="1:49" x14ac:dyDescent="0.2">
      <c r="A706">
        <v>704</v>
      </c>
      <c r="B706" t="s">
        <v>1801</v>
      </c>
      <c r="C706" t="s">
        <v>1800</v>
      </c>
      <c r="E706">
        <v>9693989</v>
      </c>
      <c r="F706" t="s">
        <v>1799</v>
      </c>
      <c r="G706" t="s">
        <v>5</v>
      </c>
      <c r="H706" t="s">
        <v>4</v>
      </c>
      <c r="I706" t="s">
        <v>740</v>
      </c>
      <c r="J706" t="s">
        <v>1798</v>
      </c>
      <c r="K706" t="s">
        <v>1797</v>
      </c>
      <c r="L706" t="s">
        <v>1796</v>
      </c>
      <c r="M706" t="s">
        <v>1795</v>
      </c>
      <c r="N706">
        <v>2</v>
      </c>
      <c r="O706" t="s">
        <v>1794</v>
      </c>
      <c r="P706" t="s">
        <v>1793</v>
      </c>
      <c r="Q706" t="s">
        <v>1792</v>
      </c>
      <c r="R706" s="7">
        <v>36008</v>
      </c>
      <c r="S706" s="8">
        <f t="shared" ref="S706:S769" si="88">YEAR(R706)</f>
        <v>1998</v>
      </c>
      <c r="T706" s="8">
        <v>1998</v>
      </c>
      <c r="U706" s="8">
        <f t="shared" ref="U706:U769" si="89">2022-T706</f>
        <v>24</v>
      </c>
      <c r="V706" s="7">
        <v>36008</v>
      </c>
      <c r="W706" t="s">
        <v>629</v>
      </c>
      <c r="X706" s="2">
        <v>0.8</v>
      </c>
      <c r="Y706" s="6">
        <f t="shared" ref="Y706:Y769" si="90">(X706-$Z$3)/($Z$2-$Z$3)</f>
        <v>2.1355543098155415E-2</v>
      </c>
      <c r="AA706">
        <v>3407594</v>
      </c>
      <c r="AB706">
        <v>23456</v>
      </c>
      <c r="AD706" t="s">
        <v>2</v>
      </c>
      <c r="AE706">
        <v>183</v>
      </c>
      <c r="AF706">
        <v>2</v>
      </c>
      <c r="AH706" t="s">
        <v>1791</v>
      </c>
      <c r="AI706" t="s">
        <v>1790</v>
      </c>
      <c r="AJ706" t="s">
        <v>1789</v>
      </c>
      <c r="AK706" t="s">
        <v>1788</v>
      </c>
      <c r="AL706">
        <v>19</v>
      </c>
      <c r="AM706" s="5">
        <f t="shared" ref="AM706:AM769" si="91">AL706/U706</f>
        <v>0.79166666666666663</v>
      </c>
      <c r="AN706" s="4">
        <f t="shared" ref="AN706:AN769" si="92">(AM706-$AO$3)/($AO$2-$AO$3)</f>
        <v>1.199040767386091E-3</v>
      </c>
      <c r="AO706" s="3"/>
      <c r="AP706">
        <v>0</v>
      </c>
      <c r="AQ706" t="s">
        <v>206</v>
      </c>
      <c r="AR706" t="s">
        <v>1787</v>
      </c>
      <c r="AS706" t="s">
        <v>204</v>
      </c>
      <c r="AT706" s="2" t="s">
        <v>0</v>
      </c>
      <c r="AU706" s="1">
        <f t="shared" ref="AU706:AU769" si="93">(Y706*0.7+AN706*0.3)*100</f>
        <v>1.5308592398924616</v>
      </c>
      <c r="AV706" s="1">
        <f t="shared" ref="AV706:AV769" si="94">(Y706*0.5+AN706*0.5)*100</f>
        <v>1.1277291932770752</v>
      </c>
      <c r="AW706" s="1">
        <f t="shared" ref="AW706:AW769" si="95">(Y706*0.3+AN706*0.7)*100</f>
        <v>0.72459914666168879</v>
      </c>
    </row>
    <row r="707" spans="1:49" x14ac:dyDescent="0.2">
      <c r="A707">
        <v>705</v>
      </c>
      <c r="B707" t="s">
        <v>1786</v>
      </c>
      <c r="C707" t="s">
        <v>1785</v>
      </c>
      <c r="E707">
        <v>9671652</v>
      </c>
      <c r="F707" t="s">
        <v>1784</v>
      </c>
      <c r="G707" t="s">
        <v>5</v>
      </c>
      <c r="H707" t="s">
        <v>4</v>
      </c>
      <c r="I707" t="s">
        <v>1783</v>
      </c>
      <c r="J707" t="s">
        <v>1782</v>
      </c>
      <c r="K707" t="s">
        <v>1781</v>
      </c>
      <c r="L707" t="s">
        <v>1780</v>
      </c>
      <c r="M707" t="s">
        <v>6</v>
      </c>
      <c r="N707">
        <v>3</v>
      </c>
      <c r="O707" t="s">
        <v>1779</v>
      </c>
      <c r="P707" t="s">
        <v>1778</v>
      </c>
      <c r="Q707" t="s">
        <v>1777</v>
      </c>
      <c r="R707" s="7">
        <v>36008</v>
      </c>
      <c r="S707" s="8">
        <f t="shared" si="88"/>
        <v>1998</v>
      </c>
      <c r="T707" s="8">
        <v>1998</v>
      </c>
      <c r="U707" s="8">
        <f t="shared" si="89"/>
        <v>24</v>
      </c>
      <c r="V707" s="7">
        <v>36008</v>
      </c>
      <c r="W707" t="s">
        <v>741</v>
      </c>
      <c r="X707" s="2">
        <v>3.4830000000000001</v>
      </c>
      <c r="Y707" s="6">
        <f t="shared" si="90"/>
        <v>9.2976695763594144E-2</v>
      </c>
      <c r="AA707">
        <v>2706474</v>
      </c>
      <c r="AB707">
        <v>16764</v>
      </c>
      <c r="AD707" t="s">
        <v>2</v>
      </c>
      <c r="AE707">
        <v>18</v>
      </c>
      <c r="AF707">
        <v>15</v>
      </c>
      <c r="AH707" t="s">
        <v>1776</v>
      </c>
      <c r="AI707" t="s">
        <v>1775</v>
      </c>
      <c r="AJ707" t="s">
        <v>1774</v>
      </c>
      <c r="AK707" t="s">
        <v>1773</v>
      </c>
      <c r="AL707">
        <v>21</v>
      </c>
      <c r="AM707" s="5">
        <f t="shared" si="91"/>
        <v>0.875</v>
      </c>
      <c r="AN707" s="4">
        <f t="shared" si="92"/>
        <v>1.3252555850056798E-3</v>
      </c>
      <c r="AO707" s="3"/>
      <c r="AP707">
        <v>1</v>
      </c>
      <c r="AQ707" t="s">
        <v>238</v>
      </c>
      <c r="AR707" t="s">
        <v>1772</v>
      </c>
      <c r="AS707" t="s">
        <v>237</v>
      </c>
      <c r="AT707" s="2">
        <v>6.1669999999999998</v>
      </c>
      <c r="AU707" s="1">
        <f t="shared" si="93"/>
        <v>6.5481263710017599</v>
      </c>
      <c r="AV707" s="1">
        <f t="shared" si="94"/>
        <v>4.7150975674299911</v>
      </c>
      <c r="AW707" s="1">
        <f t="shared" si="95"/>
        <v>2.8820687638582219</v>
      </c>
    </row>
    <row r="708" spans="1:49" x14ac:dyDescent="0.2">
      <c r="A708">
        <v>706</v>
      </c>
      <c r="B708" t="s">
        <v>1771</v>
      </c>
      <c r="C708" t="s">
        <v>1770</v>
      </c>
      <c r="F708" t="s">
        <v>1769</v>
      </c>
      <c r="G708" t="s">
        <v>5</v>
      </c>
      <c r="H708" t="s">
        <v>4</v>
      </c>
      <c r="I708" t="s">
        <v>596</v>
      </c>
      <c r="J708">
        <v>60025997</v>
      </c>
      <c r="K708" t="s">
        <v>389</v>
      </c>
      <c r="L708" t="s">
        <v>104</v>
      </c>
      <c r="M708" t="s">
        <v>12</v>
      </c>
      <c r="N708">
        <v>4</v>
      </c>
      <c r="O708" t="s">
        <v>595</v>
      </c>
      <c r="P708" t="s">
        <v>594</v>
      </c>
      <c r="Q708" t="s">
        <v>1768</v>
      </c>
      <c r="R708" s="7">
        <v>36008</v>
      </c>
      <c r="S708" s="8">
        <f t="shared" si="88"/>
        <v>1998</v>
      </c>
      <c r="T708" s="8">
        <v>1998</v>
      </c>
      <c r="U708" s="8">
        <f t="shared" si="89"/>
        <v>24</v>
      </c>
      <c r="V708" s="7">
        <v>36008</v>
      </c>
      <c r="W708" t="s">
        <v>108</v>
      </c>
      <c r="X708" s="2">
        <v>0.111</v>
      </c>
      <c r="Y708" s="6">
        <f t="shared" si="90"/>
        <v>2.9630816048690639E-3</v>
      </c>
      <c r="AA708">
        <v>87566621</v>
      </c>
      <c r="AB708">
        <v>24890</v>
      </c>
      <c r="AD708" t="s">
        <v>2</v>
      </c>
      <c r="AE708">
        <v>81</v>
      </c>
      <c r="AF708">
        <v>8</v>
      </c>
      <c r="AH708" s="10">
        <v>43344</v>
      </c>
      <c r="AI708" t="s">
        <v>1767</v>
      </c>
      <c r="AK708" t="s">
        <v>593</v>
      </c>
      <c r="AL708">
        <v>2</v>
      </c>
      <c r="AM708" s="5">
        <f t="shared" si="91"/>
        <v>8.3333333333333329E-2</v>
      </c>
      <c r="AN708" s="4">
        <f t="shared" si="92"/>
        <v>1.2621481761958852E-4</v>
      </c>
      <c r="AO708" s="3"/>
      <c r="AP708">
        <v>0</v>
      </c>
      <c r="AR708" t="s">
        <v>1</v>
      </c>
      <c r="AT708" s="2" t="s">
        <v>0</v>
      </c>
      <c r="AU708" s="1">
        <f t="shared" si="93"/>
        <v>0.21120215686942209</v>
      </c>
      <c r="AV708" s="1">
        <f t="shared" si="94"/>
        <v>0.15446482112443263</v>
      </c>
      <c r="AW708" s="1">
        <f t="shared" si="95"/>
        <v>9.7727485379443091E-2</v>
      </c>
    </row>
    <row r="709" spans="1:49" x14ac:dyDescent="0.2">
      <c r="A709">
        <v>707</v>
      </c>
      <c r="B709" t="s">
        <v>1766</v>
      </c>
      <c r="C709" t="s">
        <v>1765</v>
      </c>
      <c r="D709" t="s">
        <v>1764</v>
      </c>
      <c r="E709">
        <v>9867351</v>
      </c>
      <c r="F709" t="s">
        <v>1763</v>
      </c>
      <c r="G709" t="s">
        <v>5</v>
      </c>
      <c r="H709" t="s">
        <v>4</v>
      </c>
      <c r="I709" t="s">
        <v>1762</v>
      </c>
      <c r="J709">
        <v>60012614</v>
      </c>
      <c r="K709" t="s">
        <v>1761</v>
      </c>
      <c r="L709" t="s">
        <v>1760</v>
      </c>
      <c r="M709" t="s">
        <v>263</v>
      </c>
      <c r="N709">
        <v>2</v>
      </c>
      <c r="O709" t="s">
        <v>1759</v>
      </c>
      <c r="P709" t="s">
        <v>1758</v>
      </c>
      <c r="Q709" t="s">
        <v>1757</v>
      </c>
      <c r="R709" s="7">
        <v>36008</v>
      </c>
      <c r="S709" s="8">
        <f t="shared" si="88"/>
        <v>1998</v>
      </c>
      <c r="T709" s="8">
        <v>1998</v>
      </c>
      <c r="U709" s="8">
        <f t="shared" si="89"/>
        <v>24</v>
      </c>
      <c r="V709" s="7">
        <v>36008</v>
      </c>
      <c r="W709" t="s">
        <v>1756</v>
      </c>
      <c r="X709" s="2" t="s">
        <v>0</v>
      </c>
      <c r="Y709" s="6" t="e">
        <f t="shared" si="90"/>
        <v>#VALUE!</v>
      </c>
      <c r="AA709">
        <v>9254773</v>
      </c>
      <c r="AB709">
        <v>18579</v>
      </c>
      <c r="AD709" t="s">
        <v>2</v>
      </c>
      <c r="AE709">
        <v>76</v>
      </c>
      <c r="AF709" s="9">
        <v>44228</v>
      </c>
      <c r="AH709" t="s">
        <v>1755</v>
      </c>
      <c r="AI709" t="s">
        <v>1754</v>
      </c>
      <c r="AJ709" t="s">
        <v>1753</v>
      </c>
      <c r="AK709" t="s">
        <v>1752</v>
      </c>
      <c r="AL709">
        <v>27</v>
      </c>
      <c r="AM709" s="5">
        <f t="shared" si="91"/>
        <v>1.125</v>
      </c>
      <c r="AN709" s="4">
        <f t="shared" si="92"/>
        <v>1.7039000378644452E-3</v>
      </c>
      <c r="AO709" s="3"/>
      <c r="AP709">
        <v>1</v>
      </c>
      <c r="AQ709" t="s">
        <v>1751</v>
      </c>
      <c r="AR709" t="s">
        <v>1750</v>
      </c>
      <c r="AS709" t="s">
        <v>1749</v>
      </c>
      <c r="AT709" s="2">
        <v>1.8819999999999999</v>
      </c>
      <c r="AU709" s="1" t="e">
        <f t="shared" si="93"/>
        <v>#VALUE!</v>
      </c>
      <c r="AV709" s="1" t="e">
        <f t="shared" si="94"/>
        <v>#VALUE!</v>
      </c>
      <c r="AW709" s="1" t="e">
        <f t="shared" si="95"/>
        <v>#VALUE!</v>
      </c>
    </row>
    <row r="710" spans="1:49" x14ac:dyDescent="0.2">
      <c r="A710">
        <v>708</v>
      </c>
      <c r="B710" t="s">
        <v>1748</v>
      </c>
      <c r="C710" t="s">
        <v>1747</v>
      </c>
      <c r="D710" t="s">
        <v>1746</v>
      </c>
      <c r="F710" t="s">
        <v>1745</v>
      </c>
      <c r="G710" t="s">
        <v>5</v>
      </c>
      <c r="H710" t="s">
        <v>4</v>
      </c>
      <c r="I710" t="s">
        <v>1744</v>
      </c>
      <c r="J710">
        <v>60009415</v>
      </c>
      <c r="K710" t="s">
        <v>1743</v>
      </c>
      <c r="L710" t="s">
        <v>653</v>
      </c>
      <c r="M710" t="s">
        <v>9</v>
      </c>
      <c r="N710">
        <v>2</v>
      </c>
      <c r="O710" t="s">
        <v>1742</v>
      </c>
      <c r="P710" t="s">
        <v>1741</v>
      </c>
      <c r="Q710" t="s">
        <v>1740</v>
      </c>
      <c r="R710" s="7">
        <v>36008</v>
      </c>
      <c r="S710" s="8">
        <f t="shared" si="88"/>
        <v>1998</v>
      </c>
      <c r="T710" s="8">
        <v>1998</v>
      </c>
      <c r="U710" s="8">
        <f t="shared" si="89"/>
        <v>24</v>
      </c>
      <c r="V710" s="7">
        <v>36008</v>
      </c>
      <c r="W710" t="s">
        <v>633</v>
      </c>
      <c r="X710" s="2">
        <v>0.9</v>
      </c>
      <c r="Y710" s="6">
        <f t="shared" si="90"/>
        <v>2.4024985985424845E-2</v>
      </c>
      <c r="AA710">
        <v>9630252</v>
      </c>
      <c r="AB710">
        <v>29614</v>
      </c>
      <c r="AD710" t="s">
        <v>2</v>
      </c>
      <c r="AE710">
        <v>7</v>
      </c>
      <c r="AF710">
        <v>3</v>
      </c>
      <c r="AH710" t="s">
        <v>1739</v>
      </c>
      <c r="AI710" t="s">
        <v>1738</v>
      </c>
      <c r="AK710" t="s">
        <v>1737</v>
      </c>
      <c r="AL710">
        <v>19</v>
      </c>
      <c r="AM710" s="5">
        <f t="shared" si="91"/>
        <v>0.79166666666666663</v>
      </c>
      <c r="AN710" s="4">
        <f t="shared" si="92"/>
        <v>1.199040767386091E-3</v>
      </c>
      <c r="AO710" s="3"/>
      <c r="AP710">
        <v>0</v>
      </c>
      <c r="AR710" t="s">
        <v>1</v>
      </c>
      <c r="AT710" s="2" t="s">
        <v>0</v>
      </c>
      <c r="AU710" s="1">
        <f t="shared" si="93"/>
        <v>1.7177202420013218</v>
      </c>
      <c r="AV710" s="1">
        <f t="shared" si="94"/>
        <v>1.2612013376405469</v>
      </c>
      <c r="AW710" s="1">
        <f t="shared" si="95"/>
        <v>0.80468243327977174</v>
      </c>
    </row>
    <row r="711" spans="1:49" x14ac:dyDescent="0.2">
      <c r="A711">
        <v>709</v>
      </c>
      <c r="B711" t="s">
        <v>1736</v>
      </c>
      <c r="C711" t="s">
        <v>1735</v>
      </c>
      <c r="D711" t="s">
        <v>1734</v>
      </c>
      <c r="F711" t="s">
        <v>1733</v>
      </c>
      <c r="G711" t="s">
        <v>5</v>
      </c>
      <c r="H711" t="s">
        <v>4</v>
      </c>
      <c r="I711" t="s">
        <v>1732</v>
      </c>
      <c r="J711" t="s">
        <v>1731</v>
      </c>
      <c r="K711" t="s">
        <v>1730</v>
      </c>
      <c r="L711" t="s">
        <v>1729</v>
      </c>
      <c r="M711" t="s">
        <v>6</v>
      </c>
      <c r="N711">
        <v>2</v>
      </c>
      <c r="O711" t="s">
        <v>1728</v>
      </c>
      <c r="P711" t="s">
        <v>1727</v>
      </c>
      <c r="Q711" t="s">
        <v>1726</v>
      </c>
      <c r="R711" s="7">
        <v>36008</v>
      </c>
      <c r="S711" s="8">
        <f t="shared" si="88"/>
        <v>1998</v>
      </c>
      <c r="T711" s="8">
        <v>1998</v>
      </c>
      <c r="U711" s="8">
        <f t="shared" si="89"/>
        <v>24</v>
      </c>
      <c r="V711" s="7">
        <v>36008</v>
      </c>
      <c r="W711" t="s">
        <v>1683</v>
      </c>
      <c r="X711" s="2">
        <v>0.92900000000000005</v>
      </c>
      <c r="Y711" s="6">
        <f t="shared" si="90"/>
        <v>2.4799124422732979E-2</v>
      </c>
      <c r="AA711">
        <v>10897798</v>
      </c>
      <c r="AB711">
        <v>18896</v>
      </c>
      <c r="AD711" t="s">
        <v>2</v>
      </c>
      <c r="AE711">
        <v>2</v>
      </c>
      <c r="AF711">
        <v>8</v>
      </c>
      <c r="AH711" t="s">
        <v>1725</v>
      </c>
      <c r="AI711" t="s">
        <v>1724</v>
      </c>
      <c r="AJ711" t="s">
        <v>1723</v>
      </c>
      <c r="AK711" t="s">
        <v>1722</v>
      </c>
      <c r="AL711">
        <v>17</v>
      </c>
      <c r="AM711" s="5">
        <f t="shared" si="91"/>
        <v>0.70833333333333337</v>
      </c>
      <c r="AN711" s="4">
        <f t="shared" si="92"/>
        <v>1.0728259497665025E-3</v>
      </c>
      <c r="AO711" s="3"/>
      <c r="AP711">
        <v>0</v>
      </c>
      <c r="AQ711" t="s">
        <v>374</v>
      </c>
      <c r="AR711" t="s">
        <v>1721</v>
      </c>
      <c r="AS711" t="s">
        <v>373</v>
      </c>
      <c r="AT711" s="2">
        <v>3.4359999999999999</v>
      </c>
      <c r="AU711" s="1">
        <f t="shared" si="93"/>
        <v>1.7681234880843035</v>
      </c>
      <c r="AV711" s="1">
        <f t="shared" si="94"/>
        <v>1.293597518624974</v>
      </c>
      <c r="AW711" s="1">
        <f t="shared" si="95"/>
        <v>0.81907154916564462</v>
      </c>
    </row>
    <row r="712" spans="1:49" x14ac:dyDescent="0.2">
      <c r="A712">
        <v>710</v>
      </c>
      <c r="B712" t="s">
        <v>1720</v>
      </c>
      <c r="F712" t="s">
        <v>1719</v>
      </c>
      <c r="G712" t="s">
        <v>5</v>
      </c>
      <c r="H712" t="s">
        <v>4</v>
      </c>
      <c r="I712" t="s">
        <v>1718</v>
      </c>
      <c r="J712">
        <v>100482534</v>
      </c>
      <c r="K712" t="s">
        <v>1717</v>
      </c>
      <c r="L712" t="s">
        <v>1716</v>
      </c>
      <c r="M712" t="s">
        <v>13</v>
      </c>
      <c r="N712">
        <v>3</v>
      </c>
      <c r="O712" t="s">
        <v>1715</v>
      </c>
      <c r="P712" t="s">
        <v>1714</v>
      </c>
      <c r="Q712" t="s">
        <v>1713</v>
      </c>
      <c r="R712" s="7">
        <v>36008</v>
      </c>
      <c r="S712" s="8">
        <f t="shared" si="88"/>
        <v>1998</v>
      </c>
      <c r="T712" s="8">
        <v>1998</v>
      </c>
      <c r="U712" s="8">
        <f t="shared" si="89"/>
        <v>24</v>
      </c>
      <c r="V712" s="7">
        <v>36008</v>
      </c>
      <c r="W712" t="s">
        <v>1712</v>
      </c>
      <c r="X712" s="2" t="s">
        <v>0</v>
      </c>
      <c r="Y712" s="6" t="e">
        <f t="shared" si="90"/>
        <v>#VALUE!</v>
      </c>
      <c r="AA712" t="s">
        <v>1711</v>
      </c>
      <c r="AB712">
        <v>77883</v>
      </c>
      <c r="AD712" t="s">
        <v>2</v>
      </c>
      <c r="AE712">
        <v>17</v>
      </c>
      <c r="AF712">
        <v>2</v>
      </c>
      <c r="AH712" t="s">
        <v>551</v>
      </c>
      <c r="AI712" t="s">
        <v>1710</v>
      </c>
      <c r="AK712" t="s">
        <v>1709</v>
      </c>
      <c r="AL712">
        <v>0</v>
      </c>
      <c r="AM712" s="5">
        <f t="shared" si="91"/>
        <v>0</v>
      </c>
      <c r="AN712" s="4">
        <f t="shared" si="92"/>
        <v>0</v>
      </c>
      <c r="AO712" s="3"/>
      <c r="AP712">
        <v>0</v>
      </c>
      <c r="AR712" t="s">
        <v>1</v>
      </c>
      <c r="AT712" s="2" t="s">
        <v>0</v>
      </c>
      <c r="AU712" s="1" t="e">
        <f t="shared" si="93"/>
        <v>#VALUE!</v>
      </c>
      <c r="AV712" s="1" t="e">
        <f t="shared" si="94"/>
        <v>#VALUE!</v>
      </c>
      <c r="AW712" s="1" t="e">
        <f t="shared" si="95"/>
        <v>#VALUE!</v>
      </c>
    </row>
    <row r="713" spans="1:49" x14ac:dyDescent="0.2">
      <c r="A713">
        <v>711</v>
      </c>
      <c r="B713" t="s">
        <v>1708</v>
      </c>
      <c r="C713" t="s">
        <v>1707</v>
      </c>
      <c r="D713" t="s">
        <v>1706</v>
      </c>
      <c r="F713" t="s">
        <v>1705</v>
      </c>
      <c r="G713" t="s">
        <v>5</v>
      </c>
      <c r="H713" t="s">
        <v>4</v>
      </c>
      <c r="I713" t="s">
        <v>1704</v>
      </c>
      <c r="J713" t="s">
        <v>1703</v>
      </c>
      <c r="K713" t="s">
        <v>1702</v>
      </c>
      <c r="L713" t="s">
        <v>1701</v>
      </c>
      <c r="M713" t="s">
        <v>1700</v>
      </c>
      <c r="N713">
        <v>3</v>
      </c>
      <c r="O713" t="s">
        <v>1699</v>
      </c>
      <c r="P713" t="s">
        <v>1698</v>
      </c>
      <c r="Q713" t="s">
        <v>1697</v>
      </c>
      <c r="R713" s="7">
        <v>36008</v>
      </c>
      <c r="S713" s="8">
        <f t="shared" si="88"/>
        <v>1998</v>
      </c>
      <c r="T713" s="8">
        <v>1998</v>
      </c>
      <c r="U713" s="8">
        <f t="shared" si="89"/>
        <v>24</v>
      </c>
      <c r="V713" s="7">
        <v>36008</v>
      </c>
      <c r="W713" t="s">
        <v>633</v>
      </c>
      <c r="X713" s="2">
        <v>0.9</v>
      </c>
      <c r="Y713" s="6">
        <f t="shared" si="90"/>
        <v>2.4024985985424845E-2</v>
      </c>
      <c r="AA713">
        <v>9630252</v>
      </c>
      <c r="AB713">
        <v>29614</v>
      </c>
      <c r="AD713" t="s">
        <v>2</v>
      </c>
      <c r="AE713">
        <v>7</v>
      </c>
      <c r="AF713">
        <v>3</v>
      </c>
      <c r="AH713" t="s">
        <v>1696</v>
      </c>
      <c r="AI713" t="s">
        <v>1695</v>
      </c>
      <c r="AK713" t="s">
        <v>1694</v>
      </c>
      <c r="AL713">
        <v>63</v>
      </c>
      <c r="AM713" s="5">
        <f t="shared" si="91"/>
        <v>2.625</v>
      </c>
      <c r="AN713" s="4">
        <f t="shared" si="92"/>
        <v>3.9757667550170388E-3</v>
      </c>
      <c r="AO713" s="3"/>
      <c r="AP713">
        <v>0</v>
      </c>
      <c r="AR713" t="s">
        <v>1</v>
      </c>
      <c r="AT713" s="2" t="s">
        <v>0</v>
      </c>
      <c r="AU713" s="1">
        <f t="shared" si="93"/>
        <v>1.8010220216302502</v>
      </c>
      <c r="AV713" s="1">
        <f t="shared" si="94"/>
        <v>1.4000376370220942</v>
      </c>
      <c r="AW713" s="1">
        <f t="shared" si="95"/>
        <v>0.99905325241393816</v>
      </c>
    </row>
    <row r="714" spans="1:49" x14ac:dyDescent="0.2">
      <c r="A714">
        <v>712</v>
      </c>
      <c r="B714" t="s">
        <v>1693</v>
      </c>
      <c r="C714" t="s">
        <v>1692</v>
      </c>
      <c r="D714" t="s">
        <v>1691</v>
      </c>
      <c r="F714" t="s">
        <v>1690</v>
      </c>
      <c r="G714" t="s">
        <v>5</v>
      </c>
      <c r="H714" t="s">
        <v>4</v>
      </c>
      <c r="I714" t="s">
        <v>1689</v>
      </c>
      <c r="J714" t="s">
        <v>1684</v>
      </c>
      <c r="K714" t="s">
        <v>1688</v>
      </c>
      <c r="L714" t="s">
        <v>1687</v>
      </c>
      <c r="M714" t="s">
        <v>6</v>
      </c>
      <c r="N714">
        <v>2</v>
      </c>
      <c r="O714" t="s">
        <v>1686</v>
      </c>
      <c r="P714" t="s">
        <v>1685</v>
      </c>
      <c r="Q714" t="s">
        <v>1684</v>
      </c>
      <c r="R714" s="7">
        <v>36008</v>
      </c>
      <c r="S714" s="8">
        <f t="shared" si="88"/>
        <v>1998</v>
      </c>
      <c r="T714" s="8">
        <v>1998</v>
      </c>
      <c r="U714" s="8">
        <f t="shared" si="89"/>
        <v>24</v>
      </c>
      <c r="V714" s="7">
        <v>36008</v>
      </c>
      <c r="W714" t="s">
        <v>1683</v>
      </c>
      <c r="X714" s="2">
        <v>0.92900000000000005</v>
      </c>
      <c r="Y714" s="6">
        <f t="shared" si="90"/>
        <v>2.4799124422732979E-2</v>
      </c>
      <c r="AA714">
        <v>10897798</v>
      </c>
      <c r="AB714">
        <v>18896</v>
      </c>
      <c r="AD714" t="s">
        <v>2</v>
      </c>
      <c r="AE714">
        <v>2</v>
      </c>
      <c r="AF714">
        <v>8</v>
      </c>
      <c r="AH714" t="s">
        <v>1682</v>
      </c>
      <c r="AI714" t="s">
        <v>1681</v>
      </c>
      <c r="AJ714" t="s">
        <v>1680</v>
      </c>
      <c r="AK714" t="s">
        <v>1679</v>
      </c>
      <c r="AL714">
        <v>18</v>
      </c>
      <c r="AM714" s="5">
        <f t="shared" si="91"/>
        <v>0.75</v>
      </c>
      <c r="AN714" s="4">
        <f t="shared" si="92"/>
        <v>1.1359333585762969E-3</v>
      </c>
      <c r="AO714" s="3"/>
      <c r="AP714">
        <v>0</v>
      </c>
      <c r="AR714" t="s">
        <v>1</v>
      </c>
      <c r="AT714" s="2">
        <v>3.4359999999999999</v>
      </c>
      <c r="AU714" s="1">
        <f t="shared" si="93"/>
        <v>1.7700167103485973</v>
      </c>
      <c r="AV714" s="1">
        <f t="shared" si="94"/>
        <v>1.2967528890654638</v>
      </c>
      <c r="AW714" s="1">
        <f t="shared" si="95"/>
        <v>0.82348906778233011</v>
      </c>
    </row>
    <row r="715" spans="1:49" x14ac:dyDescent="0.2">
      <c r="A715">
        <v>713</v>
      </c>
      <c r="B715" t="s">
        <v>1678</v>
      </c>
      <c r="C715" t="s">
        <v>1677</v>
      </c>
      <c r="D715" t="s">
        <v>1676</v>
      </c>
      <c r="F715" t="s">
        <v>1675</v>
      </c>
      <c r="G715" t="s">
        <v>5</v>
      </c>
      <c r="H715" t="s">
        <v>4</v>
      </c>
      <c r="I715" t="s">
        <v>1674</v>
      </c>
      <c r="J715" t="s">
        <v>1673</v>
      </c>
      <c r="K715" t="s">
        <v>1672</v>
      </c>
      <c r="L715" t="s">
        <v>1671</v>
      </c>
      <c r="M715" t="s">
        <v>1670</v>
      </c>
      <c r="N715">
        <v>2</v>
      </c>
      <c r="O715" t="s">
        <v>1669</v>
      </c>
      <c r="P715" t="s">
        <v>1668</v>
      </c>
      <c r="Q715" t="s">
        <v>1667</v>
      </c>
      <c r="R715" s="7">
        <v>36008</v>
      </c>
      <c r="S715" s="8">
        <f t="shared" si="88"/>
        <v>1998</v>
      </c>
      <c r="T715" s="8">
        <v>1998</v>
      </c>
      <c r="U715" s="8">
        <f t="shared" si="89"/>
        <v>24</v>
      </c>
      <c r="V715" s="7">
        <v>36008</v>
      </c>
      <c r="W715" t="s">
        <v>1666</v>
      </c>
      <c r="X715" s="2">
        <v>2.9860000000000002</v>
      </c>
      <c r="Y715" s="6">
        <f t="shared" si="90"/>
        <v>7.9709564613865094E-2</v>
      </c>
      <c r="AA715">
        <v>7338716</v>
      </c>
      <c r="AB715">
        <v>18902</v>
      </c>
      <c r="AD715" t="s">
        <v>2</v>
      </c>
      <c r="AE715">
        <v>16</v>
      </c>
      <c r="AF715">
        <v>6</v>
      </c>
      <c r="AH715" t="s">
        <v>1665</v>
      </c>
      <c r="AI715" t="s">
        <v>1664</v>
      </c>
      <c r="AJ715" t="s">
        <v>1663</v>
      </c>
      <c r="AK715" t="s">
        <v>1662</v>
      </c>
      <c r="AL715">
        <v>12</v>
      </c>
      <c r="AM715" s="5">
        <f t="shared" si="91"/>
        <v>0.5</v>
      </c>
      <c r="AN715" s="4">
        <f t="shared" si="92"/>
        <v>7.572889057175312E-4</v>
      </c>
      <c r="AO715" s="3"/>
      <c r="AP715">
        <v>0</v>
      </c>
      <c r="AQ715" t="s">
        <v>214</v>
      </c>
      <c r="AR715" t="s">
        <v>1</v>
      </c>
      <c r="AS715" t="s">
        <v>213</v>
      </c>
      <c r="AT715" s="2" t="s">
        <v>0</v>
      </c>
      <c r="AU715" s="1">
        <f t="shared" si="93"/>
        <v>5.602388190142082</v>
      </c>
      <c r="AV715" s="1">
        <f t="shared" si="94"/>
        <v>4.0233426759791318</v>
      </c>
      <c r="AW715" s="1">
        <f t="shared" si="95"/>
        <v>2.4442971618161802</v>
      </c>
    </row>
    <row r="716" spans="1:49" x14ac:dyDescent="0.2">
      <c r="A716">
        <v>714</v>
      </c>
      <c r="B716" t="s">
        <v>1661</v>
      </c>
      <c r="C716" t="s">
        <v>1660</v>
      </c>
      <c r="D716" t="s">
        <v>1659</v>
      </c>
      <c r="F716" t="s">
        <v>1658</v>
      </c>
      <c r="G716" t="s">
        <v>5</v>
      </c>
      <c r="H716" t="s">
        <v>4</v>
      </c>
      <c r="I716" t="s">
        <v>1657</v>
      </c>
      <c r="J716">
        <v>60003500</v>
      </c>
      <c r="K716" t="s">
        <v>1656</v>
      </c>
      <c r="L716" t="s">
        <v>1655</v>
      </c>
      <c r="M716" t="s">
        <v>9</v>
      </c>
      <c r="N716">
        <v>2</v>
      </c>
      <c r="O716" t="s">
        <v>1654</v>
      </c>
      <c r="P716" t="s">
        <v>1653</v>
      </c>
      <c r="Q716" t="s">
        <v>1652</v>
      </c>
      <c r="R716" s="7">
        <v>36008</v>
      </c>
      <c r="S716" s="8">
        <f t="shared" si="88"/>
        <v>1998</v>
      </c>
      <c r="T716" s="8">
        <v>1998</v>
      </c>
      <c r="U716" s="8">
        <f t="shared" si="89"/>
        <v>24</v>
      </c>
      <c r="V716" s="7">
        <v>36008</v>
      </c>
      <c r="W716" t="s">
        <v>1651</v>
      </c>
      <c r="X716" s="2">
        <v>0.89800000000000002</v>
      </c>
      <c r="Y716" s="6">
        <f t="shared" si="90"/>
        <v>2.3971597127679455E-2</v>
      </c>
      <c r="AA716">
        <v>9641726</v>
      </c>
      <c r="AB716">
        <v>29859</v>
      </c>
      <c r="AD716" t="s">
        <v>2</v>
      </c>
      <c r="AE716">
        <v>7</v>
      </c>
      <c r="AF716">
        <v>4</v>
      </c>
      <c r="AH716" t="s">
        <v>1650</v>
      </c>
      <c r="AI716" t="s">
        <v>1649</v>
      </c>
      <c r="AK716" t="s">
        <v>1648</v>
      </c>
      <c r="AL716">
        <v>61</v>
      </c>
      <c r="AM716" s="5">
        <f t="shared" si="91"/>
        <v>2.5416666666666665</v>
      </c>
      <c r="AN716" s="4">
        <f t="shared" si="92"/>
        <v>3.8495519373974501E-3</v>
      </c>
      <c r="AO716" s="3"/>
      <c r="AP716">
        <v>0</v>
      </c>
      <c r="AR716" t="s">
        <v>1</v>
      </c>
      <c r="AT716" s="2">
        <v>3.585</v>
      </c>
      <c r="AU716" s="1">
        <f t="shared" si="93"/>
        <v>1.7934983570594851</v>
      </c>
      <c r="AV716" s="1">
        <f t="shared" si="94"/>
        <v>1.3910574532538453</v>
      </c>
      <c r="AW716" s="1">
        <f t="shared" si="95"/>
        <v>0.9886165494482051</v>
      </c>
    </row>
    <row r="717" spans="1:49" x14ac:dyDescent="0.2">
      <c r="A717">
        <v>715</v>
      </c>
      <c r="B717" t="s">
        <v>1647</v>
      </c>
      <c r="C717" t="s">
        <v>1646</v>
      </c>
      <c r="D717" t="s">
        <v>1645</v>
      </c>
      <c r="F717" t="s">
        <v>1644</v>
      </c>
      <c r="G717" t="s">
        <v>5</v>
      </c>
      <c r="H717" t="s">
        <v>4</v>
      </c>
      <c r="I717" t="s">
        <v>1643</v>
      </c>
      <c r="J717" t="s">
        <v>1642</v>
      </c>
      <c r="K717" t="s">
        <v>1641</v>
      </c>
      <c r="L717" t="s">
        <v>1640</v>
      </c>
      <c r="M717" t="s">
        <v>1639</v>
      </c>
      <c r="N717">
        <v>4</v>
      </c>
      <c r="O717" t="s">
        <v>1638</v>
      </c>
      <c r="P717" t="s">
        <v>1637</v>
      </c>
      <c r="Q717" t="s">
        <v>1636</v>
      </c>
      <c r="R717" s="7">
        <v>36008</v>
      </c>
      <c r="S717" s="8">
        <f t="shared" si="88"/>
        <v>1998</v>
      </c>
      <c r="T717" s="8">
        <v>1998</v>
      </c>
      <c r="U717" s="8">
        <f t="shared" si="89"/>
        <v>24</v>
      </c>
      <c r="V717" s="7">
        <v>36008</v>
      </c>
      <c r="W717" t="s">
        <v>1635</v>
      </c>
      <c r="X717" s="2">
        <v>0.64</v>
      </c>
      <c r="Y717" s="6">
        <f t="shared" si="90"/>
        <v>1.7084434478524334E-2</v>
      </c>
      <c r="AA717">
        <v>3784371</v>
      </c>
      <c r="AB717">
        <v>29115</v>
      </c>
      <c r="AD717" t="s">
        <v>2</v>
      </c>
      <c r="AE717">
        <v>256</v>
      </c>
      <c r="AF717" s="9">
        <v>44289</v>
      </c>
      <c r="AH717" t="s">
        <v>1634</v>
      </c>
      <c r="AI717" t="s">
        <v>1633</v>
      </c>
      <c r="AJ717" t="s">
        <v>1632</v>
      </c>
      <c r="AK717" t="s">
        <v>1631</v>
      </c>
      <c r="AL717">
        <v>5</v>
      </c>
      <c r="AM717" s="5">
        <f t="shared" si="91"/>
        <v>0.20833333333333334</v>
      </c>
      <c r="AN717" s="4">
        <f t="shared" si="92"/>
        <v>3.1553704404897135E-4</v>
      </c>
      <c r="AO717" s="3"/>
      <c r="AP717">
        <v>0</v>
      </c>
      <c r="AR717" t="s">
        <v>1</v>
      </c>
      <c r="AT717" s="2" t="s">
        <v>0</v>
      </c>
      <c r="AU717" s="1">
        <f t="shared" si="93"/>
        <v>1.2053765248181725</v>
      </c>
      <c r="AV717" s="1">
        <f t="shared" si="94"/>
        <v>0.86999857612866527</v>
      </c>
      <c r="AW717" s="1">
        <f t="shared" si="95"/>
        <v>0.53462062743915795</v>
      </c>
    </row>
    <row r="718" spans="1:49" x14ac:dyDescent="0.2">
      <c r="A718">
        <v>716</v>
      </c>
      <c r="B718" t="s">
        <v>1630</v>
      </c>
      <c r="C718" t="s">
        <v>1629</v>
      </c>
      <c r="F718" t="s">
        <v>1628</v>
      </c>
      <c r="G718" t="s">
        <v>5</v>
      </c>
      <c r="H718" t="s">
        <v>4</v>
      </c>
      <c r="I718" t="s">
        <v>1627</v>
      </c>
      <c r="J718" t="s">
        <v>1626</v>
      </c>
      <c r="K718" t="s">
        <v>1625</v>
      </c>
      <c r="L718" t="s">
        <v>1624</v>
      </c>
      <c r="M718" t="s">
        <v>101</v>
      </c>
      <c r="N718">
        <v>6</v>
      </c>
      <c r="O718" t="s">
        <v>1623</v>
      </c>
      <c r="P718" t="s">
        <v>1622</v>
      </c>
      <c r="Q718" t="s">
        <v>1621</v>
      </c>
      <c r="R718" s="7">
        <v>36008</v>
      </c>
      <c r="S718" s="8">
        <f t="shared" si="88"/>
        <v>1998</v>
      </c>
      <c r="T718" s="8">
        <v>1998</v>
      </c>
      <c r="U718" s="8">
        <f t="shared" si="89"/>
        <v>24</v>
      </c>
      <c r="V718" s="7">
        <v>36008</v>
      </c>
      <c r="W718" t="s">
        <v>133</v>
      </c>
      <c r="X718" s="2">
        <v>2.0070000000000001</v>
      </c>
      <c r="Y718" s="6">
        <f t="shared" si="90"/>
        <v>5.3575718747497406E-2</v>
      </c>
      <c r="AA718">
        <v>948276</v>
      </c>
      <c r="AB718">
        <v>27962</v>
      </c>
      <c r="AD718" t="s">
        <v>2</v>
      </c>
      <c r="AE718">
        <v>25</v>
      </c>
      <c r="AF718">
        <v>15</v>
      </c>
      <c r="AH718" t="s">
        <v>1620</v>
      </c>
      <c r="AI718" t="s">
        <v>1619</v>
      </c>
      <c r="AK718" t="s">
        <v>1618</v>
      </c>
      <c r="AL718">
        <v>230</v>
      </c>
      <c r="AM718" s="5">
        <f t="shared" si="91"/>
        <v>9.5833333333333339</v>
      </c>
      <c r="AN718" s="4">
        <f t="shared" si="92"/>
        <v>1.4514704026252682E-2</v>
      </c>
      <c r="AO718" s="3"/>
      <c r="AP718">
        <v>1</v>
      </c>
      <c r="AR718" t="s">
        <v>1</v>
      </c>
      <c r="AT718" s="2">
        <v>4.72</v>
      </c>
      <c r="AU718" s="1">
        <f t="shared" si="93"/>
        <v>4.1857414331123985</v>
      </c>
      <c r="AV718" s="1">
        <f t="shared" si="94"/>
        <v>3.4045211386875045</v>
      </c>
      <c r="AW718" s="1">
        <f t="shared" si="95"/>
        <v>2.6233008442626096</v>
      </c>
    </row>
    <row r="719" spans="1:49" x14ac:dyDescent="0.2">
      <c r="A719">
        <v>717</v>
      </c>
      <c r="B719" t="s">
        <v>1617</v>
      </c>
      <c r="C719" t="s">
        <v>1616</v>
      </c>
      <c r="D719" t="s">
        <v>1615</v>
      </c>
      <c r="F719" t="s">
        <v>1614</v>
      </c>
      <c r="G719" t="s">
        <v>5</v>
      </c>
      <c r="H719" t="s">
        <v>4</v>
      </c>
      <c r="I719" t="s">
        <v>1613</v>
      </c>
      <c r="J719" t="s">
        <v>1612</v>
      </c>
      <c r="K719" t="s">
        <v>1611</v>
      </c>
      <c r="L719" t="s">
        <v>1610</v>
      </c>
      <c r="M719" t="s">
        <v>1609</v>
      </c>
      <c r="N719">
        <v>6</v>
      </c>
      <c r="O719" t="s">
        <v>1608</v>
      </c>
      <c r="P719" t="s">
        <v>1607</v>
      </c>
      <c r="Q719" t="s">
        <v>1606</v>
      </c>
      <c r="R719" s="7">
        <v>36008</v>
      </c>
      <c r="S719" s="8">
        <f t="shared" si="88"/>
        <v>1998</v>
      </c>
      <c r="T719" s="8">
        <v>1998</v>
      </c>
      <c r="U719" s="8">
        <f t="shared" si="89"/>
        <v>24</v>
      </c>
      <c r="V719" s="7">
        <v>36008</v>
      </c>
      <c r="W719" t="s">
        <v>152</v>
      </c>
      <c r="X719" s="2">
        <v>0.81</v>
      </c>
      <c r="Y719" s="6">
        <f t="shared" si="90"/>
        <v>2.1622487386882359E-2</v>
      </c>
      <c r="AA719">
        <v>10411135</v>
      </c>
      <c r="AB719">
        <v>12116</v>
      </c>
      <c r="AD719" t="s">
        <v>2</v>
      </c>
      <c r="AE719">
        <v>10</v>
      </c>
      <c r="AF719">
        <v>8</v>
      </c>
      <c r="AH719" t="s">
        <v>1605</v>
      </c>
      <c r="AI719" t="s">
        <v>1604</v>
      </c>
      <c r="AJ719" t="s">
        <v>1603</v>
      </c>
      <c r="AK719" t="s">
        <v>1602</v>
      </c>
      <c r="AL719">
        <v>8</v>
      </c>
      <c r="AM719" s="5">
        <f t="shared" si="91"/>
        <v>0.33333333333333331</v>
      </c>
      <c r="AN719" s="4">
        <f t="shared" si="92"/>
        <v>5.048592704783541E-4</v>
      </c>
      <c r="AO719" s="3"/>
      <c r="AP719">
        <v>0</v>
      </c>
      <c r="AR719" t="s">
        <v>1601</v>
      </c>
      <c r="AT719" s="2">
        <v>2.468</v>
      </c>
      <c r="AU719" s="1">
        <f t="shared" si="93"/>
        <v>1.5287198951961156</v>
      </c>
      <c r="AV719" s="1">
        <f t="shared" si="94"/>
        <v>1.1063673328680357</v>
      </c>
      <c r="AW719" s="1">
        <f t="shared" si="95"/>
        <v>0.68401477053995552</v>
      </c>
    </row>
    <row r="720" spans="1:49" x14ac:dyDescent="0.2">
      <c r="A720">
        <v>718</v>
      </c>
      <c r="B720" t="s">
        <v>1600</v>
      </c>
      <c r="C720" t="s">
        <v>1599</v>
      </c>
      <c r="F720" t="s">
        <v>1598</v>
      </c>
      <c r="G720" t="s">
        <v>5</v>
      </c>
      <c r="H720" t="s">
        <v>4</v>
      </c>
      <c r="I720" t="s">
        <v>1597</v>
      </c>
      <c r="J720">
        <v>60014304</v>
      </c>
      <c r="K720" t="s">
        <v>1596</v>
      </c>
      <c r="L720" t="s">
        <v>1595</v>
      </c>
      <c r="M720" t="s">
        <v>155</v>
      </c>
      <c r="N720">
        <v>1</v>
      </c>
      <c r="O720" t="s">
        <v>1594</v>
      </c>
      <c r="P720">
        <v>7005966238</v>
      </c>
      <c r="Q720">
        <v>60014304</v>
      </c>
      <c r="R720" s="7">
        <v>36008</v>
      </c>
      <c r="S720" s="8">
        <f t="shared" si="88"/>
        <v>1998</v>
      </c>
      <c r="T720" s="8">
        <v>1998</v>
      </c>
      <c r="U720" s="8">
        <f t="shared" si="89"/>
        <v>24</v>
      </c>
      <c r="V720" s="7">
        <v>36008</v>
      </c>
      <c r="W720" t="s">
        <v>1593</v>
      </c>
      <c r="X720" s="2">
        <v>0.39600000000000002</v>
      </c>
      <c r="Y720" s="6">
        <f t="shared" si="90"/>
        <v>1.0570993833586931E-2</v>
      </c>
      <c r="AA720">
        <v>8858985</v>
      </c>
      <c r="AB720">
        <v>25993</v>
      </c>
      <c r="AD720" t="s">
        <v>2</v>
      </c>
      <c r="AE720">
        <v>13</v>
      </c>
      <c r="AF720">
        <v>8</v>
      </c>
      <c r="AH720" t="s">
        <v>1592</v>
      </c>
      <c r="AI720" t="s">
        <v>1591</v>
      </c>
      <c r="AK720" t="s">
        <v>1590</v>
      </c>
      <c r="AL720">
        <v>0</v>
      </c>
      <c r="AM720" s="5">
        <f t="shared" si="91"/>
        <v>0</v>
      </c>
      <c r="AN720" s="4">
        <f t="shared" si="92"/>
        <v>0</v>
      </c>
      <c r="AO720" s="3"/>
      <c r="AP720">
        <v>0</v>
      </c>
      <c r="AR720" t="s">
        <v>1</v>
      </c>
      <c r="AT720" s="2" t="s">
        <v>0</v>
      </c>
      <c r="AU720" s="1">
        <f t="shared" si="93"/>
        <v>0.73996956835108518</v>
      </c>
      <c r="AV720" s="1">
        <f t="shared" si="94"/>
        <v>0.52854969167934651</v>
      </c>
      <c r="AW720" s="1">
        <f t="shared" si="95"/>
        <v>0.3171298150076079</v>
      </c>
    </row>
    <row r="721" spans="1:49" x14ac:dyDescent="0.2">
      <c r="A721">
        <v>719</v>
      </c>
      <c r="B721" t="s">
        <v>1589</v>
      </c>
      <c r="C721" t="s">
        <v>1588</v>
      </c>
      <c r="F721" t="s">
        <v>1587</v>
      </c>
      <c r="G721" t="s">
        <v>5</v>
      </c>
      <c r="H721" t="s">
        <v>4</v>
      </c>
      <c r="I721" t="s">
        <v>1586</v>
      </c>
      <c r="J721">
        <v>60009982</v>
      </c>
      <c r="K721" t="s">
        <v>1585</v>
      </c>
      <c r="L721" t="s">
        <v>140</v>
      </c>
      <c r="M721" t="s">
        <v>9</v>
      </c>
      <c r="N721">
        <v>1</v>
      </c>
      <c r="O721" t="s">
        <v>1584</v>
      </c>
      <c r="P721">
        <v>7003645136</v>
      </c>
      <c r="Q721">
        <v>60009982</v>
      </c>
      <c r="R721" s="7">
        <v>36008</v>
      </c>
      <c r="S721" s="8">
        <f t="shared" si="88"/>
        <v>1998</v>
      </c>
      <c r="T721" s="8">
        <v>1998</v>
      </c>
      <c r="U721" s="8">
        <f t="shared" si="89"/>
        <v>24</v>
      </c>
      <c r="V721" s="7">
        <v>36008</v>
      </c>
      <c r="W721" t="s">
        <v>1583</v>
      </c>
      <c r="X721" s="2">
        <v>1.2030000000000001</v>
      </c>
      <c r="Y721" s="6">
        <f t="shared" si="90"/>
        <v>3.2113397933851207E-2</v>
      </c>
      <c r="AA721">
        <v>3405443</v>
      </c>
      <c r="AB721">
        <v>22803</v>
      </c>
      <c r="AD721" t="s">
        <v>2</v>
      </c>
      <c r="AE721">
        <v>43</v>
      </c>
      <c r="AF721">
        <v>2</v>
      </c>
      <c r="AH721" t="s">
        <v>540</v>
      </c>
      <c r="AI721" t="s">
        <v>1582</v>
      </c>
      <c r="AJ721" t="s">
        <v>1581</v>
      </c>
      <c r="AK721" t="s">
        <v>1580</v>
      </c>
      <c r="AL721">
        <v>38</v>
      </c>
      <c r="AM721" s="5">
        <f t="shared" si="91"/>
        <v>1.5833333333333333</v>
      </c>
      <c r="AN721" s="4">
        <f t="shared" si="92"/>
        <v>2.3980815347721821E-3</v>
      </c>
      <c r="AO721" s="3"/>
      <c r="AP721">
        <v>0</v>
      </c>
      <c r="AQ721" t="s">
        <v>17</v>
      </c>
      <c r="AR721" t="s">
        <v>1</v>
      </c>
      <c r="AS721" t="s">
        <v>16</v>
      </c>
      <c r="AT721" s="2">
        <v>2.98</v>
      </c>
      <c r="AU721" s="1">
        <f t="shared" si="93"/>
        <v>2.3198803014127498</v>
      </c>
      <c r="AV721" s="1">
        <f t="shared" si="94"/>
        <v>1.7255739734311695</v>
      </c>
      <c r="AW721" s="1">
        <f t="shared" si="95"/>
        <v>1.1312676454495887</v>
      </c>
    </row>
    <row r="722" spans="1:49" x14ac:dyDescent="0.2">
      <c r="A722">
        <v>720</v>
      </c>
      <c r="B722" t="s">
        <v>1579</v>
      </c>
      <c r="C722" t="s">
        <v>1578</v>
      </c>
      <c r="E722">
        <v>9648922</v>
      </c>
      <c r="F722" t="s">
        <v>1577</v>
      </c>
      <c r="G722" t="s">
        <v>5</v>
      </c>
      <c r="H722" t="s">
        <v>4</v>
      </c>
      <c r="I722" t="s">
        <v>1576</v>
      </c>
      <c r="J722" t="s">
        <v>1575</v>
      </c>
      <c r="K722" t="s">
        <v>1574</v>
      </c>
      <c r="L722" t="s">
        <v>1573</v>
      </c>
      <c r="M722" t="s">
        <v>60</v>
      </c>
      <c r="N722">
        <v>5</v>
      </c>
      <c r="O722" t="s">
        <v>1572</v>
      </c>
      <c r="P722" t="s">
        <v>1571</v>
      </c>
      <c r="Q722" t="s">
        <v>1570</v>
      </c>
      <c r="R722" s="7">
        <v>36008</v>
      </c>
      <c r="S722" s="8">
        <f t="shared" si="88"/>
        <v>1998</v>
      </c>
      <c r="T722" s="8">
        <v>1998</v>
      </c>
      <c r="U722" s="8">
        <f t="shared" si="89"/>
        <v>24</v>
      </c>
      <c r="V722" s="7">
        <v>36008</v>
      </c>
      <c r="W722" t="s">
        <v>1569</v>
      </c>
      <c r="X722" s="2">
        <v>1.5289999999999999</v>
      </c>
      <c r="Y722" s="6">
        <f t="shared" si="90"/>
        <v>4.0815781746349533E-2</v>
      </c>
      <c r="AA722">
        <v>219541</v>
      </c>
      <c r="AB722">
        <v>23455</v>
      </c>
      <c r="AD722" t="s">
        <v>2</v>
      </c>
      <c r="AE722">
        <v>176</v>
      </c>
      <c r="AF722">
        <v>2</v>
      </c>
      <c r="AH722" t="s">
        <v>1568</v>
      </c>
      <c r="AI722" t="s">
        <v>1567</v>
      </c>
      <c r="AK722" t="s">
        <v>1566</v>
      </c>
      <c r="AL722">
        <v>2</v>
      </c>
      <c r="AM722" s="5">
        <f t="shared" si="91"/>
        <v>8.3333333333333329E-2</v>
      </c>
      <c r="AN722" s="4">
        <f t="shared" si="92"/>
        <v>1.2621481761958852E-4</v>
      </c>
      <c r="AO722" s="3"/>
      <c r="AP722">
        <v>0</v>
      </c>
      <c r="AR722" t="s">
        <v>1</v>
      </c>
      <c r="AT722" s="2">
        <v>6.3840000000000003</v>
      </c>
      <c r="AU722" s="1">
        <f t="shared" si="93"/>
        <v>2.860891166773055</v>
      </c>
      <c r="AV722" s="1">
        <f t="shared" si="94"/>
        <v>2.0470998281984563</v>
      </c>
      <c r="AW722" s="1">
        <f t="shared" si="95"/>
        <v>1.2333084896238571</v>
      </c>
    </row>
    <row r="723" spans="1:49" x14ac:dyDescent="0.2">
      <c r="A723">
        <v>721</v>
      </c>
      <c r="B723" t="s">
        <v>1565</v>
      </c>
      <c r="C723" t="s">
        <v>1564</v>
      </c>
      <c r="F723" t="s">
        <v>1563</v>
      </c>
      <c r="G723" t="s">
        <v>5</v>
      </c>
      <c r="H723" t="s">
        <v>4</v>
      </c>
      <c r="I723" t="s">
        <v>1562</v>
      </c>
      <c r="J723">
        <v>60004449</v>
      </c>
      <c r="K723" t="s">
        <v>1561</v>
      </c>
      <c r="L723" t="s">
        <v>1560</v>
      </c>
      <c r="M723" t="s">
        <v>9</v>
      </c>
      <c r="N723">
        <v>2</v>
      </c>
      <c r="O723" t="s">
        <v>1559</v>
      </c>
      <c r="P723" t="s">
        <v>1558</v>
      </c>
      <c r="Q723" t="s">
        <v>1557</v>
      </c>
      <c r="R723" s="7">
        <v>36008</v>
      </c>
      <c r="S723" s="8">
        <f t="shared" si="88"/>
        <v>1998</v>
      </c>
      <c r="T723" s="8">
        <v>1998</v>
      </c>
      <c r="U723" s="8">
        <f t="shared" si="89"/>
        <v>24</v>
      </c>
      <c r="V723" s="7">
        <v>36008</v>
      </c>
      <c r="W723" t="s">
        <v>1556</v>
      </c>
      <c r="X723" s="2">
        <v>1.2969999999999999</v>
      </c>
      <c r="Y723" s="6">
        <f t="shared" si="90"/>
        <v>3.4622674247884469E-2</v>
      </c>
      <c r="AA723">
        <v>465070</v>
      </c>
      <c r="AB723">
        <v>15112</v>
      </c>
      <c r="AD723" t="s">
        <v>2</v>
      </c>
      <c r="AE723">
        <v>40</v>
      </c>
      <c r="AF723">
        <v>1</v>
      </c>
      <c r="AH723" t="s">
        <v>1555</v>
      </c>
      <c r="AI723" t="s">
        <v>1554</v>
      </c>
      <c r="AK723" t="s">
        <v>1553</v>
      </c>
      <c r="AL723">
        <v>15</v>
      </c>
      <c r="AM723" s="5">
        <f t="shared" si="91"/>
        <v>0.625</v>
      </c>
      <c r="AN723" s="4">
        <f t="shared" si="92"/>
        <v>9.4661113214691405E-4</v>
      </c>
      <c r="AO723" s="3"/>
      <c r="AP723">
        <v>0</v>
      </c>
      <c r="AR723" t="s">
        <v>1</v>
      </c>
      <c r="AT723" s="2">
        <v>3.8090000000000002</v>
      </c>
      <c r="AU723" s="1">
        <f t="shared" si="93"/>
        <v>2.4519855313163199</v>
      </c>
      <c r="AV723" s="1">
        <f t="shared" si="94"/>
        <v>1.7784642690015691</v>
      </c>
      <c r="AW723" s="1">
        <f t="shared" si="95"/>
        <v>1.104943006686818</v>
      </c>
    </row>
    <row r="724" spans="1:49" x14ac:dyDescent="0.2">
      <c r="A724">
        <v>722</v>
      </c>
      <c r="B724" t="s">
        <v>1552</v>
      </c>
      <c r="C724" t="s">
        <v>1551</v>
      </c>
      <c r="F724" t="s">
        <v>1550</v>
      </c>
      <c r="G724" t="s">
        <v>5</v>
      </c>
      <c r="H724" t="s">
        <v>4</v>
      </c>
      <c r="I724" t="s">
        <v>185</v>
      </c>
      <c r="J724">
        <v>60008435</v>
      </c>
      <c r="K724" t="s">
        <v>1549</v>
      </c>
      <c r="L724" t="s">
        <v>1548</v>
      </c>
      <c r="M724" t="s">
        <v>12</v>
      </c>
      <c r="N724">
        <v>1</v>
      </c>
      <c r="O724" t="s">
        <v>1547</v>
      </c>
      <c r="P724">
        <v>24344566000</v>
      </c>
      <c r="Q724">
        <v>60008435</v>
      </c>
      <c r="R724" s="7">
        <v>36008</v>
      </c>
      <c r="S724" s="8">
        <f t="shared" si="88"/>
        <v>1998</v>
      </c>
      <c r="T724" s="8">
        <v>1998</v>
      </c>
      <c r="U724" s="8">
        <f t="shared" si="89"/>
        <v>24</v>
      </c>
      <c r="V724" s="7">
        <v>36008</v>
      </c>
      <c r="W724" t="s">
        <v>183</v>
      </c>
      <c r="X724" s="2">
        <v>0.83499999999999996</v>
      </c>
      <c r="Y724" s="6">
        <f t="shared" si="90"/>
        <v>2.2289848108699713E-2</v>
      </c>
      <c r="AA724">
        <v>13438832</v>
      </c>
      <c r="AB724">
        <v>22568</v>
      </c>
      <c r="AC724">
        <v>18805981</v>
      </c>
      <c r="AD724" t="s">
        <v>2</v>
      </c>
      <c r="AE724">
        <v>50</v>
      </c>
      <c r="AF724">
        <v>3</v>
      </c>
      <c r="AH724" t="s">
        <v>1546</v>
      </c>
      <c r="AI724" t="s">
        <v>1545</v>
      </c>
      <c r="AK724" t="s">
        <v>1544</v>
      </c>
      <c r="AL724">
        <v>11</v>
      </c>
      <c r="AM724" s="5">
        <f t="shared" si="91"/>
        <v>0.45833333333333331</v>
      </c>
      <c r="AN724" s="4">
        <f t="shared" si="92"/>
        <v>6.9418149690773695E-4</v>
      </c>
      <c r="AO724" s="3"/>
      <c r="AP724">
        <v>1</v>
      </c>
      <c r="AR724" t="s">
        <v>1</v>
      </c>
      <c r="AT724" s="2" t="s">
        <v>0</v>
      </c>
      <c r="AU724" s="1">
        <f t="shared" si="93"/>
        <v>1.581114812516212</v>
      </c>
      <c r="AV724" s="1">
        <f t="shared" si="94"/>
        <v>1.1492014802803725</v>
      </c>
      <c r="AW724" s="1">
        <f t="shared" si="95"/>
        <v>0.717288148044533</v>
      </c>
    </row>
    <row r="725" spans="1:49" x14ac:dyDescent="0.2">
      <c r="A725">
        <v>723</v>
      </c>
      <c r="B725" t="s">
        <v>1543</v>
      </c>
      <c r="F725" t="s">
        <v>1542</v>
      </c>
      <c r="G725" t="s">
        <v>5</v>
      </c>
      <c r="H725" t="s">
        <v>4</v>
      </c>
      <c r="I725" t="s">
        <v>1541</v>
      </c>
      <c r="J725">
        <v>60070212</v>
      </c>
      <c r="K725" t="s">
        <v>1540</v>
      </c>
      <c r="L725" t="s">
        <v>1539</v>
      </c>
      <c r="M725" t="s">
        <v>65</v>
      </c>
      <c r="N725">
        <v>3</v>
      </c>
      <c r="O725" t="s">
        <v>1538</v>
      </c>
      <c r="P725" t="s">
        <v>1537</v>
      </c>
      <c r="Q725" t="s">
        <v>1536</v>
      </c>
      <c r="R725" s="7">
        <v>36008</v>
      </c>
      <c r="S725" s="8">
        <f t="shared" si="88"/>
        <v>1998</v>
      </c>
      <c r="T725" s="8">
        <v>1998</v>
      </c>
      <c r="U725" s="8">
        <f t="shared" si="89"/>
        <v>24</v>
      </c>
      <c r="V725" s="7">
        <v>36008</v>
      </c>
      <c r="W725" t="s">
        <v>1535</v>
      </c>
      <c r="X725" s="2">
        <v>0.112</v>
      </c>
      <c r="Y725" s="6">
        <f t="shared" si="90"/>
        <v>2.9897760337417581E-3</v>
      </c>
      <c r="AA725">
        <v>3678393</v>
      </c>
      <c r="AB725">
        <v>4800153103</v>
      </c>
      <c r="AD725" t="s">
        <v>2</v>
      </c>
      <c r="AE725">
        <v>27</v>
      </c>
      <c r="AF725">
        <v>4</v>
      </c>
      <c r="AH725" t="s">
        <v>1534</v>
      </c>
      <c r="AI725" t="s">
        <v>1533</v>
      </c>
      <c r="AK725" t="s">
        <v>1532</v>
      </c>
      <c r="AL725">
        <v>2</v>
      </c>
      <c r="AM725" s="5">
        <f t="shared" si="91"/>
        <v>8.3333333333333329E-2</v>
      </c>
      <c r="AN725" s="4">
        <f t="shared" si="92"/>
        <v>1.2621481761958852E-4</v>
      </c>
      <c r="AO725" s="3"/>
      <c r="AP725">
        <v>0</v>
      </c>
      <c r="AR725" t="s">
        <v>1</v>
      </c>
      <c r="AT725" s="2" t="s">
        <v>0</v>
      </c>
      <c r="AU725" s="1">
        <f t="shared" si="93"/>
        <v>0.21307076689051069</v>
      </c>
      <c r="AV725" s="1">
        <f t="shared" si="94"/>
        <v>0.15579954256806733</v>
      </c>
      <c r="AW725" s="1">
        <f t="shared" si="95"/>
        <v>9.8528318245623941E-2</v>
      </c>
    </row>
    <row r="726" spans="1:49" x14ac:dyDescent="0.2">
      <c r="A726">
        <v>724</v>
      </c>
      <c r="B726" t="s">
        <v>1531</v>
      </c>
      <c r="F726" t="s">
        <v>1530</v>
      </c>
      <c r="G726" t="s">
        <v>5</v>
      </c>
      <c r="H726" t="s">
        <v>4</v>
      </c>
      <c r="I726" t="s">
        <v>1529</v>
      </c>
      <c r="J726">
        <v>60010513</v>
      </c>
      <c r="K726" t="s">
        <v>1528</v>
      </c>
      <c r="L726" t="s">
        <v>444</v>
      </c>
      <c r="M726" t="s">
        <v>36</v>
      </c>
      <c r="N726">
        <v>1</v>
      </c>
      <c r="O726" t="s">
        <v>1527</v>
      </c>
      <c r="P726">
        <v>7003474431</v>
      </c>
      <c r="Q726">
        <v>60010513</v>
      </c>
      <c r="R726" s="7">
        <v>36008</v>
      </c>
      <c r="S726" s="8">
        <f t="shared" si="88"/>
        <v>1998</v>
      </c>
      <c r="T726" s="8">
        <v>1998</v>
      </c>
      <c r="U726" s="8">
        <f t="shared" si="89"/>
        <v>24</v>
      </c>
      <c r="V726" s="7">
        <v>36008</v>
      </c>
      <c r="W726" t="s">
        <v>746</v>
      </c>
      <c r="X726" s="2">
        <v>2.137</v>
      </c>
      <c r="Y726" s="6">
        <f t="shared" si="90"/>
        <v>5.7045994500947654E-2</v>
      </c>
      <c r="AA726">
        <v>46361</v>
      </c>
      <c r="AB726">
        <v>26750</v>
      </c>
      <c r="AD726" t="s">
        <v>2</v>
      </c>
      <c r="AE726">
        <v>336</v>
      </c>
      <c r="AF726">
        <v>1</v>
      </c>
      <c r="AH726" t="s">
        <v>1526</v>
      </c>
      <c r="AI726" t="s">
        <v>1525</v>
      </c>
      <c r="AJ726" t="s">
        <v>1524</v>
      </c>
      <c r="AK726" t="s">
        <v>1523</v>
      </c>
      <c r="AL726">
        <v>37</v>
      </c>
      <c r="AM726" s="5">
        <f t="shared" si="91"/>
        <v>1.5416666666666667</v>
      </c>
      <c r="AN726" s="4">
        <f t="shared" si="92"/>
        <v>2.3349741259623882E-3</v>
      </c>
      <c r="AO726" s="3"/>
      <c r="AP726">
        <v>0</v>
      </c>
      <c r="AR726" t="s">
        <v>1</v>
      </c>
      <c r="AT726" s="2" t="s">
        <v>0</v>
      </c>
      <c r="AU726" s="1">
        <f t="shared" si="93"/>
        <v>4.0632688388452065</v>
      </c>
      <c r="AV726" s="1">
        <f t="shared" si="94"/>
        <v>2.9690484313455023</v>
      </c>
      <c r="AW726" s="1">
        <f t="shared" si="95"/>
        <v>1.8748280238457964</v>
      </c>
    </row>
    <row r="727" spans="1:49" x14ac:dyDescent="0.2">
      <c r="A727">
        <v>725</v>
      </c>
      <c r="B727" t="s">
        <v>1522</v>
      </c>
      <c r="C727" t="s">
        <v>1521</v>
      </c>
      <c r="F727" t="s">
        <v>1520</v>
      </c>
      <c r="G727" t="s">
        <v>5</v>
      </c>
      <c r="H727" t="s">
        <v>4</v>
      </c>
      <c r="I727" t="s">
        <v>1519</v>
      </c>
      <c r="J727" t="s">
        <v>1518</v>
      </c>
      <c r="K727" t="s">
        <v>1517</v>
      </c>
      <c r="L727" t="s">
        <v>1516</v>
      </c>
      <c r="M727" t="s">
        <v>1515</v>
      </c>
      <c r="N727">
        <v>4</v>
      </c>
      <c r="O727" t="s">
        <v>1514</v>
      </c>
      <c r="P727" t="s">
        <v>1513</v>
      </c>
      <c r="Q727" t="s">
        <v>1512</v>
      </c>
      <c r="R727" s="7">
        <v>36008</v>
      </c>
      <c r="S727" s="8">
        <f t="shared" si="88"/>
        <v>1998</v>
      </c>
      <c r="T727" s="8">
        <v>1998</v>
      </c>
      <c r="U727" s="8">
        <f t="shared" si="89"/>
        <v>24</v>
      </c>
      <c r="V727" s="7">
        <v>36008</v>
      </c>
      <c r="W727" t="s">
        <v>55</v>
      </c>
      <c r="X727" s="2">
        <v>0.88100000000000001</v>
      </c>
      <c r="Y727" s="6">
        <f t="shared" si="90"/>
        <v>2.3517791836843653E-2</v>
      </c>
      <c r="AA727">
        <v>10459243</v>
      </c>
      <c r="AB727">
        <v>17248</v>
      </c>
      <c r="AD727" t="s">
        <v>2</v>
      </c>
      <c r="AE727">
        <v>40</v>
      </c>
      <c r="AF727">
        <v>4</v>
      </c>
      <c r="AH727" t="s">
        <v>1511</v>
      </c>
      <c r="AI727" t="s">
        <v>1510</v>
      </c>
      <c r="AK727" t="s">
        <v>1509</v>
      </c>
      <c r="AL727">
        <v>6</v>
      </c>
      <c r="AM727" s="5">
        <f t="shared" si="91"/>
        <v>0.25</v>
      </c>
      <c r="AN727" s="4">
        <f t="shared" si="92"/>
        <v>3.786444528587656E-4</v>
      </c>
      <c r="AO727" s="3"/>
      <c r="AP727">
        <v>0</v>
      </c>
      <c r="AR727" t="s">
        <v>1</v>
      </c>
      <c r="AT727" s="2" t="s">
        <v>0</v>
      </c>
      <c r="AU727" s="1">
        <f t="shared" si="93"/>
        <v>1.6576047621648184</v>
      </c>
      <c r="AV727" s="1">
        <f t="shared" si="94"/>
        <v>1.1948218144851208</v>
      </c>
      <c r="AW727" s="1">
        <f t="shared" si="95"/>
        <v>0.73203886680542318</v>
      </c>
    </row>
    <row r="728" spans="1:49" x14ac:dyDescent="0.2">
      <c r="A728">
        <v>726</v>
      </c>
      <c r="B728" t="s">
        <v>1508</v>
      </c>
      <c r="F728" t="s">
        <v>1507</v>
      </c>
      <c r="G728" t="s">
        <v>5</v>
      </c>
      <c r="H728" t="s">
        <v>4</v>
      </c>
      <c r="I728" t="s">
        <v>1506</v>
      </c>
      <c r="J728">
        <v>60004848</v>
      </c>
      <c r="K728" t="s">
        <v>1505</v>
      </c>
      <c r="L728" t="s">
        <v>1504</v>
      </c>
      <c r="M728" t="s">
        <v>36</v>
      </c>
      <c r="N728">
        <v>1</v>
      </c>
      <c r="O728" t="s">
        <v>1503</v>
      </c>
      <c r="P728">
        <v>35611098100</v>
      </c>
      <c r="Q728">
        <v>60004848</v>
      </c>
      <c r="R728" s="7">
        <v>36008</v>
      </c>
      <c r="S728" s="8">
        <f t="shared" si="88"/>
        <v>1998</v>
      </c>
      <c r="T728" s="8">
        <v>1998</v>
      </c>
      <c r="U728" s="8">
        <f t="shared" si="89"/>
        <v>24</v>
      </c>
      <c r="V728" s="7">
        <v>36008</v>
      </c>
      <c r="W728" t="s">
        <v>1502</v>
      </c>
      <c r="X728" s="2" t="s">
        <v>0</v>
      </c>
      <c r="Y728" s="6" t="e">
        <f t="shared" si="90"/>
        <v>#VALUE!</v>
      </c>
      <c r="AA728">
        <v>1401599</v>
      </c>
      <c r="AB728">
        <v>12939</v>
      </c>
      <c r="AD728" t="s">
        <v>2</v>
      </c>
      <c r="AE728">
        <v>22</v>
      </c>
      <c r="AF728">
        <v>2</v>
      </c>
      <c r="AH728" t="s">
        <v>1501</v>
      </c>
      <c r="AI728" t="s">
        <v>1500</v>
      </c>
      <c r="AK728" t="s">
        <v>1499</v>
      </c>
      <c r="AL728">
        <v>14</v>
      </c>
      <c r="AM728" s="5">
        <f t="shared" si="91"/>
        <v>0.58333333333333337</v>
      </c>
      <c r="AN728" s="4">
        <f t="shared" si="92"/>
        <v>8.835037233371198E-4</v>
      </c>
      <c r="AO728" s="3"/>
      <c r="AP728">
        <v>0</v>
      </c>
      <c r="AR728" t="s">
        <v>1</v>
      </c>
      <c r="AT728" s="2" t="s">
        <v>0</v>
      </c>
      <c r="AU728" s="1" t="e">
        <f t="shared" si="93"/>
        <v>#VALUE!</v>
      </c>
      <c r="AV728" s="1" t="e">
        <f t="shared" si="94"/>
        <v>#VALUE!</v>
      </c>
      <c r="AW728" s="1" t="e">
        <f t="shared" si="95"/>
        <v>#VALUE!</v>
      </c>
    </row>
    <row r="729" spans="1:49" x14ac:dyDescent="0.2">
      <c r="A729">
        <v>727</v>
      </c>
      <c r="B729" t="s">
        <v>1498</v>
      </c>
      <c r="C729" t="s">
        <v>1497</v>
      </c>
      <c r="E729">
        <v>9720116</v>
      </c>
      <c r="F729" t="s">
        <v>1496</v>
      </c>
      <c r="G729" t="s">
        <v>5</v>
      </c>
      <c r="H729" t="s">
        <v>4</v>
      </c>
      <c r="I729" t="s">
        <v>1495</v>
      </c>
      <c r="J729" t="s">
        <v>1494</v>
      </c>
      <c r="K729" t="s">
        <v>1493</v>
      </c>
      <c r="L729" t="s">
        <v>1492</v>
      </c>
      <c r="M729" t="s">
        <v>1491</v>
      </c>
      <c r="N729">
        <v>3</v>
      </c>
      <c r="O729" t="s">
        <v>1490</v>
      </c>
      <c r="P729" t="s">
        <v>1489</v>
      </c>
      <c r="Q729" t="s">
        <v>1488</v>
      </c>
      <c r="R729" s="7">
        <v>36005</v>
      </c>
      <c r="S729" s="8">
        <f t="shared" si="88"/>
        <v>1998</v>
      </c>
      <c r="T729" s="8">
        <v>1998</v>
      </c>
      <c r="U729" s="8">
        <f t="shared" si="89"/>
        <v>24</v>
      </c>
      <c r="V729" s="7">
        <v>36005</v>
      </c>
      <c r="W729" t="s">
        <v>1487</v>
      </c>
      <c r="X729" s="2">
        <v>2.7530000000000001</v>
      </c>
      <c r="Y729" s="6">
        <f t="shared" si="90"/>
        <v>7.3489762686527321E-2</v>
      </c>
      <c r="AA729">
        <v>9628436</v>
      </c>
      <c r="AB729">
        <v>13602</v>
      </c>
      <c r="AD729" t="s">
        <v>2</v>
      </c>
      <c r="AE729">
        <v>353</v>
      </c>
      <c r="AF729">
        <v>1372</v>
      </c>
      <c r="AH729" t="s">
        <v>1486</v>
      </c>
      <c r="AI729" t="s">
        <v>1485</v>
      </c>
      <c r="AJ729" t="s">
        <v>1484</v>
      </c>
      <c r="AK729" t="s">
        <v>1483</v>
      </c>
      <c r="AL729">
        <v>15</v>
      </c>
      <c r="AM729" s="5">
        <f t="shared" si="91"/>
        <v>0.625</v>
      </c>
      <c r="AN729" s="4">
        <f t="shared" si="92"/>
        <v>9.4661113214691405E-4</v>
      </c>
      <c r="AO729" s="3"/>
      <c r="AP729">
        <v>0</v>
      </c>
      <c r="AR729" t="s">
        <v>1</v>
      </c>
      <c r="AT729" s="2" t="s">
        <v>0</v>
      </c>
      <c r="AU729" s="1">
        <f t="shared" si="93"/>
        <v>5.1726817220213199</v>
      </c>
      <c r="AV729" s="1">
        <f t="shared" si="94"/>
        <v>3.7218186909337119</v>
      </c>
      <c r="AW729" s="1">
        <f t="shared" si="95"/>
        <v>2.2709556598461038</v>
      </c>
    </row>
    <row r="730" spans="1:49" x14ac:dyDescent="0.2">
      <c r="A730">
        <v>728</v>
      </c>
      <c r="B730" t="s">
        <v>1482</v>
      </c>
      <c r="C730" t="s">
        <v>1481</v>
      </c>
      <c r="F730" t="s">
        <v>1480</v>
      </c>
      <c r="G730" t="s">
        <v>5</v>
      </c>
      <c r="H730" t="s">
        <v>4</v>
      </c>
      <c r="I730" t="s">
        <v>1479</v>
      </c>
      <c r="J730">
        <v>60007592</v>
      </c>
      <c r="K730" t="s">
        <v>149</v>
      </c>
      <c r="L730" t="s">
        <v>148</v>
      </c>
      <c r="M730" t="s">
        <v>147</v>
      </c>
      <c r="N730">
        <v>3</v>
      </c>
      <c r="O730" t="s">
        <v>1478</v>
      </c>
      <c r="P730" t="s">
        <v>1477</v>
      </c>
      <c r="Q730" t="s">
        <v>1476</v>
      </c>
      <c r="R730" s="7">
        <v>35999</v>
      </c>
      <c r="S730" s="8">
        <f t="shared" si="88"/>
        <v>1998</v>
      </c>
      <c r="T730" s="8">
        <v>1998</v>
      </c>
      <c r="U730" s="8">
        <f t="shared" si="89"/>
        <v>24</v>
      </c>
      <c r="V730" s="7">
        <v>35999</v>
      </c>
      <c r="W730" t="s">
        <v>612</v>
      </c>
      <c r="X730" s="2">
        <v>0.375</v>
      </c>
      <c r="Y730" s="6">
        <f t="shared" si="90"/>
        <v>1.0010410827260351E-2</v>
      </c>
      <c r="AA730">
        <v>135194</v>
      </c>
      <c r="AB730">
        <v>24918</v>
      </c>
      <c r="AD730" t="s">
        <v>2</v>
      </c>
      <c r="AE730">
        <v>34</v>
      </c>
      <c r="AF730">
        <v>15</v>
      </c>
      <c r="AH730" t="s">
        <v>1475</v>
      </c>
      <c r="AI730" t="s">
        <v>1474</v>
      </c>
      <c r="AK730" t="s">
        <v>1473</v>
      </c>
      <c r="AL730">
        <v>20</v>
      </c>
      <c r="AM730" s="5">
        <f t="shared" si="91"/>
        <v>0.83333333333333337</v>
      </c>
      <c r="AN730" s="4">
        <f t="shared" si="92"/>
        <v>1.2621481761958854E-3</v>
      </c>
      <c r="AO730" s="3"/>
      <c r="AP730">
        <v>0</v>
      </c>
      <c r="AR730" t="s">
        <v>1</v>
      </c>
      <c r="AT730" s="2">
        <v>1.3140000000000001</v>
      </c>
      <c r="AU730" s="1">
        <f t="shared" si="93"/>
        <v>0.73859320319410116</v>
      </c>
      <c r="AV730" s="1">
        <f t="shared" si="94"/>
        <v>0.56362795017281186</v>
      </c>
      <c r="AW730" s="1">
        <f t="shared" si="95"/>
        <v>0.38866269715152246</v>
      </c>
    </row>
    <row r="731" spans="1:49" x14ac:dyDescent="0.2">
      <c r="A731">
        <v>729</v>
      </c>
      <c r="B731" t="s">
        <v>1472</v>
      </c>
      <c r="C731" t="s">
        <v>1471</v>
      </c>
      <c r="F731" t="s">
        <v>1470</v>
      </c>
      <c r="G731" t="s">
        <v>5</v>
      </c>
      <c r="H731" t="s">
        <v>4</v>
      </c>
      <c r="I731" t="s">
        <v>682</v>
      </c>
      <c r="J731" t="s">
        <v>681</v>
      </c>
      <c r="K731" t="s">
        <v>680</v>
      </c>
      <c r="L731" t="s">
        <v>679</v>
      </c>
      <c r="M731" t="s">
        <v>678</v>
      </c>
      <c r="N731">
        <v>4</v>
      </c>
      <c r="O731" t="s">
        <v>1469</v>
      </c>
      <c r="P731" t="s">
        <v>1468</v>
      </c>
      <c r="Q731" t="s">
        <v>1467</v>
      </c>
      <c r="R731" s="7">
        <v>35999</v>
      </c>
      <c r="S731" s="8">
        <f t="shared" si="88"/>
        <v>1998</v>
      </c>
      <c r="T731" s="8">
        <v>1998</v>
      </c>
      <c r="U731" s="8">
        <f t="shared" si="89"/>
        <v>24</v>
      </c>
      <c r="V731" s="7">
        <v>35999</v>
      </c>
      <c r="W731" t="s">
        <v>612</v>
      </c>
      <c r="X731" s="2">
        <v>0.375</v>
      </c>
      <c r="Y731" s="6">
        <f t="shared" si="90"/>
        <v>1.0010410827260351E-2</v>
      </c>
      <c r="AA731">
        <v>135194</v>
      </c>
      <c r="AB731">
        <v>24918</v>
      </c>
      <c r="AD731" t="s">
        <v>2</v>
      </c>
      <c r="AE731">
        <v>34</v>
      </c>
      <c r="AF731">
        <v>15</v>
      </c>
      <c r="AH731" t="s">
        <v>1466</v>
      </c>
      <c r="AI731" t="s">
        <v>1465</v>
      </c>
      <c r="AK731" t="s">
        <v>1464</v>
      </c>
      <c r="AL731">
        <v>378</v>
      </c>
      <c r="AM731" s="5">
        <f t="shared" si="91"/>
        <v>15.75</v>
      </c>
      <c r="AN731" s="4">
        <f t="shared" si="92"/>
        <v>2.3854600530102233E-2</v>
      </c>
      <c r="AO731" s="3"/>
      <c r="AP731">
        <v>0</v>
      </c>
      <c r="AR731" t="s">
        <v>1</v>
      </c>
      <c r="AT731" s="2">
        <v>1.3140000000000001</v>
      </c>
      <c r="AU731" s="1">
        <f t="shared" si="93"/>
        <v>1.4163667738112915</v>
      </c>
      <c r="AV731" s="1">
        <f t="shared" si="94"/>
        <v>1.6932505678681293</v>
      </c>
      <c r="AW731" s="1">
        <f t="shared" si="95"/>
        <v>1.9701343619249669</v>
      </c>
    </row>
    <row r="732" spans="1:49" x14ac:dyDescent="0.2">
      <c r="A732">
        <v>730</v>
      </c>
      <c r="B732" t="s">
        <v>1463</v>
      </c>
      <c r="C732" t="s">
        <v>1462</v>
      </c>
      <c r="F732" t="s">
        <v>1461</v>
      </c>
      <c r="G732" t="s">
        <v>5</v>
      </c>
      <c r="H732" t="s">
        <v>4</v>
      </c>
      <c r="I732" t="s">
        <v>1460</v>
      </c>
      <c r="J732">
        <v>60022148</v>
      </c>
      <c r="K732" t="s">
        <v>736</v>
      </c>
      <c r="L732" t="s">
        <v>14</v>
      </c>
      <c r="M732" t="s">
        <v>13</v>
      </c>
      <c r="N732">
        <v>1</v>
      </c>
      <c r="O732" t="s">
        <v>1459</v>
      </c>
      <c r="P732">
        <v>7003962497</v>
      </c>
      <c r="Q732">
        <v>60022148</v>
      </c>
      <c r="R732" s="7">
        <v>35999</v>
      </c>
      <c r="S732" s="8">
        <f t="shared" si="88"/>
        <v>1998</v>
      </c>
      <c r="T732" s="8">
        <v>1998</v>
      </c>
      <c r="U732" s="8">
        <f t="shared" si="89"/>
        <v>24</v>
      </c>
      <c r="V732" s="7">
        <v>35999</v>
      </c>
      <c r="W732" t="s">
        <v>612</v>
      </c>
      <c r="X732" s="2">
        <v>0.375</v>
      </c>
      <c r="Y732" s="6">
        <f t="shared" si="90"/>
        <v>1.0010410827260351E-2</v>
      </c>
      <c r="AA732">
        <v>135194</v>
      </c>
      <c r="AB732">
        <v>24918</v>
      </c>
      <c r="AD732" t="s">
        <v>2</v>
      </c>
      <c r="AE732">
        <v>34</v>
      </c>
      <c r="AF732">
        <v>15</v>
      </c>
      <c r="AH732" t="s">
        <v>1458</v>
      </c>
      <c r="AI732" t="s">
        <v>1457</v>
      </c>
      <c r="AK732" t="s">
        <v>1456</v>
      </c>
      <c r="AL732">
        <v>33</v>
      </c>
      <c r="AM732" s="5">
        <f t="shared" si="91"/>
        <v>1.375</v>
      </c>
      <c r="AN732" s="4">
        <f t="shared" si="92"/>
        <v>2.0825444907232107E-3</v>
      </c>
      <c r="AO732" s="3"/>
      <c r="AP732">
        <v>0</v>
      </c>
      <c r="AR732" t="s">
        <v>1</v>
      </c>
      <c r="AT732" s="2">
        <v>1.3140000000000001</v>
      </c>
      <c r="AU732" s="1">
        <f t="shared" si="93"/>
        <v>0.76320509262992087</v>
      </c>
      <c r="AV732" s="1">
        <f t="shared" si="94"/>
        <v>0.60464776589917812</v>
      </c>
      <c r="AW732" s="1">
        <f t="shared" si="95"/>
        <v>0.44609043916843522</v>
      </c>
    </row>
    <row r="733" spans="1:49" x14ac:dyDescent="0.2">
      <c r="A733">
        <v>731</v>
      </c>
      <c r="B733" t="s">
        <v>1455</v>
      </c>
      <c r="C733" t="s">
        <v>1454</v>
      </c>
      <c r="E733">
        <v>9671722</v>
      </c>
      <c r="F733" t="s">
        <v>1453</v>
      </c>
      <c r="G733" t="s">
        <v>5</v>
      </c>
      <c r="H733" t="s">
        <v>4</v>
      </c>
      <c r="I733" t="s">
        <v>1452</v>
      </c>
      <c r="J733" t="s">
        <v>1451</v>
      </c>
      <c r="K733" t="s">
        <v>1450</v>
      </c>
      <c r="L733" t="s">
        <v>1449</v>
      </c>
      <c r="M733" t="s">
        <v>1448</v>
      </c>
      <c r="N733">
        <v>5</v>
      </c>
      <c r="O733" t="s">
        <v>1447</v>
      </c>
      <c r="P733" t="s">
        <v>1446</v>
      </c>
      <c r="Q733" t="s">
        <v>1445</v>
      </c>
      <c r="R733" s="7">
        <v>35997</v>
      </c>
      <c r="S733" s="8">
        <f t="shared" si="88"/>
        <v>1998</v>
      </c>
      <c r="T733" s="8">
        <v>1998</v>
      </c>
      <c r="U733" s="8">
        <f t="shared" si="89"/>
        <v>24</v>
      </c>
      <c r="V733" s="7">
        <v>35997</v>
      </c>
      <c r="W733" t="s">
        <v>1444</v>
      </c>
      <c r="X733" s="2">
        <v>5.0110000000000001</v>
      </c>
      <c r="Y733" s="6">
        <f t="shared" si="90"/>
        <v>0.13376578308107098</v>
      </c>
      <c r="AA733">
        <v>278424</v>
      </c>
      <c r="AB733">
        <v>21121</v>
      </c>
      <c r="AD733" t="s">
        <v>2</v>
      </c>
      <c r="AE733">
        <v>95</v>
      </c>
      <c r="AF733">
        <v>15</v>
      </c>
      <c r="AH733" t="s">
        <v>1443</v>
      </c>
      <c r="AI733" t="s">
        <v>1442</v>
      </c>
      <c r="AK733" t="s">
        <v>1441</v>
      </c>
      <c r="AL733">
        <v>72</v>
      </c>
      <c r="AM733" s="5">
        <f t="shared" si="91"/>
        <v>3</v>
      </c>
      <c r="AN733" s="4">
        <f t="shared" si="92"/>
        <v>4.5437334343051876E-3</v>
      </c>
      <c r="AO733" s="3"/>
      <c r="AP733">
        <v>1</v>
      </c>
      <c r="AR733" t="s">
        <v>1</v>
      </c>
      <c r="AT733" s="2" t="s">
        <v>0</v>
      </c>
      <c r="AU733" s="1">
        <f t="shared" si="93"/>
        <v>9.4999168187041239</v>
      </c>
      <c r="AV733" s="1">
        <f t="shared" si="94"/>
        <v>6.9154758257688087</v>
      </c>
      <c r="AW733" s="1">
        <f t="shared" si="95"/>
        <v>4.3310348328334927</v>
      </c>
    </row>
    <row r="734" spans="1:49" x14ac:dyDescent="0.2">
      <c r="A734">
        <v>732</v>
      </c>
      <c r="B734" t="s">
        <v>1440</v>
      </c>
      <c r="C734" t="s">
        <v>1439</v>
      </c>
      <c r="D734" t="s">
        <v>1438</v>
      </c>
      <c r="E734">
        <v>9711300</v>
      </c>
      <c r="F734" t="s">
        <v>1437</v>
      </c>
      <c r="G734" t="s">
        <v>5</v>
      </c>
      <c r="H734" t="s">
        <v>4</v>
      </c>
      <c r="I734" t="s">
        <v>1436</v>
      </c>
      <c r="J734" t="s">
        <v>1435</v>
      </c>
      <c r="K734" t="s">
        <v>1434</v>
      </c>
      <c r="L734" t="s">
        <v>1433</v>
      </c>
      <c r="M734" t="s">
        <v>109</v>
      </c>
      <c r="N734">
        <v>4</v>
      </c>
      <c r="O734" t="s">
        <v>1432</v>
      </c>
      <c r="P734" t="s">
        <v>1431</v>
      </c>
      <c r="Q734" t="s">
        <v>1430</v>
      </c>
      <c r="R734" s="7">
        <v>35996</v>
      </c>
      <c r="S734" s="8">
        <f t="shared" si="88"/>
        <v>1998</v>
      </c>
      <c r="T734" s="8">
        <v>1998</v>
      </c>
      <c r="U734" s="8">
        <f t="shared" si="89"/>
        <v>24</v>
      </c>
      <c r="V734" s="7">
        <v>35996</v>
      </c>
      <c r="W734" t="s">
        <v>625</v>
      </c>
      <c r="X734" s="2">
        <v>1.59</v>
      </c>
      <c r="Y734" s="6">
        <f t="shared" si="90"/>
        <v>4.2444141907583888E-2</v>
      </c>
      <c r="AA734">
        <v>52728</v>
      </c>
      <c r="AB734">
        <v>16791</v>
      </c>
      <c r="AD734" t="s">
        <v>2</v>
      </c>
      <c r="AE734">
        <v>1365</v>
      </c>
      <c r="AF734">
        <v>3</v>
      </c>
      <c r="AH734" t="s">
        <v>1429</v>
      </c>
      <c r="AI734" t="s">
        <v>1428</v>
      </c>
      <c r="AJ734" t="s">
        <v>1427</v>
      </c>
      <c r="AK734" t="s">
        <v>1426</v>
      </c>
      <c r="AL734">
        <v>29</v>
      </c>
      <c r="AM734" s="5">
        <f t="shared" si="91"/>
        <v>1.2083333333333333</v>
      </c>
      <c r="AN734" s="4">
        <f t="shared" si="92"/>
        <v>1.8301148554840337E-3</v>
      </c>
      <c r="AO734" s="3"/>
      <c r="AP734">
        <v>1</v>
      </c>
      <c r="AQ734" t="s">
        <v>17</v>
      </c>
      <c r="AR734" t="s">
        <v>1425</v>
      </c>
      <c r="AS734" t="s">
        <v>16</v>
      </c>
      <c r="AT734" s="2" t="s">
        <v>0</v>
      </c>
      <c r="AU734" s="1">
        <f t="shared" si="93"/>
        <v>3.025993379195393</v>
      </c>
      <c r="AV734" s="1">
        <f t="shared" si="94"/>
        <v>2.2137128381533961</v>
      </c>
      <c r="AW734" s="1">
        <f t="shared" si="95"/>
        <v>1.4014322971113988</v>
      </c>
    </row>
    <row r="735" spans="1:49" x14ac:dyDescent="0.2">
      <c r="A735">
        <v>733</v>
      </c>
      <c r="B735" t="s">
        <v>1424</v>
      </c>
      <c r="C735" t="s">
        <v>1423</v>
      </c>
      <c r="D735" t="s">
        <v>1422</v>
      </c>
      <c r="F735" t="s">
        <v>1421</v>
      </c>
      <c r="G735" t="s">
        <v>5</v>
      </c>
      <c r="H735" t="s">
        <v>4</v>
      </c>
      <c r="I735" t="s">
        <v>1420</v>
      </c>
      <c r="J735">
        <v>60027272</v>
      </c>
      <c r="K735" t="s">
        <v>489</v>
      </c>
      <c r="L735" t="s">
        <v>488</v>
      </c>
      <c r="M735" t="s">
        <v>13</v>
      </c>
      <c r="N735">
        <v>3</v>
      </c>
      <c r="O735" t="s">
        <v>1419</v>
      </c>
      <c r="P735" t="s">
        <v>1418</v>
      </c>
      <c r="Q735" t="s">
        <v>1417</v>
      </c>
      <c r="R735" s="7">
        <v>35996</v>
      </c>
      <c r="S735" s="8">
        <f t="shared" si="88"/>
        <v>1998</v>
      </c>
      <c r="T735" s="8">
        <v>1998</v>
      </c>
      <c r="U735" s="8">
        <f t="shared" si="89"/>
        <v>24</v>
      </c>
      <c r="V735" s="7">
        <v>35996</v>
      </c>
      <c r="W735" t="s">
        <v>657</v>
      </c>
      <c r="X735" s="2">
        <v>0.90700000000000003</v>
      </c>
      <c r="Y735" s="6">
        <f t="shared" si="90"/>
        <v>2.4211846987533703E-2</v>
      </c>
      <c r="AA735">
        <v>1651684</v>
      </c>
      <c r="AB735">
        <v>25548</v>
      </c>
      <c r="AD735" t="s">
        <v>2</v>
      </c>
      <c r="AE735">
        <v>68</v>
      </c>
      <c r="AF735">
        <v>1</v>
      </c>
      <c r="AH735" t="s">
        <v>1416</v>
      </c>
      <c r="AI735" t="s">
        <v>1415</v>
      </c>
      <c r="AJ735" t="s">
        <v>1414</v>
      </c>
      <c r="AK735" t="s">
        <v>1413</v>
      </c>
      <c r="AL735">
        <v>8</v>
      </c>
      <c r="AM735" s="5">
        <f t="shared" si="91"/>
        <v>0.33333333333333331</v>
      </c>
      <c r="AN735" s="4">
        <f t="shared" si="92"/>
        <v>5.048592704783541E-4</v>
      </c>
      <c r="AO735" s="3"/>
      <c r="AP735">
        <v>0</v>
      </c>
      <c r="AR735" t="s">
        <v>1</v>
      </c>
      <c r="AT735" s="2">
        <v>4.6619999999999999</v>
      </c>
      <c r="AU735" s="1">
        <f t="shared" si="93"/>
        <v>1.7099750672417096</v>
      </c>
      <c r="AV735" s="1">
        <f t="shared" si="94"/>
        <v>1.2358353129006028</v>
      </c>
      <c r="AW735" s="1">
        <f t="shared" si="95"/>
        <v>0.76169555855949578</v>
      </c>
    </row>
    <row r="736" spans="1:49" x14ac:dyDescent="0.2">
      <c r="A736">
        <v>734</v>
      </c>
      <c r="B736" t="s">
        <v>1412</v>
      </c>
      <c r="C736" t="s">
        <v>1411</v>
      </c>
      <c r="F736" t="s">
        <v>1410</v>
      </c>
      <c r="G736" t="s">
        <v>5</v>
      </c>
      <c r="H736" t="s">
        <v>4</v>
      </c>
      <c r="I736" t="s">
        <v>1214</v>
      </c>
      <c r="J736">
        <v>60008023</v>
      </c>
      <c r="K736" t="s">
        <v>626</v>
      </c>
      <c r="L736" t="s">
        <v>531</v>
      </c>
      <c r="M736" t="s">
        <v>9</v>
      </c>
      <c r="N736">
        <v>3</v>
      </c>
      <c r="O736" t="s">
        <v>1409</v>
      </c>
      <c r="P736" t="s">
        <v>1408</v>
      </c>
      <c r="Q736" t="s">
        <v>1407</v>
      </c>
      <c r="R736" s="7">
        <v>35992</v>
      </c>
      <c r="S736" s="8">
        <f t="shared" si="88"/>
        <v>1998</v>
      </c>
      <c r="T736" s="8">
        <v>1998</v>
      </c>
      <c r="U736" s="8">
        <f t="shared" si="89"/>
        <v>24</v>
      </c>
      <c r="V736" s="7">
        <v>35992</v>
      </c>
      <c r="W736" t="s">
        <v>38</v>
      </c>
      <c r="X736" s="2">
        <v>0.86399999999999999</v>
      </c>
      <c r="Y736" s="6">
        <f t="shared" si="90"/>
        <v>2.3063986546007848E-2</v>
      </c>
      <c r="AA736">
        <v>15206106</v>
      </c>
      <c r="AB736">
        <v>26970</v>
      </c>
      <c r="AD736" t="s">
        <v>2</v>
      </c>
      <c r="AE736">
        <v>102</v>
      </c>
      <c r="AF736">
        <v>29</v>
      </c>
      <c r="AH736" t="s">
        <v>1406</v>
      </c>
      <c r="AI736" t="s">
        <v>1405</v>
      </c>
      <c r="AK736" t="s">
        <v>1404</v>
      </c>
      <c r="AL736">
        <v>22</v>
      </c>
      <c r="AM736" s="5">
        <f t="shared" si="91"/>
        <v>0.91666666666666663</v>
      </c>
      <c r="AN736" s="4">
        <f t="shared" si="92"/>
        <v>1.3883629938154739E-3</v>
      </c>
      <c r="AO736" s="3"/>
      <c r="AP736">
        <v>0</v>
      </c>
      <c r="AR736" t="s">
        <v>1</v>
      </c>
      <c r="AT736" s="2">
        <v>2.9910000000000001</v>
      </c>
      <c r="AU736" s="1">
        <f t="shared" si="93"/>
        <v>1.6561299480350133</v>
      </c>
      <c r="AV736" s="1">
        <f t="shared" si="94"/>
        <v>1.2226174769911662</v>
      </c>
      <c r="AW736" s="1">
        <f t="shared" si="95"/>
        <v>0.78910500594731847</v>
      </c>
    </row>
    <row r="737" spans="1:49" x14ac:dyDescent="0.2">
      <c r="A737">
        <v>735</v>
      </c>
      <c r="B737" t="s">
        <v>1403</v>
      </c>
      <c r="C737" t="s">
        <v>1402</v>
      </c>
      <c r="D737" t="s">
        <v>1401</v>
      </c>
      <c r="F737" t="s">
        <v>1400</v>
      </c>
      <c r="G737" t="s">
        <v>5</v>
      </c>
      <c r="H737" t="s">
        <v>4</v>
      </c>
      <c r="I737" t="s">
        <v>1399</v>
      </c>
      <c r="J737" t="s">
        <v>1398</v>
      </c>
      <c r="K737" t="s">
        <v>1397</v>
      </c>
      <c r="L737" t="s">
        <v>1396</v>
      </c>
      <c r="M737" t="s">
        <v>529</v>
      </c>
      <c r="N737">
        <v>10</v>
      </c>
      <c r="O737" t="s">
        <v>1395</v>
      </c>
      <c r="P737" t="s">
        <v>1394</v>
      </c>
      <c r="Q737" t="s">
        <v>1393</v>
      </c>
      <c r="R737" s="7">
        <v>35991</v>
      </c>
      <c r="S737" s="8">
        <f t="shared" si="88"/>
        <v>1998</v>
      </c>
      <c r="T737" s="8">
        <v>1998</v>
      </c>
      <c r="U737" s="8">
        <f t="shared" si="89"/>
        <v>24</v>
      </c>
      <c r="V737" s="7">
        <v>35991</v>
      </c>
      <c r="W737" t="s">
        <v>1360</v>
      </c>
      <c r="X737" s="2">
        <v>0.58099999999999996</v>
      </c>
      <c r="Y737" s="6">
        <f t="shared" si="90"/>
        <v>1.5509463175035369E-2</v>
      </c>
      <c r="AA737">
        <v>13869477</v>
      </c>
      <c r="AB737">
        <v>29121</v>
      </c>
      <c r="AD737" t="s">
        <v>2</v>
      </c>
      <c r="AE737">
        <v>2</v>
      </c>
      <c r="AF737" s="9">
        <v>44287</v>
      </c>
      <c r="AH737" t="s">
        <v>1392</v>
      </c>
      <c r="AI737" t="s">
        <v>1391</v>
      </c>
      <c r="AJ737" t="s">
        <v>1390</v>
      </c>
      <c r="AK737" t="s">
        <v>1389</v>
      </c>
      <c r="AL737">
        <v>3</v>
      </c>
      <c r="AM737" s="5">
        <f t="shared" si="91"/>
        <v>0.125</v>
      </c>
      <c r="AN737" s="4">
        <f t="shared" si="92"/>
        <v>1.893222264293828E-4</v>
      </c>
      <c r="AO737" s="3"/>
      <c r="AP737">
        <v>0</v>
      </c>
      <c r="AQ737" t="s">
        <v>22</v>
      </c>
      <c r="AR737" t="s">
        <v>1</v>
      </c>
      <c r="AS737" t="s">
        <v>21</v>
      </c>
      <c r="AT737" s="2" t="s">
        <v>0</v>
      </c>
      <c r="AU737" s="1">
        <f t="shared" si="93"/>
        <v>1.0913420890453571</v>
      </c>
      <c r="AV737" s="1">
        <f t="shared" si="94"/>
        <v>0.78493927007323772</v>
      </c>
      <c r="AW737" s="1">
        <f t="shared" si="95"/>
        <v>0.47853645110111792</v>
      </c>
    </row>
    <row r="738" spans="1:49" x14ac:dyDescent="0.2">
      <c r="A738">
        <v>736</v>
      </c>
      <c r="B738" t="s">
        <v>1388</v>
      </c>
      <c r="C738" t="s">
        <v>1387</v>
      </c>
      <c r="D738" t="s">
        <v>1386</v>
      </c>
      <c r="E738">
        <v>9682485</v>
      </c>
      <c r="F738" t="s">
        <v>1385</v>
      </c>
      <c r="G738" t="s">
        <v>5</v>
      </c>
      <c r="H738" t="s">
        <v>4</v>
      </c>
      <c r="I738" t="s">
        <v>1384</v>
      </c>
      <c r="J738" t="s">
        <v>1383</v>
      </c>
      <c r="K738" t="s">
        <v>1382</v>
      </c>
      <c r="L738" t="s">
        <v>1381</v>
      </c>
      <c r="M738" t="s">
        <v>1380</v>
      </c>
      <c r="N738">
        <v>4</v>
      </c>
      <c r="O738" t="s">
        <v>1379</v>
      </c>
      <c r="P738" t="s">
        <v>1378</v>
      </c>
      <c r="Q738" t="s">
        <v>1377</v>
      </c>
      <c r="R738" s="7">
        <v>35991</v>
      </c>
      <c r="S738" s="8">
        <f t="shared" si="88"/>
        <v>1998</v>
      </c>
      <c r="T738" s="8">
        <v>1998</v>
      </c>
      <c r="U738" s="8">
        <f t="shared" si="89"/>
        <v>24</v>
      </c>
      <c r="V738" s="7">
        <v>35991</v>
      </c>
      <c r="W738" t="s">
        <v>1376</v>
      </c>
      <c r="X738" s="2">
        <v>0.89900000000000002</v>
      </c>
      <c r="Y738" s="6">
        <f t="shared" si="90"/>
        <v>2.399829155655215E-2</v>
      </c>
      <c r="AA738">
        <v>3781097</v>
      </c>
      <c r="AB738">
        <v>19706</v>
      </c>
      <c r="AD738" t="s">
        <v>2</v>
      </c>
      <c r="AE738">
        <v>164</v>
      </c>
      <c r="AF738">
        <v>2</v>
      </c>
      <c r="AH738" t="s">
        <v>1375</v>
      </c>
      <c r="AI738" t="s">
        <v>1374</v>
      </c>
      <c r="AJ738" t="s">
        <v>1373</v>
      </c>
      <c r="AK738" t="s">
        <v>1372</v>
      </c>
      <c r="AL738">
        <v>17</v>
      </c>
      <c r="AM738" s="5">
        <f t="shared" si="91"/>
        <v>0.70833333333333337</v>
      </c>
      <c r="AN738" s="4">
        <f t="shared" si="92"/>
        <v>1.0728259497665025E-3</v>
      </c>
      <c r="AO738" s="3"/>
      <c r="AP738">
        <v>0</v>
      </c>
      <c r="AQ738" t="s">
        <v>178</v>
      </c>
      <c r="AR738" t="s">
        <v>1371</v>
      </c>
      <c r="AS738" t="s">
        <v>177</v>
      </c>
      <c r="AT738" s="2">
        <v>2.742</v>
      </c>
      <c r="AU738" s="1">
        <f t="shared" si="93"/>
        <v>1.7120651874516453</v>
      </c>
      <c r="AV738" s="1">
        <f t="shared" si="94"/>
        <v>1.2535558753159326</v>
      </c>
      <c r="AW738" s="1">
        <f t="shared" si="95"/>
        <v>0.7950465631802196</v>
      </c>
    </row>
    <row r="739" spans="1:49" x14ac:dyDescent="0.2">
      <c r="A739">
        <v>737</v>
      </c>
      <c r="B739" t="s">
        <v>1370</v>
      </c>
      <c r="C739" t="s">
        <v>1369</v>
      </c>
      <c r="D739" t="s">
        <v>1368</v>
      </c>
      <c r="F739" t="s">
        <v>1367</v>
      </c>
      <c r="G739" t="s">
        <v>5</v>
      </c>
      <c r="H739" t="s">
        <v>4</v>
      </c>
      <c r="I739" t="s">
        <v>1366</v>
      </c>
      <c r="J739">
        <v>60029241</v>
      </c>
      <c r="K739" t="s">
        <v>1365</v>
      </c>
      <c r="L739" t="s">
        <v>1364</v>
      </c>
      <c r="M739" t="s">
        <v>9</v>
      </c>
      <c r="N739">
        <v>6</v>
      </c>
      <c r="O739" t="s">
        <v>1363</v>
      </c>
      <c r="P739" t="s">
        <v>1362</v>
      </c>
      <c r="Q739" t="s">
        <v>1361</v>
      </c>
      <c r="R739" s="7">
        <v>35991</v>
      </c>
      <c r="S739" s="8">
        <f t="shared" si="88"/>
        <v>1998</v>
      </c>
      <c r="T739" s="8">
        <v>1998</v>
      </c>
      <c r="U739" s="8">
        <f t="shared" si="89"/>
        <v>24</v>
      </c>
      <c r="V739" s="7">
        <v>35991</v>
      </c>
      <c r="W739" t="s">
        <v>1360</v>
      </c>
      <c r="X739" s="2">
        <v>0.58099999999999996</v>
      </c>
      <c r="Y739" s="6">
        <f t="shared" si="90"/>
        <v>1.5509463175035369E-2</v>
      </c>
      <c r="AA739">
        <v>13869477</v>
      </c>
      <c r="AB739">
        <v>29121</v>
      </c>
      <c r="AD739" t="s">
        <v>2</v>
      </c>
      <c r="AE739">
        <v>2</v>
      </c>
      <c r="AF739" s="9">
        <v>44287</v>
      </c>
      <c r="AH739" t="s">
        <v>1359</v>
      </c>
      <c r="AI739" t="s">
        <v>1358</v>
      </c>
      <c r="AJ739" t="s">
        <v>1357</v>
      </c>
      <c r="AK739" t="s">
        <v>1356</v>
      </c>
      <c r="AL739">
        <v>18</v>
      </c>
      <c r="AM739" s="5">
        <f t="shared" si="91"/>
        <v>0.75</v>
      </c>
      <c r="AN739" s="4">
        <f t="shared" si="92"/>
        <v>1.1359333585762969E-3</v>
      </c>
      <c r="AO739" s="3"/>
      <c r="AP739">
        <v>0</v>
      </c>
      <c r="AQ739" t="s">
        <v>17</v>
      </c>
      <c r="AR739" t="s">
        <v>1355</v>
      </c>
      <c r="AS739" t="s">
        <v>16</v>
      </c>
      <c r="AT739" s="2" t="s">
        <v>0</v>
      </c>
      <c r="AU739" s="1">
        <f t="shared" si="93"/>
        <v>1.1197404230097647</v>
      </c>
      <c r="AV739" s="1">
        <f t="shared" si="94"/>
        <v>0.83226982668058325</v>
      </c>
      <c r="AW739" s="1">
        <f t="shared" si="95"/>
        <v>0.54479923035140176</v>
      </c>
    </row>
    <row r="740" spans="1:49" x14ac:dyDescent="0.2">
      <c r="A740">
        <v>738</v>
      </c>
      <c r="B740" t="s">
        <v>1354</v>
      </c>
      <c r="C740" t="s">
        <v>1353</v>
      </c>
      <c r="E740">
        <v>9665706</v>
      </c>
      <c r="F740" t="s">
        <v>1352</v>
      </c>
      <c r="G740" t="s">
        <v>5</v>
      </c>
      <c r="H740" t="s">
        <v>4</v>
      </c>
      <c r="I740" t="s">
        <v>1351</v>
      </c>
      <c r="J740" t="s">
        <v>1350</v>
      </c>
      <c r="K740" t="s">
        <v>1349</v>
      </c>
      <c r="L740" t="s">
        <v>1348</v>
      </c>
      <c r="M740" t="s">
        <v>1347</v>
      </c>
      <c r="N740">
        <v>6</v>
      </c>
      <c r="O740" t="s">
        <v>1346</v>
      </c>
      <c r="P740" t="s">
        <v>1345</v>
      </c>
      <c r="Q740" t="s">
        <v>1344</v>
      </c>
      <c r="R740" s="7">
        <v>35990</v>
      </c>
      <c r="S740" s="8">
        <f t="shared" si="88"/>
        <v>1998</v>
      </c>
      <c r="T740" s="8">
        <v>1998</v>
      </c>
      <c r="U740" s="8">
        <f t="shared" si="89"/>
        <v>24</v>
      </c>
      <c r="V740" s="7">
        <v>35990</v>
      </c>
      <c r="W740" t="s">
        <v>624</v>
      </c>
      <c r="X740" s="2">
        <v>1.43</v>
      </c>
      <c r="Y740" s="6">
        <f t="shared" si="90"/>
        <v>3.8173033287952803E-2</v>
      </c>
      <c r="AA740">
        <v>62960</v>
      </c>
      <c r="AB740">
        <v>16867</v>
      </c>
      <c r="AD740" t="s">
        <v>2</v>
      </c>
      <c r="AE740">
        <v>37</v>
      </c>
      <c r="AF740">
        <v>28</v>
      </c>
      <c r="AH740" t="s">
        <v>1343</v>
      </c>
      <c r="AI740" t="s">
        <v>1342</v>
      </c>
      <c r="AK740" t="s">
        <v>1341</v>
      </c>
      <c r="AL740">
        <v>4</v>
      </c>
      <c r="AM740" s="5">
        <f t="shared" si="91"/>
        <v>0.16666666666666666</v>
      </c>
      <c r="AN740" s="4">
        <f t="shared" si="92"/>
        <v>2.5242963523917705E-4</v>
      </c>
      <c r="AO740" s="3"/>
      <c r="AP740">
        <v>0</v>
      </c>
      <c r="AR740" t="s">
        <v>1</v>
      </c>
      <c r="AT740" s="2">
        <v>3.1619999999999999</v>
      </c>
      <c r="AU740" s="1">
        <f t="shared" si="93"/>
        <v>2.6796852192138716</v>
      </c>
      <c r="AV740" s="1">
        <f t="shared" si="94"/>
        <v>1.9212731461595991</v>
      </c>
      <c r="AW740" s="1">
        <f t="shared" si="95"/>
        <v>1.1628610731053264</v>
      </c>
    </row>
    <row r="741" spans="1:49" x14ac:dyDescent="0.2">
      <c r="A741">
        <v>739</v>
      </c>
      <c r="B741" t="s">
        <v>1340</v>
      </c>
      <c r="C741" t="s">
        <v>1339</v>
      </c>
      <c r="F741" t="s">
        <v>1338</v>
      </c>
      <c r="G741" t="s">
        <v>5</v>
      </c>
      <c r="H741" t="s">
        <v>4</v>
      </c>
      <c r="I741" t="s">
        <v>1337</v>
      </c>
      <c r="J741" t="s">
        <v>1336</v>
      </c>
      <c r="K741" t="s">
        <v>1335</v>
      </c>
      <c r="L741" t="s">
        <v>1334</v>
      </c>
      <c r="M741" t="s">
        <v>1333</v>
      </c>
      <c r="N741">
        <v>7</v>
      </c>
      <c r="O741" t="s">
        <v>1301</v>
      </c>
      <c r="P741" t="s">
        <v>1300</v>
      </c>
      <c r="Q741" t="s">
        <v>1332</v>
      </c>
      <c r="R741" s="7">
        <v>35986</v>
      </c>
      <c r="S741" s="8">
        <f t="shared" si="88"/>
        <v>1998</v>
      </c>
      <c r="T741" s="8">
        <v>1998</v>
      </c>
      <c r="U741" s="8">
        <f t="shared" si="89"/>
        <v>24</v>
      </c>
      <c r="V741" s="7">
        <v>35986</v>
      </c>
      <c r="W741" t="s">
        <v>1331</v>
      </c>
      <c r="X741" s="2">
        <v>3.6389999999999998</v>
      </c>
      <c r="Y741" s="6">
        <f t="shared" si="90"/>
        <v>9.7141026667734443E-2</v>
      </c>
      <c r="AA741">
        <v>20418205</v>
      </c>
      <c r="AB741">
        <v>19900192103</v>
      </c>
      <c r="AC741">
        <v>20418213</v>
      </c>
      <c r="AD741" t="s">
        <v>2</v>
      </c>
      <c r="AE741">
        <v>501</v>
      </c>
      <c r="AF741">
        <v>2</v>
      </c>
      <c r="AH741" t="s">
        <v>1330</v>
      </c>
      <c r="AI741" t="s">
        <v>1329</v>
      </c>
      <c r="AJ741" t="s">
        <v>1296</v>
      </c>
      <c r="AK741" t="s">
        <v>1328</v>
      </c>
      <c r="AL741">
        <v>1</v>
      </c>
      <c r="AM741" s="5">
        <f t="shared" si="91"/>
        <v>4.1666666666666664E-2</v>
      </c>
      <c r="AN741" s="4">
        <f t="shared" si="92"/>
        <v>6.3107408809794262E-5</v>
      </c>
      <c r="AO741" s="3"/>
      <c r="AP741">
        <v>0</v>
      </c>
      <c r="AQ741" t="s">
        <v>17</v>
      </c>
      <c r="AR741" t="s">
        <v>1327</v>
      </c>
      <c r="AS741" t="s">
        <v>16</v>
      </c>
      <c r="AT741" s="2">
        <v>7.4130000000000003</v>
      </c>
      <c r="AU741" s="1">
        <f t="shared" si="93"/>
        <v>6.8017650890057055</v>
      </c>
      <c r="AV741" s="1">
        <f t="shared" si="94"/>
        <v>4.8602067038272123</v>
      </c>
      <c r="AW741" s="1">
        <f t="shared" si="95"/>
        <v>2.9186483186487191</v>
      </c>
    </row>
    <row r="742" spans="1:49" x14ac:dyDescent="0.2">
      <c r="A742">
        <v>740</v>
      </c>
      <c r="B742" t="s">
        <v>1326</v>
      </c>
      <c r="C742" t="s">
        <v>1325</v>
      </c>
      <c r="D742" t="s">
        <v>1324</v>
      </c>
      <c r="E742">
        <v>9654453</v>
      </c>
      <c r="F742" t="s">
        <v>1323</v>
      </c>
      <c r="G742" t="s">
        <v>5</v>
      </c>
      <c r="H742" t="s">
        <v>4</v>
      </c>
      <c r="I742" t="s">
        <v>1322</v>
      </c>
      <c r="J742" t="s">
        <v>1321</v>
      </c>
      <c r="K742" t="s">
        <v>1320</v>
      </c>
      <c r="L742" t="s">
        <v>1319</v>
      </c>
      <c r="M742" t="s">
        <v>50</v>
      </c>
      <c r="N742">
        <v>6</v>
      </c>
      <c r="O742" t="s">
        <v>1318</v>
      </c>
      <c r="P742" t="s">
        <v>1317</v>
      </c>
      <c r="Q742" t="s">
        <v>1316</v>
      </c>
      <c r="R742" s="7">
        <v>35986</v>
      </c>
      <c r="S742" s="8">
        <f t="shared" si="88"/>
        <v>1998</v>
      </c>
      <c r="T742" s="8">
        <v>1998</v>
      </c>
      <c r="U742" s="8">
        <f t="shared" si="89"/>
        <v>24</v>
      </c>
      <c r="V742" s="7">
        <v>35986</v>
      </c>
      <c r="W742" t="s">
        <v>1315</v>
      </c>
      <c r="X742" s="2">
        <v>3.1890000000000001</v>
      </c>
      <c r="Y742" s="6">
        <f t="shared" si="90"/>
        <v>8.5128533675022031E-2</v>
      </c>
      <c r="AA742">
        <v>222836</v>
      </c>
      <c r="AB742">
        <v>17618</v>
      </c>
      <c r="AD742" t="s">
        <v>2</v>
      </c>
      <c r="AE742">
        <v>280</v>
      </c>
      <c r="AF742">
        <v>2</v>
      </c>
      <c r="AH742" t="s">
        <v>1314</v>
      </c>
      <c r="AI742" t="s">
        <v>1313</v>
      </c>
      <c r="AJ742" t="s">
        <v>1312</v>
      </c>
      <c r="AK742" t="s">
        <v>1311</v>
      </c>
      <c r="AL742">
        <v>186</v>
      </c>
      <c r="AM742" s="5">
        <f t="shared" si="91"/>
        <v>7.75</v>
      </c>
      <c r="AN742" s="4">
        <f t="shared" si="92"/>
        <v>1.1737978038621734E-2</v>
      </c>
      <c r="AO742" s="3"/>
      <c r="AP742">
        <v>0</v>
      </c>
      <c r="AQ742" t="s">
        <v>1310</v>
      </c>
      <c r="AR742" t="s">
        <v>1</v>
      </c>
      <c r="AS742" t="s">
        <v>1309</v>
      </c>
      <c r="AT742" s="2">
        <v>5.4690000000000003</v>
      </c>
      <c r="AU742" s="1">
        <f t="shared" si="93"/>
        <v>6.311136698410194</v>
      </c>
      <c r="AV742" s="1">
        <f t="shared" si="94"/>
        <v>4.8433255856821882</v>
      </c>
      <c r="AW742" s="1">
        <f t="shared" si="95"/>
        <v>3.3755144729541824</v>
      </c>
    </row>
    <row r="743" spans="1:49" x14ac:dyDescent="0.2">
      <c r="A743">
        <v>741</v>
      </c>
      <c r="B743" t="s">
        <v>1308</v>
      </c>
      <c r="F743" t="s">
        <v>1307</v>
      </c>
      <c r="G743" t="s">
        <v>5</v>
      </c>
      <c r="H743" t="s">
        <v>4</v>
      </c>
      <c r="I743" t="s">
        <v>1306</v>
      </c>
      <c r="J743" t="s">
        <v>1305</v>
      </c>
      <c r="K743" t="s">
        <v>1304</v>
      </c>
      <c r="L743" t="s">
        <v>1303</v>
      </c>
      <c r="M743" t="s">
        <v>1302</v>
      </c>
      <c r="N743">
        <v>7</v>
      </c>
      <c r="O743" t="s">
        <v>1301</v>
      </c>
      <c r="P743" t="s">
        <v>1300</v>
      </c>
      <c r="Q743" t="s">
        <v>1299</v>
      </c>
      <c r="R743" s="7">
        <v>35986</v>
      </c>
      <c r="S743" s="8">
        <f t="shared" si="88"/>
        <v>1998</v>
      </c>
      <c r="T743" s="8">
        <v>1998</v>
      </c>
      <c r="U743" s="8">
        <f t="shared" si="89"/>
        <v>24</v>
      </c>
      <c r="V743" s="7">
        <v>35986</v>
      </c>
      <c r="W743" t="s">
        <v>84</v>
      </c>
      <c r="X743" s="2">
        <v>2.3759999999999999</v>
      </c>
      <c r="Y743" s="6">
        <f t="shared" si="90"/>
        <v>6.3425963001521576E-2</v>
      </c>
      <c r="AA743" t="s">
        <v>83</v>
      </c>
      <c r="AB743">
        <v>26765</v>
      </c>
      <c r="AC743">
        <v>15384357</v>
      </c>
      <c r="AD743" t="s">
        <v>2</v>
      </c>
      <c r="AE743">
        <v>501</v>
      </c>
      <c r="AF743" t="s">
        <v>1298</v>
      </c>
      <c r="AI743" t="s">
        <v>1297</v>
      </c>
      <c r="AJ743" t="s">
        <v>1296</v>
      </c>
      <c r="AK743" t="s">
        <v>1295</v>
      </c>
      <c r="AL743">
        <v>34</v>
      </c>
      <c r="AM743" s="5">
        <f t="shared" si="91"/>
        <v>1.4166666666666667</v>
      </c>
      <c r="AN743" s="4">
        <f t="shared" si="92"/>
        <v>2.1456518995330051E-3</v>
      </c>
      <c r="AO743" s="3"/>
      <c r="AP743">
        <v>0</v>
      </c>
      <c r="AR743" t="s">
        <v>1</v>
      </c>
      <c r="AT743" s="2">
        <v>5.8739999999999997</v>
      </c>
      <c r="AU743" s="1">
        <f t="shared" si="93"/>
        <v>4.5041869670925001</v>
      </c>
      <c r="AV743" s="1">
        <f t="shared" si="94"/>
        <v>3.2785807450527291</v>
      </c>
      <c r="AW743" s="1">
        <f t="shared" si="95"/>
        <v>2.0529745230129577</v>
      </c>
    </row>
    <row r="744" spans="1:49" x14ac:dyDescent="0.2">
      <c r="A744">
        <v>742</v>
      </c>
      <c r="B744" t="s">
        <v>1294</v>
      </c>
      <c r="C744" t="s">
        <v>1293</v>
      </c>
      <c r="F744" t="s">
        <v>1292</v>
      </c>
      <c r="G744" t="s">
        <v>5</v>
      </c>
      <c r="H744" t="s">
        <v>4</v>
      </c>
      <c r="I744" t="s">
        <v>1291</v>
      </c>
      <c r="J744">
        <v>60018735</v>
      </c>
      <c r="K744" t="s">
        <v>378</v>
      </c>
      <c r="L744" t="s">
        <v>104</v>
      </c>
      <c r="M744" t="s">
        <v>12</v>
      </c>
      <c r="N744">
        <v>1</v>
      </c>
      <c r="O744" t="s">
        <v>1290</v>
      </c>
      <c r="P744">
        <v>7403250763</v>
      </c>
      <c r="Q744">
        <v>60018735</v>
      </c>
      <c r="R744" s="7">
        <v>35985</v>
      </c>
      <c r="S744" s="8">
        <f t="shared" si="88"/>
        <v>1998</v>
      </c>
      <c r="T744" s="8">
        <v>1998</v>
      </c>
      <c r="U744" s="8">
        <f t="shared" si="89"/>
        <v>24</v>
      </c>
      <c r="V744" s="7">
        <v>35985</v>
      </c>
      <c r="W744" t="s">
        <v>612</v>
      </c>
      <c r="X744" s="2">
        <v>0.375</v>
      </c>
      <c r="Y744" s="6">
        <f t="shared" si="90"/>
        <v>1.0010410827260351E-2</v>
      </c>
      <c r="AA744">
        <v>135194</v>
      </c>
      <c r="AB744">
        <v>24918</v>
      </c>
      <c r="AD744" t="s">
        <v>2</v>
      </c>
      <c r="AE744">
        <v>34</v>
      </c>
      <c r="AF744">
        <v>14</v>
      </c>
      <c r="AH744" t="s">
        <v>1289</v>
      </c>
      <c r="AI744" t="s">
        <v>1288</v>
      </c>
      <c r="AK744" t="s">
        <v>1287</v>
      </c>
      <c r="AL744">
        <v>10</v>
      </c>
      <c r="AM744" s="5">
        <f t="shared" si="91"/>
        <v>0.41666666666666669</v>
      </c>
      <c r="AN744" s="4">
        <f t="shared" si="92"/>
        <v>6.310740880979427E-4</v>
      </c>
      <c r="AO744" s="3"/>
      <c r="AP744">
        <v>0</v>
      </c>
      <c r="AR744" t="s">
        <v>1</v>
      </c>
      <c r="AT744" s="2">
        <v>1.3140000000000001</v>
      </c>
      <c r="AU744" s="1">
        <f t="shared" si="93"/>
        <v>0.71966098055116279</v>
      </c>
      <c r="AV744" s="1">
        <f t="shared" si="94"/>
        <v>0.53207424576791473</v>
      </c>
      <c r="AW744" s="1">
        <f t="shared" si="95"/>
        <v>0.34448751098466646</v>
      </c>
    </row>
    <row r="745" spans="1:49" x14ac:dyDescent="0.2">
      <c r="A745">
        <v>743</v>
      </c>
      <c r="B745" t="s">
        <v>1286</v>
      </c>
      <c r="C745" t="s">
        <v>1285</v>
      </c>
      <c r="F745" t="s">
        <v>1284</v>
      </c>
      <c r="G745" t="s">
        <v>5</v>
      </c>
      <c r="H745" t="s">
        <v>4</v>
      </c>
      <c r="I745" t="s">
        <v>1283</v>
      </c>
      <c r="J745">
        <v>60012370</v>
      </c>
      <c r="K745" t="s">
        <v>172</v>
      </c>
      <c r="L745" t="s">
        <v>171</v>
      </c>
      <c r="M745" t="s">
        <v>128</v>
      </c>
      <c r="N745">
        <v>2</v>
      </c>
      <c r="O745" t="s">
        <v>1282</v>
      </c>
      <c r="P745" t="s">
        <v>1281</v>
      </c>
      <c r="Q745" t="s">
        <v>372</v>
      </c>
      <c r="R745" s="7">
        <v>35985</v>
      </c>
      <c r="S745" s="8">
        <f t="shared" si="88"/>
        <v>1998</v>
      </c>
      <c r="T745" s="8">
        <v>1998</v>
      </c>
      <c r="U745" s="8">
        <f t="shared" si="89"/>
        <v>24</v>
      </c>
      <c r="V745" s="7">
        <v>35985</v>
      </c>
      <c r="W745" t="s">
        <v>612</v>
      </c>
      <c r="X745" s="2">
        <v>0.375</v>
      </c>
      <c r="Y745" s="6">
        <f t="shared" si="90"/>
        <v>1.0010410827260351E-2</v>
      </c>
      <c r="AA745">
        <v>135194</v>
      </c>
      <c r="AB745">
        <v>24918</v>
      </c>
      <c r="AD745" t="s">
        <v>2</v>
      </c>
      <c r="AE745">
        <v>34</v>
      </c>
      <c r="AF745">
        <v>14</v>
      </c>
      <c r="AH745" t="s">
        <v>1280</v>
      </c>
      <c r="AI745" t="s">
        <v>1279</v>
      </c>
      <c r="AK745" t="s">
        <v>1278</v>
      </c>
      <c r="AL745">
        <v>20</v>
      </c>
      <c r="AM745" s="5">
        <f t="shared" si="91"/>
        <v>0.83333333333333337</v>
      </c>
      <c r="AN745" s="4">
        <f t="shared" si="92"/>
        <v>1.2621481761958854E-3</v>
      </c>
      <c r="AO745" s="3"/>
      <c r="AP745">
        <v>0</v>
      </c>
      <c r="AR745" t="s">
        <v>1</v>
      </c>
      <c r="AT745" s="2">
        <v>1.3140000000000001</v>
      </c>
      <c r="AU745" s="1">
        <f t="shared" si="93"/>
        <v>0.73859320319410116</v>
      </c>
      <c r="AV745" s="1">
        <f t="shared" si="94"/>
        <v>0.56362795017281186</v>
      </c>
      <c r="AW745" s="1">
        <f t="shared" si="95"/>
        <v>0.38866269715152246</v>
      </c>
    </row>
    <row r="746" spans="1:49" x14ac:dyDescent="0.2">
      <c r="A746">
        <v>744</v>
      </c>
      <c r="B746" t="s">
        <v>1277</v>
      </c>
      <c r="C746" t="s">
        <v>1276</v>
      </c>
      <c r="F746" t="s">
        <v>1275</v>
      </c>
      <c r="G746" t="s">
        <v>5</v>
      </c>
      <c r="H746" t="s">
        <v>4</v>
      </c>
      <c r="I746" t="s">
        <v>715</v>
      </c>
      <c r="J746">
        <v>60012370</v>
      </c>
      <c r="K746" t="s">
        <v>172</v>
      </c>
      <c r="L746" t="s">
        <v>171</v>
      </c>
      <c r="M746" t="s">
        <v>128</v>
      </c>
      <c r="N746">
        <v>3</v>
      </c>
      <c r="O746" t="s">
        <v>1274</v>
      </c>
      <c r="P746" t="s">
        <v>1273</v>
      </c>
      <c r="Q746" t="s">
        <v>170</v>
      </c>
      <c r="R746" s="7">
        <v>35985</v>
      </c>
      <c r="S746" s="8">
        <f t="shared" si="88"/>
        <v>1998</v>
      </c>
      <c r="T746" s="8">
        <v>1998</v>
      </c>
      <c r="U746" s="8">
        <f t="shared" si="89"/>
        <v>24</v>
      </c>
      <c r="V746" s="7">
        <v>35985</v>
      </c>
      <c r="W746" t="s">
        <v>612</v>
      </c>
      <c r="X746" s="2">
        <v>0.375</v>
      </c>
      <c r="Y746" s="6">
        <f t="shared" si="90"/>
        <v>1.0010410827260351E-2</v>
      </c>
      <c r="AA746">
        <v>135194</v>
      </c>
      <c r="AB746">
        <v>24918</v>
      </c>
      <c r="AD746" t="s">
        <v>2</v>
      </c>
      <c r="AE746">
        <v>34</v>
      </c>
      <c r="AF746">
        <v>14</v>
      </c>
      <c r="AH746" t="s">
        <v>1272</v>
      </c>
      <c r="AI746" t="s">
        <v>1271</v>
      </c>
      <c r="AK746" t="s">
        <v>1270</v>
      </c>
      <c r="AL746">
        <v>4</v>
      </c>
      <c r="AM746" s="5">
        <f t="shared" si="91"/>
        <v>0.16666666666666666</v>
      </c>
      <c r="AN746" s="4">
        <f t="shared" si="92"/>
        <v>2.5242963523917705E-4</v>
      </c>
      <c r="AO746" s="3"/>
      <c r="AP746">
        <v>0</v>
      </c>
      <c r="AR746" t="s">
        <v>1</v>
      </c>
      <c r="AT746" s="2">
        <v>1.3140000000000001</v>
      </c>
      <c r="AU746" s="1">
        <f t="shared" si="93"/>
        <v>0.70830164696539988</v>
      </c>
      <c r="AV746" s="1">
        <f t="shared" si="94"/>
        <v>0.51314202312497648</v>
      </c>
      <c r="AW746" s="1">
        <f t="shared" si="95"/>
        <v>0.31798239928455291</v>
      </c>
    </row>
    <row r="747" spans="1:49" x14ac:dyDescent="0.2">
      <c r="A747">
        <v>745</v>
      </c>
      <c r="B747" t="s">
        <v>1269</v>
      </c>
      <c r="C747" t="s">
        <v>1268</v>
      </c>
      <c r="F747" t="s">
        <v>1267</v>
      </c>
      <c r="G747" t="s">
        <v>5</v>
      </c>
      <c r="H747" t="s">
        <v>4</v>
      </c>
      <c r="I747" t="s">
        <v>352</v>
      </c>
      <c r="J747">
        <v>60011357</v>
      </c>
      <c r="K747" t="s">
        <v>130</v>
      </c>
      <c r="L747" t="s">
        <v>129</v>
      </c>
      <c r="M747" t="s">
        <v>128</v>
      </c>
      <c r="N747">
        <v>2</v>
      </c>
      <c r="O747" t="s">
        <v>1266</v>
      </c>
      <c r="P747" t="s">
        <v>1265</v>
      </c>
      <c r="Q747" t="s">
        <v>127</v>
      </c>
      <c r="R747" s="7">
        <v>35985</v>
      </c>
      <c r="S747" s="8">
        <f t="shared" si="88"/>
        <v>1998</v>
      </c>
      <c r="T747" s="8">
        <v>1998</v>
      </c>
      <c r="U747" s="8">
        <f t="shared" si="89"/>
        <v>24</v>
      </c>
      <c r="V747" s="7">
        <v>35985</v>
      </c>
      <c r="W747" t="s">
        <v>612</v>
      </c>
      <c r="X747" s="2">
        <v>0.375</v>
      </c>
      <c r="Y747" s="6">
        <f t="shared" si="90"/>
        <v>1.0010410827260351E-2</v>
      </c>
      <c r="AA747">
        <v>135194</v>
      </c>
      <c r="AB747">
        <v>24918</v>
      </c>
      <c r="AD747" t="s">
        <v>2</v>
      </c>
      <c r="AE747">
        <v>34</v>
      </c>
      <c r="AF747">
        <v>14</v>
      </c>
      <c r="AH747" t="s">
        <v>1264</v>
      </c>
      <c r="AI747" t="s">
        <v>1263</v>
      </c>
      <c r="AK747" t="s">
        <v>1262</v>
      </c>
      <c r="AL747">
        <v>42</v>
      </c>
      <c r="AM747" s="5">
        <f t="shared" si="91"/>
        <v>1.75</v>
      </c>
      <c r="AN747" s="4">
        <f t="shared" si="92"/>
        <v>2.6505111700113595E-3</v>
      </c>
      <c r="AO747" s="3"/>
      <c r="AP747">
        <v>0</v>
      </c>
      <c r="AR747" t="s">
        <v>1</v>
      </c>
      <c r="AT747" s="2">
        <v>1.3140000000000001</v>
      </c>
      <c r="AU747" s="1">
        <f t="shared" si="93"/>
        <v>0.78024409300856534</v>
      </c>
      <c r="AV747" s="1">
        <f t="shared" si="94"/>
        <v>0.63304609986358562</v>
      </c>
      <c r="AW747" s="1">
        <f t="shared" si="95"/>
        <v>0.48584810671860568</v>
      </c>
    </row>
    <row r="748" spans="1:49" x14ac:dyDescent="0.2">
      <c r="A748">
        <v>746</v>
      </c>
      <c r="B748" t="s">
        <v>1261</v>
      </c>
      <c r="C748" t="s">
        <v>1260</v>
      </c>
      <c r="F748" t="s">
        <v>1259</v>
      </c>
      <c r="G748" t="s">
        <v>5</v>
      </c>
      <c r="H748" t="s">
        <v>4</v>
      </c>
      <c r="I748" t="s">
        <v>1258</v>
      </c>
      <c r="J748" t="s">
        <v>1257</v>
      </c>
      <c r="K748" t="s">
        <v>1256</v>
      </c>
      <c r="L748" t="s">
        <v>1255</v>
      </c>
      <c r="M748" t="s">
        <v>1254</v>
      </c>
      <c r="N748">
        <v>3</v>
      </c>
      <c r="O748" t="s">
        <v>1253</v>
      </c>
      <c r="P748" t="s">
        <v>1252</v>
      </c>
      <c r="Q748" t="s">
        <v>1251</v>
      </c>
      <c r="R748" s="7">
        <v>35985</v>
      </c>
      <c r="S748" s="8">
        <f t="shared" si="88"/>
        <v>1998</v>
      </c>
      <c r="T748" s="8">
        <v>1998</v>
      </c>
      <c r="U748" s="8">
        <f t="shared" si="89"/>
        <v>24</v>
      </c>
      <c r="V748" s="7">
        <v>35985</v>
      </c>
      <c r="W748" t="s">
        <v>612</v>
      </c>
      <c r="X748" s="2">
        <v>0.375</v>
      </c>
      <c r="Y748" s="6">
        <f t="shared" si="90"/>
        <v>1.0010410827260351E-2</v>
      </c>
      <c r="AA748">
        <v>135194</v>
      </c>
      <c r="AB748">
        <v>24918</v>
      </c>
      <c r="AD748" t="s">
        <v>2</v>
      </c>
      <c r="AE748">
        <v>34</v>
      </c>
      <c r="AF748">
        <v>14</v>
      </c>
      <c r="AH748" t="s">
        <v>1250</v>
      </c>
      <c r="AI748" t="s">
        <v>1249</v>
      </c>
      <c r="AK748" t="s">
        <v>1248</v>
      </c>
      <c r="AL748">
        <v>4</v>
      </c>
      <c r="AM748" s="5">
        <f t="shared" si="91"/>
        <v>0.16666666666666666</v>
      </c>
      <c r="AN748" s="4">
        <f t="shared" si="92"/>
        <v>2.5242963523917705E-4</v>
      </c>
      <c r="AO748" s="3"/>
      <c r="AP748">
        <v>0</v>
      </c>
      <c r="AR748" t="s">
        <v>1</v>
      </c>
      <c r="AT748" s="2">
        <v>1.3140000000000001</v>
      </c>
      <c r="AU748" s="1">
        <f t="shared" si="93"/>
        <v>0.70830164696539988</v>
      </c>
      <c r="AV748" s="1">
        <f t="shared" si="94"/>
        <v>0.51314202312497648</v>
      </c>
      <c r="AW748" s="1">
        <f t="shared" si="95"/>
        <v>0.31798239928455291</v>
      </c>
    </row>
    <row r="749" spans="1:49" x14ac:dyDescent="0.2">
      <c r="A749">
        <v>747</v>
      </c>
      <c r="B749" t="s">
        <v>1247</v>
      </c>
      <c r="C749" t="s">
        <v>1246</v>
      </c>
      <c r="F749" t="s">
        <v>1245</v>
      </c>
      <c r="G749" t="s">
        <v>5</v>
      </c>
      <c r="H749" t="s">
        <v>4</v>
      </c>
      <c r="I749" t="s">
        <v>739</v>
      </c>
      <c r="J749">
        <v>60026113</v>
      </c>
      <c r="K749" t="s">
        <v>706</v>
      </c>
      <c r="L749" t="s">
        <v>705</v>
      </c>
      <c r="M749" t="s">
        <v>36</v>
      </c>
      <c r="N749">
        <v>2</v>
      </c>
      <c r="O749" t="s">
        <v>1244</v>
      </c>
      <c r="P749" t="s">
        <v>1243</v>
      </c>
      <c r="Q749" t="s">
        <v>1242</v>
      </c>
      <c r="R749" s="7">
        <v>35985</v>
      </c>
      <c r="S749" s="8">
        <f t="shared" si="88"/>
        <v>1998</v>
      </c>
      <c r="T749" s="8">
        <v>1998</v>
      </c>
      <c r="U749" s="8">
        <f t="shared" si="89"/>
        <v>24</v>
      </c>
      <c r="V749" s="7">
        <v>35985</v>
      </c>
      <c r="W749" t="s">
        <v>612</v>
      </c>
      <c r="X749" s="2">
        <v>0.375</v>
      </c>
      <c r="Y749" s="6">
        <f t="shared" si="90"/>
        <v>1.0010410827260351E-2</v>
      </c>
      <c r="AA749">
        <v>135194</v>
      </c>
      <c r="AB749">
        <v>24918</v>
      </c>
      <c r="AD749" t="s">
        <v>2</v>
      </c>
      <c r="AE749">
        <v>34</v>
      </c>
      <c r="AF749">
        <v>14</v>
      </c>
      <c r="AH749" t="s">
        <v>1241</v>
      </c>
      <c r="AI749" t="s">
        <v>1240</v>
      </c>
      <c r="AK749" t="s">
        <v>1239</v>
      </c>
      <c r="AL749">
        <v>0</v>
      </c>
      <c r="AM749" s="5">
        <f t="shared" si="91"/>
        <v>0</v>
      </c>
      <c r="AN749" s="4">
        <f t="shared" si="92"/>
        <v>0</v>
      </c>
      <c r="AO749" s="3"/>
      <c r="AP749">
        <v>0</v>
      </c>
      <c r="AR749" t="s">
        <v>1</v>
      </c>
      <c r="AT749" s="2">
        <v>1.3140000000000001</v>
      </c>
      <c r="AU749" s="1">
        <f t="shared" si="93"/>
        <v>0.70072875790822453</v>
      </c>
      <c r="AV749" s="1">
        <f t="shared" si="94"/>
        <v>0.5005205413630176</v>
      </c>
      <c r="AW749" s="1">
        <f t="shared" si="95"/>
        <v>0.30031232481781051</v>
      </c>
    </row>
    <row r="750" spans="1:49" x14ac:dyDescent="0.2">
      <c r="A750">
        <v>748</v>
      </c>
      <c r="B750" t="s">
        <v>1238</v>
      </c>
      <c r="C750" t="s">
        <v>1237</v>
      </c>
      <c r="F750" t="s">
        <v>1236</v>
      </c>
      <c r="G750" t="s">
        <v>5</v>
      </c>
      <c r="H750" t="s">
        <v>4</v>
      </c>
      <c r="I750" t="s">
        <v>1235</v>
      </c>
      <c r="J750">
        <v>60019702</v>
      </c>
      <c r="K750" t="s">
        <v>347</v>
      </c>
      <c r="L750" t="s">
        <v>346</v>
      </c>
      <c r="M750" t="s">
        <v>13</v>
      </c>
      <c r="N750">
        <v>3</v>
      </c>
      <c r="O750" t="s">
        <v>1234</v>
      </c>
      <c r="P750" t="s">
        <v>1233</v>
      </c>
      <c r="Q750" t="s">
        <v>345</v>
      </c>
      <c r="R750" s="7">
        <v>35985</v>
      </c>
      <c r="S750" s="8">
        <f t="shared" si="88"/>
        <v>1998</v>
      </c>
      <c r="T750" s="8">
        <v>1998</v>
      </c>
      <c r="U750" s="8">
        <f t="shared" si="89"/>
        <v>24</v>
      </c>
      <c r="V750" s="7">
        <v>35985</v>
      </c>
      <c r="W750" t="s">
        <v>612</v>
      </c>
      <c r="X750" s="2">
        <v>0.375</v>
      </c>
      <c r="Y750" s="6">
        <f t="shared" si="90"/>
        <v>1.0010410827260351E-2</v>
      </c>
      <c r="AA750">
        <v>135194</v>
      </c>
      <c r="AB750">
        <v>24918</v>
      </c>
      <c r="AD750" t="s">
        <v>2</v>
      </c>
      <c r="AE750">
        <v>34</v>
      </c>
      <c r="AF750">
        <v>14</v>
      </c>
      <c r="AH750" t="s">
        <v>1232</v>
      </c>
      <c r="AI750" t="s">
        <v>1231</v>
      </c>
      <c r="AK750" t="s">
        <v>1230</v>
      </c>
      <c r="AL750">
        <v>4</v>
      </c>
      <c r="AM750" s="5">
        <f t="shared" si="91"/>
        <v>0.16666666666666666</v>
      </c>
      <c r="AN750" s="4">
        <f t="shared" si="92"/>
        <v>2.5242963523917705E-4</v>
      </c>
      <c r="AO750" s="3"/>
      <c r="AP750">
        <v>0</v>
      </c>
      <c r="AR750" t="s">
        <v>1</v>
      </c>
      <c r="AT750" s="2">
        <v>1.3140000000000001</v>
      </c>
      <c r="AU750" s="1">
        <f t="shared" si="93"/>
        <v>0.70830164696539988</v>
      </c>
      <c r="AV750" s="1">
        <f t="shared" si="94"/>
        <v>0.51314202312497648</v>
      </c>
      <c r="AW750" s="1">
        <f t="shared" si="95"/>
        <v>0.31798239928455291</v>
      </c>
    </row>
    <row r="751" spans="1:49" x14ac:dyDescent="0.2">
      <c r="A751">
        <v>749</v>
      </c>
      <c r="B751" t="s">
        <v>1229</v>
      </c>
      <c r="C751" t="s">
        <v>1228</v>
      </c>
      <c r="F751" t="s">
        <v>1227</v>
      </c>
      <c r="G751" t="s">
        <v>5</v>
      </c>
      <c r="H751" t="s">
        <v>4</v>
      </c>
      <c r="I751" t="s">
        <v>1226</v>
      </c>
      <c r="J751">
        <v>60022659</v>
      </c>
      <c r="K751" t="s">
        <v>453</v>
      </c>
      <c r="L751" t="s">
        <v>1225</v>
      </c>
      <c r="M751" t="s">
        <v>9</v>
      </c>
      <c r="N751">
        <v>3</v>
      </c>
      <c r="O751" t="s">
        <v>1224</v>
      </c>
      <c r="P751" t="s">
        <v>1223</v>
      </c>
      <c r="Q751" t="s">
        <v>1222</v>
      </c>
      <c r="R751" s="7">
        <v>35985</v>
      </c>
      <c r="S751" s="8">
        <f t="shared" si="88"/>
        <v>1998</v>
      </c>
      <c r="T751" s="8">
        <v>1998</v>
      </c>
      <c r="U751" s="8">
        <f t="shared" si="89"/>
        <v>24</v>
      </c>
      <c r="V751" s="7">
        <v>35985</v>
      </c>
      <c r="W751" t="s">
        <v>744</v>
      </c>
      <c r="X751" s="2">
        <v>0.75600000000000001</v>
      </c>
      <c r="Y751" s="6">
        <f t="shared" si="90"/>
        <v>2.0180988227756869E-2</v>
      </c>
      <c r="AA751">
        <v>10895639</v>
      </c>
      <c r="AB751">
        <v>26969</v>
      </c>
      <c r="AD751" t="s">
        <v>2</v>
      </c>
      <c r="AE751">
        <v>102</v>
      </c>
      <c r="AF751">
        <v>28</v>
      </c>
      <c r="AH751" t="s">
        <v>1221</v>
      </c>
      <c r="AI751" t="s">
        <v>1220</v>
      </c>
      <c r="AK751" t="s">
        <v>1219</v>
      </c>
      <c r="AL751">
        <v>23</v>
      </c>
      <c r="AM751" s="5">
        <f t="shared" si="91"/>
        <v>0.95833333333333337</v>
      </c>
      <c r="AN751" s="4">
        <f t="shared" si="92"/>
        <v>1.4514704026252683E-3</v>
      </c>
      <c r="AO751" s="3"/>
      <c r="AP751">
        <v>0</v>
      </c>
      <c r="AR751" t="s">
        <v>1</v>
      </c>
      <c r="AT751" s="2">
        <v>2.7810000000000001</v>
      </c>
      <c r="AU751" s="1">
        <f t="shared" si="93"/>
        <v>1.4562132880217389</v>
      </c>
      <c r="AV751" s="1">
        <f t="shared" si="94"/>
        <v>1.081622931519107</v>
      </c>
      <c r="AW751" s="1">
        <f t="shared" si="95"/>
        <v>0.70703257501647487</v>
      </c>
    </row>
    <row r="752" spans="1:49" x14ac:dyDescent="0.2">
      <c r="A752">
        <v>750</v>
      </c>
      <c r="B752" t="s">
        <v>1218</v>
      </c>
      <c r="C752" t="s">
        <v>1217</v>
      </c>
      <c r="D752" t="s">
        <v>1216</v>
      </c>
      <c r="E752">
        <v>9688564</v>
      </c>
      <c r="F752" t="s">
        <v>1215</v>
      </c>
      <c r="G752" t="s">
        <v>5</v>
      </c>
      <c r="H752" t="s">
        <v>4</v>
      </c>
      <c r="I752" t="s">
        <v>1214</v>
      </c>
      <c r="J752" t="s">
        <v>1213</v>
      </c>
      <c r="K752" t="s">
        <v>1212</v>
      </c>
      <c r="L752" t="s">
        <v>1211</v>
      </c>
      <c r="M752" t="s">
        <v>1210</v>
      </c>
      <c r="N752">
        <v>7</v>
      </c>
      <c r="O752" t="s">
        <v>1209</v>
      </c>
      <c r="P752" t="s">
        <v>1208</v>
      </c>
      <c r="Q752" t="s">
        <v>1207</v>
      </c>
      <c r="R752" s="7">
        <v>35979</v>
      </c>
      <c r="S752" s="8">
        <f t="shared" si="88"/>
        <v>1998</v>
      </c>
      <c r="T752" s="8">
        <v>1998</v>
      </c>
      <c r="U752" s="8">
        <f t="shared" si="89"/>
        <v>24</v>
      </c>
      <c r="V752" s="7">
        <v>35979</v>
      </c>
      <c r="W752" t="s">
        <v>655</v>
      </c>
      <c r="X752" s="2">
        <v>1.593</v>
      </c>
      <c r="Y752" s="6">
        <f t="shared" si="90"/>
        <v>4.2524225194201973E-2</v>
      </c>
      <c r="AA752">
        <v>145793</v>
      </c>
      <c r="AB752">
        <v>17481</v>
      </c>
      <c r="AD752" t="s">
        <v>2</v>
      </c>
      <c r="AE752">
        <v>430</v>
      </c>
      <c r="AF752">
        <v>3</v>
      </c>
      <c r="AH752" t="s">
        <v>1206</v>
      </c>
      <c r="AI752" t="s">
        <v>1205</v>
      </c>
      <c r="AJ752" t="s">
        <v>1204</v>
      </c>
      <c r="AK752" t="s">
        <v>1203</v>
      </c>
      <c r="AL752">
        <v>32</v>
      </c>
      <c r="AM752" s="5">
        <f t="shared" si="91"/>
        <v>1.3333333333333333</v>
      </c>
      <c r="AN752" s="4">
        <f t="shared" si="92"/>
        <v>2.0194370819134164E-3</v>
      </c>
      <c r="AO752" s="3"/>
      <c r="AP752">
        <v>1</v>
      </c>
      <c r="AQ752" t="s">
        <v>1202</v>
      </c>
      <c r="AR752" t="s">
        <v>1201</v>
      </c>
      <c r="AS752" t="s">
        <v>1200</v>
      </c>
      <c r="AT752" s="2">
        <v>4.1239999999999997</v>
      </c>
      <c r="AU752" s="1">
        <f t="shared" si="93"/>
        <v>3.0372788760515403</v>
      </c>
      <c r="AV752" s="1">
        <f t="shared" si="94"/>
        <v>2.2271831138057694</v>
      </c>
      <c r="AW752" s="1">
        <f t="shared" si="95"/>
        <v>1.4170873515599984</v>
      </c>
    </row>
    <row r="753" spans="1:49" x14ac:dyDescent="0.2">
      <c r="A753">
        <v>751</v>
      </c>
      <c r="B753" t="s">
        <v>1199</v>
      </c>
      <c r="C753" t="s">
        <v>1198</v>
      </c>
      <c r="E753">
        <v>9642283</v>
      </c>
      <c r="F753" t="s">
        <v>1197</v>
      </c>
      <c r="G753" t="s">
        <v>5</v>
      </c>
      <c r="H753" t="s">
        <v>4</v>
      </c>
      <c r="I753" t="s">
        <v>1196</v>
      </c>
      <c r="J753">
        <v>60032256</v>
      </c>
      <c r="K753" t="s">
        <v>1195</v>
      </c>
      <c r="L753" t="s">
        <v>1194</v>
      </c>
      <c r="M753" t="s">
        <v>195</v>
      </c>
      <c r="N753">
        <v>3</v>
      </c>
      <c r="O753" t="s">
        <v>1193</v>
      </c>
      <c r="P753" t="s">
        <v>1192</v>
      </c>
      <c r="Q753" t="s">
        <v>1191</v>
      </c>
      <c r="R753" s="7">
        <v>35979</v>
      </c>
      <c r="S753" s="8">
        <f t="shared" si="88"/>
        <v>1998</v>
      </c>
      <c r="T753" s="8">
        <v>1998</v>
      </c>
      <c r="U753" s="8">
        <f t="shared" si="89"/>
        <v>24</v>
      </c>
      <c r="V753" s="7">
        <v>35979</v>
      </c>
      <c r="W753" t="s">
        <v>1190</v>
      </c>
      <c r="X753" s="2">
        <v>2.3610000000000002</v>
      </c>
      <c r="Y753" s="6">
        <f t="shared" si="90"/>
        <v>6.3025546568431179E-2</v>
      </c>
      <c r="AA753">
        <v>219258</v>
      </c>
      <c r="AB753">
        <v>17592</v>
      </c>
      <c r="AD753" t="s">
        <v>2</v>
      </c>
      <c r="AE753">
        <v>273</v>
      </c>
      <c r="AF753">
        <v>27</v>
      </c>
      <c r="AH753" t="s">
        <v>1189</v>
      </c>
      <c r="AI753" t="s">
        <v>1188</v>
      </c>
      <c r="AK753" t="s">
        <v>1187</v>
      </c>
      <c r="AL753">
        <v>56</v>
      </c>
      <c r="AM753" s="5">
        <f t="shared" si="91"/>
        <v>2.3333333333333335</v>
      </c>
      <c r="AN753" s="4">
        <f t="shared" si="92"/>
        <v>3.5340148933484792E-3</v>
      </c>
      <c r="AO753" s="3"/>
      <c r="AP753">
        <v>1</v>
      </c>
      <c r="AR753" t="s">
        <v>1</v>
      </c>
      <c r="AT753" s="2">
        <v>5.157</v>
      </c>
      <c r="AU753" s="1">
        <f t="shared" si="93"/>
        <v>4.5178087065906372</v>
      </c>
      <c r="AV753" s="1">
        <f t="shared" si="94"/>
        <v>3.3279780730889827</v>
      </c>
      <c r="AW753" s="1">
        <f t="shared" si="95"/>
        <v>2.1381474395873292</v>
      </c>
    </row>
    <row r="754" spans="1:49" x14ac:dyDescent="0.2">
      <c r="A754">
        <v>752</v>
      </c>
      <c r="B754" t="s">
        <v>1186</v>
      </c>
      <c r="C754" t="s">
        <v>1185</v>
      </c>
      <c r="F754" t="s">
        <v>1184</v>
      </c>
      <c r="G754" t="s">
        <v>5</v>
      </c>
      <c r="H754" t="s">
        <v>4</v>
      </c>
      <c r="I754" t="s">
        <v>1183</v>
      </c>
      <c r="J754">
        <v>60009114</v>
      </c>
      <c r="K754" t="s">
        <v>1182</v>
      </c>
      <c r="L754" t="s">
        <v>225</v>
      </c>
      <c r="M754" t="s">
        <v>106</v>
      </c>
      <c r="N754">
        <v>7</v>
      </c>
      <c r="O754" t="s">
        <v>1181</v>
      </c>
      <c r="P754" t="s">
        <v>1180</v>
      </c>
      <c r="Q754" t="s">
        <v>1179</v>
      </c>
      <c r="R754" s="7">
        <v>35977</v>
      </c>
      <c r="S754" s="8">
        <f t="shared" si="88"/>
        <v>1998</v>
      </c>
      <c r="T754" s="8">
        <v>1998</v>
      </c>
      <c r="U754" s="8">
        <f t="shared" si="89"/>
        <v>24</v>
      </c>
      <c r="V754" s="7">
        <v>35977</v>
      </c>
      <c r="W754" t="s">
        <v>567</v>
      </c>
      <c r="X754" s="2">
        <v>0.318</v>
      </c>
      <c r="Y754" s="6">
        <f t="shared" si="90"/>
        <v>8.4888283815167786E-3</v>
      </c>
      <c r="AA754">
        <v>338443</v>
      </c>
      <c r="AB754">
        <v>27160</v>
      </c>
      <c r="AC754">
        <v>15739120</v>
      </c>
      <c r="AD754" t="s">
        <v>2</v>
      </c>
      <c r="AE754">
        <v>41</v>
      </c>
      <c r="AF754">
        <v>7</v>
      </c>
      <c r="AH754" t="s">
        <v>1178</v>
      </c>
      <c r="AI754" t="s">
        <v>1177</v>
      </c>
      <c r="AK754" t="s">
        <v>1176</v>
      </c>
      <c r="AL754">
        <v>0</v>
      </c>
      <c r="AM754" s="5">
        <f t="shared" si="91"/>
        <v>0</v>
      </c>
      <c r="AN754" s="4">
        <f t="shared" si="92"/>
        <v>0</v>
      </c>
      <c r="AO754" s="3"/>
      <c r="AP754">
        <v>0</v>
      </c>
      <c r="AQ754" t="s">
        <v>566</v>
      </c>
      <c r="AR754" t="s">
        <v>1175</v>
      </c>
      <c r="AS754" t="s">
        <v>511</v>
      </c>
      <c r="AT754" s="2">
        <v>0.77</v>
      </c>
      <c r="AU754" s="1">
        <f t="shared" si="93"/>
        <v>0.59421798670617454</v>
      </c>
      <c r="AV754" s="1">
        <f t="shared" si="94"/>
        <v>0.42444141907583893</v>
      </c>
      <c r="AW754" s="1">
        <f t="shared" si="95"/>
        <v>0.25466485144550338</v>
      </c>
    </row>
    <row r="755" spans="1:49" x14ac:dyDescent="0.2">
      <c r="A755">
        <v>753</v>
      </c>
      <c r="B755" t="s">
        <v>1174</v>
      </c>
      <c r="F755" t="s">
        <v>1173</v>
      </c>
      <c r="G755" t="s">
        <v>5</v>
      </c>
      <c r="H755" t="s">
        <v>4</v>
      </c>
      <c r="I755" t="s">
        <v>1172</v>
      </c>
      <c r="J755">
        <v>60069618</v>
      </c>
      <c r="K755" t="s">
        <v>1171</v>
      </c>
      <c r="L755" t="s">
        <v>507</v>
      </c>
      <c r="M755" t="s">
        <v>106</v>
      </c>
      <c r="N755">
        <v>1</v>
      </c>
      <c r="O755" t="s">
        <v>1170</v>
      </c>
      <c r="P755">
        <v>6701852305</v>
      </c>
      <c r="Q755">
        <v>60069618</v>
      </c>
      <c r="R755" s="7">
        <v>35977</v>
      </c>
      <c r="S755" s="8">
        <f t="shared" si="88"/>
        <v>1998</v>
      </c>
      <c r="T755" s="8">
        <v>1998</v>
      </c>
      <c r="U755" s="8">
        <f t="shared" si="89"/>
        <v>24</v>
      </c>
      <c r="V755" s="7">
        <v>35977</v>
      </c>
      <c r="W755" t="s">
        <v>1169</v>
      </c>
      <c r="X755" s="2">
        <v>0.255</v>
      </c>
      <c r="Y755" s="6">
        <f t="shared" si="90"/>
        <v>6.8070793625370392E-3</v>
      </c>
      <c r="AA755">
        <v>10630740</v>
      </c>
      <c r="AB755">
        <v>13617</v>
      </c>
      <c r="AD755" t="s">
        <v>2</v>
      </c>
      <c r="AE755">
        <v>24</v>
      </c>
      <c r="AF755">
        <v>4</v>
      </c>
      <c r="AH755" t="s">
        <v>1168</v>
      </c>
      <c r="AI755" t="s">
        <v>1167</v>
      </c>
      <c r="AK755" t="s">
        <v>1166</v>
      </c>
      <c r="AL755">
        <v>0</v>
      </c>
      <c r="AM755" s="5">
        <f t="shared" si="91"/>
        <v>0</v>
      </c>
      <c r="AN755" s="4">
        <f t="shared" si="92"/>
        <v>0</v>
      </c>
      <c r="AO755" s="3"/>
      <c r="AP755">
        <v>0</v>
      </c>
      <c r="AR755" t="s">
        <v>1</v>
      </c>
      <c r="AT755" s="2">
        <v>0.621</v>
      </c>
      <c r="AU755" s="1">
        <f t="shared" si="93"/>
        <v>0.47649555537759275</v>
      </c>
      <c r="AV755" s="1">
        <f t="shared" si="94"/>
        <v>0.34035396812685198</v>
      </c>
      <c r="AW755" s="1">
        <f t="shared" si="95"/>
        <v>0.20421238087611118</v>
      </c>
    </row>
    <row r="756" spans="1:49" x14ac:dyDescent="0.2">
      <c r="A756">
        <v>754</v>
      </c>
      <c r="B756" t="s">
        <v>1165</v>
      </c>
      <c r="F756" t="s">
        <v>1164</v>
      </c>
      <c r="G756" t="s">
        <v>5</v>
      </c>
      <c r="H756" t="s">
        <v>4</v>
      </c>
      <c r="I756" t="s">
        <v>1163</v>
      </c>
      <c r="J756">
        <v>60075230</v>
      </c>
      <c r="K756" t="s">
        <v>1162</v>
      </c>
      <c r="L756" t="s">
        <v>225</v>
      </c>
      <c r="M756" t="s">
        <v>106</v>
      </c>
      <c r="N756">
        <v>1</v>
      </c>
      <c r="O756" t="s">
        <v>1161</v>
      </c>
      <c r="P756">
        <v>6602081359</v>
      </c>
      <c r="Q756">
        <v>60075230</v>
      </c>
      <c r="R756" s="7">
        <v>35977</v>
      </c>
      <c r="S756" s="8">
        <f t="shared" si="88"/>
        <v>1998</v>
      </c>
      <c r="T756" s="8">
        <v>1998</v>
      </c>
      <c r="U756" s="8">
        <f t="shared" si="89"/>
        <v>24</v>
      </c>
      <c r="V756" s="7">
        <v>35977</v>
      </c>
      <c r="W756" t="s">
        <v>506</v>
      </c>
      <c r="X756" s="2">
        <v>0.32500000000000001</v>
      </c>
      <c r="Y756" s="6">
        <f t="shared" si="90"/>
        <v>8.6756893836256385E-3</v>
      </c>
      <c r="AA756">
        <v>10637710</v>
      </c>
      <c r="AB756">
        <v>12922</v>
      </c>
      <c r="AD756" t="s">
        <v>2</v>
      </c>
      <c r="AE756">
        <v>44</v>
      </c>
      <c r="AF756">
        <v>4</v>
      </c>
      <c r="AH756" t="s">
        <v>1160</v>
      </c>
      <c r="AI756" t="s">
        <v>1159</v>
      </c>
      <c r="AK756" t="s">
        <v>1158</v>
      </c>
      <c r="AL756">
        <v>2</v>
      </c>
      <c r="AM756" s="5">
        <f t="shared" si="91"/>
        <v>8.3333333333333329E-2</v>
      </c>
      <c r="AN756" s="4">
        <f t="shared" si="92"/>
        <v>1.2621481761958852E-4</v>
      </c>
      <c r="AO756" s="3"/>
      <c r="AP756">
        <v>0</v>
      </c>
      <c r="AR756" t="s">
        <v>1</v>
      </c>
      <c r="AT756" s="2">
        <v>0.85599999999999998</v>
      </c>
      <c r="AU756" s="1">
        <f t="shared" si="93"/>
        <v>0.61108470138238236</v>
      </c>
      <c r="AV756" s="1">
        <f t="shared" si="94"/>
        <v>0.44009521006226132</v>
      </c>
      <c r="AW756" s="1">
        <f t="shared" si="95"/>
        <v>0.26910571874214034</v>
      </c>
    </row>
    <row r="757" spans="1:49" x14ac:dyDescent="0.2">
      <c r="A757">
        <v>755</v>
      </c>
      <c r="B757" t="s">
        <v>1157</v>
      </c>
      <c r="F757" t="s">
        <v>1156</v>
      </c>
      <c r="G757" t="s">
        <v>5</v>
      </c>
      <c r="H757" t="s">
        <v>4</v>
      </c>
      <c r="I757" t="s">
        <v>1155</v>
      </c>
      <c r="J757" t="s">
        <v>1154</v>
      </c>
      <c r="K757" t="s">
        <v>1153</v>
      </c>
      <c r="L757" t="s">
        <v>1152</v>
      </c>
      <c r="M757" t="s">
        <v>71</v>
      </c>
      <c r="N757">
        <v>3</v>
      </c>
      <c r="O757" t="s">
        <v>1151</v>
      </c>
      <c r="P757" t="s">
        <v>1150</v>
      </c>
      <c r="Q757" t="s">
        <v>1149</v>
      </c>
      <c r="R757" s="7">
        <v>35977</v>
      </c>
      <c r="S757" s="8">
        <f t="shared" si="88"/>
        <v>1998</v>
      </c>
      <c r="T757" s="8">
        <v>1998</v>
      </c>
      <c r="U757" s="8">
        <f t="shared" si="89"/>
        <v>24</v>
      </c>
      <c r="V757" s="7">
        <v>35977</v>
      </c>
      <c r="W757" t="s">
        <v>1148</v>
      </c>
      <c r="X757" s="2">
        <v>0.36699999999999999</v>
      </c>
      <c r="Y757" s="6">
        <f t="shared" si="90"/>
        <v>9.7968553962787964E-3</v>
      </c>
      <c r="AA757">
        <v>10283358</v>
      </c>
      <c r="AB757">
        <v>27502</v>
      </c>
      <c r="AD757" t="s">
        <v>2</v>
      </c>
      <c r="AE757">
        <v>43</v>
      </c>
      <c r="AF757">
        <v>7</v>
      </c>
      <c r="AH757" t="s">
        <v>1147</v>
      </c>
      <c r="AL757">
        <v>0</v>
      </c>
      <c r="AM757" s="5">
        <f t="shared" si="91"/>
        <v>0</v>
      </c>
      <c r="AN757" s="4">
        <f t="shared" si="92"/>
        <v>0</v>
      </c>
      <c r="AO757" s="3"/>
      <c r="AP757">
        <v>0</v>
      </c>
      <c r="AR757" t="s">
        <v>1</v>
      </c>
      <c r="AT757" s="2">
        <v>0.67900000000000005</v>
      </c>
      <c r="AU757" s="1">
        <f t="shared" si="93"/>
        <v>0.68577987773951565</v>
      </c>
      <c r="AV757" s="1">
        <f t="shared" si="94"/>
        <v>0.48984276981393982</v>
      </c>
      <c r="AW757" s="1">
        <f t="shared" si="95"/>
        <v>0.29390566188836392</v>
      </c>
    </row>
    <row r="758" spans="1:49" x14ac:dyDescent="0.2">
      <c r="A758">
        <v>756</v>
      </c>
      <c r="B758" t="s">
        <v>1146</v>
      </c>
      <c r="F758" t="s">
        <v>1145</v>
      </c>
      <c r="G758" t="s">
        <v>5</v>
      </c>
      <c r="H758" t="s">
        <v>4</v>
      </c>
      <c r="I758" t="s">
        <v>1144</v>
      </c>
      <c r="J758">
        <v>60011774</v>
      </c>
      <c r="K758" t="s">
        <v>676</v>
      </c>
      <c r="L758" t="s">
        <v>448</v>
      </c>
      <c r="M758" t="s">
        <v>106</v>
      </c>
      <c r="N758">
        <v>1</v>
      </c>
      <c r="O758" t="s">
        <v>1143</v>
      </c>
      <c r="P758">
        <v>56238536600</v>
      </c>
      <c r="Q758">
        <v>60011774</v>
      </c>
      <c r="R758" s="7">
        <v>35977</v>
      </c>
      <c r="S758" s="8">
        <f t="shared" si="88"/>
        <v>1998</v>
      </c>
      <c r="T758" s="8">
        <v>1998</v>
      </c>
      <c r="U758" s="8">
        <f t="shared" si="89"/>
        <v>24</v>
      </c>
      <c r="V758" s="7">
        <v>35977</v>
      </c>
      <c r="W758" t="s">
        <v>506</v>
      </c>
      <c r="X758" s="2">
        <v>0.32500000000000001</v>
      </c>
      <c r="Y758" s="6">
        <f t="shared" si="90"/>
        <v>8.6756893836256385E-3</v>
      </c>
      <c r="AA758">
        <v>10637710</v>
      </c>
      <c r="AB758">
        <v>12922</v>
      </c>
      <c r="AD758" t="s">
        <v>2</v>
      </c>
      <c r="AE758">
        <v>44</v>
      </c>
      <c r="AF758">
        <v>4</v>
      </c>
      <c r="AH758" t="s">
        <v>1142</v>
      </c>
      <c r="AI758" t="s">
        <v>1141</v>
      </c>
      <c r="AK758" t="s">
        <v>1140</v>
      </c>
      <c r="AL758">
        <v>5</v>
      </c>
      <c r="AM758" s="5">
        <f t="shared" si="91"/>
        <v>0.20833333333333334</v>
      </c>
      <c r="AN758" s="4">
        <f t="shared" si="92"/>
        <v>3.1553704404897135E-4</v>
      </c>
      <c r="AO758" s="3"/>
      <c r="AP758">
        <v>0</v>
      </c>
      <c r="AR758" t="s">
        <v>1</v>
      </c>
      <c r="AT758" s="2">
        <v>0.85599999999999998</v>
      </c>
      <c r="AU758" s="1">
        <f t="shared" si="93"/>
        <v>0.61676436817526381</v>
      </c>
      <c r="AV758" s="1">
        <f t="shared" si="94"/>
        <v>0.44956132138373045</v>
      </c>
      <c r="AW758" s="1">
        <f t="shared" si="95"/>
        <v>0.28235827459219714</v>
      </c>
    </row>
    <row r="759" spans="1:49" x14ac:dyDescent="0.2">
      <c r="A759">
        <v>757</v>
      </c>
      <c r="B759" t="s">
        <v>1139</v>
      </c>
      <c r="C759" t="s">
        <v>1138</v>
      </c>
      <c r="D759" t="s">
        <v>1137</v>
      </c>
      <c r="E759">
        <v>9644897</v>
      </c>
      <c r="F759" t="s">
        <v>1136</v>
      </c>
      <c r="G759" t="s">
        <v>5</v>
      </c>
      <c r="H759" t="s">
        <v>4</v>
      </c>
      <c r="I759" t="s">
        <v>1135</v>
      </c>
      <c r="J759">
        <v>60020547</v>
      </c>
      <c r="K759" t="s">
        <v>137</v>
      </c>
      <c r="L759" t="s">
        <v>136</v>
      </c>
      <c r="M759" t="s">
        <v>9</v>
      </c>
      <c r="N759">
        <v>5</v>
      </c>
      <c r="O759" t="s">
        <v>1134</v>
      </c>
      <c r="P759" t="s">
        <v>1133</v>
      </c>
      <c r="Q759" t="s">
        <v>1132</v>
      </c>
      <c r="R759" s="7">
        <v>35977</v>
      </c>
      <c r="S759" s="8">
        <f t="shared" si="88"/>
        <v>1998</v>
      </c>
      <c r="T759" s="8">
        <v>1998</v>
      </c>
      <c r="U759" s="8">
        <f t="shared" si="89"/>
        <v>24</v>
      </c>
      <c r="V759" s="7">
        <v>35977</v>
      </c>
      <c r="W759" t="s">
        <v>1131</v>
      </c>
      <c r="X759" s="2">
        <v>1.1479999999999999</v>
      </c>
      <c r="Y759" s="6">
        <f t="shared" si="90"/>
        <v>3.0645204345853019E-2</v>
      </c>
      <c r="AA759">
        <v>189294</v>
      </c>
      <c r="AB759">
        <v>16318</v>
      </c>
      <c r="AD759" t="s">
        <v>2</v>
      </c>
      <c r="AE759">
        <v>45</v>
      </c>
      <c r="AF759">
        <v>7</v>
      </c>
      <c r="AH759" t="s">
        <v>1130</v>
      </c>
      <c r="AI759" t="s">
        <v>1129</v>
      </c>
      <c r="AJ759" t="s">
        <v>1128</v>
      </c>
      <c r="AK759" t="s">
        <v>1127</v>
      </c>
      <c r="AL759">
        <v>81</v>
      </c>
      <c r="AM759" s="5">
        <f t="shared" si="91"/>
        <v>3.375</v>
      </c>
      <c r="AN759" s="4">
        <f t="shared" si="92"/>
        <v>5.1117001135933355E-3</v>
      </c>
      <c r="AO759" s="3"/>
      <c r="AP759">
        <v>0</v>
      </c>
      <c r="AR759" t="s">
        <v>1</v>
      </c>
      <c r="AT759" s="2" t="s">
        <v>0</v>
      </c>
      <c r="AU759" s="1">
        <f t="shared" si="93"/>
        <v>2.2985153076175111</v>
      </c>
      <c r="AV759" s="1">
        <f t="shared" si="94"/>
        <v>1.7878452229723178</v>
      </c>
      <c r="AW759" s="1">
        <f t="shared" si="95"/>
        <v>1.2771751383271239</v>
      </c>
    </row>
    <row r="760" spans="1:49" x14ac:dyDescent="0.2">
      <c r="A760">
        <v>758</v>
      </c>
      <c r="B760" t="s">
        <v>1126</v>
      </c>
      <c r="C760" t="s">
        <v>1125</v>
      </c>
      <c r="D760" t="s">
        <v>1124</v>
      </c>
      <c r="F760" t="s">
        <v>1123</v>
      </c>
      <c r="G760" t="s">
        <v>5</v>
      </c>
      <c r="H760" t="s">
        <v>4</v>
      </c>
      <c r="I760" t="s">
        <v>662</v>
      </c>
      <c r="J760">
        <v>100840129</v>
      </c>
      <c r="K760" t="s">
        <v>1122</v>
      </c>
      <c r="L760" t="s">
        <v>661</v>
      </c>
      <c r="M760" t="s">
        <v>9</v>
      </c>
      <c r="N760">
        <v>3</v>
      </c>
      <c r="O760" t="s">
        <v>1121</v>
      </c>
      <c r="P760" t="s">
        <v>1120</v>
      </c>
      <c r="Q760" t="s">
        <v>1119</v>
      </c>
      <c r="R760" s="7">
        <v>35977</v>
      </c>
      <c r="S760" s="8">
        <f t="shared" si="88"/>
        <v>1998</v>
      </c>
      <c r="T760" s="8">
        <v>1998</v>
      </c>
      <c r="U760" s="8">
        <f t="shared" si="89"/>
        <v>24</v>
      </c>
      <c r="V760" s="7">
        <v>35977</v>
      </c>
      <c r="W760" t="s">
        <v>672</v>
      </c>
      <c r="X760" s="2">
        <v>0.89900000000000002</v>
      </c>
      <c r="Y760" s="6">
        <f t="shared" si="90"/>
        <v>2.399829155655215E-2</v>
      </c>
      <c r="AA760">
        <v>221910</v>
      </c>
      <c r="AB760">
        <v>20487</v>
      </c>
      <c r="AD760" t="s">
        <v>2</v>
      </c>
      <c r="AE760">
        <v>44</v>
      </c>
      <c r="AF760" s="9">
        <v>44415</v>
      </c>
      <c r="AH760" t="s">
        <v>1118</v>
      </c>
      <c r="AI760" t="s">
        <v>1117</v>
      </c>
      <c r="AJ760" t="s">
        <v>1116</v>
      </c>
      <c r="AK760" t="s">
        <v>1115</v>
      </c>
      <c r="AL760">
        <v>11</v>
      </c>
      <c r="AM760" s="5">
        <f t="shared" si="91"/>
        <v>0.45833333333333331</v>
      </c>
      <c r="AN760" s="4">
        <f t="shared" si="92"/>
        <v>6.9418149690773695E-4</v>
      </c>
      <c r="AO760" s="3"/>
      <c r="AP760">
        <v>0</v>
      </c>
      <c r="AQ760" t="s">
        <v>17</v>
      </c>
      <c r="AR760" t="s">
        <v>1114</v>
      </c>
      <c r="AS760" t="s">
        <v>16</v>
      </c>
      <c r="AT760" s="2">
        <v>2.3540000000000001</v>
      </c>
      <c r="AU760" s="1">
        <f t="shared" si="93"/>
        <v>1.7007058538658824</v>
      </c>
      <c r="AV760" s="1">
        <f t="shared" si="94"/>
        <v>1.2346236526729943</v>
      </c>
      <c r="AW760" s="1">
        <f t="shared" si="95"/>
        <v>0.768541451480106</v>
      </c>
    </row>
    <row r="761" spans="1:49" x14ac:dyDescent="0.2">
      <c r="A761">
        <v>759</v>
      </c>
      <c r="B761" t="s">
        <v>1113</v>
      </c>
      <c r="C761" t="s">
        <v>1112</v>
      </c>
      <c r="E761">
        <v>9692919</v>
      </c>
      <c r="F761" t="s">
        <v>1111</v>
      </c>
      <c r="G761" t="s">
        <v>5</v>
      </c>
      <c r="H761" t="s">
        <v>4</v>
      </c>
      <c r="I761" t="s">
        <v>1110</v>
      </c>
      <c r="J761">
        <v>60023208</v>
      </c>
      <c r="K761" t="s">
        <v>1109</v>
      </c>
      <c r="L761" t="s">
        <v>1108</v>
      </c>
      <c r="M761" t="s">
        <v>37</v>
      </c>
      <c r="N761">
        <v>4</v>
      </c>
      <c r="O761" t="s">
        <v>1107</v>
      </c>
      <c r="P761" t="s">
        <v>1106</v>
      </c>
      <c r="Q761" t="s">
        <v>1105</v>
      </c>
      <c r="R761" s="7">
        <v>35977</v>
      </c>
      <c r="S761" s="8">
        <f t="shared" si="88"/>
        <v>1998</v>
      </c>
      <c r="T761" s="8">
        <v>1998</v>
      </c>
      <c r="U761" s="8">
        <f t="shared" si="89"/>
        <v>24</v>
      </c>
      <c r="V761" s="7">
        <v>35977</v>
      </c>
      <c r="W761" t="s">
        <v>700</v>
      </c>
      <c r="X761" s="2">
        <v>1.9810000000000001</v>
      </c>
      <c r="Y761" s="6">
        <f t="shared" si="90"/>
        <v>5.2881663596807349E-2</v>
      </c>
      <c r="AA761">
        <v>142956</v>
      </c>
      <c r="AB761">
        <v>39034</v>
      </c>
      <c r="AD761" t="s">
        <v>2</v>
      </c>
      <c r="AE761">
        <v>255</v>
      </c>
      <c r="AF761">
        <v>1</v>
      </c>
      <c r="AH761" t="s">
        <v>677</v>
      </c>
      <c r="AI761" t="s">
        <v>1104</v>
      </c>
      <c r="AJ761" t="s">
        <v>1103</v>
      </c>
      <c r="AK761" t="s">
        <v>1102</v>
      </c>
      <c r="AL761">
        <v>68</v>
      </c>
      <c r="AM761" s="5">
        <f t="shared" si="91"/>
        <v>2.8333333333333335</v>
      </c>
      <c r="AN761" s="4">
        <f t="shared" si="92"/>
        <v>4.2913037990660102E-3</v>
      </c>
      <c r="AO761" s="3"/>
      <c r="AP761">
        <v>1</v>
      </c>
      <c r="AR761" t="s">
        <v>1</v>
      </c>
      <c r="AT761" s="2" t="s">
        <v>0</v>
      </c>
      <c r="AU761" s="1">
        <f t="shared" si="93"/>
        <v>3.8304555657484944</v>
      </c>
      <c r="AV761" s="1">
        <f t="shared" si="94"/>
        <v>2.8586483697936682</v>
      </c>
      <c r="AW761" s="1">
        <f t="shared" si="95"/>
        <v>1.8868411738388411</v>
      </c>
    </row>
    <row r="762" spans="1:49" x14ac:dyDescent="0.2">
      <c r="A762">
        <v>760</v>
      </c>
      <c r="B762" t="s">
        <v>1101</v>
      </c>
      <c r="C762" t="s">
        <v>1100</v>
      </c>
      <c r="F762" t="s">
        <v>1099</v>
      </c>
      <c r="G762" t="s">
        <v>5</v>
      </c>
      <c r="H762" t="s">
        <v>4</v>
      </c>
      <c r="I762" t="s">
        <v>1098</v>
      </c>
      <c r="J762" t="s">
        <v>1097</v>
      </c>
      <c r="K762" t="s">
        <v>1096</v>
      </c>
      <c r="L762" t="s">
        <v>1095</v>
      </c>
      <c r="M762" t="s">
        <v>6</v>
      </c>
      <c r="N762">
        <v>3</v>
      </c>
      <c r="O762" t="s">
        <v>1094</v>
      </c>
      <c r="P762" t="s">
        <v>1093</v>
      </c>
      <c r="Q762" t="s">
        <v>1092</v>
      </c>
      <c r="R762" s="7">
        <v>35977</v>
      </c>
      <c r="S762" s="8">
        <f t="shared" si="88"/>
        <v>1998</v>
      </c>
      <c r="T762" s="8">
        <v>1998</v>
      </c>
      <c r="U762" s="8">
        <f t="shared" si="89"/>
        <v>24</v>
      </c>
      <c r="V762" s="7">
        <v>35977</v>
      </c>
      <c r="W762" t="s">
        <v>133</v>
      </c>
      <c r="X762" s="2">
        <v>2.0070000000000001</v>
      </c>
      <c r="Y762" s="6">
        <f t="shared" si="90"/>
        <v>5.3575718747497406E-2</v>
      </c>
      <c r="AA762">
        <v>948276</v>
      </c>
      <c r="AB762">
        <v>27962</v>
      </c>
      <c r="AD762" t="s">
        <v>2</v>
      </c>
      <c r="AE762">
        <v>25</v>
      </c>
      <c r="AF762">
        <v>13</v>
      </c>
      <c r="AH762" t="s">
        <v>1091</v>
      </c>
      <c r="AI762" t="s">
        <v>1090</v>
      </c>
      <c r="AK762" t="s">
        <v>1089</v>
      </c>
      <c r="AL762">
        <v>175</v>
      </c>
      <c r="AM762" s="5">
        <f t="shared" si="91"/>
        <v>7.291666666666667</v>
      </c>
      <c r="AN762" s="4">
        <f t="shared" si="92"/>
        <v>1.1043796541713998E-2</v>
      </c>
      <c r="AO762" s="3"/>
      <c r="AP762">
        <v>0</v>
      </c>
      <c r="AR762" t="s">
        <v>1</v>
      </c>
      <c r="AT762" s="2">
        <v>4.72</v>
      </c>
      <c r="AU762" s="1">
        <f t="shared" si="93"/>
        <v>4.0816142085762381</v>
      </c>
      <c r="AV762" s="1">
        <f t="shared" si="94"/>
        <v>3.2309757644605703</v>
      </c>
      <c r="AW762" s="1">
        <f t="shared" si="95"/>
        <v>2.3803373203449016</v>
      </c>
    </row>
    <row r="763" spans="1:49" x14ac:dyDescent="0.2">
      <c r="A763">
        <v>761</v>
      </c>
      <c r="B763" t="s">
        <v>1088</v>
      </c>
      <c r="C763" t="s">
        <v>1087</v>
      </c>
      <c r="D763" t="s">
        <v>1086</v>
      </c>
      <c r="F763" t="s">
        <v>1085</v>
      </c>
      <c r="G763" t="s">
        <v>5</v>
      </c>
      <c r="H763" t="s">
        <v>4</v>
      </c>
      <c r="I763" t="s">
        <v>1084</v>
      </c>
      <c r="J763" t="s">
        <v>1083</v>
      </c>
      <c r="K763" t="s">
        <v>1082</v>
      </c>
      <c r="L763" t="s">
        <v>1081</v>
      </c>
      <c r="M763" t="s">
        <v>1080</v>
      </c>
      <c r="N763">
        <v>4</v>
      </c>
      <c r="O763" t="s">
        <v>1079</v>
      </c>
      <c r="P763" t="s">
        <v>1078</v>
      </c>
      <c r="Q763" t="s">
        <v>1077</v>
      </c>
      <c r="R763" s="7">
        <v>35977</v>
      </c>
      <c r="S763" s="8">
        <f t="shared" si="88"/>
        <v>1998</v>
      </c>
      <c r="T763" s="8">
        <v>1998</v>
      </c>
      <c r="U763" s="8">
        <f t="shared" si="89"/>
        <v>24</v>
      </c>
      <c r="V763" s="7">
        <v>35977</v>
      </c>
      <c r="W763" t="s">
        <v>693</v>
      </c>
      <c r="X763" s="2">
        <v>0.998</v>
      </c>
      <c r="Y763" s="6">
        <f t="shared" si="90"/>
        <v>2.664104001494888E-2</v>
      </c>
      <c r="AA763">
        <v>207322</v>
      </c>
      <c r="AB763">
        <v>90127</v>
      </c>
      <c r="AD763" t="s">
        <v>2</v>
      </c>
      <c r="AE763">
        <v>27</v>
      </c>
      <c r="AF763">
        <v>3</v>
      </c>
      <c r="AH763" t="s">
        <v>1076</v>
      </c>
      <c r="AI763" t="s">
        <v>1075</v>
      </c>
      <c r="AJ763" t="s">
        <v>1074</v>
      </c>
      <c r="AK763" t="s">
        <v>1073</v>
      </c>
      <c r="AL763">
        <v>12</v>
      </c>
      <c r="AM763" s="5">
        <f t="shared" si="91"/>
        <v>0.5</v>
      </c>
      <c r="AN763" s="4">
        <f t="shared" si="92"/>
        <v>7.572889057175312E-4</v>
      </c>
      <c r="AO763" s="3"/>
      <c r="AP763">
        <v>0</v>
      </c>
      <c r="AQ763" t="s">
        <v>228</v>
      </c>
      <c r="AR763" t="s">
        <v>1072</v>
      </c>
      <c r="AS763" t="s">
        <v>227</v>
      </c>
      <c r="AT763" s="2" t="s">
        <v>0</v>
      </c>
      <c r="AU763" s="1">
        <f t="shared" si="93"/>
        <v>1.8875914682179478</v>
      </c>
      <c r="AV763" s="1">
        <f t="shared" si="94"/>
        <v>1.3699164460333206</v>
      </c>
      <c r="AW763" s="1">
        <f t="shared" si="95"/>
        <v>0.85224142384869361</v>
      </c>
    </row>
    <row r="764" spans="1:49" x14ac:dyDescent="0.2">
      <c r="A764">
        <v>762</v>
      </c>
      <c r="B764" t="s">
        <v>1071</v>
      </c>
      <c r="F764" t="s">
        <v>1070</v>
      </c>
      <c r="G764" t="s">
        <v>5</v>
      </c>
      <c r="H764" t="s">
        <v>4</v>
      </c>
      <c r="I764" t="s">
        <v>1069</v>
      </c>
      <c r="J764" t="s">
        <v>1068</v>
      </c>
      <c r="K764" t="s">
        <v>1067</v>
      </c>
      <c r="L764" t="s">
        <v>1066</v>
      </c>
      <c r="M764" t="s">
        <v>6</v>
      </c>
      <c r="N764">
        <v>2</v>
      </c>
      <c r="O764" t="s">
        <v>1065</v>
      </c>
      <c r="P764" t="s">
        <v>1064</v>
      </c>
      <c r="Q764" t="s">
        <v>1063</v>
      </c>
      <c r="R764" s="7">
        <v>35977</v>
      </c>
      <c r="S764" s="8">
        <f t="shared" si="88"/>
        <v>1998</v>
      </c>
      <c r="T764" s="8">
        <v>1998</v>
      </c>
      <c r="U764" s="8">
        <f t="shared" si="89"/>
        <v>24</v>
      </c>
      <c r="V764" s="7">
        <v>35977</v>
      </c>
      <c r="W764" t="s">
        <v>1062</v>
      </c>
      <c r="X764" s="2" t="s">
        <v>0</v>
      </c>
      <c r="Y764" s="6" t="e">
        <f t="shared" si="90"/>
        <v>#VALUE!</v>
      </c>
      <c r="AA764">
        <v>12351</v>
      </c>
      <c r="AB764">
        <v>15776</v>
      </c>
      <c r="AD764" t="s">
        <v>2</v>
      </c>
      <c r="AE764">
        <v>41</v>
      </c>
      <c r="AF764">
        <v>4</v>
      </c>
      <c r="AH764" t="s">
        <v>1061</v>
      </c>
      <c r="AI764" t="s">
        <v>1060</v>
      </c>
      <c r="AJ764" t="s">
        <v>1059</v>
      </c>
      <c r="AK764" t="s">
        <v>1058</v>
      </c>
      <c r="AL764">
        <v>48</v>
      </c>
      <c r="AM764" s="5">
        <f t="shared" si="91"/>
        <v>2</v>
      </c>
      <c r="AN764" s="4">
        <f t="shared" si="92"/>
        <v>3.0291556228701248E-3</v>
      </c>
      <c r="AO764" s="3"/>
      <c r="AP764">
        <v>0</v>
      </c>
      <c r="AR764" t="s">
        <v>1</v>
      </c>
      <c r="AT764" s="2" t="s">
        <v>0</v>
      </c>
      <c r="AU764" s="1" t="e">
        <f t="shared" si="93"/>
        <v>#VALUE!</v>
      </c>
      <c r="AV764" s="1" t="e">
        <f t="shared" si="94"/>
        <v>#VALUE!</v>
      </c>
      <c r="AW764" s="1" t="e">
        <f t="shared" si="95"/>
        <v>#VALUE!</v>
      </c>
    </row>
    <row r="765" spans="1:49" x14ac:dyDescent="0.2">
      <c r="A765">
        <v>763</v>
      </c>
      <c r="B765" t="s">
        <v>1057</v>
      </c>
      <c r="F765" t="s">
        <v>1056</v>
      </c>
      <c r="G765" t="s">
        <v>5</v>
      </c>
      <c r="H765" t="s">
        <v>4</v>
      </c>
      <c r="I765" t="s">
        <v>1055</v>
      </c>
      <c r="J765">
        <v>60085710</v>
      </c>
      <c r="K765" t="s">
        <v>1054</v>
      </c>
      <c r="L765" t="s">
        <v>1053</v>
      </c>
      <c r="M765" t="s">
        <v>9</v>
      </c>
      <c r="N765">
        <v>1</v>
      </c>
      <c r="O765" t="s">
        <v>1052</v>
      </c>
      <c r="P765">
        <v>7102030744</v>
      </c>
      <c r="Q765">
        <v>60085710</v>
      </c>
      <c r="R765" s="7">
        <v>35977</v>
      </c>
      <c r="S765" s="8">
        <f t="shared" si="88"/>
        <v>1998</v>
      </c>
      <c r="T765" s="8">
        <v>1998</v>
      </c>
      <c r="U765" s="8">
        <f t="shared" si="89"/>
        <v>24</v>
      </c>
      <c r="V765" s="7">
        <v>35977</v>
      </c>
      <c r="W765" t="s">
        <v>1051</v>
      </c>
      <c r="X765" s="2" t="s">
        <v>0</v>
      </c>
      <c r="Y765" s="6" t="e">
        <f t="shared" si="90"/>
        <v>#VALUE!</v>
      </c>
      <c r="AA765">
        <v>10475567</v>
      </c>
      <c r="AB765">
        <v>34845</v>
      </c>
      <c r="AD765" t="s">
        <v>2</v>
      </c>
      <c r="AE765">
        <v>15</v>
      </c>
      <c r="AF765">
        <v>7</v>
      </c>
      <c r="AH765" s="10">
        <v>43070</v>
      </c>
      <c r="AI765" t="s">
        <v>1050</v>
      </c>
      <c r="AK765" t="s">
        <v>1049</v>
      </c>
      <c r="AL765">
        <v>1</v>
      </c>
      <c r="AM765" s="5">
        <f t="shared" si="91"/>
        <v>4.1666666666666664E-2</v>
      </c>
      <c r="AN765" s="4">
        <f t="shared" si="92"/>
        <v>6.3107408809794262E-5</v>
      </c>
      <c r="AO765" s="3"/>
      <c r="AP765">
        <v>0</v>
      </c>
      <c r="AR765" t="s">
        <v>1</v>
      </c>
      <c r="AT765" s="2" t="s">
        <v>0</v>
      </c>
      <c r="AU765" s="1" t="e">
        <f t="shared" si="93"/>
        <v>#VALUE!</v>
      </c>
      <c r="AV765" s="1" t="e">
        <f t="shared" si="94"/>
        <v>#VALUE!</v>
      </c>
      <c r="AW765" s="1" t="e">
        <f t="shared" si="95"/>
        <v>#VALUE!</v>
      </c>
    </row>
    <row r="766" spans="1:49" x14ac:dyDescent="0.2">
      <c r="A766">
        <v>764</v>
      </c>
      <c r="B766" t="s">
        <v>1048</v>
      </c>
      <c r="C766" t="s">
        <v>1047</v>
      </c>
      <c r="D766" t="s">
        <v>1046</v>
      </c>
      <c r="F766" t="s">
        <v>1045</v>
      </c>
      <c r="G766" t="s">
        <v>5</v>
      </c>
      <c r="H766" t="s">
        <v>4</v>
      </c>
      <c r="I766" t="s">
        <v>1044</v>
      </c>
      <c r="J766">
        <v>60005460</v>
      </c>
      <c r="K766" t="s">
        <v>1043</v>
      </c>
      <c r="L766" t="s">
        <v>1042</v>
      </c>
      <c r="M766" t="s">
        <v>37</v>
      </c>
      <c r="N766">
        <v>2</v>
      </c>
      <c r="O766" t="s">
        <v>1041</v>
      </c>
      <c r="P766" t="s">
        <v>1040</v>
      </c>
      <c r="Q766" t="s">
        <v>1039</v>
      </c>
      <c r="R766" s="7">
        <v>35977</v>
      </c>
      <c r="S766" s="8">
        <f t="shared" si="88"/>
        <v>1998</v>
      </c>
      <c r="T766" s="8">
        <v>1998</v>
      </c>
      <c r="U766" s="8">
        <f t="shared" si="89"/>
        <v>24</v>
      </c>
      <c r="V766" s="7">
        <v>35977</v>
      </c>
      <c r="W766" t="s">
        <v>693</v>
      </c>
      <c r="X766" s="2">
        <v>0.998</v>
      </c>
      <c r="Y766" s="6">
        <f t="shared" si="90"/>
        <v>2.664104001494888E-2</v>
      </c>
      <c r="AA766">
        <v>207322</v>
      </c>
      <c r="AB766">
        <v>90127</v>
      </c>
      <c r="AD766" t="s">
        <v>2</v>
      </c>
      <c r="AE766">
        <v>27</v>
      </c>
      <c r="AF766">
        <v>3</v>
      </c>
      <c r="AH766" t="s">
        <v>1038</v>
      </c>
      <c r="AI766" t="s">
        <v>1037</v>
      </c>
      <c r="AJ766" t="s">
        <v>1036</v>
      </c>
      <c r="AK766" t="s">
        <v>1035</v>
      </c>
      <c r="AL766">
        <v>4</v>
      </c>
      <c r="AM766" s="5">
        <f t="shared" si="91"/>
        <v>0.16666666666666666</v>
      </c>
      <c r="AN766" s="4">
        <f t="shared" si="92"/>
        <v>2.5242963523917705E-4</v>
      </c>
      <c r="AO766" s="3"/>
      <c r="AP766">
        <v>0</v>
      </c>
      <c r="AQ766" t="s">
        <v>180</v>
      </c>
      <c r="AR766" t="s">
        <v>1034</v>
      </c>
      <c r="AS766" t="s">
        <v>179</v>
      </c>
      <c r="AT766" s="2" t="s">
        <v>0</v>
      </c>
      <c r="AU766" s="1">
        <f t="shared" si="93"/>
        <v>1.8724456901035968</v>
      </c>
      <c r="AV766" s="1">
        <f t="shared" si="94"/>
        <v>1.3446734825094029</v>
      </c>
      <c r="AW766" s="1">
        <f t="shared" si="95"/>
        <v>0.8169012749152087</v>
      </c>
    </row>
    <row r="767" spans="1:49" x14ac:dyDescent="0.2">
      <c r="A767">
        <v>765</v>
      </c>
      <c r="B767" t="s">
        <v>1033</v>
      </c>
      <c r="C767" t="s">
        <v>1032</v>
      </c>
      <c r="D767" t="s">
        <v>1031</v>
      </c>
      <c r="F767" t="s">
        <v>1030</v>
      </c>
      <c r="G767" t="s">
        <v>5</v>
      </c>
      <c r="H767" t="s">
        <v>4</v>
      </c>
      <c r="I767" t="s">
        <v>1029</v>
      </c>
      <c r="J767" t="s">
        <v>1028</v>
      </c>
      <c r="K767" t="s">
        <v>1027</v>
      </c>
      <c r="L767" t="s">
        <v>1026</v>
      </c>
      <c r="M767" t="s">
        <v>20</v>
      </c>
      <c r="N767">
        <v>3</v>
      </c>
      <c r="O767" t="s">
        <v>1025</v>
      </c>
      <c r="P767" t="s">
        <v>1024</v>
      </c>
      <c r="Q767" t="s">
        <v>1023</v>
      </c>
      <c r="R767" s="7">
        <v>35977</v>
      </c>
      <c r="S767" s="8">
        <f t="shared" si="88"/>
        <v>1998</v>
      </c>
      <c r="T767" s="8">
        <v>1998</v>
      </c>
      <c r="U767" s="8">
        <f t="shared" si="89"/>
        <v>24</v>
      </c>
      <c r="V767" s="7">
        <v>35977</v>
      </c>
      <c r="W767" t="s">
        <v>693</v>
      </c>
      <c r="X767" s="2">
        <v>0.998</v>
      </c>
      <c r="Y767" s="6">
        <f t="shared" si="90"/>
        <v>2.664104001494888E-2</v>
      </c>
      <c r="AA767">
        <v>207322</v>
      </c>
      <c r="AB767">
        <v>90127</v>
      </c>
      <c r="AD767" t="s">
        <v>2</v>
      </c>
      <c r="AE767">
        <v>27</v>
      </c>
      <c r="AF767">
        <v>3</v>
      </c>
      <c r="AH767" t="s">
        <v>1022</v>
      </c>
      <c r="AI767" t="s">
        <v>1021</v>
      </c>
      <c r="AJ767" t="s">
        <v>1020</v>
      </c>
      <c r="AK767" t="s">
        <v>1019</v>
      </c>
      <c r="AL767">
        <v>25</v>
      </c>
      <c r="AM767" s="5">
        <f t="shared" si="91"/>
        <v>1.0416666666666667</v>
      </c>
      <c r="AN767" s="4">
        <f t="shared" si="92"/>
        <v>1.5776852202448568E-3</v>
      </c>
      <c r="AO767" s="3"/>
      <c r="AP767">
        <v>0</v>
      </c>
      <c r="AR767" t="s">
        <v>1</v>
      </c>
      <c r="AT767" s="2" t="s">
        <v>0</v>
      </c>
      <c r="AU767" s="1">
        <f t="shared" si="93"/>
        <v>1.9122033576537671</v>
      </c>
      <c r="AV767" s="1">
        <f t="shared" si="94"/>
        <v>1.4109362617596868</v>
      </c>
      <c r="AW767" s="1">
        <f t="shared" si="95"/>
        <v>0.90966916586560642</v>
      </c>
    </row>
    <row r="768" spans="1:49" x14ac:dyDescent="0.2">
      <c r="A768">
        <v>766</v>
      </c>
      <c r="B768" t="s">
        <v>1018</v>
      </c>
      <c r="C768" t="s">
        <v>1017</v>
      </c>
      <c r="F768" t="s">
        <v>607</v>
      </c>
      <c r="G768" t="s">
        <v>5</v>
      </c>
      <c r="H768" t="s">
        <v>4</v>
      </c>
      <c r="I768" t="s">
        <v>606</v>
      </c>
      <c r="J768">
        <v>60025272</v>
      </c>
      <c r="K768" t="s">
        <v>369</v>
      </c>
      <c r="L768" t="s">
        <v>104</v>
      </c>
      <c r="M768" t="s">
        <v>12</v>
      </c>
      <c r="N768">
        <v>2</v>
      </c>
      <c r="O768" t="s">
        <v>605</v>
      </c>
      <c r="P768" t="s">
        <v>604</v>
      </c>
      <c r="Q768" t="s">
        <v>1016</v>
      </c>
      <c r="R768" s="7">
        <v>35977</v>
      </c>
      <c r="S768" s="8">
        <f t="shared" si="88"/>
        <v>1998</v>
      </c>
      <c r="T768" s="8">
        <v>1998</v>
      </c>
      <c r="U768" s="8">
        <f t="shared" si="89"/>
        <v>24</v>
      </c>
      <c r="V768" s="7">
        <v>35977</v>
      </c>
      <c r="W768" t="s">
        <v>108</v>
      </c>
      <c r="X768" s="2">
        <v>0.111</v>
      </c>
      <c r="Y768" s="6">
        <f t="shared" si="90"/>
        <v>2.9630816048690639E-3</v>
      </c>
      <c r="AA768">
        <v>87566621</v>
      </c>
      <c r="AB768">
        <v>24890</v>
      </c>
      <c r="AD768" t="s">
        <v>2</v>
      </c>
      <c r="AE768">
        <v>81</v>
      </c>
      <c r="AF768">
        <v>7</v>
      </c>
      <c r="AH768" t="s">
        <v>603</v>
      </c>
      <c r="AI768" t="s">
        <v>1015</v>
      </c>
      <c r="AK768" t="s">
        <v>602</v>
      </c>
      <c r="AL768">
        <v>1</v>
      </c>
      <c r="AM768" s="5">
        <f t="shared" si="91"/>
        <v>4.1666666666666664E-2</v>
      </c>
      <c r="AN768" s="4">
        <f t="shared" si="92"/>
        <v>6.3107408809794262E-5</v>
      </c>
      <c r="AO768" s="3"/>
      <c r="AP768">
        <v>0</v>
      </c>
      <c r="AR768" t="s">
        <v>1</v>
      </c>
      <c r="AT768" s="2" t="s">
        <v>0</v>
      </c>
      <c r="AU768" s="1">
        <f t="shared" si="93"/>
        <v>0.20930893460512826</v>
      </c>
      <c r="AV768" s="1">
        <f t="shared" si="94"/>
        <v>0.15130945068394291</v>
      </c>
      <c r="AW768" s="1">
        <f t="shared" si="95"/>
        <v>9.3309966762757504E-2</v>
      </c>
    </row>
    <row r="769" spans="1:49" x14ac:dyDescent="0.2">
      <c r="A769">
        <v>767</v>
      </c>
      <c r="B769" t="s">
        <v>1014</v>
      </c>
      <c r="C769" t="s">
        <v>1013</v>
      </c>
      <c r="D769" t="s">
        <v>1012</v>
      </c>
      <c r="F769" t="s">
        <v>1011</v>
      </c>
      <c r="G769" t="s">
        <v>5</v>
      </c>
      <c r="H769" t="s">
        <v>4</v>
      </c>
      <c r="I769" t="s">
        <v>1010</v>
      </c>
      <c r="J769" t="s">
        <v>1009</v>
      </c>
      <c r="K769" t="s">
        <v>1008</v>
      </c>
      <c r="L769" t="s">
        <v>1007</v>
      </c>
      <c r="M769" t="s">
        <v>141</v>
      </c>
      <c r="N769">
        <v>4</v>
      </c>
      <c r="O769" t="s">
        <v>1006</v>
      </c>
      <c r="P769" t="s">
        <v>1005</v>
      </c>
      <c r="Q769" t="s">
        <v>1004</v>
      </c>
      <c r="R769" s="7">
        <v>35977</v>
      </c>
      <c r="S769" s="8">
        <f t="shared" si="88"/>
        <v>1998</v>
      </c>
      <c r="T769" s="8">
        <v>1998</v>
      </c>
      <c r="U769" s="8">
        <f t="shared" si="89"/>
        <v>24</v>
      </c>
      <c r="V769" s="7">
        <v>35977</v>
      </c>
      <c r="W769" t="s">
        <v>119</v>
      </c>
      <c r="X769" s="2">
        <v>0.94</v>
      </c>
      <c r="Y769" s="6">
        <f t="shared" si="90"/>
        <v>2.5092763140332611E-2</v>
      </c>
      <c r="AA769">
        <v>10518207</v>
      </c>
      <c r="AB769">
        <v>63372</v>
      </c>
      <c r="AD769" t="s">
        <v>2</v>
      </c>
      <c r="AE769">
        <v>8</v>
      </c>
      <c r="AF769">
        <v>7</v>
      </c>
      <c r="AH769" t="s">
        <v>1003</v>
      </c>
      <c r="AI769" t="s">
        <v>1002</v>
      </c>
      <c r="AJ769" t="s">
        <v>1001</v>
      </c>
      <c r="AK769" t="s">
        <v>1000</v>
      </c>
      <c r="AL769">
        <v>20</v>
      </c>
      <c r="AM769" s="5">
        <f t="shared" si="91"/>
        <v>0.83333333333333337</v>
      </c>
      <c r="AN769" s="4">
        <f t="shared" si="92"/>
        <v>1.2621481761958854E-3</v>
      </c>
      <c r="AO769" s="3"/>
      <c r="AP769">
        <v>0</v>
      </c>
      <c r="AR769" t="s">
        <v>1</v>
      </c>
      <c r="AT769" s="2" t="s">
        <v>0</v>
      </c>
      <c r="AU769" s="1">
        <f t="shared" si="93"/>
        <v>1.7943578651091592</v>
      </c>
      <c r="AV769" s="1">
        <f t="shared" si="94"/>
        <v>1.3177455658264248</v>
      </c>
      <c r="AW769" s="1">
        <f t="shared" si="95"/>
        <v>0.84113326654369025</v>
      </c>
    </row>
    <row r="770" spans="1:49" x14ac:dyDescent="0.2">
      <c r="A770">
        <v>768</v>
      </c>
      <c r="B770" t="s">
        <v>999</v>
      </c>
      <c r="C770" t="s">
        <v>998</v>
      </c>
      <c r="D770" t="s">
        <v>997</v>
      </c>
      <c r="F770" t="s">
        <v>996</v>
      </c>
      <c r="G770" t="s">
        <v>5</v>
      </c>
      <c r="H770" t="s">
        <v>4</v>
      </c>
      <c r="I770" t="s">
        <v>995</v>
      </c>
      <c r="J770" t="s">
        <v>994</v>
      </c>
      <c r="K770" t="s">
        <v>993</v>
      </c>
      <c r="L770" t="s">
        <v>992</v>
      </c>
      <c r="M770" t="s">
        <v>6</v>
      </c>
      <c r="N770">
        <v>2</v>
      </c>
      <c r="O770" t="s">
        <v>991</v>
      </c>
      <c r="P770" t="s">
        <v>990</v>
      </c>
      <c r="Q770" t="s">
        <v>989</v>
      </c>
      <c r="R770" s="7">
        <v>35977</v>
      </c>
      <c r="S770" s="8">
        <f t="shared" ref="S770:S792" si="96">YEAR(R770)</f>
        <v>1998</v>
      </c>
      <c r="T770" s="8">
        <v>1998</v>
      </c>
      <c r="U770" s="8">
        <f t="shared" ref="U770:U792" si="97">2022-T770</f>
        <v>24</v>
      </c>
      <c r="V770" s="7">
        <v>35977</v>
      </c>
      <c r="W770" t="s">
        <v>152</v>
      </c>
      <c r="X770" s="2">
        <v>0.81</v>
      </c>
      <c r="Y770" s="6">
        <f t="shared" ref="Y770:Y792" si="98">(X770-$Z$3)/($Z$2-$Z$3)</f>
        <v>2.1622487386882359E-2</v>
      </c>
      <c r="AA770">
        <v>10411135</v>
      </c>
      <c r="AB770">
        <v>12116</v>
      </c>
      <c r="AD770" t="s">
        <v>2</v>
      </c>
      <c r="AE770">
        <v>10</v>
      </c>
      <c r="AF770">
        <v>7</v>
      </c>
      <c r="AH770" t="s">
        <v>988</v>
      </c>
      <c r="AI770" t="s">
        <v>987</v>
      </c>
      <c r="AJ770" t="s">
        <v>986</v>
      </c>
      <c r="AK770" t="s">
        <v>985</v>
      </c>
      <c r="AL770">
        <v>25</v>
      </c>
      <c r="AM770" s="5">
        <f t="shared" ref="AM770:AM792" si="99">AL770/U770</f>
        <v>1.0416666666666667</v>
      </c>
      <c r="AN770" s="4">
        <f t="shared" ref="AN770:AN792" si="100">(AM770-$AO$3)/($AO$2-$AO$3)</f>
        <v>1.5776852202448568E-3</v>
      </c>
      <c r="AO770" s="3"/>
      <c r="AP770">
        <v>0</v>
      </c>
      <c r="AQ770" t="s">
        <v>984</v>
      </c>
      <c r="AR770" t="s">
        <v>1</v>
      </c>
      <c r="AS770" t="s">
        <v>983</v>
      </c>
      <c r="AT770" s="2">
        <v>2.468</v>
      </c>
      <c r="AU770" s="1">
        <f t="shared" ref="AU770:AU792" si="101">(Y770*0.7+AN770*0.3)*100</f>
        <v>1.5609046736891108</v>
      </c>
      <c r="AV770" s="1">
        <f t="shared" ref="AV770:AV792" si="102">(Y770*0.5+AN770*0.5)*100</f>
        <v>1.1600086303563608</v>
      </c>
      <c r="AW770" s="1">
        <f t="shared" ref="AW770:AW792" si="103">(Y770*0.3+AN770*0.7)*100</f>
        <v>0.75911258702361073</v>
      </c>
    </row>
    <row r="771" spans="1:49" x14ac:dyDescent="0.2">
      <c r="A771">
        <v>769</v>
      </c>
      <c r="B771" t="s">
        <v>982</v>
      </c>
      <c r="C771" t="s">
        <v>981</v>
      </c>
      <c r="D771" t="s">
        <v>980</v>
      </c>
      <c r="F771" t="s">
        <v>979</v>
      </c>
      <c r="G771" t="s">
        <v>5</v>
      </c>
      <c r="H771" t="s">
        <v>4</v>
      </c>
      <c r="I771" t="s">
        <v>557</v>
      </c>
      <c r="J771">
        <v>60012468</v>
      </c>
      <c r="K771" t="s">
        <v>556</v>
      </c>
      <c r="L771" t="s">
        <v>555</v>
      </c>
      <c r="M771" t="s">
        <v>15</v>
      </c>
      <c r="N771">
        <v>3</v>
      </c>
      <c r="O771" t="s">
        <v>978</v>
      </c>
      <c r="P771" t="s">
        <v>554</v>
      </c>
      <c r="Q771" t="s">
        <v>553</v>
      </c>
      <c r="R771" s="7">
        <v>35977</v>
      </c>
      <c r="S771" s="8">
        <f t="shared" si="96"/>
        <v>1998</v>
      </c>
      <c r="T771" s="8">
        <v>1998</v>
      </c>
      <c r="U771" s="8">
        <f t="shared" si="97"/>
        <v>24</v>
      </c>
      <c r="V771" s="7">
        <v>35977</v>
      </c>
      <c r="W771" t="s">
        <v>977</v>
      </c>
      <c r="X771" s="2">
        <v>1.45</v>
      </c>
      <c r="Y771" s="6">
        <f t="shared" si="98"/>
        <v>3.8706921865406689E-2</v>
      </c>
      <c r="AA771">
        <v>457949</v>
      </c>
      <c r="AB771">
        <v>18171</v>
      </c>
      <c r="AD771" t="s">
        <v>2</v>
      </c>
      <c r="AE771">
        <v>68</v>
      </c>
      <c r="AF771" s="9">
        <v>44256</v>
      </c>
      <c r="AH771" t="s">
        <v>366</v>
      </c>
      <c r="AI771" t="s">
        <v>976</v>
      </c>
      <c r="AK771" t="s">
        <v>975</v>
      </c>
      <c r="AL771">
        <v>22</v>
      </c>
      <c r="AM771" s="5">
        <f t="shared" si="99"/>
        <v>0.91666666666666663</v>
      </c>
      <c r="AN771" s="4">
        <f t="shared" si="100"/>
        <v>1.3883629938154739E-3</v>
      </c>
      <c r="AO771" s="3"/>
      <c r="AP771">
        <v>0</v>
      </c>
      <c r="AQ771" t="s">
        <v>317</v>
      </c>
      <c r="AR771" t="s">
        <v>1</v>
      </c>
      <c r="AS771" t="s">
        <v>316</v>
      </c>
      <c r="AT771" s="2" t="s">
        <v>0</v>
      </c>
      <c r="AU771" s="1">
        <f t="shared" si="101"/>
        <v>2.7511354203929321</v>
      </c>
      <c r="AV771" s="1">
        <f t="shared" si="102"/>
        <v>2.0047642429611079</v>
      </c>
      <c r="AW771" s="1">
        <f t="shared" si="103"/>
        <v>1.2583930655292836</v>
      </c>
    </row>
    <row r="772" spans="1:49" x14ac:dyDescent="0.2">
      <c r="A772">
        <v>770</v>
      </c>
      <c r="B772" t="s">
        <v>974</v>
      </c>
      <c r="C772" t="s">
        <v>973</v>
      </c>
      <c r="F772" t="s">
        <v>972</v>
      </c>
      <c r="G772" t="s">
        <v>5</v>
      </c>
      <c r="H772" t="s">
        <v>4</v>
      </c>
      <c r="I772" t="s">
        <v>971</v>
      </c>
      <c r="J772">
        <v>60013372</v>
      </c>
      <c r="K772" t="s">
        <v>691</v>
      </c>
      <c r="L772" t="s">
        <v>690</v>
      </c>
      <c r="M772" t="s">
        <v>9</v>
      </c>
      <c r="N772">
        <v>4</v>
      </c>
      <c r="O772" t="s">
        <v>970</v>
      </c>
      <c r="P772" t="s">
        <v>969</v>
      </c>
      <c r="Q772" t="s">
        <v>968</v>
      </c>
      <c r="R772" s="7">
        <v>35977</v>
      </c>
      <c r="S772" s="8">
        <f t="shared" si="96"/>
        <v>1998</v>
      </c>
      <c r="T772" s="8">
        <v>1998</v>
      </c>
      <c r="U772" s="8">
        <f t="shared" si="97"/>
        <v>24</v>
      </c>
      <c r="V772" s="7">
        <v>35977</v>
      </c>
      <c r="W772" t="s">
        <v>649</v>
      </c>
      <c r="X772" s="2">
        <v>1.6519999999999999</v>
      </c>
      <c r="Y772" s="6">
        <f t="shared" si="98"/>
        <v>4.409919649769093E-2</v>
      </c>
      <c r="AA772" t="s">
        <v>648</v>
      </c>
      <c r="AB772">
        <v>17337</v>
      </c>
      <c r="AD772" t="s">
        <v>2</v>
      </c>
      <c r="AE772">
        <v>46</v>
      </c>
      <c r="AF772">
        <v>7</v>
      </c>
      <c r="AH772" t="s">
        <v>967</v>
      </c>
      <c r="AI772" t="s">
        <v>966</v>
      </c>
      <c r="AK772" t="s">
        <v>965</v>
      </c>
      <c r="AL772">
        <v>26</v>
      </c>
      <c r="AM772" s="5">
        <f t="shared" si="99"/>
        <v>1.0833333333333333</v>
      </c>
      <c r="AN772" s="4">
        <f t="shared" si="100"/>
        <v>1.6407926290546509E-3</v>
      </c>
      <c r="AO772" s="3"/>
      <c r="AP772">
        <v>0</v>
      </c>
      <c r="AQ772" t="s">
        <v>17</v>
      </c>
      <c r="AR772" t="s">
        <v>964</v>
      </c>
      <c r="AS772" t="s">
        <v>16</v>
      </c>
      <c r="AT772" s="2" t="s">
        <v>0</v>
      </c>
      <c r="AU772" s="1">
        <f t="shared" si="101"/>
        <v>3.1361675337100046</v>
      </c>
      <c r="AV772" s="1">
        <f t="shared" si="102"/>
        <v>2.2869994563372789</v>
      </c>
      <c r="AW772" s="1">
        <f t="shared" si="103"/>
        <v>1.4378313789645534</v>
      </c>
    </row>
    <row r="773" spans="1:49" x14ac:dyDescent="0.2">
      <c r="A773">
        <v>771</v>
      </c>
      <c r="B773" t="s">
        <v>963</v>
      </c>
      <c r="F773" t="s">
        <v>962</v>
      </c>
      <c r="G773" t="s">
        <v>5</v>
      </c>
      <c r="H773" t="s">
        <v>4</v>
      </c>
      <c r="I773" t="s">
        <v>961</v>
      </c>
      <c r="J773">
        <v>60023345</v>
      </c>
      <c r="K773" t="s">
        <v>188</v>
      </c>
      <c r="L773" t="s">
        <v>187</v>
      </c>
      <c r="M773" t="s">
        <v>65</v>
      </c>
      <c r="N773">
        <v>1</v>
      </c>
      <c r="O773" t="s">
        <v>960</v>
      </c>
      <c r="P773">
        <v>7101987278</v>
      </c>
      <c r="Q773">
        <v>60023345</v>
      </c>
      <c r="R773" s="7">
        <v>35977</v>
      </c>
      <c r="S773" s="8">
        <f t="shared" si="96"/>
        <v>1998</v>
      </c>
      <c r="T773" s="8">
        <v>1998</v>
      </c>
      <c r="U773" s="8">
        <f t="shared" si="97"/>
        <v>24</v>
      </c>
      <c r="V773" s="7">
        <v>35977</v>
      </c>
      <c r="W773" t="s">
        <v>186</v>
      </c>
      <c r="X773" s="2">
        <v>0.10100000000000001</v>
      </c>
      <c r="Y773" s="6">
        <f t="shared" si="98"/>
        <v>2.6961373161421215E-3</v>
      </c>
      <c r="AA773">
        <v>9711600</v>
      </c>
      <c r="AB773">
        <v>29590</v>
      </c>
      <c r="AD773" t="s">
        <v>2</v>
      </c>
      <c r="AE773">
        <v>8</v>
      </c>
      <c r="AF773">
        <v>2</v>
      </c>
      <c r="AH773" s="10">
        <v>44562</v>
      </c>
      <c r="AI773" t="s">
        <v>959</v>
      </c>
      <c r="AK773" t="s">
        <v>958</v>
      </c>
      <c r="AL773">
        <v>0</v>
      </c>
      <c r="AM773" s="5">
        <f t="shared" si="99"/>
        <v>0</v>
      </c>
      <c r="AN773" s="4">
        <f t="shared" si="100"/>
        <v>0</v>
      </c>
      <c r="AO773" s="3"/>
      <c r="AP773">
        <v>0</v>
      </c>
      <c r="AR773" t="s">
        <v>1</v>
      </c>
      <c r="AT773" s="2" t="s">
        <v>0</v>
      </c>
      <c r="AU773" s="1">
        <f t="shared" si="101"/>
        <v>0.18872961212994849</v>
      </c>
      <c r="AV773" s="1">
        <f t="shared" si="102"/>
        <v>0.13480686580710607</v>
      </c>
      <c r="AW773" s="1">
        <f t="shared" si="103"/>
        <v>8.0884119484263647E-2</v>
      </c>
    </row>
    <row r="774" spans="1:49" x14ac:dyDescent="0.2">
      <c r="A774">
        <v>772</v>
      </c>
      <c r="B774" t="s">
        <v>957</v>
      </c>
      <c r="C774" t="s">
        <v>956</v>
      </c>
      <c r="F774" t="s">
        <v>955</v>
      </c>
      <c r="G774" t="s">
        <v>5</v>
      </c>
      <c r="H774" t="s">
        <v>4</v>
      </c>
      <c r="I774" t="s">
        <v>954</v>
      </c>
      <c r="J774">
        <v>60003892</v>
      </c>
      <c r="K774" t="s">
        <v>47</v>
      </c>
      <c r="L774" t="s">
        <v>46</v>
      </c>
      <c r="M774" t="s">
        <v>9</v>
      </c>
      <c r="N774">
        <v>3</v>
      </c>
      <c r="O774" t="s">
        <v>953</v>
      </c>
      <c r="P774" t="s">
        <v>952</v>
      </c>
      <c r="Q774" t="s">
        <v>45</v>
      </c>
      <c r="R774" s="7">
        <v>35977</v>
      </c>
      <c r="S774" s="8">
        <f t="shared" si="96"/>
        <v>1998</v>
      </c>
      <c r="T774" s="8">
        <v>1998</v>
      </c>
      <c r="U774" s="8">
        <f t="shared" si="97"/>
        <v>24</v>
      </c>
      <c r="V774" s="7">
        <v>35977</v>
      </c>
      <c r="W774" t="s">
        <v>649</v>
      </c>
      <c r="X774" s="2">
        <v>1.6519999999999999</v>
      </c>
      <c r="Y774" s="6">
        <f t="shared" si="98"/>
        <v>4.409919649769093E-2</v>
      </c>
      <c r="AA774" t="s">
        <v>648</v>
      </c>
      <c r="AB774">
        <v>17337</v>
      </c>
      <c r="AD774" t="s">
        <v>2</v>
      </c>
      <c r="AE774">
        <v>46</v>
      </c>
      <c r="AF774">
        <v>7</v>
      </c>
      <c r="AH774" t="s">
        <v>951</v>
      </c>
      <c r="AI774" t="s">
        <v>950</v>
      </c>
      <c r="AK774" t="s">
        <v>949</v>
      </c>
      <c r="AL774">
        <v>14</v>
      </c>
      <c r="AM774" s="5">
        <f t="shared" si="99"/>
        <v>0.58333333333333337</v>
      </c>
      <c r="AN774" s="4">
        <f t="shared" si="100"/>
        <v>8.835037233371198E-4</v>
      </c>
      <c r="AO774" s="3"/>
      <c r="AP774">
        <v>0</v>
      </c>
      <c r="AR774" t="s">
        <v>1</v>
      </c>
      <c r="AT774" s="2" t="s">
        <v>0</v>
      </c>
      <c r="AU774" s="1">
        <f t="shared" si="101"/>
        <v>3.1134488665384787</v>
      </c>
      <c r="AV774" s="1">
        <f t="shared" si="102"/>
        <v>2.2491350110514023</v>
      </c>
      <c r="AW774" s="1">
        <f t="shared" si="103"/>
        <v>1.3848211555643262</v>
      </c>
    </row>
    <row r="775" spans="1:49" x14ac:dyDescent="0.2">
      <c r="A775">
        <v>773</v>
      </c>
      <c r="B775" t="s">
        <v>948</v>
      </c>
      <c r="F775" t="s">
        <v>947</v>
      </c>
      <c r="G775" t="s">
        <v>5</v>
      </c>
      <c r="H775" t="s">
        <v>4</v>
      </c>
      <c r="I775" t="s">
        <v>946</v>
      </c>
      <c r="J775">
        <v>100459681</v>
      </c>
      <c r="K775" t="s">
        <v>945</v>
      </c>
      <c r="L775" t="s">
        <v>944</v>
      </c>
      <c r="M775" t="s">
        <v>9</v>
      </c>
      <c r="N775">
        <v>2</v>
      </c>
      <c r="O775" t="s">
        <v>943</v>
      </c>
      <c r="P775" t="s">
        <v>942</v>
      </c>
      <c r="Q775" t="s">
        <v>941</v>
      </c>
      <c r="R775" s="7">
        <v>35977</v>
      </c>
      <c r="S775" s="8">
        <f t="shared" si="96"/>
        <v>1998</v>
      </c>
      <c r="T775" s="8">
        <v>1998</v>
      </c>
      <c r="U775" s="8">
        <f t="shared" si="97"/>
        <v>24</v>
      </c>
      <c r="V775" s="7">
        <v>35977</v>
      </c>
      <c r="W775" t="s">
        <v>110</v>
      </c>
      <c r="X775" s="2">
        <v>0.13800000000000001</v>
      </c>
      <c r="Y775" s="6">
        <f t="shared" si="98"/>
        <v>3.6838311844318095E-3</v>
      </c>
      <c r="AA775">
        <v>1926225</v>
      </c>
      <c r="AB775">
        <v>18580</v>
      </c>
      <c r="AD775" t="s">
        <v>2</v>
      </c>
      <c r="AE775">
        <v>41</v>
      </c>
      <c r="AF775">
        <v>7</v>
      </c>
      <c r="AH775" t="s">
        <v>940</v>
      </c>
      <c r="AI775" t="s">
        <v>939</v>
      </c>
      <c r="AK775" t="s">
        <v>938</v>
      </c>
      <c r="AL775">
        <v>6</v>
      </c>
      <c r="AM775" s="5">
        <f t="shared" si="99"/>
        <v>0.25</v>
      </c>
      <c r="AN775" s="4">
        <f t="shared" si="100"/>
        <v>3.786444528587656E-4</v>
      </c>
      <c r="AO775" s="3"/>
      <c r="AP775">
        <v>0</v>
      </c>
      <c r="AR775" t="s">
        <v>1</v>
      </c>
      <c r="AT775" s="2">
        <v>0.30599999999999999</v>
      </c>
      <c r="AU775" s="1">
        <f t="shared" si="101"/>
        <v>0.26922751649598964</v>
      </c>
      <c r="AV775" s="1">
        <f t="shared" si="102"/>
        <v>0.20312378186452873</v>
      </c>
      <c r="AW775" s="1">
        <f t="shared" si="103"/>
        <v>0.13702004723306788</v>
      </c>
    </row>
    <row r="776" spans="1:49" x14ac:dyDescent="0.2">
      <c r="A776">
        <v>774</v>
      </c>
      <c r="B776" t="s">
        <v>937</v>
      </c>
      <c r="C776" t="s">
        <v>936</v>
      </c>
      <c r="F776" t="s">
        <v>935</v>
      </c>
      <c r="G776" t="s">
        <v>5</v>
      </c>
      <c r="H776" t="s">
        <v>4</v>
      </c>
      <c r="I776" t="s">
        <v>934</v>
      </c>
      <c r="J776">
        <v>101418508</v>
      </c>
      <c r="K776" t="s">
        <v>933</v>
      </c>
      <c r="M776" t="s">
        <v>9</v>
      </c>
      <c r="N776">
        <v>3</v>
      </c>
      <c r="O776" t="s">
        <v>932</v>
      </c>
      <c r="P776" t="s">
        <v>931</v>
      </c>
      <c r="Q776" t="s">
        <v>930</v>
      </c>
      <c r="R776" s="7">
        <v>35977</v>
      </c>
      <c r="S776" s="8">
        <f t="shared" si="96"/>
        <v>1998</v>
      </c>
      <c r="T776" s="8">
        <v>1998</v>
      </c>
      <c r="U776" s="8">
        <f t="shared" si="97"/>
        <v>24</v>
      </c>
      <c r="V776" s="7">
        <v>35977</v>
      </c>
      <c r="W776" t="s">
        <v>649</v>
      </c>
      <c r="X776" s="2">
        <v>1.6519999999999999</v>
      </c>
      <c r="Y776" s="6">
        <f t="shared" si="98"/>
        <v>4.409919649769093E-2</v>
      </c>
      <c r="AA776" t="s">
        <v>648</v>
      </c>
      <c r="AB776">
        <v>17337</v>
      </c>
      <c r="AD776" t="s">
        <v>2</v>
      </c>
      <c r="AE776">
        <v>46</v>
      </c>
      <c r="AF776">
        <v>7</v>
      </c>
      <c r="AH776" t="s">
        <v>929</v>
      </c>
      <c r="AI776" t="s">
        <v>928</v>
      </c>
      <c r="AK776" t="s">
        <v>927</v>
      </c>
      <c r="AL776">
        <v>12</v>
      </c>
      <c r="AM776" s="5">
        <f t="shared" si="99"/>
        <v>0.5</v>
      </c>
      <c r="AN776" s="4">
        <f t="shared" si="100"/>
        <v>7.572889057175312E-4</v>
      </c>
      <c r="AO776" s="3"/>
      <c r="AP776">
        <v>0</v>
      </c>
      <c r="AR776" t="s">
        <v>1</v>
      </c>
      <c r="AT776" s="2" t="s">
        <v>0</v>
      </c>
      <c r="AU776" s="1">
        <f t="shared" si="101"/>
        <v>3.1096624220098912</v>
      </c>
      <c r="AV776" s="1">
        <f t="shared" si="102"/>
        <v>2.2428242701704231</v>
      </c>
      <c r="AW776" s="1">
        <f t="shared" si="103"/>
        <v>1.375986118330955</v>
      </c>
    </row>
    <row r="777" spans="1:49" x14ac:dyDescent="0.2">
      <c r="A777">
        <v>775</v>
      </c>
      <c r="B777" t="s">
        <v>926</v>
      </c>
      <c r="C777" t="s">
        <v>925</v>
      </c>
      <c r="F777" t="s">
        <v>924</v>
      </c>
      <c r="G777" t="s">
        <v>5</v>
      </c>
      <c r="H777" t="s">
        <v>4</v>
      </c>
      <c r="I777" t="s">
        <v>281</v>
      </c>
      <c r="J777">
        <v>60017293</v>
      </c>
      <c r="K777" t="s">
        <v>197</v>
      </c>
      <c r="L777" t="s">
        <v>196</v>
      </c>
      <c r="M777" t="s">
        <v>195</v>
      </c>
      <c r="N777">
        <v>3</v>
      </c>
      <c r="O777" t="s">
        <v>923</v>
      </c>
      <c r="P777" t="s">
        <v>922</v>
      </c>
      <c r="Q777" t="s">
        <v>194</v>
      </c>
      <c r="R777" s="7">
        <v>35977</v>
      </c>
      <c r="S777" s="8">
        <f t="shared" si="96"/>
        <v>1998</v>
      </c>
      <c r="T777" s="8">
        <v>1998</v>
      </c>
      <c r="U777" s="8">
        <f t="shared" si="97"/>
        <v>24</v>
      </c>
      <c r="V777" s="7">
        <v>35977</v>
      </c>
      <c r="W777" t="s">
        <v>649</v>
      </c>
      <c r="X777" s="2">
        <v>1.6519999999999999</v>
      </c>
      <c r="Y777" s="6">
        <f t="shared" si="98"/>
        <v>4.409919649769093E-2</v>
      </c>
      <c r="AA777" t="s">
        <v>648</v>
      </c>
      <c r="AB777">
        <v>17337</v>
      </c>
      <c r="AD777" t="s">
        <v>2</v>
      </c>
      <c r="AE777">
        <v>46</v>
      </c>
      <c r="AF777">
        <v>7</v>
      </c>
      <c r="AH777" t="s">
        <v>921</v>
      </c>
      <c r="AI777" t="s">
        <v>920</v>
      </c>
      <c r="AK777" t="s">
        <v>919</v>
      </c>
      <c r="AL777">
        <v>12</v>
      </c>
      <c r="AM777" s="5">
        <f t="shared" si="99"/>
        <v>0.5</v>
      </c>
      <c r="AN777" s="4">
        <f t="shared" si="100"/>
        <v>7.572889057175312E-4</v>
      </c>
      <c r="AO777" s="3"/>
      <c r="AP777">
        <v>0</v>
      </c>
      <c r="AR777" t="s">
        <v>1</v>
      </c>
      <c r="AT777" s="2" t="s">
        <v>0</v>
      </c>
      <c r="AU777" s="1">
        <f t="shared" si="101"/>
        <v>3.1096624220098912</v>
      </c>
      <c r="AV777" s="1">
        <f t="shared" si="102"/>
        <v>2.2428242701704231</v>
      </c>
      <c r="AW777" s="1">
        <f t="shared" si="103"/>
        <v>1.375986118330955</v>
      </c>
    </row>
    <row r="778" spans="1:49" x14ac:dyDescent="0.2">
      <c r="A778">
        <v>776</v>
      </c>
      <c r="B778" t="s">
        <v>918</v>
      </c>
      <c r="C778" t="s">
        <v>917</v>
      </c>
      <c r="F778" t="s">
        <v>916</v>
      </c>
      <c r="G778" t="s">
        <v>5</v>
      </c>
      <c r="H778" t="s">
        <v>4</v>
      </c>
      <c r="I778" t="s">
        <v>915</v>
      </c>
      <c r="J778">
        <v>60032350</v>
      </c>
      <c r="K778" t="s">
        <v>547</v>
      </c>
      <c r="L778" t="s">
        <v>477</v>
      </c>
      <c r="M778" t="s">
        <v>195</v>
      </c>
      <c r="N778">
        <v>5</v>
      </c>
      <c r="O778" t="s">
        <v>914</v>
      </c>
      <c r="P778" t="s">
        <v>913</v>
      </c>
      <c r="Q778" t="s">
        <v>876</v>
      </c>
      <c r="R778" s="7">
        <v>35977</v>
      </c>
      <c r="S778" s="8">
        <f t="shared" si="96"/>
        <v>1998</v>
      </c>
      <c r="T778" s="8">
        <v>1998</v>
      </c>
      <c r="U778" s="8">
        <f t="shared" si="97"/>
        <v>24</v>
      </c>
      <c r="V778" s="7">
        <v>35977</v>
      </c>
      <c r="W778" t="s">
        <v>649</v>
      </c>
      <c r="X778" s="2">
        <v>1.6519999999999999</v>
      </c>
      <c r="Y778" s="6">
        <f t="shared" si="98"/>
        <v>4.409919649769093E-2</v>
      </c>
      <c r="AA778" t="s">
        <v>648</v>
      </c>
      <c r="AB778">
        <v>17337</v>
      </c>
      <c r="AD778" t="s">
        <v>2</v>
      </c>
      <c r="AE778">
        <v>46</v>
      </c>
      <c r="AF778">
        <v>7</v>
      </c>
      <c r="AH778" t="s">
        <v>912</v>
      </c>
      <c r="AI778" t="s">
        <v>911</v>
      </c>
      <c r="AK778" t="s">
        <v>910</v>
      </c>
      <c r="AL778">
        <v>50</v>
      </c>
      <c r="AM778" s="5">
        <f t="shared" si="99"/>
        <v>2.0833333333333335</v>
      </c>
      <c r="AN778" s="4">
        <f t="shared" si="100"/>
        <v>3.1553704404897135E-3</v>
      </c>
      <c r="AO778" s="3"/>
      <c r="AP778">
        <v>0</v>
      </c>
      <c r="AQ778" t="s">
        <v>312</v>
      </c>
      <c r="AR778" t="s">
        <v>860</v>
      </c>
      <c r="AS778" t="s">
        <v>311</v>
      </c>
      <c r="AT778" s="2" t="s">
        <v>0</v>
      </c>
      <c r="AU778" s="1">
        <f t="shared" si="101"/>
        <v>3.1816048680530562</v>
      </c>
      <c r="AV778" s="1">
        <f t="shared" si="102"/>
        <v>2.3627283469090319</v>
      </c>
      <c r="AW778" s="1">
        <f t="shared" si="103"/>
        <v>1.5438518257650076</v>
      </c>
    </row>
    <row r="779" spans="1:49" x14ac:dyDescent="0.2">
      <c r="A779">
        <v>777</v>
      </c>
      <c r="B779" t="s">
        <v>909</v>
      </c>
      <c r="C779" t="s">
        <v>908</v>
      </c>
      <c r="F779" t="s">
        <v>907</v>
      </c>
      <c r="G779" t="s">
        <v>5</v>
      </c>
      <c r="H779" t="s">
        <v>4</v>
      </c>
      <c r="I779" t="s">
        <v>54</v>
      </c>
      <c r="J779">
        <v>60017161</v>
      </c>
      <c r="K779" t="s">
        <v>161</v>
      </c>
      <c r="L779" t="s">
        <v>160</v>
      </c>
      <c r="M779" t="s">
        <v>159</v>
      </c>
      <c r="N779">
        <v>4</v>
      </c>
      <c r="O779" t="s">
        <v>906</v>
      </c>
      <c r="P779" t="s">
        <v>905</v>
      </c>
      <c r="Q779" t="s">
        <v>503</v>
      </c>
      <c r="R779" s="7">
        <v>35977</v>
      </c>
      <c r="S779" s="8">
        <f t="shared" si="96"/>
        <v>1998</v>
      </c>
      <c r="T779" s="8">
        <v>1998</v>
      </c>
      <c r="U779" s="8">
        <f t="shared" si="97"/>
        <v>24</v>
      </c>
      <c r="V779" s="7">
        <v>35977</v>
      </c>
      <c r="W779" t="s">
        <v>649</v>
      </c>
      <c r="X779" s="2">
        <v>1.6519999999999999</v>
      </c>
      <c r="Y779" s="6">
        <f t="shared" si="98"/>
        <v>4.409919649769093E-2</v>
      </c>
      <c r="AA779" t="s">
        <v>648</v>
      </c>
      <c r="AB779">
        <v>17337</v>
      </c>
      <c r="AD779" t="s">
        <v>2</v>
      </c>
      <c r="AE779">
        <v>46</v>
      </c>
      <c r="AF779">
        <v>7</v>
      </c>
      <c r="AH779" t="s">
        <v>904</v>
      </c>
      <c r="AI779" t="s">
        <v>903</v>
      </c>
      <c r="AK779" t="s">
        <v>902</v>
      </c>
      <c r="AL779">
        <v>33</v>
      </c>
      <c r="AM779" s="5">
        <f t="shared" si="99"/>
        <v>1.375</v>
      </c>
      <c r="AN779" s="4">
        <f t="shared" si="100"/>
        <v>2.0825444907232107E-3</v>
      </c>
      <c r="AO779" s="3"/>
      <c r="AP779">
        <v>0</v>
      </c>
      <c r="AQ779" t="s">
        <v>901</v>
      </c>
      <c r="AR779" t="s">
        <v>1</v>
      </c>
      <c r="AS779" t="s">
        <v>161</v>
      </c>
      <c r="AT779" s="2" t="s">
        <v>0</v>
      </c>
      <c r="AU779" s="1">
        <f t="shared" si="101"/>
        <v>3.1494200895600613</v>
      </c>
      <c r="AV779" s="1">
        <f t="shared" si="102"/>
        <v>2.309087049420707</v>
      </c>
      <c r="AW779" s="1">
        <f t="shared" si="103"/>
        <v>1.4687540092813525</v>
      </c>
    </row>
    <row r="780" spans="1:49" x14ac:dyDescent="0.2">
      <c r="A780">
        <v>778</v>
      </c>
      <c r="B780" t="s">
        <v>900</v>
      </c>
      <c r="C780" t="s">
        <v>899</v>
      </c>
      <c r="F780" t="s">
        <v>898</v>
      </c>
      <c r="G780" t="s">
        <v>5</v>
      </c>
      <c r="H780" t="s">
        <v>4</v>
      </c>
      <c r="I780" t="s">
        <v>897</v>
      </c>
      <c r="J780">
        <v>60019354</v>
      </c>
      <c r="K780" t="s">
        <v>896</v>
      </c>
      <c r="L780" t="s">
        <v>895</v>
      </c>
      <c r="M780" t="s">
        <v>541</v>
      </c>
      <c r="N780">
        <v>1</v>
      </c>
      <c r="O780" t="s">
        <v>894</v>
      </c>
      <c r="P780">
        <v>7201481830</v>
      </c>
      <c r="Q780">
        <v>60019354</v>
      </c>
      <c r="R780" s="7">
        <v>35977</v>
      </c>
      <c r="S780" s="8">
        <f t="shared" si="96"/>
        <v>1998</v>
      </c>
      <c r="T780" s="8">
        <v>1998</v>
      </c>
      <c r="U780" s="8">
        <f t="shared" si="97"/>
        <v>24</v>
      </c>
      <c r="V780" s="7">
        <v>35977</v>
      </c>
      <c r="W780" t="s">
        <v>649</v>
      </c>
      <c r="X780" s="2">
        <v>1.6519999999999999</v>
      </c>
      <c r="Y780" s="6">
        <f t="shared" si="98"/>
        <v>4.409919649769093E-2</v>
      </c>
      <c r="AA780" t="s">
        <v>648</v>
      </c>
      <c r="AB780">
        <v>17337</v>
      </c>
      <c r="AD780" t="s">
        <v>2</v>
      </c>
      <c r="AE780">
        <v>46</v>
      </c>
      <c r="AF780">
        <v>7</v>
      </c>
      <c r="AH780" t="s">
        <v>893</v>
      </c>
      <c r="AI780" t="s">
        <v>892</v>
      </c>
      <c r="AK780" t="s">
        <v>891</v>
      </c>
      <c r="AL780">
        <v>16</v>
      </c>
      <c r="AM780" s="5">
        <f t="shared" si="99"/>
        <v>0.66666666666666663</v>
      </c>
      <c r="AN780" s="4">
        <f t="shared" si="100"/>
        <v>1.0097185409567082E-3</v>
      </c>
      <c r="AO780" s="3"/>
      <c r="AP780">
        <v>0</v>
      </c>
      <c r="AR780" t="s">
        <v>1</v>
      </c>
      <c r="AT780" s="2" t="s">
        <v>0</v>
      </c>
      <c r="AU780" s="1">
        <f t="shared" si="101"/>
        <v>3.1172353110670663</v>
      </c>
      <c r="AV780" s="1">
        <f t="shared" si="102"/>
        <v>2.2554457519323821</v>
      </c>
      <c r="AW780" s="1">
        <f t="shared" si="103"/>
        <v>1.3936561927976974</v>
      </c>
    </row>
    <row r="781" spans="1:49" x14ac:dyDescent="0.2">
      <c r="A781">
        <v>779</v>
      </c>
      <c r="B781" t="s">
        <v>890</v>
      </c>
      <c r="F781" t="s">
        <v>889</v>
      </c>
      <c r="G781" t="s">
        <v>5</v>
      </c>
      <c r="H781" t="s">
        <v>4</v>
      </c>
      <c r="I781" t="s">
        <v>888</v>
      </c>
      <c r="J781">
        <v>60025778</v>
      </c>
      <c r="K781" t="s">
        <v>409</v>
      </c>
      <c r="L781" t="s">
        <v>408</v>
      </c>
      <c r="M781" t="s">
        <v>9</v>
      </c>
      <c r="N781">
        <v>3</v>
      </c>
      <c r="O781" t="s">
        <v>887</v>
      </c>
      <c r="P781" t="s">
        <v>886</v>
      </c>
      <c r="Q781" t="s">
        <v>407</v>
      </c>
      <c r="R781" s="7">
        <v>35977</v>
      </c>
      <c r="S781" s="8">
        <f t="shared" si="96"/>
        <v>1998</v>
      </c>
      <c r="T781" s="8">
        <v>1998</v>
      </c>
      <c r="U781" s="8">
        <f t="shared" si="97"/>
        <v>24</v>
      </c>
      <c r="V781" s="7">
        <v>35977</v>
      </c>
      <c r="W781" t="s">
        <v>666</v>
      </c>
      <c r="X781" s="2">
        <v>0.216</v>
      </c>
      <c r="Y781" s="6">
        <f t="shared" si="98"/>
        <v>5.765996636501962E-3</v>
      </c>
      <c r="AA781">
        <v>10544887</v>
      </c>
      <c r="AB781">
        <v>13200</v>
      </c>
      <c r="AD781" t="s">
        <v>2</v>
      </c>
      <c r="AE781">
        <v>13</v>
      </c>
      <c r="AF781">
        <v>2</v>
      </c>
      <c r="AH781" t="s">
        <v>885</v>
      </c>
      <c r="AI781" t="s">
        <v>884</v>
      </c>
      <c r="AK781" t="s">
        <v>883</v>
      </c>
      <c r="AL781">
        <v>1</v>
      </c>
      <c r="AM781" s="5">
        <f t="shared" si="99"/>
        <v>4.1666666666666664E-2</v>
      </c>
      <c r="AN781" s="4">
        <f t="shared" si="100"/>
        <v>6.3107408809794262E-5</v>
      </c>
      <c r="AO781" s="3"/>
      <c r="AP781">
        <v>0</v>
      </c>
      <c r="AR781" t="s">
        <v>1</v>
      </c>
      <c r="AT781" s="2" t="s">
        <v>0</v>
      </c>
      <c r="AU781" s="1">
        <f t="shared" si="101"/>
        <v>0.4055129868194311</v>
      </c>
      <c r="AV781" s="1">
        <f t="shared" si="102"/>
        <v>0.2914552022655878</v>
      </c>
      <c r="AW781" s="1">
        <f t="shared" si="103"/>
        <v>0.17739741771174447</v>
      </c>
    </row>
    <row r="782" spans="1:49" x14ac:dyDescent="0.2">
      <c r="A782">
        <v>780</v>
      </c>
      <c r="B782" t="s">
        <v>882</v>
      </c>
      <c r="C782" t="s">
        <v>881</v>
      </c>
      <c r="F782" t="s">
        <v>880</v>
      </c>
      <c r="G782" t="s">
        <v>5</v>
      </c>
      <c r="H782" t="s">
        <v>4</v>
      </c>
      <c r="I782" t="s">
        <v>879</v>
      </c>
      <c r="J782">
        <v>60032350</v>
      </c>
      <c r="K782" t="s">
        <v>547</v>
      </c>
      <c r="L782" t="s">
        <v>477</v>
      </c>
      <c r="M782" t="s">
        <v>195</v>
      </c>
      <c r="N782">
        <v>5</v>
      </c>
      <c r="O782" t="s">
        <v>878</v>
      </c>
      <c r="P782" t="s">
        <v>877</v>
      </c>
      <c r="Q782" t="s">
        <v>876</v>
      </c>
      <c r="R782" s="7">
        <v>35977</v>
      </c>
      <c r="S782" s="8">
        <f t="shared" si="96"/>
        <v>1998</v>
      </c>
      <c r="T782" s="8">
        <v>1998</v>
      </c>
      <c r="U782" s="8">
        <f t="shared" si="97"/>
        <v>24</v>
      </c>
      <c r="V782" s="7">
        <v>35977</v>
      </c>
      <c r="W782" t="s">
        <v>649</v>
      </c>
      <c r="X782" s="2">
        <v>1.6519999999999999</v>
      </c>
      <c r="Y782" s="6">
        <f t="shared" si="98"/>
        <v>4.409919649769093E-2</v>
      </c>
      <c r="AA782" t="s">
        <v>648</v>
      </c>
      <c r="AB782">
        <v>17337</v>
      </c>
      <c r="AD782" t="s">
        <v>2</v>
      </c>
      <c r="AE782">
        <v>46</v>
      </c>
      <c r="AF782">
        <v>7</v>
      </c>
      <c r="AH782" t="s">
        <v>875</v>
      </c>
      <c r="AI782" t="s">
        <v>874</v>
      </c>
      <c r="AK782" t="s">
        <v>873</v>
      </c>
      <c r="AL782">
        <v>11</v>
      </c>
      <c r="AM782" s="5">
        <f t="shared" si="99"/>
        <v>0.45833333333333331</v>
      </c>
      <c r="AN782" s="4">
        <f t="shared" si="100"/>
        <v>6.9418149690773695E-4</v>
      </c>
      <c r="AO782" s="3"/>
      <c r="AP782">
        <v>0</v>
      </c>
      <c r="AQ782" t="s">
        <v>861</v>
      </c>
      <c r="AR782" t="s">
        <v>860</v>
      </c>
      <c r="AS782" t="s">
        <v>478</v>
      </c>
      <c r="AT782" s="2" t="s">
        <v>0</v>
      </c>
      <c r="AU782" s="1">
        <f t="shared" si="101"/>
        <v>3.1077691997455972</v>
      </c>
      <c r="AV782" s="1">
        <f t="shared" si="102"/>
        <v>2.2396688997299337</v>
      </c>
      <c r="AW782" s="1">
        <f t="shared" si="103"/>
        <v>1.3715685997142693</v>
      </c>
    </row>
    <row r="783" spans="1:49" x14ac:dyDescent="0.2">
      <c r="A783">
        <v>781</v>
      </c>
      <c r="B783" t="s">
        <v>872</v>
      </c>
      <c r="C783" t="s">
        <v>871</v>
      </c>
      <c r="F783" t="s">
        <v>870</v>
      </c>
      <c r="G783" t="s">
        <v>5</v>
      </c>
      <c r="H783" t="s">
        <v>4</v>
      </c>
      <c r="I783" t="s">
        <v>869</v>
      </c>
      <c r="J783">
        <v>60010726</v>
      </c>
      <c r="K783" t="s">
        <v>868</v>
      </c>
      <c r="L783" t="s">
        <v>201</v>
      </c>
      <c r="M783" t="s">
        <v>12</v>
      </c>
      <c r="N783">
        <v>5</v>
      </c>
      <c r="O783" t="s">
        <v>867</v>
      </c>
      <c r="P783" t="s">
        <v>866</v>
      </c>
      <c r="Q783" t="s">
        <v>865</v>
      </c>
      <c r="R783" s="7">
        <v>35977</v>
      </c>
      <c r="S783" s="8">
        <f t="shared" si="96"/>
        <v>1998</v>
      </c>
      <c r="T783" s="8">
        <v>1998</v>
      </c>
      <c r="U783" s="8">
        <f t="shared" si="97"/>
        <v>24</v>
      </c>
      <c r="V783" s="7">
        <v>35977</v>
      </c>
      <c r="W783" t="s">
        <v>649</v>
      </c>
      <c r="X783" s="2">
        <v>1.6519999999999999</v>
      </c>
      <c r="Y783" s="6">
        <f t="shared" si="98"/>
        <v>4.409919649769093E-2</v>
      </c>
      <c r="AA783" t="s">
        <v>648</v>
      </c>
      <c r="AB783">
        <v>17337</v>
      </c>
      <c r="AD783" t="s">
        <v>2</v>
      </c>
      <c r="AE783">
        <v>46</v>
      </c>
      <c r="AF783">
        <v>7</v>
      </c>
      <c r="AH783" t="s">
        <v>864</v>
      </c>
      <c r="AI783" t="s">
        <v>863</v>
      </c>
      <c r="AK783" t="s">
        <v>862</v>
      </c>
      <c r="AL783">
        <v>20</v>
      </c>
      <c r="AM783" s="5">
        <f t="shared" si="99"/>
        <v>0.83333333333333337</v>
      </c>
      <c r="AN783" s="4">
        <f t="shared" si="100"/>
        <v>1.2621481761958854E-3</v>
      </c>
      <c r="AO783" s="3"/>
      <c r="AP783">
        <v>0</v>
      </c>
      <c r="AQ783" t="s">
        <v>861</v>
      </c>
      <c r="AR783" t="s">
        <v>860</v>
      </c>
      <c r="AS783" t="s">
        <v>478</v>
      </c>
      <c r="AT783" s="2" t="s">
        <v>0</v>
      </c>
      <c r="AU783" s="1">
        <f t="shared" si="101"/>
        <v>3.1248082001242414</v>
      </c>
      <c r="AV783" s="1">
        <f t="shared" si="102"/>
        <v>2.268067233694341</v>
      </c>
      <c r="AW783" s="1">
        <f t="shared" si="103"/>
        <v>1.4113262672644398</v>
      </c>
    </row>
    <row r="784" spans="1:49" x14ac:dyDescent="0.2">
      <c r="A784">
        <v>782</v>
      </c>
      <c r="B784" t="s">
        <v>859</v>
      </c>
      <c r="C784" t="s">
        <v>858</v>
      </c>
      <c r="F784" t="s">
        <v>857</v>
      </c>
      <c r="G784" t="s">
        <v>5</v>
      </c>
      <c r="H784" t="s">
        <v>4</v>
      </c>
      <c r="I784" t="s">
        <v>856</v>
      </c>
      <c r="N784">
        <v>1</v>
      </c>
      <c r="O784" t="s">
        <v>413</v>
      </c>
      <c r="P784">
        <v>57214714998</v>
      </c>
      <c r="R784" s="7">
        <v>35977</v>
      </c>
      <c r="S784" s="8">
        <f t="shared" si="96"/>
        <v>1998</v>
      </c>
      <c r="T784" s="8">
        <v>1998</v>
      </c>
      <c r="U784" s="8">
        <f t="shared" si="97"/>
        <v>24</v>
      </c>
      <c r="V784" s="7">
        <v>35977</v>
      </c>
      <c r="W784" t="s">
        <v>649</v>
      </c>
      <c r="X784" s="2">
        <v>1.6519999999999999</v>
      </c>
      <c r="Y784" s="6">
        <f t="shared" si="98"/>
        <v>4.409919649769093E-2</v>
      </c>
      <c r="AA784" t="s">
        <v>648</v>
      </c>
      <c r="AB784">
        <v>17337</v>
      </c>
      <c r="AD784" t="s">
        <v>2</v>
      </c>
      <c r="AE784">
        <v>46</v>
      </c>
      <c r="AF784">
        <v>7</v>
      </c>
      <c r="AH784" t="s">
        <v>855</v>
      </c>
      <c r="AI784" t="s">
        <v>854</v>
      </c>
      <c r="AK784" t="s">
        <v>853</v>
      </c>
      <c r="AL784">
        <v>1</v>
      </c>
      <c r="AM784" s="5">
        <f t="shared" si="99"/>
        <v>4.1666666666666664E-2</v>
      </c>
      <c r="AN784" s="4">
        <f t="shared" si="100"/>
        <v>6.3107408809794262E-5</v>
      </c>
      <c r="AO784" s="3"/>
      <c r="AP784">
        <v>0</v>
      </c>
      <c r="AR784" t="s">
        <v>1</v>
      </c>
      <c r="AT784" s="2" t="s">
        <v>0</v>
      </c>
      <c r="AU784" s="1">
        <f t="shared" si="101"/>
        <v>3.0888369771026589</v>
      </c>
      <c r="AV784" s="1">
        <f t="shared" si="102"/>
        <v>2.208115195325036</v>
      </c>
      <c r="AW784" s="1">
        <f t="shared" si="103"/>
        <v>1.3273934135474135</v>
      </c>
    </row>
    <row r="785" spans="1:49" x14ac:dyDescent="0.2">
      <c r="A785">
        <v>783</v>
      </c>
      <c r="B785" t="s">
        <v>852</v>
      </c>
      <c r="C785" t="s">
        <v>851</v>
      </c>
      <c r="F785" t="s">
        <v>850</v>
      </c>
      <c r="G785" t="s">
        <v>5</v>
      </c>
      <c r="H785" t="s">
        <v>4</v>
      </c>
      <c r="I785" t="s">
        <v>849</v>
      </c>
      <c r="J785">
        <v>100448475</v>
      </c>
      <c r="K785" t="s">
        <v>82</v>
      </c>
      <c r="L785" t="s">
        <v>848</v>
      </c>
      <c r="M785" t="s">
        <v>82</v>
      </c>
      <c r="N785">
        <v>2</v>
      </c>
      <c r="O785" t="s">
        <v>847</v>
      </c>
      <c r="P785" t="s">
        <v>846</v>
      </c>
      <c r="Q785" t="s">
        <v>845</v>
      </c>
      <c r="R785" s="7">
        <v>35977</v>
      </c>
      <c r="S785" s="8">
        <f t="shared" si="96"/>
        <v>1998</v>
      </c>
      <c r="T785" s="8">
        <v>1998</v>
      </c>
      <c r="U785" s="8">
        <f t="shared" si="97"/>
        <v>24</v>
      </c>
      <c r="V785" s="7">
        <v>35977</v>
      </c>
      <c r="W785" t="s">
        <v>649</v>
      </c>
      <c r="X785" s="2">
        <v>1.6519999999999999</v>
      </c>
      <c r="Y785" s="6">
        <f t="shared" si="98"/>
        <v>4.409919649769093E-2</v>
      </c>
      <c r="AA785" t="s">
        <v>648</v>
      </c>
      <c r="AB785">
        <v>17337</v>
      </c>
      <c r="AD785" t="s">
        <v>2</v>
      </c>
      <c r="AE785">
        <v>46</v>
      </c>
      <c r="AF785">
        <v>7</v>
      </c>
      <c r="AH785" t="s">
        <v>844</v>
      </c>
      <c r="AI785" t="s">
        <v>843</v>
      </c>
      <c r="AK785" t="s">
        <v>842</v>
      </c>
      <c r="AL785">
        <v>8</v>
      </c>
      <c r="AM785" s="5">
        <f t="shared" si="99"/>
        <v>0.33333333333333331</v>
      </c>
      <c r="AN785" s="4">
        <f t="shared" si="100"/>
        <v>5.048592704783541E-4</v>
      </c>
      <c r="AO785" s="3"/>
      <c r="AP785">
        <v>0</v>
      </c>
      <c r="AQ785" t="s">
        <v>406</v>
      </c>
      <c r="AR785" t="s">
        <v>841</v>
      </c>
      <c r="AS785" t="s">
        <v>405</v>
      </c>
      <c r="AT785" s="2" t="s">
        <v>0</v>
      </c>
      <c r="AU785" s="1">
        <f t="shared" si="101"/>
        <v>3.1020895329527156</v>
      </c>
      <c r="AV785" s="1">
        <f t="shared" si="102"/>
        <v>2.2302027884084641</v>
      </c>
      <c r="AW785" s="1">
        <f t="shared" si="103"/>
        <v>1.3583160438642126</v>
      </c>
    </row>
    <row r="786" spans="1:49" x14ac:dyDescent="0.2">
      <c r="A786">
        <v>784</v>
      </c>
      <c r="B786" t="s">
        <v>840</v>
      </c>
      <c r="F786" t="s">
        <v>839</v>
      </c>
      <c r="G786" t="s">
        <v>5</v>
      </c>
      <c r="H786" t="s">
        <v>4</v>
      </c>
      <c r="I786" t="s">
        <v>838</v>
      </c>
      <c r="J786" t="s">
        <v>837</v>
      </c>
      <c r="K786" t="s">
        <v>836</v>
      </c>
      <c r="L786" t="s">
        <v>835</v>
      </c>
      <c r="M786" t="s">
        <v>834</v>
      </c>
      <c r="N786">
        <v>1</v>
      </c>
      <c r="O786" t="s">
        <v>833</v>
      </c>
      <c r="P786">
        <v>57213594823</v>
      </c>
      <c r="Q786" t="s">
        <v>832</v>
      </c>
      <c r="R786" s="7">
        <v>35977</v>
      </c>
      <c r="S786" s="8">
        <f t="shared" si="96"/>
        <v>1998</v>
      </c>
      <c r="T786" s="8">
        <v>1998</v>
      </c>
      <c r="U786" s="8">
        <f t="shared" si="97"/>
        <v>24</v>
      </c>
      <c r="V786" s="7">
        <v>35977</v>
      </c>
      <c r="W786" t="s">
        <v>110</v>
      </c>
      <c r="X786" s="2">
        <v>0.13800000000000001</v>
      </c>
      <c r="Y786" s="6">
        <f t="shared" si="98"/>
        <v>3.6838311844318095E-3</v>
      </c>
      <c r="AA786">
        <v>1926225</v>
      </c>
      <c r="AB786">
        <v>18580</v>
      </c>
      <c r="AD786" t="s">
        <v>2</v>
      </c>
      <c r="AE786">
        <v>41</v>
      </c>
      <c r="AF786">
        <v>7</v>
      </c>
      <c r="AH786" t="s">
        <v>479</v>
      </c>
      <c r="AL786">
        <v>0</v>
      </c>
      <c r="AM786" s="5">
        <f t="shared" si="99"/>
        <v>0</v>
      </c>
      <c r="AN786" s="4">
        <f t="shared" si="100"/>
        <v>0</v>
      </c>
      <c r="AO786" s="3"/>
      <c r="AP786">
        <v>0</v>
      </c>
      <c r="AR786" t="s">
        <v>1</v>
      </c>
      <c r="AT786" s="2">
        <v>0.30599999999999999</v>
      </c>
      <c r="AU786" s="1">
        <f t="shared" si="101"/>
        <v>0.25786818291022667</v>
      </c>
      <c r="AV786" s="1">
        <f t="shared" si="102"/>
        <v>0.18419155922159047</v>
      </c>
      <c r="AW786" s="1">
        <f t="shared" si="103"/>
        <v>0.11051493553295429</v>
      </c>
    </row>
    <row r="787" spans="1:49" x14ac:dyDescent="0.2">
      <c r="A787">
        <v>785</v>
      </c>
      <c r="B787" t="s">
        <v>831</v>
      </c>
      <c r="F787" t="s">
        <v>830</v>
      </c>
      <c r="G787" t="s">
        <v>5</v>
      </c>
      <c r="H787" t="s">
        <v>4</v>
      </c>
      <c r="I787" t="s">
        <v>829</v>
      </c>
      <c r="J787" t="s">
        <v>828</v>
      </c>
      <c r="K787" t="s">
        <v>827</v>
      </c>
      <c r="L787" t="s">
        <v>826</v>
      </c>
      <c r="M787" t="s">
        <v>825</v>
      </c>
      <c r="N787">
        <v>4</v>
      </c>
      <c r="O787" t="s">
        <v>824</v>
      </c>
      <c r="P787" t="s">
        <v>823</v>
      </c>
      <c r="Q787" t="s">
        <v>822</v>
      </c>
      <c r="R787" s="7">
        <v>35977</v>
      </c>
      <c r="S787" s="8">
        <f t="shared" si="96"/>
        <v>1998</v>
      </c>
      <c r="T787" s="8">
        <v>1998</v>
      </c>
      <c r="U787" s="8">
        <f t="shared" si="97"/>
        <v>24</v>
      </c>
      <c r="V787" s="7">
        <v>35977</v>
      </c>
      <c r="W787" t="s">
        <v>110</v>
      </c>
      <c r="X787" s="2">
        <v>0.13800000000000001</v>
      </c>
      <c r="Y787" s="6">
        <f t="shared" si="98"/>
        <v>3.6838311844318095E-3</v>
      </c>
      <c r="AA787">
        <v>1926225</v>
      </c>
      <c r="AB787">
        <v>18580</v>
      </c>
      <c r="AD787" t="s">
        <v>2</v>
      </c>
      <c r="AE787">
        <v>41</v>
      </c>
      <c r="AF787">
        <v>7</v>
      </c>
      <c r="AH787" t="s">
        <v>821</v>
      </c>
      <c r="AI787" t="s">
        <v>820</v>
      </c>
      <c r="AK787" t="s">
        <v>819</v>
      </c>
      <c r="AL787">
        <v>0</v>
      </c>
      <c r="AM787" s="5">
        <f t="shared" si="99"/>
        <v>0</v>
      </c>
      <c r="AN787" s="4">
        <f t="shared" si="100"/>
        <v>0</v>
      </c>
      <c r="AO787" s="3"/>
      <c r="AP787">
        <v>0</v>
      </c>
      <c r="AR787" t="s">
        <v>1</v>
      </c>
      <c r="AT787" s="2">
        <v>0.30599999999999999</v>
      </c>
      <c r="AU787" s="1">
        <f t="shared" si="101"/>
        <v>0.25786818291022667</v>
      </c>
      <c r="AV787" s="1">
        <f t="shared" si="102"/>
        <v>0.18419155922159047</v>
      </c>
      <c r="AW787" s="1">
        <f t="shared" si="103"/>
        <v>0.11051493553295429</v>
      </c>
    </row>
    <row r="788" spans="1:49" x14ac:dyDescent="0.2">
      <c r="A788">
        <v>786</v>
      </c>
      <c r="B788" t="s">
        <v>818</v>
      </c>
      <c r="E788">
        <v>9791669</v>
      </c>
      <c r="F788" t="s">
        <v>817</v>
      </c>
      <c r="G788" t="s">
        <v>5</v>
      </c>
      <c r="H788" t="s">
        <v>4</v>
      </c>
      <c r="I788" t="s">
        <v>816</v>
      </c>
      <c r="J788">
        <v>60002481</v>
      </c>
      <c r="K788" t="s">
        <v>815</v>
      </c>
      <c r="L788" t="s">
        <v>160</v>
      </c>
      <c r="M788" t="s">
        <v>159</v>
      </c>
      <c r="N788">
        <v>3</v>
      </c>
      <c r="O788" t="s">
        <v>814</v>
      </c>
      <c r="P788" t="s">
        <v>813</v>
      </c>
      <c r="Q788" t="s">
        <v>812</v>
      </c>
      <c r="R788" s="7">
        <v>35977</v>
      </c>
      <c r="S788" s="8">
        <f t="shared" si="96"/>
        <v>1998</v>
      </c>
      <c r="T788" s="8">
        <v>1998</v>
      </c>
      <c r="U788" s="8">
        <f t="shared" si="97"/>
        <v>24</v>
      </c>
      <c r="V788" s="7">
        <v>35977</v>
      </c>
      <c r="W788" t="s">
        <v>811</v>
      </c>
      <c r="X788" s="2" t="s">
        <v>0</v>
      </c>
      <c r="Y788" s="6" t="e">
        <f t="shared" si="98"/>
        <v>#VALUE!</v>
      </c>
      <c r="AA788">
        <v>3044602</v>
      </c>
      <c r="AB788">
        <v>26516</v>
      </c>
      <c r="AD788" t="s">
        <v>2</v>
      </c>
      <c r="AE788">
        <v>27</v>
      </c>
      <c r="AF788">
        <v>4</v>
      </c>
      <c r="AH788" t="s">
        <v>810</v>
      </c>
      <c r="AI788" t="s">
        <v>809</v>
      </c>
      <c r="AJ788" t="s">
        <v>808</v>
      </c>
      <c r="AK788" t="s">
        <v>807</v>
      </c>
      <c r="AL788">
        <v>0</v>
      </c>
      <c r="AM788" s="5">
        <f t="shared" si="99"/>
        <v>0</v>
      </c>
      <c r="AN788" s="4">
        <f t="shared" si="100"/>
        <v>0</v>
      </c>
      <c r="AO788" s="3"/>
      <c r="AP788">
        <v>0</v>
      </c>
      <c r="AR788" t="s">
        <v>1</v>
      </c>
      <c r="AT788" s="2" t="s">
        <v>0</v>
      </c>
      <c r="AU788" s="1" t="e">
        <f t="shared" si="101"/>
        <v>#VALUE!</v>
      </c>
      <c r="AV788" s="1" t="e">
        <f t="shared" si="102"/>
        <v>#VALUE!</v>
      </c>
      <c r="AW788" s="1" t="e">
        <f t="shared" si="103"/>
        <v>#VALUE!</v>
      </c>
    </row>
    <row r="789" spans="1:49" x14ac:dyDescent="0.2">
      <c r="A789">
        <v>787</v>
      </c>
      <c r="B789" t="s">
        <v>806</v>
      </c>
      <c r="C789" t="s">
        <v>805</v>
      </c>
      <c r="D789" t="s">
        <v>804</v>
      </c>
      <c r="F789" t="s">
        <v>803</v>
      </c>
      <c r="G789" t="s">
        <v>5</v>
      </c>
      <c r="H789" t="s">
        <v>4</v>
      </c>
      <c r="I789" t="s">
        <v>802</v>
      </c>
      <c r="J789">
        <v>60030807</v>
      </c>
      <c r="K789" t="s">
        <v>711</v>
      </c>
      <c r="L789" t="s">
        <v>710</v>
      </c>
      <c r="M789" t="s">
        <v>37</v>
      </c>
      <c r="N789">
        <v>1</v>
      </c>
      <c r="O789" t="s">
        <v>801</v>
      </c>
      <c r="P789">
        <v>6602529081</v>
      </c>
      <c r="Q789">
        <v>60030807</v>
      </c>
      <c r="R789" s="7">
        <v>35977</v>
      </c>
      <c r="S789" s="8">
        <f t="shared" si="96"/>
        <v>1998</v>
      </c>
      <c r="T789" s="8">
        <v>1998</v>
      </c>
      <c r="U789" s="8">
        <f t="shared" si="97"/>
        <v>24</v>
      </c>
      <c r="V789" s="7">
        <v>35977</v>
      </c>
      <c r="W789" t="s">
        <v>672</v>
      </c>
      <c r="X789" s="2">
        <v>0.89900000000000002</v>
      </c>
      <c r="Y789" s="6">
        <f t="shared" si="98"/>
        <v>2.399829155655215E-2</v>
      </c>
      <c r="AA789">
        <v>221910</v>
      </c>
      <c r="AB789">
        <v>20487</v>
      </c>
      <c r="AD789" t="s">
        <v>2</v>
      </c>
      <c r="AE789">
        <v>44</v>
      </c>
      <c r="AF789" s="9">
        <v>44415</v>
      </c>
      <c r="AH789" t="s">
        <v>307</v>
      </c>
      <c r="AI789" t="s">
        <v>800</v>
      </c>
      <c r="AJ789" t="s">
        <v>799</v>
      </c>
      <c r="AK789" t="s">
        <v>798</v>
      </c>
      <c r="AL789">
        <v>5</v>
      </c>
      <c r="AM789" s="5">
        <f t="shared" si="99"/>
        <v>0.20833333333333334</v>
      </c>
      <c r="AN789" s="4">
        <f t="shared" si="100"/>
        <v>3.1553704404897135E-4</v>
      </c>
      <c r="AO789" s="3"/>
      <c r="AP789">
        <v>0</v>
      </c>
      <c r="AR789" t="s">
        <v>1</v>
      </c>
      <c r="AT789" s="2">
        <v>2.3540000000000001</v>
      </c>
      <c r="AU789" s="1">
        <f t="shared" si="101"/>
        <v>1.6893465202801192</v>
      </c>
      <c r="AV789" s="1">
        <f t="shared" si="102"/>
        <v>1.2156914300300561</v>
      </c>
      <c r="AW789" s="1">
        <f t="shared" si="103"/>
        <v>0.74203633977999239</v>
      </c>
    </row>
    <row r="790" spans="1:49" x14ac:dyDescent="0.2">
      <c r="A790">
        <v>788</v>
      </c>
      <c r="B790" t="s">
        <v>797</v>
      </c>
      <c r="F790" t="s">
        <v>796</v>
      </c>
      <c r="G790" t="s">
        <v>5</v>
      </c>
      <c r="H790" t="s">
        <v>4</v>
      </c>
      <c r="I790" t="s">
        <v>544</v>
      </c>
      <c r="J790" t="s">
        <v>795</v>
      </c>
      <c r="K790" t="s">
        <v>794</v>
      </c>
      <c r="L790" t="s">
        <v>793</v>
      </c>
      <c r="M790" t="s">
        <v>792</v>
      </c>
      <c r="N790">
        <v>3</v>
      </c>
      <c r="O790" t="s">
        <v>791</v>
      </c>
      <c r="P790" t="s">
        <v>790</v>
      </c>
      <c r="Q790" t="s">
        <v>789</v>
      </c>
      <c r="R790" s="7">
        <v>35977</v>
      </c>
      <c r="S790" s="8">
        <f t="shared" si="96"/>
        <v>1998</v>
      </c>
      <c r="T790" s="8">
        <v>1998</v>
      </c>
      <c r="U790" s="8">
        <f t="shared" si="97"/>
        <v>24</v>
      </c>
      <c r="V790" s="7">
        <v>35977</v>
      </c>
      <c r="W790" t="s">
        <v>236</v>
      </c>
      <c r="X790" s="2">
        <v>0.41299999999999998</v>
      </c>
      <c r="Y790" s="6">
        <f t="shared" si="98"/>
        <v>1.1024799124422733E-2</v>
      </c>
      <c r="AA790">
        <v>138797</v>
      </c>
      <c r="AB790">
        <v>19840</v>
      </c>
      <c r="AD790" t="s">
        <v>2</v>
      </c>
      <c r="AE790">
        <v>100</v>
      </c>
      <c r="AF790">
        <v>3</v>
      </c>
      <c r="AH790" t="s">
        <v>788</v>
      </c>
      <c r="AI790" t="s">
        <v>787</v>
      </c>
      <c r="AJ790" t="s">
        <v>786</v>
      </c>
      <c r="AK790" t="s">
        <v>785</v>
      </c>
      <c r="AL790">
        <v>6</v>
      </c>
      <c r="AM790" s="5">
        <f t="shared" si="99"/>
        <v>0.25</v>
      </c>
      <c r="AN790" s="4">
        <f t="shared" si="100"/>
        <v>3.786444528587656E-4</v>
      </c>
      <c r="AO790" s="3"/>
      <c r="AP790">
        <v>0</v>
      </c>
      <c r="AR790" t="s">
        <v>1</v>
      </c>
      <c r="AT790" s="2" t="s">
        <v>0</v>
      </c>
      <c r="AU790" s="1">
        <f t="shared" si="101"/>
        <v>0.78309527229535425</v>
      </c>
      <c r="AV790" s="1">
        <f t="shared" si="102"/>
        <v>0.5701721788640749</v>
      </c>
      <c r="AW790" s="1">
        <f t="shared" si="103"/>
        <v>0.35724908543279554</v>
      </c>
    </row>
    <row r="791" spans="1:49" x14ac:dyDescent="0.2">
      <c r="A791">
        <v>789</v>
      </c>
      <c r="B791" t="s">
        <v>784</v>
      </c>
      <c r="F791" t="s">
        <v>783</v>
      </c>
      <c r="G791" t="s">
        <v>5</v>
      </c>
      <c r="H791" t="s">
        <v>4</v>
      </c>
      <c r="I791" t="s">
        <v>782</v>
      </c>
      <c r="J791">
        <v>60000635</v>
      </c>
      <c r="K791" t="s">
        <v>781</v>
      </c>
      <c r="L791" t="s">
        <v>780</v>
      </c>
      <c r="M791" t="s">
        <v>9</v>
      </c>
      <c r="N791">
        <v>1</v>
      </c>
      <c r="O791" t="s">
        <v>779</v>
      </c>
      <c r="P791">
        <v>6602632451</v>
      </c>
      <c r="Q791">
        <v>60000635</v>
      </c>
      <c r="R791" s="7">
        <v>35977</v>
      </c>
      <c r="S791" s="8">
        <f t="shared" si="96"/>
        <v>1998</v>
      </c>
      <c r="T791" s="8">
        <v>1998</v>
      </c>
      <c r="U791" s="8">
        <f t="shared" si="97"/>
        <v>24</v>
      </c>
      <c r="V791" s="7">
        <v>35977</v>
      </c>
      <c r="W791" t="s">
        <v>236</v>
      </c>
      <c r="X791" s="2">
        <v>0.41299999999999998</v>
      </c>
      <c r="Y791" s="6">
        <f t="shared" si="98"/>
        <v>1.1024799124422733E-2</v>
      </c>
      <c r="AA791">
        <v>138797</v>
      </c>
      <c r="AB791">
        <v>19840</v>
      </c>
      <c r="AD791" t="s">
        <v>2</v>
      </c>
      <c r="AE791">
        <v>100</v>
      </c>
      <c r="AF791">
        <v>3</v>
      </c>
      <c r="AH791" t="s">
        <v>778</v>
      </c>
      <c r="AI791" t="s">
        <v>777</v>
      </c>
      <c r="AJ791" t="s">
        <v>776</v>
      </c>
      <c r="AK791" t="s">
        <v>775</v>
      </c>
      <c r="AL791">
        <v>3</v>
      </c>
      <c r="AM791" s="5">
        <f t="shared" si="99"/>
        <v>0.125</v>
      </c>
      <c r="AN791" s="4">
        <f t="shared" si="100"/>
        <v>1.893222264293828E-4</v>
      </c>
      <c r="AO791" s="3"/>
      <c r="AP791">
        <v>0</v>
      </c>
      <c r="AR791" t="s">
        <v>1</v>
      </c>
      <c r="AT791" s="2" t="s">
        <v>0</v>
      </c>
      <c r="AU791" s="1">
        <f t="shared" si="101"/>
        <v>0.7774156055024728</v>
      </c>
      <c r="AV791" s="1">
        <f t="shared" si="102"/>
        <v>0.56070606754260577</v>
      </c>
      <c r="AW791" s="1">
        <f t="shared" si="103"/>
        <v>0.34399652958273874</v>
      </c>
    </row>
    <row r="792" spans="1:49" x14ac:dyDescent="0.2">
      <c r="A792">
        <v>790</v>
      </c>
      <c r="B792" t="s">
        <v>774</v>
      </c>
      <c r="C792" t="s">
        <v>773</v>
      </c>
      <c r="F792" t="s">
        <v>772</v>
      </c>
      <c r="G792" t="s">
        <v>5</v>
      </c>
      <c r="H792" t="s">
        <v>4</v>
      </c>
      <c r="I792" t="s">
        <v>771</v>
      </c>
      <c r="J792" t="s">
        <v>770</v>
      </c>
      <c r="K792" t="s">
        <v>769</v>
      </c>
      <c r="L792" t="s">
        <v>768</v>
      </c>
      <c r="M792" t="s">
        <v>6</v>
      </c>
      <c r="N792">
        <v>2</v>
      </c>
      <c r="O792" t="s">
        <v>767</v>
      </c>
      <c r="P792" t="s">
        <v>766</v>
      </c>
      <c r="Q792" t="s">
        <v>765</v>
      </c>
      <c r="R792" s="7">
        <v>35977</v>
      </c>
      <c r="S792" s="8">
        <f t="shared" si="96"/>
        <v>1998</v>
      </c>
      <c r="T792" s="8">
        <v>1998</v>
      </c>
      <c r="U792" s="8">
        <f t="shared" si="97"/>
        <v>24</v>
      </c>
      <c r="V792" s="7">
        <v>35977</v>
      </c>
      <c r="W792" t="s">
        <v>629</v>
      </c>
      <c r="X792" s="2">
        <v>0.8</v>
      </c>
      <c r="Y792" s="6">
        <f t="shared" si="98"/>
        <v>2.1355543098155415E-2</v>
      </c>
      <c r="AA792">
        <v>3407594</v>
      </c>
      <c r="AB792">
        <v>23456</v>
      </c>
      <c r="AD792" t="s">
        <v>2</v>
      </c>
      <c r="AE792">
        <v>183</v>
      </c>
      <c r="AF792">
        <v>1</v>
      </c>
      <c r="AH792" t="s">
        <v>764</v>
      </c>
      <c r="AI792" t="s">
        <v>763</v>
      </c>
      <c r="AJ792" t="s">
        <v>762</v>
      </c>
      <c r="AK792" t="s">
        <v>761</v>
      </c>
      <c r="AL792">
        <v>26</v>
      </c>
      <c r="AM792" s="5">
        <f t="shared" si="99"/>
        <v>1.0833333333333333</v>
      </c>
      <c r="AN792" s="4">
        <f t="shared" si="100"/>
        <v>1.6407926290546509E-3</v>
      </c>
      <c r="AO792" s="3"/>
      <c r="AP792">
        <v>0</v>
      </c>
      <c r="AQ792" t="s">
        <v>760</v>
      </c>
      <c r="AR792" t="s">
        <v>1</v>
      </c>
      <c r="AS792" t="s">
        <v>759</v>
      </c>
      <c r="AT792" s="2" t="s">
        <v>0</v>
      </c>
      <c r="AU792" s="1">
        <f t="shared" si="101"/>
        <v>1.5441117957425186</v>
      </c>
      <c r="AV792" s="1">
        <f t="shared" si="102"/>
        <v>1.1498167863605033</v>
      </c>
      <c r="AW792" s="1">
        <f t="shared" si="103"/>
        <v>0.75552177697848799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2021-11-11T10:45:35Z</dcterms:created>
  <dcterms:modified xsi:type="dcterms:W3CDTF">2022-01-19T20:29:28Z</dcterms:modified>
</cp:coreProperties>
</file>