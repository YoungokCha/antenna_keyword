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defaultThemeVersion="166925"/>
  <mc:AlternateContent xmlns:mc="http://schemas.openxmlformats.org/markup-compatibility/2006">
    <mc:Choice Requires="x15">
      <x15ac:absPath xmlns:x15ac="http://schemas.microsoft.com/office/spreadsheetml/2010/11/ac" url="https://qmulprod-my.sharepoint.com/personal/eex760_qmul_ac_uk/Documents/1MyProject/0LSTM_keyword_predict/3.Antenna/antenna_new/"/>
    </mc:Choice>
  </mc:AlternateContent>
  <xr:revisionPtr revIDLastSave="1" documentId="8_{6E3AC8AF-941C-AE46-A6D3-6D818098B7AD}" xr6:coauthVersionLast="47" xr6:coauthVersionMax="47" xr10:uidLastSave="{84600644-D4B9-4946-8AA7-BDAC1EC5FB0E}"/>
  <bookViews>
    <workbookView xWindow="14420" yWindow="10560" windowWidth="27640" windowHeight="16940" xr2:uid="{3003D2EE-3EDE-B440-9FA0-CD3AEC2F2828}"/>
  </bookViews>
  <sheets>
    <sheet name="1987" sheetId="1" r:id="rId1"/>
  </sheets>
  <externalReferences>
    <externalReference r:id="rId2"/>
  </externalReferences>
  <definedNames>
    <definedName name="s0">[1]antenna_all!#REF!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2" i="1" l="1"/>
  <c r="U2" i="1"/>
  <c r="Y2" i="1"/>
  <c r="AM2" i="1"/>
  <c r="AN2" i="1" s="1"/>
  <c r="AW2" i="1" s="1"/>
  <c r="S3" i="1"/>
  <c r="U3" i="1"/>
  <c r="AM3" i="1" s="1"/>
  <c r="AN3" i="1" s="1"/>
  <c r="Y3" i="1"/>
  <c r="S4" i="1"/>
  <c r="U4" i="1"/>
  <c r="AM4" i="1" s="1"/>
  <c r="AN4" i="1" s="1"/>
  <c r="Y4" i="1"/>
  <c r="S5" i="1"/>
  <c r="U5" i="1"/>
  <c r="Y5" i="1"/>
  <c r="AM5" i="1"/>
  <c r="AN5" i="1" s="1"/>
  <c r="S6" i="1"/>
  <c r="U6" i="1"/>
  <c r="AM6" i="1" s="1"/>
  <c r="AN6" i="1" s="1"/>
  <c r="Y6" i="1"/>
  <c r="S7" i="1"/>
  <c r="U7" i="1"/>
  <c r="AM7" i="1" s="1"/>
  <c r="AN7" i="1" s="1"/>
  <c r="Y7" i="1"/>
  <c r="S8" i="1"/>
  <c r="U8" i="1"/>
  <c r="Y8" i="1"/>
  <c r="AM8" i="1"/>
  <c r="AN8" i="1" s="1"/>
  <c r="S9" i="1"/>
  <c r="U9" i="1"/>
  <c r="AM9" i="1" s="1"/>
  <c r="AN9" i="1" s="1"/>
  <c r="Y9" i="1"/>
  <c r="S10" i="1"/>
  <c r="U10" i="1"/>
  <c r="AM10" i="1" s="1"/>
  <c r="AN10" i="1" s="1"/>
  <c r="Y10" i="1"/>
  <c r="S11" i="1"/>
  <c r="U11" i="1"/>
  <c r="AM11" i="1" s="1"/>
  <c r="AN11" i="1" s="1"/>
  <c r="Y11" i="1"/>
  <c r="S12" i="1"/>
  <c r="U12" i="1"/>
  <c r="Y12" i="1"/>
  <c r="AM12" i="1"/>
  <c r="AN12" i="1" s="1"/>
  <c r="S13" i="1"/>
  <c r="U13" i="1"/>
  <c r="AM13" i="1" s="1"/>
  <c r="AN13" i="1" s="1"/>
  <c r="Y13" i="1"/>
  <c r="S14" i="1"/>
  <c r="U14" i="1"/>
  <c r="AM14" i="1" s="1"/>
  <c r="AN14" i="1" s="1"/>
  <c r="Y14" i="1"/>
  <c r="S15" i="1"/>
  <c r="U15" i="1"/>
  <c r="Y15" i="1"/>
  <c r="AM15" i="1"/>
  <c r="AN15" i="1" s="1"/>
  <c r="S16" i="1"/>
  <c r="U16" i="1"/>
  <c r="AM16" i="1" s="1"/>
  <c r="AN16" i="1" s="1"/>
  <c r="Y16" i="1"/>
  <c r="S17" i="1"/>
  <c r="U17" i="1"/>
  <c r="Y17" i="1"/>
  <c r="AM17" i="1"/>
  <c r="AN17" i="1" s="1"/>
  <c r="AV17" i="1" s="1"/>
  <c r="S18" i="1"/>
  <c r="U18" i="1"/>
  <c r="AM18" i="1" s="1"/>
  <c r="AN18" i="1" s="1"/>
  <c r="Y18" i="1"/>
  <c r="S19" i="1"/>
  <c r="U19" i="1"/>
  <c r="AM19" i="1" s="1"/>
  <c r="AN19" i="1" s="1"/>
  <c r="Y19" i="1"/>
  <c r="S20" i="1"/>
  <c r="U20" i="1"/>
  <c r="AM20" i="1" s="1"/>
  <c r="AN20" i="1" s="1"/>
  <c r="Y20" i="1"/>
  <c r="S21" i="1"/>
  <c r="U21" i="1"/>
  <c r="AM21" i="1" s="1"/>
  <c r="AN21" i="1" s="1"/>
  <c r="Y21" i="1"/>
  <c r="S22" i="1"/>
  <c r="U22" i="1"/>
  <c r="Y22" i="1"/>
  <c r="AM22" i="1"/>
  <c r="AN22" i="1" s="1"/>
  <c r="S23" i="1"/>
  <c r="U23" i="1"/>
  <c r="Y23" i="1"/>
  <c r="AM23" i="1"/>
  <c r="AN23" i="1" s="1"/>
  <c r="S24" i="1"/>
  <c r="U24" i="1"/>
  <c r="AM24" i="1" s="1"/>
  <c r="AN24" i="1" s="1"/>
  <c r="Y24" i="1"/>
  <c r="S25" i="1"/>
  <c r="U25" i="1"/>
  <c r="AM25" i="1" s="1"/>
  <c r="AN25" i="1" s="1"/>
  <c r="Y25" i="1"/>
  <c r="S26" i="1"/>
  <c r="U26" i="1"/>
  <c r="AM26" i="1" s="1"/>
  <c r="AN26" i="1" s="1"/>
  <c r="Y26" i="1"/>
  <c r="S27" i="1"/>
  <c r="U27" i="1"/>
  <c r="AM27" i="1" s="1"/>
  <c r="AN27" i="1" s="1"/>
  <c r="AV27" i="1" s="1"/>
  <c r="Y27" i="1"/>
  <c r="S28" i="1"/>
  <c r="U28" i="1"/>
  <c r="Y28" i="1"/>
  <c r="AM28" i="1"/>
  <c r="AN28" i="1" s="1"/>
  <c r="S29" i="1"/>
  <c r="U29" i="1"/>
  <c r="AM29" i="1" s="1"/>
  <c r="AN29" i="1" s="1"/>
  <c r="Y29" i="1"/>
  <c r="S30" i="1"/>
  <c r="U30" i="1"/>
  <c r="Y30" i="1"/>
  <c r="AM30" i="1"/>
  <c r="AN30" i="1" s="1"/>
  <c r="S31" i="1"/>
  <c r="U31" i="1"/>
  <c r="AM31" i="1" s="1"/>
  <c r="AN31" i="1" s="1"/>
  <c r="Y31" i="1"/>
  <c r="AW31" i="1" s="1"/>
  <c r="S32" i="1"/>
  <c r="U32" i="1"/>
  <c r="Y32" i="1"/>
  <c r="AM32" i="1"/>
  <c r="AN32" i="1" s="1"/>
  <c r="AV32" i="1" s="1"/>
  <c r="S33" i="1"/>
  <c r="U33" i="1"/>
  <c r="Y33" i="1"/>
  <c r="AM33" i="1"/>
  <c r="AN33" i="1" s="1"/>
  <c r="S34" i="1"/>
  <c r="U34" i="1"/>
  <c r="AM34" i="1" s="1"/>
  <c r="AN34" i="1" s="1"/>
  <c r="Y34" i="1"/>
  <c r="S35" i="1"/>
  <c r="U35" i="1"/>
  <c r="Y35" i="1"/>
  <c r="AM35" i="1"/>
  <c r="AN35" i="1" s="1"/>
  <c r="S36" i="1"/>
  <c r="U36" i="1"/>
  <c r="AM36" i="1" s="1"/>
  <c r="AN36" i="1" s="1"/>
  <c r="Y36" i="1"/>
  <c r="AW36" i="1" s="1"/>
  <c r="S37" i="1"/>
  <c r="U37" i="1"/>
  <c r="AM37" i="1" s="1"/>
  <c r="AN37" i="1" s="1"/>
  <c r="Y37" i="1"/>
  <c r="S38" i="1"/>
  <c r="U38" i="1"/>
  <c r="AM38" i="1" s="1"/>
  <c r="AN38" i="1" s="1"/>
  <c r="Y38" i="1"/>
  <c r="S39" i="1"/>
  <c r="U39" i="1"/>
  <c r="AM39" i="1" s="1"/>
  <c r="AN39" i="1" s="1"/>
  <c r="Y39" i="1"/>
  <c r="S40" i="1"/>
  <c r="U40" i="1"/>
  <c r="AM40" i="1" s="1"/>
  <c r="AN40" i="1" s="1"/>
  <c r="Y40" i="1"/>
  <c r="AU40" i="1" s="1"/>
  <c r="S41" i="1"/>
  <c r="U41" i="1"/>
  <c r="AM41" i="1" s="1"/>
  <c r="AN41" i="1" s="1"/>
  <c r="Y41" i="1"/>
  <c r="S42" i="1"/>
  <c r="U42" i="1"/>
  <c r="AM42" i="1" s="1"/>
  <c r="AN42" i="1" s="1"/>
  <c r="Y42" i="1"/>
  <c r="S43" i="1"/>
  <c r="U43" i="1"/>
  <c r="AM43" i="1" s="1"/>
  <c r="AN43" i="1" s="1"/>
  <c r="Y43" i="1"/>
  <c r="S44" i="1"/>
  <c r="U44" i="1"/>
  <c r="AM44" i="1" s="1"/>
  <c r="AN44" i="1" s="1"/>
  <c r="Y44" i="1"/>
  <c r="S45" i="1"/>
  <c r="U45" i="1"/>
  <c r="Y45" i="1"/>
  <c r="AM45" i="1"/>
  <c r="AN45" i="1" s="1"/>
  <c r="S46" i="1"/>
  <c r="U46" i="1"/>
  <c r="AM46" i="1" s="1"/>
  <c r="AN46" i="1" s="1"/>
  <c r="Y46" i="1"/>
  <c r="S47" i="1"/>
  <c r="U47" i="1"/>
  <c r="Y47" i="1"/>
  <c r="AM47" i="1"/>
  <c r="AN47" i="1" s="1"/>
  <c r="AV47" i="1" s="1"/>
  <c r="S48" i="1"/>
  <c r="U48" i="1"/>
  <c r="AM48" i="1" s="1"/>
  <c r="AN48" i="1" s="1"/>
  <c r="Y48" i="1"/>
  <c r="S49" i="1"/>
  <c r="U49" i="1"/>
  <c r="AM49" i="1" s="1"/>
  <c r="AN49" i="1" s="1"/>
  <c r="Y49" i="1"/>
  <c r="S50" i="1"/>
  <c r="U50" i="1"/>
  <c r="Y50" i="1"/>
  <c r="AM50" i="1"/>
  <c r="AN50" i="1"/>
  <c r="S51" i="1"/>
  <c r="U51" i="1"/>
  <c r="AM51" i="1" s="1"/>
  <c r="AN51" i="1" s="1"/>
  <c r="Y51" i="1"/>
  <c r="S52" i="1"/>
  <c r="U52" i="1"/>
  <c r="Y52" i="1"/>
  <c r="AM52" i="1"/>
  <c r="AN52" i="1" s="1"/>
  <c r="AV52" i="1" s="1"/>
  <c r="S53" i="1"/>
  <c r="U53" i="1"/>
  <c r="Y53" i="1"/>
  <c r="AM53" i="1"/>
  <c r="AN53" i="1" s="1"/>
  <c r="S54" i="1"/>
  <c r="U54" i="1"/>
  <c r="AM54" i="1" s="1"/>
  <c r="AN54" i="1" s="1"/>
  <c r="Y54" i="1"/>
  <c r="S55" i="1"/>
  <c r="U55" i="1"/>
  <c r="Y55" i="1"/>
  <c r="AM55" i="1"/>
  <c r="AN55" i="1"/>
  <c r="S56" i="1"/>
  <c r="U56" i="1"/>
  <c r="AM56" i="1" s="1"/>
  <c r="AN56" i="1" s="1"/>
  <c r="Y56" i="1"/>
  <c r="AW56" i="1" s="1"/>
  <c r="S57" i="1"/>
  <c r="U57" i="1"/>
  <c r="Y57" i="1"/>
  <c r="AM57" i="1"/>
  <c r="AN57" i="1" s="1"/>
  <c r="AV57" i="1" s="1"/>
  <c r="S58" i="1"/>
  <c r="U58" i="1"/>
  <c r="AM58" i="1" s="1"/>
  <c r="AN58" i="1" s="1"/>
  <c r="Y58" i="1"/>
  <c r="S59" i="1"/>
  <c r="U59" i="1"/>
  <c r="AM59" i="1" s="1"/>
  <c r="AN59" i="1" s="1"/>
  <c r="Y59" i="1"/>
  <c r="S60" i="1"/>
  <c r="U60" i="1"/>
  <c r="Y60" i="1"/>
  <c r="AM60" i="1"/>
  <c r="AN60" i="1" s="1"/>
  <c r="S61" i="1"/>
  <c r="U61" i="1"/>
  <c r="AM61" i="1" s="1"/>
  <c r="AN61" i="1" s="1"/>
  <c r="Y61" i="1"/>
  <c r="S62" i="1"/>
  <c r="U62" i="1"/>
  <c r="Y62" i="1"/>
  <c r="AM62" i="1"/>
  <c r="AN62" i="1" s="1"/>
  <c r="AV62" i="1" s="1"/>
  <c r="S63" i="1"/>
  <c r="U63" i="1"/>
  <c r="Y63" i="1"/>
  <c r="AM63" i="1"/>
  <c r="AN63" i="1" s="1"/>
  <c r="S64" i="1"/>
  <c r="U64" i="1"/>
  <c r="AM64" i="1" s="1"/>
  <c r="AN64" i="1" s="1"/>
  <c r="Y64" i="1"/>
  <c r="AU64" i="1" s="1"/>
  <c r="S65" i="1"/>
  <c r="U65" i="1"/>
  <c r="AM65" i="1" s="1"/>
  <c r="AN65" i="1" s="1"/>
  <c r="Y65" i="1"/>
  <c r="S66" i="1"/>
  <c r="U66" i="1"/>
  <c r="AM66" i="1" s="1"/>
  <c r="AN66" i="1" s="1"/>
  <c r="Y66" i="1"/>
  <c r="AU66" i="1" s="1"/>
  <c r="S67" i="1"/>
  <c r="U67" i="1"/>
  <c r="AM67" i="1" s="1"/>
  <c r="AN67" i="1" s="1"/>
  <c r="Y67" i="1"/>
  <c r="S68" i="1"/>
  <c r="U68" i="1"/>
  <c r="Y68" i="1"/>
  <c r="AM68" i="1"/>
  <c r="AN68" i="1" s="1"/>
  <c r="S69" i="1"/>
  <c r="U69" i="1"/>
  <c r="AM69" i="1" s="1"/>
  <c r="AN69" i="1" s="1"/>
  <c r="Y69" i="1"/>
  <c r="S70" i="1"/>
  <c r="U70" i="1"/>
  <c r="AM70" i="1" s="1"/>
  <c r="AN70" i="1" s="1"/>
  <c r="Y70" i="1"/>
  <c r="S71" i="1"/>
  <c r="U71" i="1"/>
  <c r="AM71" i="1" s="1"/>
  <c r="AN71" i="1" s="1"/>
  <c r="Y71" i="1"/>
  <c r="AU71" i="1" s="1"/>
  <c r="S72" i="1"/>
  <c r="U72" i="1"/>
  <c r="AM72" i="1" s="1"/>
  <c r="AN72" i="1" s="1"/>
  <c r="Y72" i="1"/>
  <c r="AU72" i="1" s="1"/>
  <c r="S73" i="1"/>
  <c r="U73" i="1"/>
  <c r="Y73" i="1"/>
  <c r="AM73" i="1"/>
  <c r="AN73" i="1" s="1"/>
  <c r="S74" i="1"/>
  <c r="U74" i="1"/>
  <c r="AM74" i="1" s="1"/>
  <c r="AN74" i="1" s="1"/>
  <c r="Y74" i="1"/>
  <c r="AU74" i="1" s="1"/>
  <c r="S75" i="1"/>
  <c r="U75" i="1"/>
  <c r="Y75" i="1"/>
  <c r="AM75" i="1"/>
  <c r="AN75" i="1" s="1"/>
  <c r="S76" i="1"/>
  <c r="U76" i="1"/>
  <c r="AM76" i="1" s="1"/>
  <c r="AN76" i="1" s="1"/>
  <c r="Y76" i="1"/>
  <c r="S77" i="1"/>
  <c r="U77" i="1"/>
  <c r="Y77" i="1"/>
  <c r="AM77" i="1"/>
  <c r="AN77" i="1" s="1"/>
  <c r="AV77" i="1" s="1"/>
  <c r="S78" i="1"/>
  <c r="U78" i="1"/>
  <c r="Y78" i="1"/>
  <c r="AM78" i="1"/>
  <c r="AN78" i="1"/>
  <c r="S79" i="1"/>
  <c r="U79" i="1"/>
  <c r="AM79" i="1" s="1"/>
  <c r="AN79" i="1" s="1"/>
  <c r="Y79" i="1"/>
  <c r="S80" i="1"/>
  <c r="U80" i="1"/>
  <c r="Y80" i="1"/>
  <c r="AM80" i="1"/>
  <c r="AN80" i="1" s="1"/>
  <c r="S81" i="1"/>
  <c r="U81" i="1"/>
  <c r="AM81" i="1" s="1"/>
  <c r="AN81" i="1" s="1"/>
  <c r="Y81" i="1"/>
  <c r="S82" i="1"/>
  <c r="U82" i="1"/>
  <c r="Y82" i="1"/>
  <c r="AM82" i="1"/>
  <c r="AN82" i="1" s="1"/>
  <c r="AV82" i="1" s="1"/>
  <c r="S83" i="1"/>
  <c r="U83" i="1"/>
  <c r="Y83" i="1"/>
  <c r="AM83" i="1"/>
  <c r="AN83" i="1"/>
  <c r="S84" i="1"/>
  <c r="U84" i="1"/>
  <c r="AM84" i="1" s="1"/>
  <c r="AN84" i="1" s="1"/>
  <c r="Y84" i="1"/>
  <c r="AU84" i="1" s="1"/>
  <c r="S85" i="1"/>
  <c r="U85" i="1"/>
  <c r="Y85" i="1"/>
  <c r="AM85" i="1"/>
  <c r="AN85" i="1" s="1"/>
  <c r="S86" i="1"/>
  <c r="U86" i="1"/>
  <c r="Y86" i="1"/>
  <c r="AM86" i="1"/>
  <c r="AN86" i="1" s="1"/>
  <c r="AV86" i="1" s="1"/>
  <c r="S87" i="1"/>
  <c r="U87" i="1"/>
  <c r="AM87" i="1" s="1"/>
  <c r="AN87" i="1" s="1"/>
  <c r="Y87" i="1"/>
  <c r="AU87" i="1" s="1"/>
  <c r="S88" i="1"/>
  <c r="U88" i="1"/>
  <c r="AM88" i="1" s="1"/>
  <c r="AN88" i="1" s="1"/>
  <c r="Y88" i="1"/>
  <c r="S89" i="1"/>
  <c r="U89" i="1"/>
  <c r="AM89" i="1" s="1"/>
  <c r="AN89" i="1" s="1"/>
  <c r="Y89" i="1"/>
  <c r="S90" i="1"/>
  <c r="U90" i="1"/>
  <c r="AM90" i="1" s="1"/>
  <c r="AN90" i="1" s="1"/>
  <c r="Y90" i="1"/>
  <c r="S91" i="1"/>
  <c r="U91" i="1"/>
  <c r="Y91" i="1"/>
  <c r="AM91" i="1"/>
  <c r="AN91" i="1" s="1"/>
  <c r="AV91" i="1" s="1"/>
  <c r="S92" i="1"/>
  <c r="U92" i="1"/>
  <c r="AM92" i="1" s="1"/>
  <c r="AN92" i="1" s="1"/>
  <c r="Y92" i="1"/>
  <c r="S93" i="1"/>
  <c r="U93" i="1"/>
  <c r="Y93" i="1"/>
  <c r="AM93" i="1"/>
  <c r="AN93" i="1" s="1"/>
  <c r="S94" i="1"/>
  <c r="U94" i="1"/>
  <c r="AM94" i="1" s="1"/>
  <c r="AN94" i="1" s="1"/>
  <c r="Y94" i="1"/>
  <c r="S95" i="1"/>
  <c r="U95" i="1"/>
  <c r="AM95" i="1" s="1"/>
  <c r="AN95" i="1" s="1"/>
  <c r="Y95" i="1"/>
  <c r="S96" i="1"/>
  <c r="U96" i="1"/>
  <c r="Y96" i="1"/>
  <c r="AM96" i="1"/>
  <c r="AN96" i="1" s="1"/>
  <c r="AV96" i="1" s="1"/>
  <c r="S97" i="1"/>
  <c r="U97" i="1"/>
  <c r="Y97" i="1"/>
  <c r="AM97" i="1"/>
  <c r="AN97" i="1" s="1"/>
  <c r="AV97" i="1" s="1"/>
  <c r="S98" i="1"/>
  <c r="U98" i="1"/>
  <c r="Y98" i="1"/>
  <c r="AM98" i="1"/>
  <c r="AN98" i="1"/>
  <c r="S99" i="1"/>
  <c r="U99" i="1"/>
  <c r="AM99" i="1" s="1"/>
  <c r="AN99" i="1" s="1"/>
  <c r="Y99" i="1"/>
  <c r="S100" i="1"/>
  <c r="U100" i="1"/>
  <c r="Y100" i="1"/>
  <c r="AM100" i="1"/>
  <c r="AN100" i="1" s="1"/>
  <c r="AV100" i="1"/>
  <c r="S101" i="1"/>
  <c r="U101" i="1"/>
  <c r="AM101" i="1" s="1"/>
  <c r="AN101" i="1" s="1"/>
  <c r="Y101" i="1"/>
  <c r="AU101" i="1" s="1"/>
  <c r="S102" i="1"/>
  <c r="U102" i="1"/>
  <c r="Y102" i="1"/>
  <c r="AM102" i="1"/>
  <c r="AN102" i="1" s="1"/>
  <c r="AV102" i="1" s="1"/>
  <c r="S103" i="1"/>
  <c r="U103" i="1"/>
  <c r="Y103" i="1"/>
  <c r="AM103" i="1"/>
  <c r="AN103" i="1" s="1"/>
  <c r="S104" i="1"/>
  <c r="U104" i="1"/>
  <c r="AM104" i="1" s="1"/>
  <c r="AN104" i="1" s="1"/>
  <c r="Y104" i="1"/>
  <c r="S105" i="1"/>
  <c r="U105" i="1"/>
  <c r="AM105" i="1" s="1"/>
  <c r="AN105" i="1" s="1"/>
  <c r="Y105" i="1"/>
  <c r="S106" i="1"/>
  <c r="U106" i="1"/>
  <c r="Y106" i="1"/>
  <c r="AM106" i="1"/>
  <c r="AN106" i="1" s="1"/>
  <c r="S107" i="1"/>
  <c r="U107" i="1"/>
  <c r="Y107" i="1"/>
  <c r="AM107" i="1"/>
  <c r="AN107" i="1" s="1"/>
  <c r="AV107" i="1" s="1"/>
  <c r="S108" i="1"/>
  <c r="U108" i="1"/>
  <c r="Y108" i="1"/>
  <c r="AM108" i="1"/>
  <c r="AN108" i="1" s="1"/>
  <c r="S109" i="1"/>
  <c r="U109" i="1"/>
  <c r="AM109" i="1" s="1"/>
  <c r="AN109" i="1" s="1"/>
  <c r="Y109" i="1"/>
  <c r="S110" i="1"/>
  <c r="U110" i="1"/>
  <c r="AM110" i="1" s="1"/>
  <c r="AN110" i="1" s="1"/>
  <c r="Y110" i="1"/>
  <c r="AU110" i="1" s="1"/>
  <c r="S111" i="1"/>
  <c r="U111" i="1"/>
  <c r="AM111" i="1" s="1"/>
  <c r="AN111" i="1" s="1"/>
  <c r="Y111" i="1"/>
  <c r="S112" i="1"/>
  <c r="U112" i="1"/>
  <c r="Y112" i="1"/>
  <c r="AM112" i="1"/>
  <c r="AN112" i="1"/>
  <c r="AV112" i="1"/>
  <c r="S113" i="1"/>
  <c r="U113" i="1"/>
  <c r="AM113" i="1" s="1"/>
  <c r="AN113" i="1" s="1"/>
  <c r="Y113" i="1"/>
  <c r="S114" i="1"/>
  <c r="U114" i="1"/>
  <c r="AM114" i="1" s="1"/>
  <c r="AN114" i="1" s="1"/>
  <c r="Y114" i="1"/>
  <c r="S115" i="1"/>
  <c r="U115" i="1"/>
  <c r="AM115" i="1" s="1"/>
  <c r="AN115" i="1" s="1"/>
  <c r="Y115" i="1"/>
  <c r="S116" i="1"/>
  <c r="U116" i="1"/>
  <c r="Y116" i="1"/>
  <c r="AM116" i="1"/>
  <c r="AN116" i="1" s="1"/>
  <c r="AV116" i="1" s="1"/>
  <c r="S117" i="1"/>
  <c r="U117" i="1"/>
  <c r="Y117" i="1"/>
  <c r="AM117" i="1"/>
  <c r="AN117" i="1"/>
  <c r="AV117" i="1"/>
  <c r="S118" i="1"/>
  <c r="U118" i="1"/>
  <c r="AM118" i="1" s="1"/>
  <c r="AN118" i="1" s="1"/>
  <c r="Y118" i="1"/>
  <c r="S119" i="1"/>
  <c r="U119" i="1"/>
  <c r="AM119" i="1" s="1"/>
  <c r="AN119" i="1" s="1"/>
  <c r="Y119" i="1"/>
  <c r="S120" i="1"/>
  <c r="U120" i="1"/>
  <c r="AM120" i="1" s="1"/>
  <c r="AN120" i="1" s="1"/>
  <c r="Y120" i="1"/>
  <c r="AV120" i="1" s="1"/>
  <c r="S121" i="1"/>
  <c r="U121" i="1"/>
  <c r="AM121" i="1" s="1"/>
  <c r="AN121" i="1" s="1"/>
  <c r="Y121" i="1"/>
  <c r="S122" i="1"/>
  <c r="U122" i="1"/>
  <c r="Y122" i="1"/>
  <c r="AM122" i="1"/>
  <c r="AN122" i="1" s="1"/>
  <c r="S123" i="1"/>
  <c r="U123" i="1"/>
  <c r="AM123" i="1" s="1"/>
  <c r="AN123" i="1" s="1"/>
  <c r="Y123" i="1"/>
  <c r="S124" i="1"/>
  <c r="U124" i="1"/>
  <c r="AM124" i="1" s="1"/>
  <c r="AN124" i="1" s="1"/>
  <c r="Y124" i="1"/>
  <c r="S125" i="1"/>
  <c r="U125" i="1"/>
  <c r="AM125" i="1" s="1"/>
  <c r="AN125" i="1" s="1"/>
  <c r="Y125" i="1"/>
  <c r="S126" i="1"/>
  <c r="U126" i="1"/>
  <c r="Y126" i="1"/>
  <c r="AM126" i="1"/>
  <c r="AN126" i="1"/>
  <c r="AV126" i="1" s="1"/>
  <c r="S127" i="1"/>
  <c r="U127" i="1"/>
  <c r="Y127" i="1"/>
  <c r="AM127" i="1"/>
  <c r="AN127" i="1" s="1"/>
  <c r="AV127" i="1" s="1"/>
  <c r="S128" i="1"/>
  <c r="U128" i="1"/>
  <c r="Y128" i="1"/>
  <c r="AM128" i="1"/>
  <c r="AN128" i="1" s="1"/>
  <c r="S129" i="1"/>
  <c r="U129" i="1"/>
  <c r="AM129" i="1" s="1"/>
  <c r="AN129" i="1" s="1"/>
  <c r="Y129" i="1"/>
  <c r="S130" i="1"/>
  <c r="U130" i="1"/>
  <c r="AM130" i="1" s="1"/>
  <c r="AN130" i="1" s="1"/>
  <c r="Y130" i="1"/>
  <c r="S131" i="1"/>
  <c r="U131" i="1"/>
  <c r="Y131" i="1"/>
  <c r="AM131" i="1"/>
  <c r="AN131" i="1" s="1"/>
  <c r="S132" i="1"/>
  <c r="U132" i="1"/>
  <c r="AM132" i="1" s="1"/>
  <c r="AN132" i="1" s="1"/>
  <c r="AV132" i="1" s="1"/>
  <c r="Y132" i="1"/>
  <c r="S133" i="1"/>
  <c r="U133" i="1"/>
  <c r="Y133" i="1"/>
  <c r="AM133" i="1"/>
  <c r="AN133" i="1" s="1"/>
  <c r="S134" i="1"/>
  <c r="U134" i="1"/>
  <c r="AM134" i="1" s="1"/>
  <c r="AN134" i="1" s="1"/>
  <c r="Y134" i="1"/>
  <c r="S135" i="1"/>
  <c r="U135" i="1"/>
  <c r="AM135" i="1" s="1"/>
  <c r="AN135" i="1" s="1"/>
  <c r="Y135" i="1"/>
  <c r="AV135" i="1"/>
  <c r="S136" i="1"/>
  <c r="U136" i="1"/>
  <c r="Y136" i="1"/>
  <c r="AM136" i="1"/>
  <c r="AN136" i="1"/>
  <c r="S137" i="1"/>
  <c r="U137" i="1"/>
  <c r="AM137" i="1" s="1"/>
  <c r="AN137" i="1" s="1"/>
  <c r="AV137" i="1" s="1"/>
  <c r="Y137" i="1"/>
  <c r="S138" i="1"/>
  <c r="U138" i="1"/>
  <c r="Y138" i="1"/>
  <c r="AM138" i="1"/>
  <c r="AN138" i="1"/>
  <c r="S139" i="1"/>
  <c r="U139" i="1"/>
  <c r="AM139" i="1" s="1"/>
  <c r="AN139" i="1" s="1"/>
  <c r="Y139" i="1"/>
  <c r="AV139" i="1" s="1"/>
  <c r="S140" i="1"/>
  <c r="U140" i="1"/>
  <c r="AM140" i="1" s="1"/>
  <c r="AN140" i="1" s="1"/>
  <c r="Y140" i="1"/>
  <c r="AV140" i="1" s="1"/>
  <c r="S141" i="1"/>
  <c r="U141" i="1"/>
  <c r="Y141" i="1"/>
  <c r="AM141" i="1"/>
  <c r="AN141" i="1"/>
  <c r="AV141" i="1"/>
  <c r="S142" i="1"/>
  <c r="U142" i="1"/>
  <c r="AM142" i="1" s="1"/>
  <c r="AN142" i="1" s="1"/>
  <c r="Y142" i="1"/>
  <c r="S143" i="1"/>
  <c r="U143" i="1"/>
  <c r="Y143" i="1"/>
  <c r="AM143" i="1"/>
  <c r="AN143" i="1"/>
  <c r="S144" i="1"/>
  <c r="U144" i="1"/>
  <c r="AM144" i="1" s="1"/>
  <c r="AN144" i="1" s="1"/>
  <c r="Y144" i="1"/>
  <c r="AV144" i="1" s="1"/>
  <c r="S145" i="1"/>
  <c r="U145" i="1"/>
  <c r="AM145" i="1" s="1"/>
  <c r="AN145" i="1" s="1"/>
  <c r="Y145" i="1"/>
  <c r="AV145" i="1"/>
  <c r="S146" i="1"/>
  <c r="U146" i="1"/>
  <c r="AM146" i="1" s="1"/>
  <c r="AN146" i="1" s="1"/>
  <c r="Y146" i="1"/>
  <c r="S147" i="1"/>
  <c r="U147" i="1"/>
  <c r="AM147" i="1" s="1"/>
  <c r="AN147" i="1" s="1"/>
  <c r="AV147" i="1" s="1"/>
  <c r="Y147" i="1"/>
  <c r="S148" i="1"/>
  <c r="U148" i="1"/>
  <c r="Y148" i="1"/>
  <c r="AM148" i="1"/>
  <c r="AN148" i="1" s="1"/>
  <c r="S149" i="1"/>
  <c r="U149" i="1"/>
  <c r="AM149" i="1" s="1"/>
  <c r="AN149" i="1" s="1"/>
  <c r="Y149" i="1"/>
  <c r="S150" i="1"/>
  <c r="U150" i="1"/>
  <c r="AM150" i="1" s="1"/>
  <c r="AN150" i="1" s="1"/>
  <c r="Y150" i="1"/>
  <c r="AV150" i="1" s="1"/>
  <c r="S151" i="1"/>
  <c r="U151" i="1"/>
  <c r="AM151" i="1" s="1"/>
  <c r="AN151" i="1" s="1"/>
  <c r="Y151" i="1"/>
  <c r="S152" i="1"/>
  <c r="U152" i="1"/>
  <c r="Y152" i="1"/>
  <c r="AM152" i="1"/>
  <c r="AN152" i="1"/>
  <c r="S153" i="1"/>
  <c r="U153" i="1"/>
  <c r="AM153" i="1" s="1"/>
  <c r="AN153" i="1" s="1"/>
  <c r="Y153" i="1"/>
  <c r="S154" i="1"/>
  <c r="U154" i="1"/>
  <c r="AM154" i="1" s="1"/>
  <c r="AN154" i="1" s="1"/>
  <c r="Y154" i="1"/>
  <c r="S155" i="1"/>
  <c r="U155" i="1"/>
  <c r="Y155" i="1"/>
  <c r="AM155" i="1"/>
  <c r="AN155" i="1" s="1"/>
  <c r="S156" i="1"/>
  <c r="U156" i="1"/>
  <c r="Y156" i="1"/>
  <c r="AM156" i="1"/>
  <c r="AN156" i="1"/>
  <c r="AV156" i="1" s="1"/>
  <c r="S157" i="1"/>
  <c r="U157" i="1"/>
  <c r="Y157" i="1"/>
  <c r="AM157" i="1"/>
  <c r="AN157" i="1" s="1"/>
  <c r="S158" i="1"/>
  <c r="U158" i="1"/>
  <c r="Y158" i="1"/>
  <c r="AM158" i="1"/>
  <c r="AN158" i="1"/>
  <c r="S159" i="1"/>
  <c r="U159" i="1"/>
  <c r="AM159" i="1" s="1"/>
  <c r="AN159" i="1" s="1"/>
  <c r="Y159" i="1"/>
  <c r="S160" i="1"/>
  <c r="U160" i="1"/>
  <c r="AM160" i="1" s="1"/>
  <c r="AN160" i="1" s="1"/>
  <c r="Y160" i="1"/>
  <c r="S161" i="1"/>
  <c r="U161" i="1"/>
  <c r="AM161" i="1" s="1"/>
  <c r="AN161" i="1" s="1"/>
  <c r="Y161" i="1"/>
  <c r="AV161" i="1" s="1"/>
  <c r="S162" i="1"/>
  <c r="U162" i="1"/>
  <c r="AM162" i="1" s="1"/>
  <c r="AN162" i="1" s="1"/>
  <c r="Y162" i="1"/>
  <c r="S163" i="1"/>
  <c r="U163" i="1"/>
  <c r="Y163" i="1"/>
  <c r="AM163" i="1"/>
  <c r="AN163" i="1" s="1"/>
  <c r="S164" i="1"/>
  <c r="U164" i="1"/>
  <c r="AM164" i="1" s="1"/>
  <c r="AN164" i="1" s="1"/>
  <c r="Y164" i="1"/>
  <c r="AV164" i="1" s="1"/>
  <c r="S165" i="1"/>
  <c r="U165" i="1"/>
  <c r="AM165" i="1" s="1"/>
  <c r="AN165" i="1" s="1"/>
  <c r="Y165" i="1"/>
  <c r="AV165" i="1"/>
  <c r="S166" i="1"/>
  <c r="U166" i="1"/>
  <c r="AM166" i="1" s="1"/>
  <c r="AN166" i="1" s="1"/>
  <c r="Y166" i="1"/>
  <c r="AV166" i="1" s="1"/>
  <c r="S167" i="1"/>
  <c r="U167" i="1"/>
  <c r="AM167" i="1" s="1"/>
  <c r="AN167" i="1" s="1"/>
  <c r="Y167" i="1"/>
  <c r="AV167" i="1"/>
  <c r="S168" i="1"/>
  <c r="U168" i="1"/>
  <c r="AM168" i="1" s="1"/>
  <c r="AN168" i="1" s="1"/>
  <c r="Y168" i="1"/>
  <c r="S169" i="1"/>
  <c r="U169" i="1"/>
  <c r="AM169" i="1" s="1"/>
  <c r="AN169" i="1" s="1"/>
  <c r="Y169" i="1"/>
  <c r="S170" i="1"/>
  <c r="U170" i="1"/>
  <c r="AM170" i="1" s="1"/>
  <c r="AN170" i="1" s="1"/>
  <c r="Y170" i="1"/>
  <c r="AV170" i="1" s="1"/>
  <c r="S171" i="1"/>
  <c r="U171" i="1"/>
  <c r="Y171" i="1"/>
  <c r="AM171" i="1"/>
  <c r="AN171" i="1" s="1"/>
  <c r="AV171" i="1"/>
  <c r="S172" i="1"/>
  <c r="U172" i="1"/>
  <c r="AM172" i="1" s="1"/>
  <c r="AN172" i="1" s="1"/>
  <c r="Y172" i="1"/>
  <c r="AV172" i="1" s="1"/>
  <c r="S173" i="1"/>
  <c r="U173" i="1"/>
  <c r="Y173" i="1"/>
  <c r="AM173" i="1"/>
  <c r="AN173" i="1"/>
  <c r="S174" i="1"/>
  <c r="U174" i="1"/>
  <c r="AM174" i="1" s="1"/>
  <c r="AN174" i="1" s="1"/>
  <c r="Y174" i="1"/>
  <c r="S175" i="1"/>
  <c r="U175" i="1"/>
  <c r="AM175" i="1" s="1"/>
  <c r="AN175" i="1" s="1"/>
  <c r="Y175" i="1"/>
  <c r="S176" i="1"/>
  <c r="U176" i="1"/>
  <c r="Y176" i="1"/>
  <c r="AM176" i="1"/>
  <c r="AN176" i="1"/>
  <c r="S177" i="1"/>
  <c r="U177" i="1"/>
  <c r="AM177" i="1" s="1"/>
  <c r="AN177" i="1" s="1"/>
  <c r="Y177" i="1"/>
  <c r="AV177" i="1" s="1"/>
  <c r="S178" i="1"/>
  <c r="U178" i="1"/>
  <c r="Y178" i="1"/>
  <c r="AM178" i="1"/>
  <c r="AN178" i="1"/>
  <c r="S179" i="1"/>
  <c r="U179" i="1"/>
  <c r="AM179" i="1" s="1"/>
  <c r="AN179" i="1" s="1"/>
  <c r="Y179" i="1"/>
  <c r="AV179" i="1" s="1"/>
  <c r="S180" i="1"/>
  <c r="U180" i="1"/>
  <c r="AM180" i="1" s="1"/>
  <c r="AN180" i="1" s="1"/>
  <c r="Y180" i="1"/>
  <c r="AV180" i="1" s="1"/>
  <c r="S181" i="1"/>
  <c r="U181" i="1"/>
  <c r="Y181" i="1"/>
  <c r="AM181" i="1"/>
  <c r="AN181" i="1" s="1"/>
  <c r="S182" i="1"/>
  <c r="U182" i="1"/>
  <c r="AM182" i="1" s="1"/>
  <c r="AN182" i="1" s="1"/>
  <c r="Y182" i="1"/>
  <c r="AV182" i="1" s="1"/>
  <c r="S183" i="1"/>
  <c r="U183" i="1"/>
  <c r="Y183" i="1"/>
  <c r="AM183" i="1"/>
  <c r="AN183" i="1" s="1"/>
  <c r="S184" i="1"/>
  <c r="U184" i="1"/>
  <c r="AM184" i="1" s="1"/>
  <c r="AN184" i="1" s="1"/>
  <c r="Y184" i="1"/>
  <c r="S185" i="1"/>
  <c r="U185" i="1"/>
  <c r="AM185" i="1" s="1"/>
  <c r="AN185" i="1" s="1"/>
  <c r="Y185" i="1"/>
  <c r="S186" i="1"/>
  <c r="U186" i="1"/>
  <c r="Y186" i="1"/>
  <c r="AM186" i="1"/>
  <c r="AN186" i="1"/>
  <c r="AU186" i="1" s="1"/>
  <c r="S187" i="1"/>
  <c r="U187" i="1"/>
  <c r="AM187" i="1" s="1"/>
  <c r="AN187" i="1" s="1"/>
  <c r="Y187" i="1"/>
  <c r="AV187" i="1" s="1"/>
  <c r="S188" i="1"/>
  <c r="U188" i="1"/>
  <c r="AM188" i="1" s="1"/>
  <c r="AN188" i="1" s="1"/>
  <c r="Y188" i="1"/>
  <c r="S189" i="1"/>
  <c r="U189" i="1"/>
  <c r="AM189" i="1" s="1"/>
  <c r="AN189" i="1" s="1"/>
  <c r="Y189" i="1"/>
  <c r="AV189" i="1" s="1"/>
  <c r="S190" i="1"/>
  <c r="U190" i="1"/>
  <c r="AM190" i="1" s="1"/>
  <c r="AN190" i="1" s="1"/>
  <c r="Y190" i="1"/>
  <c r="AV190" i="1" s="1"/>
  <c r="S191" i="1"/>
  <c r="U191" i="1"/>
  <c r="AM191" i="1" s="1"/>
  <c r="AN191" i="1" s="1"/>
  <c r="Y191" i="1"/>
  <c r="S192" i="1"/>
  <c r="U192" i="1"/>
  <c r="Y192" i="1"/>
  <c r="AM192" i="1"/>
  <c r="AN192" i="1"/>
  <c r="S193" i="1"/>
  <c r="U193" i="1"/>
  <c r="AM193" i="1" s="1"/>
  <c r="AN193" i="1" s="1"/>
  <c r="Y193" i="1"/>
  <c r="S194" i="1"/>
  <c r="U194" i="1"/>
  <c r="AM194" i="1" s="1"/>
  <c r="AN194" i="1" s="1"/>
  <c r="Y194" i="1"/>
  <c r="AV194" i="1"/>
  <c r="S195" i="1"/>
  <c r="U195" i="1"/>
  <c r="AM195" i="1" s="1"/>
  <c r="AN195" i="1" s="1"/>
  <c r="Y195" i="1"/>
  <c r="S196" i="1"/>
  <c r="U196" i="1"/>
  <c r="AM196" i="1" s="1"/>
  <c r="AN196" i="1" s="1"/>
  <c r="Y196" i="1"/>
  <c r="S197" i="1"/>
  <c r="U197" i="1"/>
  <c r="AM197" i="1" s="1"/>
  <c r="AN197" i="1" s="1"/>
  <c r="Y197" i="1"/>
  <c r="AV197" i="1" s="1"/>
  <c r="S198" i="1"/>
  <c r="U198" i="1"/>
  <c r="Y198" i="1"/>
  <c r="AM198" i="1"/>
  <c r="AN198" i="1" s="1"/>
  <c r="AW198" i="1" s="1"/>
  <c r="S199" i="1"/>
  <c r="U199" i="1"/>
  <c r="AM199" i="1" s="1"/>
  <c r="AN199" i="1" s="1"/>
  <c r="Y199" i="1"/>
  <c r="AV199" i="1" s="1"/>
  <c r="S200" i="1"/>
  <c r="U200" i="1"/>
  <c r="AM200" i="1" s="1"/>
  <c r="Y200" i="1"/>
  <c r="AN200" i="1"/>
  <c r="S201" i="1"/>
  <c r="U201" i="1"/>
  <c r="AM201" i="1" s="1"/>
  <c r="AN201" i="1" s="1"/>
  <c r="Y201" i="1"/>
  <c r="S202" i="1"/>
  <c r="U202" i="1"/>
  <c r="Y202" i="1"/>
  <c r="AM202" i="1"/>
  <c r="AN202" i="1" s="1"/>
  <c r="AV202" i="1" s="1"/>
  <c r="S203" i="1"/>
  <c r="U203" i="1"/>
  <c r="AM203" i="1" s="1"/>
  <c r="AN203" i="1" s="1"/>
  <c r="Y203" i="1"/>
  <c r="AV203" i="1" s="1"/>
  <c r="S204" i="1"/>
  <c r="U204" i="1"/>
  <c r="AM204" i="1" s="1"/>
  <c r="AN204" i="1" s="1"/>
  <c r="Y204" i="1"/>
  <c r="AV204" i="1" s="1"/>
  <c r="S205" i="1"/>
  <c r="U205" i="1"/>
  <c r="AM205" i="1" s="1"/>
  <c r="AN205" i="1" s="1"/>
  <c r="Y205" i="1"/>
  <c r="AV205" i="1" s="1"/>
  <c r="S206" i="1"/>
  <c r="U206" i="1"/>
  <c r="Y206" i="1"/>
  <c r="AM206" i="1"/>
  <c r="AN206" i="1" s="1"/>
  <c r="AU206" i="1" s="1"/>
  <c r="S207" i="1"/>
  <c r="U207" i="1"/>
  <c r="AM207" i="1" s="1"/>
  <c r="AN207" i="1" s="1"/>
  <c r="Y207" i="1"/>
  <c r="S208" i="1"/>
  <c r="U208" i="1"/>
  <c r="Y208" i="1"/>
  <c r="AM208" i="1"/>
  <c r="AN208" i="1"/>
  <c r="AW208" i="1" s="1"/>
  <c r="S209" i="1"/>
  <c r="U209" i="1"/>
  <c r="AM209" i="1" s="1"/>
  <c r="AN209" i="1" s="1"/>
  <c r="Y209" i="1"/>
  <c r="S210" i="1"/>
  <c r="U210" i="1"/>
  <c r="Y210" i="1"/>
  <c r="AM210" i="1"/>
  <c r="AN210" i="1" s="1"/>
  <c r="AV210" i="1" s="1"/>
  <c r="S211" i="1"/>
  <c r="U211" i="1"/>
  <c r="Y211" i="1"/>
  <c r="AM211" i="1"/>
  <c r="AN211" i="1" s="1"/>
  <c r="AU211" i="1" s="1"/>
  <c r="S212" i="1"/>
  <c r="U212" i="1"/>
  <c r="Y212" i="1"/>
  <c r="AM212" i="1"/>
  <c r="AN212" i="1" s="1"/>
  <c r="S213" i="1"/>
  <c r="U213" i="1"/>
  <c r="AM213" i="1" s="1"/>
  <c r="AN213" i="1" s="1"/>
  <c r="Y213" i="1"/>
  <c r="S214" i="1"/>
  <c r="U214" i="1"/>
  <c r="AM214" i="1" s="1"/>
  <c r="AN214" i="1" s="1"/>
  <c r="Y214" i="1"/>
  <c r="AV214" i="1" s="1"/>
  <c r="S215" i="1"/>
  <c r="U215" i="1"/>
  <c r="AM215" i="1" s="1"/>
  <c r="AN215" i="1" s="1"/>
  <c r="Y215" i="1"/>
  <c r="S216" i="1"/>
  <c r="U216" i="1"/>
  <c r="Y216" i="1"/>
  <c r="AM216" i="1"/>
  <c r="AN216" i="1" s="1"/>
  <c r="AU216" i="1" s="1"/>
  <c r="S217" i="1"/>
  <c r="U217" i="1"/>
  <c r="AM217" i="1" s="1"/>
  <c r="AN217" i="1" s="1"/>
  <c r="Y217" i="1"/>
  <c r="S218" i="1"/>
  <c r="U218" i="1"/>
  <c r="AM218" i="1" s="1"/>
  <c r="AN218" i="1" s="1"/>
  <c r="AW218" i="1" s="1"/>
  <c r="Y218" i="1"/>
  <c r="S219" i="1"/>
  <c r="U219" i="1"/>
  <c r="AM219" i="1" s="1"/>
  <c r="AN219" i="1" s="1"/>
  <c r="Y219" i="1"/>
  <c r="S220" i="1"/>
  <c r="U220" i="1"/>
  <c r="AM220" i="1" s="1"/>
  <c r="Y220" i="1"/>
  <c r="AN220" i="1"/>
  <c r="AV220" i="1" s="1"/>
  <c r="AV163" i="1" l="1"/>
  <c r="AU196" i="1"/>
  <c r="AV115" i="1"/>
  <c r="AV131" i="1"/>
  <c r="AU136" i="1"/>
  <c r="AV76" i="1"/>
  <c r="AU53" i="1"/>
  <c r="AV193" i="1"/>
  <c r="AV106" i="1"/>
  <c r="AU79" i="1"/>
  <c r="AV81" i="1"/>
  <c r="AU201" i="1"/>
  <c r="AV42" i="1"/>
  <c r="AV178" i="1"/>
  <c r="AV67" i="1"/>
  <c r="AW26" i="1"/>
  <c r="AU22" i="1"/>
  <c r="AV160" i="1"/>
  <c r="AV111" i="1"/>
  <c r="AV168" i="1"/>
  <c r="AV105" i="1"/>
  <c r="AV195" i="1"/>
  <c r="AV37" i="1"/>
  <c r="AV92" i="1"/>
  <c r="AU63" i="1"/>
  <c r="AV169" i="1"/>
  <c r="AV121" i="1"/>
  <c r="AU25" i="1"/>
  <c r="AV192" i="1"/>
  <c r="AU213" i="1"/>
  <c r="AW213" i="1"/>
  <c r="AV101" i="1"/>
  <c r="AU96" i="1"/>
  <c r="AU45" i="1"/>
  <c r="AV209" i="1"/>
  <c r="AV122" i="1"/>
  <c r="AV201" i="1"/>
  <c r="AW61" i="1"/>
  <c r="AV87" i="1"/>
  <c r="AV155" i="1"/>
  <c r="AV157" i="1"/>
  <c r="AU91" i="1"/>
  <c r="AW216" i="1"/>
  <c r="AU137" i="1"/>
  <c r="AV198" i="1"/>
  <c r="AV216" i="1"/>
  <c r="AV66" i="1"/>
  <c r="AV211" i="1"/>
  <c r="AU146" i="1"/>
  <c r="AV146" i="1"/>
  <c r="AV72" i="1"/>
  <c r="AV158" i="1"/>
  <c r="AV154" i="1"/>
  <c r="AU115" i="1"/>
  <c r="AU105" i="1"/>
  <c r="AU81" i="1"/>
  <c r="AU76" i="1"/>
  <c r="AV71" i="1"/>
  <c r="AU50" i="1"/>
  <c r="AV22" i="1"/>
  <c r="AV212" i="1"/>
  <c r="AV176" i="1"/>
  <c r="AU141" i="1"/>
  <c r="AU55" i="1"/>
  <c r="AW181" i="1"/>
  <c r="AV162" i="1"/>
  <c r="AV136" i="1"/>
  <c r="AV110" i="1"/>
  <c r="AU100" i="1"/>
  <c r="AU60" i="1"/>
  <c r="AU208" i="1"/>
  <c r="AU191" i="1"/>
  <c r="AV186" i="1"/>
  <c r="AU132" i="1"/>
  <c r="AU95" i="1"/>
  <c r="AU65" i="1"/>
  <c r="AV175" i="1"/>
  <c r="AU90" i="1"/>
  <c r="AU70" i="1"/>
  <c r="AU54" i="1"/>
  <c r="AV153" i="1"/>
  <c r="AU85" i="1"/>
  <c r="AU80" i="1"/>
  <c r="AU75" i="1"/>
  <c r="AV148" i="1"/>
  <c r="AU127" i="1"/>
  <c r="AU94" i="1"/>
  <c r="AV215" i="1"/>
  <c r="AV174" i="1"/>
  <c r="AU118" i="1"/>
  <c r="AU113" i="1"/>
  <c r="AU103" i="1"/>
  <c r="AU20" i="1"/>
  <c r="AV184" i="1"/>
  <c r="AU131" i="1"/>
  <c r="AU122" i="1"/>
  <c r="AU108" i="1"/>
  <c r="AV152" i="1"/>
  <c r="AU98" i="1"/>
  <c r="AU218" i="1"/>
  <c r="AU93" i="1"/>
  <c r="AV173" i="1"/>
  <c r="AV130" i="1"/>
  <c r="AU126" i="1"/>
  <c r="AU102" i="1"/>
  <c r="AU88" i="1"/>
  <c r="AU73" i="1"/>
  <c r="AU52" i="1"/>
  <c r="AW41" i="1"/>
  <c r="AU30" i="1"/>
  <c r="AU117" i="1"/>
  <c r="AU83" i="1"/>
  <c r="AU78" i="1"/>
  <c r="AV183" i="1"/>
  <c r="AU112" i="1"/>
  <c r="AV188" i="1"/>
  <c r="AV159" i="1"/>
  <c r="AV151" i="1"/>
  <c r="AV142" i="1"/>
  <c r="AU121" i="1"/>
  <c r="AU92" i="1"/>
  <c r="AU67" i="1"/>
  <c r="AV18" i="1"/>
  <c r="AU7" i="1"/>
  <c r="AV219" i="1"/>
  <c r="AW219" i="1"/>
  <c r="AV149" i="1"/>
  <c r="AU207" i="1"/>
  <c r="AW207" i="1"/>
  <c r="AV207" i="1"/>
  <c r="AU185" i="1"/>
  <c r="AW185" i="1"/>
  <c r="AV185" i="1"/>
  <c r="AU217" i="1"/>
  <c r="AW217" i="1"/>
  <c r="AV217" i="1"/>
  <c r="AV125" i="1"/>
  <c r="AU51" i="1"/>
  <c r="AV51" i="1"/>
  <c r="AV12" i="1"/>
  <c r="AW12" i="1"/>
  <c r="AU200" i="1"/>
  <c r="AW200" i="1"/>
  <c r="AU164" i="1"/>
  <c r="AW164" i="1"/>
  <c r="AU160" i="1"/>
  <c r="AW160" i="1"/>
  <c r="AU145" i="1"/>
  <c r="AW145" i="1"/>
  <c r="AU116" i="1"/>
  <c r="AU106" i="1"/>
  <c r="AU82" i="1"/>
  <c r="AU77" i="1"/>
  <c r="AU56" i="1"/>
  <c r="AV56" i="1"/>
  <c r="AU34" i="1"/>
  <c r="AU23" i="1"/>
  <c r="AU12" i="1"/>
  <c r="AU220" i="1"/>
  <c r="AV213" i="1"/>
  <c r="AU124" i="1"/>
  <c r="AV124" i="1"/>
  <c r="AW124" i="1"/>
  <c r="AU111" i="1"/>
  <c r="AU61" i="1"/>
  <c r="AV61" i="1"/>
  <c r="AV206" i="1"/>
  <c r="AU203" i="1"/>
  <c r="AW196" i="1"/>
  <c r="AU172" i="1"/>
  <c r="AW172" i="1"/>
  <c r="AU168" i="1"/>
  <c r="AW168" i="1"/>
  <c r="AU156" i="1"/>
  <c r="AW156" i="1"/>
  <c r="AU128" i="1"/>
  <c r="AV128" i="1"/>
  <c r="AW128" i="1"/>
  <c r="AU120" i="1"/>
  <c r="AU39" i="1"/>
  <c r="AU28" i="1"/>
  <c r="AU17" i="1"/>
  <c r="AU6" i="1"/>
  <c r="AV6" i="1"/>
  <c r="AW6" i="1"/>
  <c r="AU210" i="1"/>
  <c r="AW210" i="1"/>
  <c r="AU192" i="1"/>
  <c r="AW192" i="1"/>
  <c r="AU184" i="1"/>
  <c r="AW184" i="1"/>
  <c r="AU86" i="1"/>
  <c r="AU199" i="1"/>
  <c r="AW199" i="1"/>
  <c r="AU188" i="1"/>
  <c r="AW188" i="1"/>
  <c r="AU180" i="1"/>
  <c r="AW180" i="1"/>
  <c r="AU176" i="1"/>
  <c r="AW176" i="1"/>
  <c r="AU159" i="1"/>
  <c r="AW159" i="1"/>
  <c r="AU152" i="1"/>
  <c r="AW152" i="1"/>
  <c r="AU148" i="1"/>
  <c r="AW148" i="1"/>
  <c r="AU144" i="1"/>
  <c r="AW144" i="1"/>
  <c r="AU44" i="1"/>
  <c r="AU33" i="1"/>
  <c r="AU11" i="1"/>
  <c r="AV11" i="1"/>
  <c r="AW11" i="1"/>
  <c r="AU140" i="1"/>
  <c r="AW140" i="1"/>
  <c r="AU119" i="1"/>
  <c r="AV119" i="1"/>
  <c r="AW119" i="1"/>
  <c r="AU5" i="1"/>
  <c r="AW206" i="1"/>
  <c r="AV191" i="1"/>
  <c r="AU167" i="1"/>
  <c r="AW167" i="1"/>
  <c r="AU163" i="1"/>
  <c r="AW163" i="1"/>
  <c r="AU123" i="1"/>
  <c r="AV123" i="1"/>
  <c r="AW123" i="1"/>
  <c r="AU114" i="1"/>
  <c r="AU104" i="1"/>
  <c r="AU49" i="1"/>
  <c r="AU38" i="1"/>
  <c r="AU27" i="1"/>
  <c r="AU16" i="1"/>
  <c r="AV16" i="1"/>
  <c r="AW16" i="1"/>
  <c r="AU219" i="1"/>
  <c r="AU209" i="1"/>
  <c r="AW209" i="1"/>
  <c r="AU195" i="1"/>
  <c r="AW195" i="1"/>
  <c r="AU109" i="1"/>
  <c r="AW21" i="1"/>
  <c r="AU10" i="1"/>
  <c r="AU202" i="1"/>
  <c r="AW202" i="1"/>
  <c r="AU187" i="1"/>
  <c r="AW187" i="1"/>
  <c r="AU179" i="1"/>
  <c r="AW179" i="1"/>
  <c r="AU175" i="1"/>
  <c r="AW175" i="1"/>
  <c r="AU171" i="1"/>
  <c r="AW171" i="1"/>
  <c r="AU155" i="1"/>
  <c r="AW155" i="1"/>
  <c r="AU99" i="1"/>
  <c r="AU59" i="1"/>
  <c r="AU43" i="1"/>
  <c r="AU32" i="1"/>
  <c r="AU21" i="1"/>
  <c r="AV21" i="1"/>
  <c r="AU4" i="1"/>
  <c r="AU183" i="1"/>
  <c r="AW183" i="1"/>
  <c r="AU143" i="1"/>
  <c r="AV143" i="1"/>
  <c r="AW143" i="1"/>
  <c r="AU139" i="1"/>
  <c r="AW139" i="1"/>
  <c r="AU15" i="1"/>
  <c r="AU212" i="1"/>
  <c r="AW212" i="1"/>
  <c r="AW191" i="1"/>
  <c r="AU162" i="1"/>
  <c r="AW162" i="1"/>
  <c r="AU158" i="1"/>
  <c r="AW158" i="1"/>
  <c r="AU151" i="1"/>
  <c r="AW151" i="1"/>
  <c r="AU147" i="1"/>
  <c r="AW147" i="1"/>
  <c r="AU135" i="1"/>
  <c r="AW135" i="1"/>
  <c r="AU89" i="1"/>
  <c r="AU69" i="1"/>
  <c r="AU48" i="1"/>
  <c r="AU37" i="1"/>
  <c r="AU26" i="1"/>
  <c r="AV26" i="1"/>
  <c r="AU9" i="1"/>
  <c r="AV218" i="1"/>
  <c r="AV208" i="1"/>
  <c r="AU205" i="1"/>
  <c r="AW205" i="1"/>
  <c r="AU198" i="1"/>
  <c r="AU194" i="1"/>
  <c r="AW194" i="1"/>
  <c r="AU3" i="1"/>
  <c r="AW3" i="1"/>
  <c r="AU174" i="1"/>
  <c r="AW174" i="1"/>
  <c r="AU170" i="1"/>
  <c r="AW170" i="1"/>
  <c r="AU166" i="1"/>
  <c r="AW166" i="1"/>
  <c r="AU154" i="1"/>
  <c r="AW154" i="1"/>
  <c r="AU58" i="1"/>
  <c r="AU42" i="1"/>
  <c r="AU31" i="1"/>
  <c r="AV31" i="1"/>
  <c r="AU14" i="1"/>
  <c r="AV3" i="1"/>
  <c r="AU215" i="1"/>
  <c r="AW215" i="1"/>
  <c r="AU182" i="1"/>
  <c r="AW182" i="1"/>
  <c r="AU134" i="1"/>
  <c r="AV134" i="1"/>
  <c r="AW134" i="1"/>
  <c r="AU8" i="1"/>
  <c r="AW8" i="1"/>
  <c r="AU190" i="1"/>
  <c r="AW190" i="1"/>
  <c r="AU178" i="1"/>
  <c r="AW178" i="1"/>
  <c r="AU150" i="1"/>
  <c r="AW150" i="1"/>
  <c r="AU138" i="1"/>
  <c r="AV138" i="1"/>
  <c r="AW138" i="1"/>
  <c r="AU130" i="1"/>
  <c r="AW130" i="1"/>
  <c r="AU68" i="1"/>
  <c r="AU47" i="1"/>
  <c r="AU36" i="1"/>
  <c r="AV36" i="1"/>
  <c r="AU19" i="1"/>
  <c r="AV8" i="1"/>
  <c r="AU204" i="1"/>
  <c r="AW204" i="1"/>
  <c r="AW201" i="1"/>
  <c r="AU197" i="1"/>
  <c r="AW197" i="1"/>
  <c r="AW186" i="1"/>
  <c r="AU142" i="1"/>
  <c r="AW142" i="1"/>
  <c r="AU13" i="1"/>
  <c r="AW13" i="1"/>
  <c r="AV181" i="1"/>
  <c r="AU169" i="1"/>
  <c r="AW169" i="1"/>
  <c r="AU165" i="1"/>
  <c r="AW165" i="1"/>
  <c r="AU161" i="1"/>
  <c r="AW161" i="1"/>
  <c r="AU157" i="1"/>
  <c r="AW157" i="1"/>
  <c r="AU107" i="1"/>
  <c r="AU57" i="1"/>
  <c r="AU41" i="1"/>
  <c r="AV41" i="1"/>
  <c r="AU24" i="1"/>
  <c r="AV13" i="1"/>
  <c r="AU2" i="1"/>
  <c r="AU214" i="1"/>
  <c r="AW214" i="1"/>
  <c r="AW211" i="1"/>
  <c r="AU193" i="1"/>
  <c r="AW193" i="1"/>
  <c r="AU181" i="1"/>
  <c r="AU129" i="1"/>
  <c r="AV129" i="1"/>
  <c r="AW129" i="1"/>
  <c r="AU97" i="1"/>
  <c r="AU62" i="1"/>
  <c r="AW46" i="1"/>
  <c r="AU35" i="1"/>
  <c r="AU18" i="1"/>
  <c r="AW18" i="1"/>
  <c r="AV7" i="1"/>
  <c r="AW7" i="1"/>
  <c r="AW220" i="1"/>
  <c r="AW203" i="1"/>
  <c r="AV200" i="1"/>
  <c r="AV196" i="1"/>
  <c r="AU189" i="1"/>
  <c r="AW189" i="1"/>
  <c r="AU177" i="1"/>
  <c r="AW177" i="1"/>
  <c r="AU173" i="1"/>
  <c r="AW173" i="1"/>
  <c r="AU153" i="1"/>
  <c r="AW153" i="1"/>
  <c r="AU149" i="1"/>
  <c r="AW149" i="1"/>
  <c r="AU133" i="1"/>
  <c r="AV133" i="1"/>
  <c r="AW133" i="1"/>
  <c r="AU125" i="1"/>
  <c r="AW125" i="1"/>
  <c r="AW51" i="1"/>
  <c r="AU46" i="1"/>
  <c r="AV46" i="1"/>
  <c r="AU29" i="1"/>
  <c r="AW146" i="1"/>
  <c r="AW141" i="1"/>
  <c r="AW136" i="1"/>
  <c r="AW131" i="1"/>
  <c r="AW126" i="1"/>
  <c r="AW121" i="1"/>
  <c r="AW116" i="1"/>
  <c r="AW111" i="1"/>
  <c r="AW106" i="1"/>
  <c r="AW101" i="1"/>
  <c r="AW96" i="1"/>
  <c r="AW91" i="1"/>
  <c r="AW86" i="1"/>
  <c r="AW81" i="1"/>
  <c r="AW76" i="1"/>
  <c r="AW71" i="1"/>
  <c r="AW66" i="1"/>
  <c r="AW118" i="1"/>
  <c r="AW113" i="1"/>
  <c r="AW108" i="1"/>
  <c r="AW103" i="1"/>
  <c r="AW98" i="1"/>
  <c r="AW93" i="1"/>
  <c r="AW88" i="1"/>
  <c r="AW83" i="1"/>
  <c r="AW78" i="1"/>
  <c r="AW73" i="1"/>
  <c r="AW68" i="1"/>
  <c r="AW63" i="1"/>
  <c r="AW58" i="1"/>
  <c r="AW53" i="1"/>
  <c r="AW48" i="1"/>
  <c r="AW43" i="1"/>
  <c r="AW38" i="1"/>
  <c r="AW33" i="1"/>
  <c r="AW28" i="1"/>
  <c r="AW23" i="1"/>
  <c r="AV118" i="1"/>
  <c r="AV113" i="1"/>
  <c r="AV108" i="1"/>
  <c r="AV103" i="1"/>
  <c r="AV98" i="1"/>
  <c r="AV93" i="1"/>
  <c r="AV88" i="1"/>
  <c r="AV83" i="1"/>
  <c r="AV78" i="1"/>
  <c r="AV73" i="1"/>
  <c r="AV68" i="1"/>
  <c r="AV63" i="1"/>
  <c r="AV58" i="1"/>
  <c r="AV53" i="1"/>
  <c r="AV48" i="1"/>
  <c r="AV43" i="1"/>
  <c r="AV38" i="1"/>
  <c r="AV33" i="1"/>
  <c r="AV28" i="1"/>
  <c r="AV23" i="1"/>
  <c r="AW120" i="1"/>
  <c r="AW115" i="1"/>
  <c r="AW110" i="1"/>
  <c r="AW105" i="1"/>
  <c r="AW100" i="1"/>
  <c r="AW95" i="1"/>
  <c r="AW90" i="1"/>
  <c r="AW85" i="1"/>
  <c r="AW80" i="1"/>
  <c r="AW75" i="1"/>
  <c r="AW70" i="1"/>
  <c r="AW65" i="1"/>
  <c r="AW60" i="1"/>
  <c r="AW55" i="1"/>
  <c r="AW50" i="1"/>
  <c r="AW45" i="1"/>
  <c r="AW40" i="1"/>
  <c r="AW35" i="1"/>
  <c r="AW30" i="1"/>
  <c r="AW25" i="1"/>
  <c r="AW20" i="1"/>
  <c r="AW15" i="1"/>
  <c r="AW10" i="1"/>
  <c r="AW5" i="1"/>
  <c r="AV95" i="1"/>
  <c r="AV90" i="1"/>
  <c r="AV85" i="1"/>
  <c r="AV80" i="1"/>
  <c r="AV75" i="1"/>
  <c r="AV70" i="1"/>
  <c r="AV65" i="1"/>
  <c r="AV60" i="1"/>
  <c r="AV55" i="1"/>
  <c r="AV50" i="1"/>
  <c r="AV45" i="1"/>
  <c r="AV40" i="1"/>
  <c r="AV35" i="1"/>
  <c r="AV30" i="1"/>
  <c r="AV25" i="1"/>
  <c r="AV20" i="1"/>
  <c r="AV15" i="1"/>
  <c r="AV10" i="1"/>
  <c r="AV5" i="1"/>
  <c r="AW137" i="1"/>
  <c r="AW132" i="1"/>
  <c r="AW127" i="1"/>
  <c r="AW122" i="1"/>
  <c r="AW117" i="1"/>
  <c r="AW112" i="1"/>
  <c r="AW107" i="1"/>
  <c r="AW102" i="1"/>
  <c r="AW97" i="1"/>
  <c r="AW92" i="1"/>
  <c r="AW87" i="1"/>
  <c r="AW82" i="1"/>
  <c r="AW77" i="1"/>
  <c r="AW72" i="1"/>
  <c r="AW67" i="1"/>
  <c r="AW62" i="1"/>
  <c r="AW57" i="1"/>
  <c r="AW52" i="1"/>
  <c r="AW47" i="1"/>
  <c r="AW42" i="1"/>
  <c r="AW37" i="1"/>
  <c r="AW32" i="1"/>
  <c r="AW27" i="1"/>
  <c r="AW22" i="1"/>
  <c r="AW17" i="1"/>
  <c r="AV2" i="1"/>
  <c r="AW114" i="1"/>
  <c r="AW109" i="1"/>
  <c r="AW104" i="1"/>
  <c r="AW99" i="1"/>
  <c r="AW94" i="1"/>
  <c r="AW89" i="1"/>
  <c r="AW84" i="1"/>
  <c r="AW79" i="1"/>
  <c r="AW74" i="1"/>
  <c r="AW69" i="1"/>
  <c r="AW64" i="1"/>
  <c r="AW59" i="1"/>
  <c r="AW54" i="1"/>
  <c r="AW49" i="1"/>
  <c r="AW44" i="1"/>
  <c r="AW39" i="1"/>
  <c r="AW34" i="1"/>
  <c r="AW29" i="1"/>
  <c r="AW24" i="1"/>
  <c r="AW19" i="1"/>
  <c r="AW14" i="1"/>
  <c r="AW9" i="1"/>
  <c r="AW4" i="1"/>
  <c r="AV114" i="1"/>
  <c r="AV109" i="1"/>
  <c r="AV104" i="1"/>
  <c r="AV99" i="1"/>
  <c r="AV94" i="1"/>
  <c r="AV89" i="1"/>
  <c r="AV84" i="1"/>
  <c r="AV79" i="1"/>
  <c r="AV74" i="1"/>
  <c r="AV69" i="1"/>
  <c r="AV64" i="1"/>
  <c r="AV59" i="1"/>
  <c r="AV54" i="1"/>
  <c r="AV49" i="1"/>
  <c r="AV44" i="1"/>
  <c r="AV39" i="1"/>
  <c r="AV34" i="1"/>
  <c r="AV29" i="1"/>
  <c r="AV24" i="1"/>
  <c r="AV19" i="1"/>
  <c r="AV14" i="1"/>
  <c r="AV9" i="1"/>
  <c r="AV4" i="1"/>
</calcChain>
</file>

<file path=xl/sharedStrings.xml><?xml version="1.0" encoding="utf-8"?>
<sst xmlns="http://schemas.openxmlformats.org/spreadsheetml/2006/main" count="3729" uniqueCount="2202">
  <si>
    <t>undefined</t>
  </si>
  <si>
    <t>Journal</t>
  </si>
  <si>
    <t>United States</t>
  </si>
  <si>
    <t>Article</t>
  </si>
  <si>
    <t>ar</t>
  </si>
  <si>
    <t>Journal of Chemical Ecology</t>
  </si>
  <si>
    <t>n</t>
  </si>
  <si>
    <t>Australia</t>
  </si>
  <si>
    <t>United States;United States</t>
  </si>
  <si>
    <t>Germany</t>
  </si>
  <si>
    <t>Journal of Comparative Physiology A</t>
  </si>
  <si>
    <t>;;</t>
  </si>
  <si>
    <t>Plant and Cell Physiology</t>
  </si>
  <si>
    <t>Netherlands</t>
  </si>
  <si>
    <t>France</t>
  </si>
  <si>
    <t>Paris</t>
  </si>
  <si>
    <t>CNRS Centre National de la Recherche Scientifique</t>
  </si>
  <si>
    <t>Cambridge</t>
  </si>
  <si>
    <t>Massachusetts Institute of Technology</t>
  </si>
  <si>
    <t>;</t>
  </si>
  <si>
    <t>Japan;Japan</t>
  </si>
  <si>
    <t>60028333;60028333</t>
  </si>
  <si>
    <t>7402101459;7102344747</t>
  </si>
  <si>
    <t>Lo, K. W.;Vu, T. B.</t>
  </si>
  <si>
    <t>Sydney</t>
  </si>
  <si>
    <t>UNSW Sydney</t>
  </si>
  <si>
    <t>France;France</t>
  </si>
  <si>
    <t>Washington, D.C.</t>
  </si>
  <si>
    <t>Japan</t>
  </si>
  <si>
    <t>Tokyo</t>
  </si>
  <si>
    <t>United Kingdom</t>
  </si>
  <si>
    <t>London</t>
  </si>
  <si>
    <t>Pasadena</t>
  </si>
  <si>
    <t>;;;</t>
  </si>
  <si>
    <t>Microwave journal</t>
  </si>
  <si>
    <t>Waltham</t>
  </si>
  <si>
    <t>Canada</t>
  </si>
  <si>
    <t>Medical Research Council Canada</t>
  </si>
  <si>
    <t>MRC</t>
  </si>
  <si>
    <t>Switzerland</t>
  </si>
  <si>
    <t>National Science Foundation</t>
  </si>
  <si>
    <t>NSF</t>
  </si>
  <si>
    <t>Archiv f√ºr Elektrotechnik</t>
  </si>
  <si>
    <t>Boston</t>
  </si>
  <si>
    <t>General Electric Company</t>
  </si>
  <si>
    <t>AEU. Archiv fur Elektronik und Ubertragungstechnik</t>
  </si>
  <si>
    <t>Oak Ridge</t>
  </si>
  <si>
    <t>Oak Ridge National Laboratory</t>
  </si>
  <si>
    <t>Soviet journal of communications technology &amp; electronics</t>
  </si>
  <si>
    <t>Frolov O.</t>
  </si>
  <si>
    <t>AES-23</t>
  </si>
  <si>
    <t>IEEE Transactions on Aerospace and Electronic Systems</t>
  </si>
  <si>
    <t>India</t>
  </si>
  <si>
    <t>Radioelectronics and Communications Systems (English translation of Izvestiya Vysshikh Uchebnykh Z</t>
  </si>
  <si>
    <t>110-113</t>
  </si>
  <si>
    <t>Italy;Italy</t>
  </si>
  <si>
    <t>Rome;Rome</t>
  </si>
  <si>
    <t>Munich</t>
  </si>
  <si>
    <t>National Institute of Allergy and Infectious Diseases</t>
  </si>
  <si>
    <t>NIAID</t>
  </si>
  <si>
    <t>Tucson</t>
  </si>
  <si>
    <t>Arizona Research Laboratories</t>
  </si>
  <si>
    <t>;;;;;;</t>
  </si>
  <si>
    <t>United States;United Kingdom</t>
  </si>
  <si>
    <t>China</t>
  </si>
  <si>
    <t>106-108</t>
  </si>
  <si>
    <t>Sweden</t>
  </si>
  <si>
    <t>45-49</t>
  </si>
  <si>
    <t>Brisbane</t>
  </si>
  <si>
    <t>California Institute of Technology</t>
  </si>
  <si>
    <t>60014313;60014313</t>
  </si>
  <si>
    <t>Amherst MA</t>
  </si>
  <si>
    <t>University of Massachusetts Amherst</t>
  </si>
  <si>
    <t>Denmark</t>
  </si>
  <si>
    <t>Murray</t>
  </si>
  <si>
    <t>Nokia Bell Labs</t>
  </si>
  <si>
    <t>106-111</t>
  </si>
  <si>
    <t>Greece;Greece</t>
  </si>
  <si>
    <t>245-251</t>
  </si>
  <si>
    <t>23-26</t>
  </si>
  <si>
    <t>James, G. L.</t>
  </si>
  <si>
    <t>Melbourne</t>
  </si>
  <si>
    <t>Commonwealth Scientific and Industrial Research Organization</t>
  </si>
  <si>
    <t>James G.</t>
  </si>
  <si>
    <t>111-124</t>
  </si>
  <si>
    <t>Journal of Physics E: Scientific Instruments</t>
  </si>
  <si>
    <t>187-190</t>
  </si>
  <si>
    <t>22-25</t>
  </si>
  <si>
    <t>169-174</t>
  </si>
  <si>
    <t>Edinburgh</t>
  </si>
  <si>
    <t>Israel</t>
  </si>
  <si>
    <t>Fukuoka</t>
  </si>
  <si>
    <t>Finland</t>
  </si>
  <si>
    <t>Los Angeles</t>
  </si>
  <si>
    <t>Hay, S. G.</t>
  </si>
  <si>
    <t>Hay S.</t>
  </si>
  <si>
    <t>Italy</t>
  </si>
  <si>
    <t>Austin, B. A.</t>
  </si>
  <si>
    <t>Austin B.</t>
  </si>
  <si>
    <t>112-115</t>
  </si>
  <si>
    <t>International Journal of Infrared and Millimeter Waves</t>
  </si>
  <si>
    <t>60014439;60014439</t>
  </si>
  <si>
    <t>Davis</t>
  </si>
  <si>
    <t>University of California, Davis</t>
  </si>
  <si>
    <t>443-448</t>
  </si>
  <si>
    <t>Bird T.</t>
  </si>
  <si>
    <t>Nanjing</t>
  </si>
  <si>
    <t>Northrop Grumman corporation</t>
  </si>
  <si>
    <t>Dallastown</t>
  </si>
  <si>
    <t>Nippon Hoso Kyokai</t>
  </si>
  <si>
    <t>Stockholm</t>
  </si>
  <si>
    <t>Lo K.</t>
  </si>
  <si>
    <t>Hamilton</t>
  </si>
  <si>
    <t>Deutsche Forschungsgemeinschaft</t>
  </si>
  <si>
    <t>DFG</t>
  </si>
  <si>
    <t>Germany;Germany</t>
  </si>
  <si>
    <t>Rome</t>
  </si>
  <si>
    <t>Lausanne</t>
  </si>
  <si>
    <t>Swiss Federal Institute of Technology Lausanne</t>
  </si>
  <si>
    <t>Journal of Vacuum Science and Technology A: Vacuum, Surfaces and Films</t>
  </si>
  <si>
    <t>39-41</t>
  </si>
  <si>
    <t>407-421</t>
  </si>
  <si>
    <t>Evans, Noel E.</t>
  </si>
  <si>
    <t>Coleraine</t>
  </si>
  <si>
    <t>Ulster University</t>
  </si>
  <si>
    <t>Evans N.</t>
  </si>
  <si>
    <t>Australia;Australia;Australia</t>
  </si>
  <si>
    <t>Sweden;Sweden</t>
  </si>
  <si>
    <t>Russian Federation</t>
  </si>
  <si>
    <t>Moscow</t>
  </si>
  <si>
    <t>FEBS Letters</t>
  </si>
  <si>
    <t>Physics Letters A</t>
  </si>
  <si>
    <t>1432041X</t>
  </si>
  <si>
    <t>0930035X</t>
  </si>
  <si>
    <t>Roux's Archives of Developmental Biology</t>
  </si>
  <si>
    <t>E70</t>
  </si>
  <si>
    <t>Transactions of the Institute of Electronics, Information and Communication Engineers, Section E (</t>
  </si>
  <si>
    <t>Prasad R.</t>
  </si>
  <si>
    <t>SFB 143</t>
  </si>
  <si>
    <t>Zeitschrift fur Naturforschung - Section C Journal of Biosciences</t>
  </si>
  <si>
    <t>Technical University of Munich</t>
  </si>
  <si>
    <t>1432234X</t>
  </si>
  <si>
    <t>0720213X</t>
  </si>
  <si>
    <t>Zoomorphology</t>
  </si>
  <si>
    <t>Polar Biology</t>
  </si>
  <si>
    <t>Oldenburg</t>
  </si>
  <si>
    <t>Universit√§t Oldenburg</t>
  </si>
  <si>
    <t>Planta</t>
  </si>
  <si>
    <t>Radiophysics and Quantum Electronics</t>
  </si>
  <si>
    <t>Ludwig-Maximilians-Universit√§t M√ºnchen</t>
  </si>
  <si>
    <t>Hydrobiologia</t>
  </si>
  <si>
    <t>BBA - Bioenergetics</t>
  </si>
  <si>
    <t>103-105</t>
  </si>
  <si>
    <t>7006472158;6602798999</t>
  </si>
  <si>
    <t>Abramovich, Yu I.;Kachur, V. G.</t>
  </si>
  <si>
    <t>Abramovich Y.</t>
  </si>
  <si>
    <t>Kravtsov V.</t>
  </si>
  <si>
    <t>60015623;60015623</t>
  </si>
  <si>
    <t>Journal of the Institution of Engineers. India. Electronics and telecommunication engineering division</t>
  </si>
  <si>
    <t>25-30</t>
  </si>
  <si>
    <t>Lund;Stockholm</t>
  </si>
  <si>
    <t>Lunds Universitet;Arrhenius Laboratory</t>
  </si>
  <si>
    <t>60029170;60001950</t>
  </si>
  <si>
    <t>60019722;60019722;60019722</t>
  </si>
  <si>
    <t>60005681;60005681</t>
  </si>
  <si>
    <t>6602727515;7004654512</t>
  </si>
  <si>
    <t>Kisliuk, M.;Axelrod, A.</t>
  </si>
  <si>
    <t>Tel Aviv-Yafo</t>
  </si>
  <si>
    <t>Tel Aviv University</t>
  </si>
  <si>
    <t>Kisliuk M.</t>
  </si>
  <si>
    <t>27-32</t>
  </si>
  <si>
    <t>Journal of Electrical and Electronics Engineering, Australia</t>
  </si>
  <si>
    <t>60003480;60003480</t>
  </si>
  <si>
    <t>Defence Science and Technology Group</t>
  </si>
  <si>
    <t>Alta frequenza</t>
  </si>
  <si>
    <t>Consiglio Nazionale delle Ricerche</t>
  </si>
  <si>
    <t>Selenia S.p.A.</t>
  </si>
  <si>
    <t>Electronics &amp; wireless world</t>
  </si>
  <si>
    <t>Physica Scripta</t>
  </si>
  <si>
    <t>794-797</t>
  </si>
  <si>
    <t>60004156;60004156</t>
  </si>
  <si>
    <t>6603764561;57081518400</t>
  </si>
  <si>
    <t>Van Rensen, Jack J.S.;Sp√§tjens, Leon E.E.M.</t>
  </si>
  <si>
    <t>Wageningen</t>
  </si>
  <si>
    <t>Wageningen University &amp; Research</t>
  </si>
  <si>
    <t>Van Rensen J.</t>
  </si>
  <si>
    <t>['sidelobe signs', 'performance degradation', 'noise enhancement', 'kruecker maintains', 'earlier work', 'commenter claims', 'analysis presented']</t>
  </si>
  <si>
    <t>The commenter claims that the analysis presented in the paper by K. Kruecker (1986) for the performance degradation of a partially adaptive antenna with unresolved interference components is related to earlier work on the same subject. In replying, Kruecker maintains that Morgan's interpretation of equation (9b) of his paper as a bound of noise enhancement is not correct since equation (9b) applies only when the sidelobe signs are different.</t>
  </si>
  <si>
    <t>597-598</t>
  </si>
  <si>
    <t>Morgan, Dennis R.</t>
  </si>
  <si>
    <t>Morgan D.</t>
  </si>
  <si>
    <t>COMMENTS, WITH REPLY, ON 'ON A SPECIFIC PERFORMANCE LIMITATION OF PARTIALLY ADAPTIVE ANTENNAS' BY K. KRUCKER.</t>
  </si>
  <si>
    <t>2-s2.0-0023379021</t>
  </si>
  <si>
    <t>['waveguide walls', 'waveguide paas', 'polarized waves', 'planar waveguides', 'paa ).', 'mutual couplings', 'large influence', 'infinite array', 'dimensional problem']</t>
  </si>
  <si>
    <t>Mutual couplings between emitters are known to be able to exert a large influence on the radio engineering characteristics of phased antenna arrays (PAA). In waveguide PAAs the simplest coupling elements are slots in the waveguide walls. However, despite the simplicity of these elements, no rigorous electrodynamic analysis of their influence on the characteristics of the PAA has yet been carried out. Such an analysis is carried out in this paper for the example of solving the two-dimensional problem of the emission of H-polarized waves from an infinite array of planar waveguides, in the walls of which slots are cut that are identical for all waveguides of the system.</t>
  </si>
  <si>
    <t>170-172</t>
  </si>
  <si>
    <t>Skobelev, S. P.</t>
  </si>
  <si>
    <t>Skobelev S.</t>
  </si>
  <si>
    <t>RADIATION FROM AN ARRAY OF PLANAR WAVEGUIDES WITH SLOTTED COUPLING ELEMENTS.</t>
  </si>
  <si>
    <t>2-s2.0-0023379756</t>
  </si>
  <si>
    <t>['receiving fields', 'receiver antennas', 'optimum methods', 'message transmission', 'antenna theory']</t>
  </si>
  <si>
    <t>The results of a theory of optimum (in terms of the objective performance criteria for message transmission) discrimination of space-time (ST) signals can be represented in terms of the antenna directivity characteristics and, consequently, the optimum directivity patterns of receiver antennas can be determined for given communication channel models. This makes it possible to formulate the results of a theory of the optimum methods of receiving fields in the language of antenna theory.</t>
  </si>
  <si>
    <t>135-137</t>
  </si>
  <si>
    <t>6603541434;57198229352</t>
  </si>
  <si>
    <t>Klovskiy, D. D.;Sherman, A. Yu</t>
  </si>
  <si>
    <t>Klovskiy D.</t>
  </si>
  <si>
    <t>DIRECTIVITY CHARACTERISTICS OF ANTENNAS FOR OPTIMUM DISCRIMINATION OF SPACE-TIME SIGNALS.</t>
  </si>
  <si>
    <t>2-s2.0-0023381324</t>
  </si>
  <si>
    <t>['results obtained', 'polarization performance', 'new phase', 'new antenna', 'measurement technique', 'greatly enhance', 'future generations', 'circuit capacity', 'antenna exhibits']</t>
  </si>
  <si>
    <t>The Warkworth II Satellite Earth Station Antenna has been designed to meet a new polarization purity specification which is required to greatly enhance the circuit capacity of future generations of international communication satellites. A new phase and amplitude measurement technique has been used to ensure that the antenna exhibits the required polarization performance. The measurement technique is described and the results obtained from a series of measurements on the new antenna are presented. As a result of these measurements the polarization performance of the Warkworth II Antenna has been optimized.</t>
  </si>
  <si>
    <t>75-90</t>
  </si>
  <si>
    <t>0111946X</t>
  </si>
  <si>
    <t>Transactions of the Institution of Professional Engineers New Zealand. Electrical, Mechanical, and Chemical Engineering Section</t>
  </si>
  <si>
    <t>101150885;101150885;101150885;101150885</t>
  </si>
  <si>
    <t>7101779136;7102423928;7102808136;7006305363</t>
  </si>
  <si>
    <t>Milner, M. O.;Poole, M. E.;Flynn, B. P.;Neil, G. T.</t>
  </si>
  <si>
    <t>NZ Post Office</t>
  </si>
  <si>
    <t>Milner M.</t>
  </si>
  <si>
    <t>POLARIZATION MEASUREMENTS ON THE WARKWORTH II SATELLITE EARTH STATION ANTENNA.</t>
  </si>
  <si>
    <t>2-s2.0-0023381564</t>
  </si>
  <si>
    <t>['wave dipole', 'strength meter', 'brick room', '51ghz radiation']</t>
  </si>
  <si>
    <t>Television signals show regular standing wave patterns of maxima inside brick buildings. To investigate the usefulness of this effect the author made measurements of the geometry and magnitude of the signal pattern set up by the 0. 51GHz radiation from the Sandy Beds transmitter in a brick room at grid reference 761431. The measuring system comprised a half-wave dipole with a sleeve balun feeding a TES MC661C signal-strength meter.</t>
  </si>
  <si>
    <t>705-706</t>
  </si>
  <si>
    <t>Harrison, P.</t>
  </si>
  <si>
    <t>Harrison P.</t>
  </si>
  <si>
    <t>INTERMURAL tv SIGNALS.</t>
  </si>
  <si>
    <t>2-s2.0-0023384313</t>
  </si>
  <si>
    <t>['surface distortion', 'supporting structure', 'polarization discrimination', 'originally installed', 'optical method', 'holographic method', 'diam antenna', 'clearly seen', 'beacon signal', 'aperture distributions', 'aperture distribution', 'antenna surface', 'antenna facilities']</t>
  </si>
  <si>
    <t>The surface distortion of a 13-m diam antenna in Japan was measured by the holographic method using the beacon signal of Japan's geostationary communications Satellite CS-2b. The equipment which was originally installed in the antenna facilities to measure the cross-polarization discrimination was utilized. Shadows of the sub-reflector and its supporting structure were clearly seen in the estimated aperture distributions. A piece of thin metal plate and a radio wave absorber were attached to the antenna surface to evaluate the capability of the holographic method for detecting surface distortion. The effects of these materials on the aperture distributions of amplitude and phase were recognized. The antenna surface distortion was calculated from the aperture distribution of phase. The antenna surface accuracy obtained by the holographic method agreed with that obtained by the optical method. It was confirmed that this holographic method is useful to measure the antenna surface accuracy.</t>
  </si>
  <si>
    <t>71-83</t>
  </si>
  <si>
    <t>Journal of the Radio Research Laboratory</t>
  </si>
  <si>
    <t>7202906328;7005147454;57209601869;57220908596</t>
  </si>
  <si>
    <t>Okuyama, Toshiyuki;Fukuchi, Hajime;Nakamura, Kenji;Okamoto, Ken'ichi</t>
  </si>
  <si>
    <t>Okuyama T.</t>
  </si>
  <si>
    <t>ANTENNA SURFACE MEASUREMENT BY THE HOLOGRAPHIC METHOD USING BEACON SIGNAL OF CS-2B SATELLITE.</t>
  </si>
  <si>
    <t>2-s2.0-0023384509</t>
  </si>
  <si>
    <t>['uda antennas', 'terminal impedance', 'size yagi', 'radiation pattern', 'operating frequency', 'element thickness', 'current distribution']</t>
  </si>
  <si>
    <t>A suite of Pascal programs calculates the gain, terminal impedance, current distribution and radiation pattern of moderate-size Yagi-Uda antennas for any geometry, element thickness and operating frequency.</t>
  </si>
  <si>
    <t>710-713</t>
  </si>
  <si>
    <t>Railton, C. J.</t>
  </si>
  <si>
    <t>Railton C.</t>
  </si>
  <si>
    <t>MODELLING YAGI ANTENNAS.</t>
  </si>
  <si>
    <t>2-s2.0-0023385677</t>
  </si>
  <si>
    <t>['pulsed radar', 'practical application', 'obtain information', 'novel concept', 'monopulse antenna', 'low cost', 'k //', 'authors discuss']</t>
  </si>
  <si>
    <t>The authors discuss the design and test of a low cost, K//a-band microstrip monopulse antenna. A monopulse antenna is a novel concept that combines the theory of an interferometer with the practical application of pulsed radar to obtain the angle and altitude of an object in a single radar pulse. Four antennas receive signals that are combined to obtain information on the elevation, azimuth and distance of an object.</t>
  </si>
  <si>
    <t>60025209;60025209</t>
  </si>
  <si>
    <t>7403075745;36912218300</t>
  </si>
  <si>
    <t>Jackson, Charles M.;Newman, Jeffrey</t>
  </si>
  <si>
    <t>Jackson C.</t>
  </si>
  <si>
    <t>LOW COST, K//a-BAND MICROSTRIP PATCH MONOPULSE ANTENNA.</t>
  </si>
  <si>
    <t>2-s2.0-0023385712</t>
  </si>
  <si>
    <t>['well pumps', 'useful aspect', 'tank levels', 'system status', 'site station', 'radio telemetry', 'new system', 'much water', 'hardware interface', 'four sites', 'digital card', 'booster pumps', 'base station']</t>
  </si>
  <si>
    <t>Radio telemetry has improved the reliability, costs, preventive maintenance function, knowledge of system status, and operations of High Desert Valley Water District. The district's radio telemetry system consists of an IBM XT computer, software, hardware interface, antenna, transceiver and repeater at the base station. Each site station has a transceiver, modem, analog-to-digital card, antenna and opto-isolator. The system covers twenty-four sites, including eleven wells, and various transmission wells and booster pumps. The headquarters stations receives information on tank levels and the status of boosters and wells. The computer must know how much water is in a tank before turning on booster or well pumps. The system can be programmed to poll this information as much as the operator believes necessary. An interesting and useful aspect of the new system is its remote diagnostic capability.</t>
  </si>
  <si>
    <t>36-38</t>
  </si>
  <si>
    <t>Water Engineering and Management</t>
  </si>
  <si>
    <t>Bordas, Paul</t>
  </si>
  <si>
    <t>Bordas P.</t>
  </si>
  <si>
    <t>RADIO LINKS IMPROVE WATER DISTRICTS OPERATIONS.</t>
  </si>
  <si>
    <t>2-s2.0-0023385794</t>
  </si>
  <si>
    <t>['system includes', 'supervisory systems', 'sufficient detail', 'site development', 'required functions', 'primary power', 'powered sites', 'power systems', 'outside plant', 'minimum complexity', 'microwave radio', 'helicopter installation', 'following equipment', 'exxon corp', 'electronic equipment', 'communications network', 'bid specifications', 'associated services', 'antenna systems']</t>
  </si>
  <si>
    <t>The principal system design objectives for the communications network on the Yemen Hunt Oil Co. /Exxon Corp. /joint venture pipe line project in the Yemen Arab Republic were: lightweight for ease of helicopter installation; low primary power drain for solar-powered sites; minimum complexity in each subsystem to accomplish the required functions; and centralized system status and control in sufficient detail to permit trouble diagnosis before dispatching service calls. Bid specifications for the microwave backbone network covered a complete turnkey complement of electronic equipment, primary power, shelters, outside plant and associated services, except that site development and foundations were provided by owner. The system includes the following equipment: microwave radio and multiplex; alarm and supervisory systems; shelters/power systems; and towers/antenna systems.</t>
  </si>
  <si>
    <t>Pipe line industry Houston, Tex.</t>
  </si>
  <si>
    <t>100346480;100346480;100346480</t>
  </si>
  <si>
    <t>6507714203;7402108594;6506276131</t>
  </si>
  <si>
    <t>Lerten, David M.;Gillespie, J. C.;Strid, Gene R.</t>
  </si>
  <si>
    <t>Sun Exploration &amp; Production Co</t>
  </si>
  <si>
    <t>Lerten D.M.</t>
  </si>
  <si>
    <t>DESIGN FEATURES OF A YEMEN CRUDE LINE COMMUNICATIONS SYSTEM - PART 2.</t>
  </si>
  <si>
    <t>2-s2.0-20244382515</t>
  </si>
  <si>
    <t>2301-2304</t>
  </si>
  <si>
    <t>;;60024266</t>
  </si>
  <si>
    <t>6603612527;7006106746;7402222174</t>
  </si>
  <si>
    <t>Caughman, J. B.O.;Ruzic, D. N.;Hoffman, D. J.</t>
  </si>
  <si>
    <t>Caughman J.</t>
  </si>
  <si>
    <t>The effects of radio frequency waves on the sputtering of ion cyclotron resonance heating antenna Faraday shields</t>
  </si>
  <si>
    <t>10.1116/1.574440</t>
  </si>
  <si>
    <t>2-s2.0-84953681037</t>
  </si>
  <si>
    <t>['subauroral station', 'station rotates', 'region show', 'goose bay', 'fast switch', 'eastward drift', 'dusk cell', 'drift mode', 'digital ionosonde', 'dawn cell', 'bottomside ionosphere']</t>
  </si>
  <si>
    <t>Ground-based drift observations of the winter polar cap F-region show that the magnetospherically induced ionospheric convection can be measured for the bottomside ionosphere. A digital ionosonde with four spaced receiving antennas operated at Thule, Greenland (86≈∂ CGL) in the Doppler-drift mode. A number of 24-hour measurements indicate that the drift direction changes linearly as a function of time in accordance with the predicted antisunward convection pattern. The drift velocities vary from 300 to 900 m/s.Measurements at a subauroral station (Goose Bay, Labrador, 65≈∂ CGL) with the same spaced-antennas-Doppler-drift technique show a steady westward drift until local magnetic midnight and a fast switch-over at that time to an eastward drift. We conclude that the observed subauroral drifts are the sunward return flows of the polar plasma convection, and the switch-over occurs when the station rotates from the dusk cell into the dawn cell. ¬© IOP Publishing Ltd.</t>
  </si>
  <si>
    <t>372-377</t>
  </si>
  <si>
    <t>60033461;60001247;60001247</t>
  </si>
  <si>
    <t>7006701810;6602363033;7401971410</t>
  </si>
  <si>
    <t>Reinisch, Bodo W.;Buchau, Jurgen;Weber, Edward J.</t>
  </si>
  <si>
    <t>Lowell;</t>
  </si>
  <si>
    <t>University of Massachusetts Lowell;Hanscom AFB</t>
  </si>
  <si>
    <t>60033461;60001247</t>
  </si>
  <si>
    <t>Reinisch B.</t>
  </si>
  <si>
    <t>Digital ionosonde observations of the polar cap f region convection</t>
  </si>
  <si>
    <t>10.1088/0031-8949/36/2/030</t>
  </si>
  <si>
    <t>2-s2.0-0007737917</t>
  </si>
  <si>
    <t>['wave frequencies', 'use thousands', 'state transmit', 'r modules', 'planning stages', 'new generation', 'mmic modules', 'conventional coaxial', 'available space', 'authors consider', 'antenna systems', '20 ghz']</t>
  </si>
  <si>
    <t>The authors consider the new generation of antenna systems operating at mm-wave frequencies (20 GHz and above), which will be composed of independent and spatially distributed solid-state transmit/receive (T/R) modules. Several of the antenna systems now in the planning stages will use thousands of MMIC modules, and the available space for the distribution of various control signals to the T/R modules is a matter of concern. An optically controlled phased array, in which the conventional coaxial or waveguide distribution subsystem is replaced by the fiber-optic (FO) links is discussed. An example is examined to illustrate the capability of such an array.</t>
  </si>
  <si>
    <t>24463325600;7006552817</t>
  </si>
  <si>
    <t>Herczfeld, P. R.;Daryoush, A. S.</t>
  </si>
  <si>
    <t>Herczfeld P.</t>
  </si>
  <si>
    <t>FIBER-OPTIC FEED NETWORK FOR LARGE APERTURE PHASED ARRAY ANTENNAS. SYSTEM CONSIDERATIONS.</t>
  </si>
  <si>
    <t>2-s2.0-0023391722</t>
  </si>
  <si>
    <t>['spectral method', 'scattered field', 'problem numerically', 'obtained using', 'nonequidistant array', 'integral operator', 'inclined strips', 'finite number', 'exact solution', 'electromagnetic waves', 'efficient algorithm']</t>
  </si>
  <si>
    <t>An exact solution of the problem of the scattering of electromagnetic waves by a nonequidistant array of a finite number of inclined strips is obtained using the spectral method and by inversion of the integral operator. An efficient algorithm is constructed for solving the problem numerically. The number of elements is evaluated. The effect of a breakdown in the periodicity of the structure on the characteristics of the scattered field is investigated.</t>
  </si>
  <si>
    <t>63-70</t>
  </si>
  <si>
    <t>Vorob'yev, S. N.</t>
  </si>
  <si>
    <t>Vorob'yev S.</t>
  </si>
  <si>
    <t>SCATTERING OF ELECTROMAGNETIC WAVES BY A NONEQUIDISTANT ARRAY OF A FINITE NUMBER OF INCLINED STRIPS.</t>
  </si>
  <si>
    <t>2-s2.0-0023396845</t>
  </si>
  <si>
    <t>['sidelobe level', 'receiving aperture', 'receiving antenna', 'radioelectronic systems', 'quite low', 'power density', 'paper presents', 'optimized ten', 'medical standard', 'level near', 'existing standard', 'exceeding 0', 'etc ).', 'electromagnetic compatibility', 'directly associated', '1 v']</t>
  </si>
  <si>
    <t>An important constituent part of a space-based solar electric power station (SBSEPS) is the microwave energy transmission channel (ETC). Among the many requirements imposed on such a system, it is important that the sidelobe level be quite low. This level near the receiving aperture should not exceed, as a minimum, the medical standard of the USSR for prolonged and safe microwave irradiation, equal to 10 mu W/cm**2. On the other hand, there is another important problem, the electromagnetic compatibility (EMC) of the radioelectronic systems, which is directly associated with the intensity of the radiation in the sidelobes. The existing standard in the USA for admissible radiation intensity satisfying EMC corresponds to an electric field strength of 1 V/m or a power density of 0. 27 mu W/cm**2. The paper presents an optimized ten-step amplitude distribution, ensuring a sidelobe average intensity not exceeding 0. 13 mu W/cm**2 with a power density p//i equals 23 mW/cm**2 at the center of the receiving antenna.</t>
  </si>
  <si>
    <t>177-179</t>
  </si>
  <si>
    <t>7004652700;6603472575;6507610480</t>
  </si>
  <si>
    <t>Vanke, V. A.;Lesota, S. K.;Rachnikov, A. V.</t>
  </si>
  <si>
    <t>Vanke V.</t>
  </si>
  <si>
    <t>PROBLEM OF SYNTHESIZING THE ENERGY-TRANSMISSION CHANNEL OF A SPACE-BASED SOLAR ELECTRIC POWER STATION.</t>
  </si>
  <si>
    <t>2-s2.0-0023397534</t>
  </si>
  <si>
    <t>['radiation patterns', 'primary feed', 'physical optics', 'offset reflector', 'offset angle', 'minus 2db', 'measured data', 'good agreement', 'geometrical theory', 'frequency range', 'focal length', 'field analysis', 'diffraction ).', 'computed pattern', 'computed numerically', 'chosen 432mm', 'aperture width', 'aperture angle', 'angle regions', '65 degree', '40 degree']</t>
  </si>
  <si>
    <t>Radiation patterns of an offset cylindrical reflector antenna are computed numerically by BEM (bondary element method), and compared with the corresponding measured patterns in order to seek the validity of the approach to the radiation pattern analysis for the whole angles without paying any attention to the combination of PO (physical optics) and GTD (geometrical theory of diffraction). A parallel-plate small horn antenna to be used as the primary feed for the offset reflector is analyzed for the frequency range of 8GHZ to 12GHZ, and good agreement between the BEM and the measured radiation patterns (amplitude) is ascertained for the levels from 0db down to about minus 2db. A small offset reflector antenna is manufactured, where the aperture width, the focal length, the offset angle, and the aperture angle are chosen 432mm, 200mm, 65 degree and 40 degree , respectively. It is shown that the computed pattern by BEM (H-plane) is verified by the measured data from the mainbeam to wide-angle regions, proving the validity of the approach to the field analysis of two-dimensional reflector antennas.</t>
  </si>
  <si>
    <t>761-767</t>
  </si>
  <si>
    <t>7201750560;57214925937</t>
  </si>
  <si>
    <t>Miyata, Katsumasa;Fukai, Ichiro</t>
  </si>
  <si>
    <t>Miyata K.</t>
  </si>
  <si>
    <t>RADIATION PATTERN ANALYSIS OF AN OFFSET CYLINDRICAL REFLECTOR ANTENNA BY BOUNDARY ELEMENT METHOD.</t>
  </si>
  <si>
    <t>2-s2.0-0023397946</t>
  </si>
  <si>
    <t>['widely used', 'synthesized aperture', 'synthesis methods', 'received signals', 'radio link', 'radar systems', 'problems arising', 'coherent processing', 'characteristic features', 'authors examine', 'aperture synthesis', 'adaptive antennas']</t>
  </si>
  <si>
    <t>Aperture-synthesis methods are now widely used to increase the resolution of radar systems. Studies of the characteristic features of coherent processing of received signals in such systems have been performed before, but the problems arising in the use of adaptive antennas with a synthesized aperture have not been studied. The authors examine the principle of aperture synthesis as it applies to a radio link between a station on earth and an aircraft.</t>
  </si>
  <si>
    <t>162-164</t>
  </si>
  <si>
    <t>6701693763;6602851818;6602436817</t>
  </si>
  <si>
    <t>Rodimov, A. P.;Glushankov, Ye I.;Kobin, S. V.</t>
  </si>
  <si>
    <t>Rodimov A.</t>
  </si>
  <si>
    <t>ADAPTIVE SPATIAL-TEMPORAL PROCESSING OF RADIO SIGNALS IN ANTENNA SYSTEMS WITH A SYNTHESIZED APERTURE.</t>
  </si>
  <si>
    <t>2-s2.0-0023398523</t>
  </si>
  <si>
    <t>['well known', 'time signals', 'subsystem used', 'sounding signal', 'receiving systems', 'received signal', 'processing space', 'polarization structure', 'polarization parameters', 'noise signals', 'multichannel transmitting', 'interference source', 'information content', 'entire system', 'employing differences', 'certain ratios', 'authors show']</t>
  </si>
  <si>
    <t>In the analysis of multichannel transmitting-and-receiving systems for processing space-time signals, the possibility of increasing the information content by employing differences in the polarization structure of the signals and noise was not studied in most papers. At the same time, it is well known that during active detection th quality of the operation of the entire system can be improved by optimizing the polarization parameters of the sounding signal and the subsystem used for processing the received signal. The authors show that for certain ratios of the polarization parameters of the useful and noise signals, polarization processing enables one to suppress the noise from the external source effectively, even in the case when both the target and the interference source are located along close or identical spatial directions.</t>
  </si>
  <si>
    <t>157-160</t>
  </si>
  <si>
    <t>6602806973;6507775669</t>
  </si>
  <si>
    <t>Radziyevskiy, V. G.;Myazitova, L. Sh</t>
  </si>
  <si>
    <t>Radziyevskiy V.</t>
  </si>
  <si>
    <t>POLARIZATION PROCESSING OF SIGNALS IN MULTICHANNEL TRANSMITTING-AND-RECEIVING SYSTEMS.</t>
  </si>
  <si>
    <t>2-s2.0-0023398658</t>
  </si>
  <si>
    <t>['various methods', 'underground utilities', 'tone generator', 'signal may', 'popular method', 'instruments generate', 'inductive coupler', 'indirect mode', 'earth onto', 'disrupting service', 'direct mode', 'contact point', 'cable sheath', 'cable locators', 'audio frequency', 'applying signal', 'active signal']</t>
  </si>
  <si>
    <t>The majority of pipe and cable locators in use today employ the use of radio or audio frequency as a means of applying signal or tone to underground utilities. These instruments generate an active signal on to the pipe or cable by means of a transmitter or tone generator. This signal may be applied by various methods, the first being the conductive or direct mode where there is access to a contact point such as a valve or a cable sheath. Another is the inductive or indirect mode, whereby the transmitter and antenna is placed on the surface of the ground above the conductor and the signal is induced through earth onto the pipe or cable. One more popular method is the use of an inductive coupler where the signal can be applied to a cable without lifting bonds or disrupting service.</t>
  </si>
  <si>
    <t>30-31, 34</t>
  </si>
  <si>
    <t>Webber, Phillip</t>
  </si>
  <si>
    <t>Metrotech Corp</t>
  </si>
  <si>
    <t>Webber P.</t>
  </si>
  <si>
    <t>LOCATING BURIED PIPES AND CABLES.</t>
  </si>
  <si>
    <t>2-s2.0-0023399270</t>
  </si>
  <si>
    <t>['œ ±-', 'trace amounts', 'species generated', 'specialist grasshopper', 'plant relationship', 'plant leaves', 'odor components', 'nearly double', 'melanoplus sanguinipes', 'mass spectrometry', 'major components', 'individual volatiles', 'increased sensitivity', 'hypochlora alba', 'greater number', 'generalist grasshoppers', 'gas chromatography', 'extracted volatiles', 'either sex', 'conspecific females', 'comparing electroantennograms', 'commonly occurs', 'bornyl acetate', 'artemisia ludoviciana', 'artemisia ketone', 'allelochemics including', 'alba males']</t>
  </si>
  <si>
    <t>Acrididae | Artemisia ludoviciana | electroantennogram | generalist insect | grasshopper | Hypochlora alba | Melanoplus sanguinipes | monoterpenes | Orthoptera | plant volatiles | specialist insect</t>
  </si>
  <si>
    <t>Hypochlora alba is a specialist grasshopper that lives and feeds almost exclusively on Artemisia ludoviciana, a plant that produces large amounts of allelochemics including a variety of monoterpenes. This plant is not a host for generalist grasshoppers such as Melanoplus sanguinipes. The role of olfaction in the grasshopper-plant relationship was investigated by comparing electroantennograms (EAGs) of males and females of both species generated by solvent-extracted volatiles from plant leaves and by major individual components. Volatiles of A. ludoviciana were identified by gas chromatography-mass spectrometry. The major components were 1,8-cineole, camphor, camphene, and borneol, while minor identified compounds were Œ±- and Œ≤-pinene, Œ±-thujene, myrcene, p-cymene, Artemisia ketone, Œ±-thujone, and bornyl acetate. The EAGs (mV) of H. alba males to a range of concentrations of individual volatiles or the total plant extract were nearly double those of conspecific females or both sexes of M. sanguinipes. However, both sexes of M. sanguinipes were more sensitive than either sex of H, alba to geraniol, a monoterpene that commonly occurs in many plant species but is absent or is present in only trace amounts in A. ludoviciana. The increased sensitivity of H. alba males to the odor components of their host plant appears to be related to the greater number of certain olfactory chemoreceptors on male versus female antennae. The significance of this phenomenon is discussed. ¬© 1987 Plenum Publishing Corporation.</t>
  </si>
  <si>
    <t>1893-1902</t>
  </si>
  <si>
    <t>60000689;60000689</t>
  </si>
  <si>
    <t>6507035189;7102149111</t>
  </si>
  <si>
    <t>Blust, M. H.;Hopkins, T. L.</t>
  </si>
  <si>
    <t>Manhattan</t>
  </si>
  <si>
    <t>Kansas State University</t>
  </si>
  <si>
    <t>Blust M.H.</t>
  </si>
  <si>
    <t>Olfactory responses of a specialist and a generalist grasshopper to volatiles of Artemisia ludoviciana nutt. (Asteraceae)</t>
  </si>
  <si>
    <t>10.1007/BF01013238</t>
  </si>
  <si>
    <t>2-s2.0-2342531936</t>
  </si>
  <si>
    <t>763-767</t>
  </si>
  <si>
    <t>7005755873;35880299700;16466360000;16434546100</t>
  </si>
  <si>
    <t>Ponomarev, D. M.;Goryachev, A. V.;Zhavoronkov, V. N.;Goryunova, S. V.</t>
  </si>
  <si>
    <t>Ponomarev D.</t>
  </si>
  <si>
    <t>Experimental time-domain antenna studies</t>
  </si>
  <si>
    <t>10.1007/BF01083488</t>
  </si>
  <si>
    <t>2-s2.0-34250097824</t>
  </si>
  <si>
    <t>755-762</t>
  </si>
  <si>
    <t>Mal'tsev, A. A.</t>
  </si>
  <si>
    <t>Mal'tsev A.A.</t>
  </si>
  <si>
    <t>Allowance for fast parameter fluctuations in analyzing adaptive antenna characteristics</t>
  </si>
  <si>
    <t>10.1007/BF01083487</t>
  </si>
  <si>
    <t>2-s2.0-34250103029</t>
  </si>
  <si>
    <t>['œ ±', '¬© 1987', 'susceptible one', 'susceptible biotypes', 'sensitive one', 'rights reserved', 'resistant biotype', 'photosystem ii', 'much difference', 'chenopodium album', 'antenna sizesof', 'antenna size']</t>
  </si>
  <si>
    <t>Chlorophyll a Fluorescence | Chloroplasts | Herbicides | Triazine R esistance | Œ± and √ü Centers</t>
  </si>
  <si>
    <t>The heterogeneity of photosystem II with respect to Œ± and √ü centers was investigated in triazineresistant and susceptible biotypes of Chenopodium album. In both biotypes the light harvesting antenna sizesof photosystem II a centers was larger than those of √ü centers. In the resistant biotype the antenna size of the a centers was smaller than those in the susceptible one. There was not much difference in the antenna sizesof the √ü centers. The proportion of √ü centers was larger in the resistant biotype compared with the sensitive one. ¬© 1987, Walter de Gruyter. All rights reserved.</t>
  </si>
  <si>
    <t>Photosystem II Heterogeneity in Triazine-Resistant and Susceptible Biotypes of Chenopodium Album</t>
  </si>
  <si>
    <t>10.1515/znc-1987-7-808</t>
  </si>
  <si>
    <t>2-s2.0-84913347062</t>
  </si>
  <si>
    <t>['¬© 1987', 'wild type', 'trans ).', 'times lower', 'three non', 'protein complexes', 'photosynthetic mutants', 'oligomeric form', 'mf 2', 'mf 1', 'main light', 'main chlorophyll', 'impaired mechanism', 'hexadecenoic acid', 'fl 39', 'fatty acids', 'equal amounts', 'cp ii', 'containing pg', 'clearly isolated', 'chlorophyll basis', 'chlamydomonas reinhardtii', 'c18 series', 'c16 series', 'b antenna']</t>
  </si>
  <si>
    <t>(C. reinhardtii) | Excitation-energy transfer | Light-harvesting chlorophyll-protein complex | Lipid | Oligomerization | Photosynthesis</t>
  </si>
  <si>
    <t>Analyses of chlorophyll-protein complexes and of lipids were performed with the wild type of Chlamydomonas reinhardtii and three non-photosynthetic mutants: Fl 39, which was a 'classical' high-fluorescent Photosystem II (PS II)-lacking mutant, and mf 1 and mf 2, which lacked also functional PS II but were low-fluorescent and showed an abnormally predominant energy transfer from the main light-harvesting antenna towards Photosystem I. An oligomeric form of the chlorophyll a + b-protein complex CP II was clearly isolated from the wild type and the mutant Fl 39 but it was not detected in the mutants mf 1 and mf 2. The three mutants showed total lipid contents close to or greater than that of the wild type. Their phosphatidyldiacylglycerol (PG) contents, on a chlorophyll basis, were higher (Fl 39) or 1.4- (mf 1) and 2.0- (mf 2) times lower than that of the wild type. The fatty acid compositions of the wild type and of the mutant Fl 39 were comparable, showing about equal amounts of a C18 series and a C16 series which included the Œî3-trans-hexadecenoic acid (C16:1-trans). This C16:1-trans was not detected in the mutants mf 1 and mf 2 which contained the other fatty acids. These results indicate correlations between lack of C16:1-trans-containing PG, lack of an oligomeric form of CP II and an impaired mechanism of the regulation of excitation energy transfer from the main chlorophyll a + b antenna. ¬© 1987.</t>
  </si>
  <si>
    <t>91-99</t>
  </si>
  <si>
    <t>60008134;60008134;60008134;60008134</t>
  </si>
  <si>
    <t>6602420717;6603798324;7201815134;16193893500</t>
  </si>
  <si>
    <t>Maroc, Jeannine;Tr√©moli√®res, Antoine;Garnier, Jacques;Guyon, Denise</t>
  </si>
  <si>
    <t>Maroc J.</t>
  </si>
  <si>
    <t>Oligomeric form of the light-harvesting chlorophyll a + b-protein complex CP II, phosphatidyldiacylglycerol, Œî3-trans-hexadecenoic acid and energy transfer in Chlamydomonas reinhardtii, wild type and mutants</t>
  </si>
  <si>
    <t>10.1016/0005-2728(87)90152-6</t>
  </si>
  <si>
    <t>2-s2.0-0010231645</t>
  </si>
  <si>
    <t>['wings ).', 'wagging dance', 'ventral direction', 'velocity amplitudes', 'surprisingly little', 'strongly modulated', 'stationary probe', 'spatial orientation', 'side wagging', 'pressure gradients', 'pressure detected', 'one side', 'much smaller', 'messages carried', 'increasing distance', 'honeybees performing', 'found near', 'follower bees', 'decrease rapidly', 'dancing bees', 'cm apart', 'avoid mixing', 'air spaces', 'acoustic field', '13 hz', '1 pa']</t>
  </si>
  <si>
    <t>The acoustic near field close to honeybees performing the wagging dance was investigated with pairs of small, matched microphones placed in various positions around the dancing bees. The dance 'sounds' are produced by the wings, which act as an asymmetrical dipole emitter. Close to the abdomen, the 'sound' pressures in the air spaces above and below the plane of the wings are totally out of phase. A zone of very intense acoustical short-circuiting exists close to the edges of the wings, where pressure gradients of about 1 Pa/mm are observed in the dorso-ventral direction (perpendicular to the plane of the wings). The pressure gradients drive air movements with velocity amplitudes up to about 1 m/s. The pressure gradients are much smaller in directions radially away from the bee and decrease rapidly with increasing distance from the wings. The 'sound' pressure detected by a stationary probe at one side of the bee is strongly modulated at 12-13 Hz as a result of the bee's side-to-side wagging. Surprisingly little 'sound' is found near the dancer's head. The positions of the follower bees reflect the properties of the acoustic field: The follower bees place their antennae in the zone of maximum acoustical short-circuiting where the air particle movements are most intense. These observations suggest 1) how follower bees can avoid mixing up the messages carried by the dance 'sounds' when two or more bees are dancing only a few cm apart and 2) how the followers might extract information about a dancer's spatial orientation from the acoustic near field she produces. The observations also provide clues regarding the nature of the putative 'sound' receivers. ¬© 1987 Springer-Verlag.</t>
  </si>
  <si>
    <t>633-643</t>
  </si>
  <si>
    <t>60019160;60003269-60001726;60108337;60019160</t>
  </si>
  <si>
    <t>7005648614;7003267535;7006182850;7004407685</t>
  </si>
  <si>
    <t>Michelsen, Axel;Towne, William F.;Kirchner, Wolfgang H.;Kryger, Per</t>
  </si>
  <si>
    <t>Germany;Denmark;United States;United States</t>
  </si>
  <si>
    <t>Wurzburg;Odense;Princeton;Kutztown</t>
  </si>
  <si>
    <t>Biozentrum der Universit√§t W√ºrzburg;Syddansk Universitet;Princeton University;Kutztown University</t>
  </si>
  <si>
    <t>60108337;60019160;60003269;60001726</t>
  </si>
  <si>
    <t>Michelsen A.</t>
  </si>
  <si>
    <t>The acoustic near field of a dancing honeybee</t>
  </si>
  <si>
    <t>10.1007/BF00605005</t>
  </si>
  <si>
    <t>2-s2.0-0000007526</t>
  </si>
  <si>
    <t>['¬© 1987', 'wild type', 'variable component', 'two photosystems', 'three mutants', 'third mutant', 'results indicate', 'related proteins', 'related emissions', 'reduction state', 'ps ii', 'plastoquinone pool', 'plant physiologists', 'perform photosynthesis', 'mf 3', 'mf 2', 'mf 1', 'main light', 'main chl', 'light captured', 'jspp ).', 'japanese society', 'inducing ps', 'harvesting antenna', 'excitation energy', 'energy captured', 'deficient mutant', 'cp iv', 'cp ii', 'core antenna', 'clearly lower', 'chlamydomonas reinhardtii', 'b antenna', '716 nm', '696 nm', '682 nm']</t>
  </si>
  <si>
    <t>Chlamydomonas reinhardtii | Chlorophyll-protein complex | Energy transfer | Excitation | Low fluorescent mutants | Low-temperature fluorescence | Spectroscopy | Thylakoid proteins</t>
  </si>
  <si>
    <t>Three new mutants of Chlamydomonas reinhardtii were characterized, which showed maximum Chl fluorescence yields close to the initial minimum level and clearly lower than the wild type maximum yield. Two of these mutants, mf 1 and mf 2, also showed anomalies characteristic of mutants lacking functional PS II: absence of PS II-related photochemical activity and of the variable component of fluorescence, deficiencies of high potential Cyt b-559, of the Chl-protein complexes CP III and CP IV and of five PS II-related proteins. The third mutant, mf 3, was able to perform photosynthesis and did not show any of the above deficiencies. Low-temperature fluorescence emission spectra indicated clearly that, whatever the oxido-reduction state of the plastoquinone pool, the emission of the main light-harvesting antenna at 682 nm was weaker and the emission of the PS I core antenna at 712-716 nm was more important in mf 1 and mf 2 than in a "classical" PS II-deficient mutant. In mf 3, unlike the wild type, the PS II-related emissions at 686 and 696 nm were relatively less important than that at 712-716 nm. Low-temperature fluorescence excitation spectra showed that, in the three mutants, the light captured by the main Chl a+b antenna, CP II, was the most efficient in inducing PS I fluorescence.These results indicate that, in the three mutants, the energy captured by the main light-harvesting antenna is always preferentially transferred towards PS I. They will be discussed in terms of membrane defects leading to an impaired regulation mechanism for the distribution of the excitation energy between the two photosystems. ¬© 1987. The Japanese Society of Plant Physiologists (JSPP).</t>
  </si>
  <si>
    <t>1117-1131</t>
  </si>
  <si>
    <t>60008134;60008134;60008134</t>
  </si>
  <si>
    <t>36506159500;6602420717;16193893500</t>
  </si>
  <si>
    <t>Gamier, Jacques;Maroc, Jeannine;Guyon, Denise</t>
  </si>
  <si>
    <t>Gamier J.</t>
  </si>
  <si>
    <t>Characterization of new strains of photosynthesis mutants of Chlamydomonas reinhardtii IV impaired excitation energy transfer in three low fluorescent mutants</t>
  </si>
  <si>
    <t>2-s2.0-0000340544</t>
  </si>
  <si>
    <t>['¬© 1987', 'trace amounts', 'substantial amounts', 'small increases', 'protein complex', 'present work', 'plant physiologists', 'normal intensities', 'nadp reductase', 'limited development', 'lhcp oligomer', 'lhcp ),', 'levels comparable', 'jspp ).', 'japanese society', 'harvesting chl', 'euglena low', 'developmental threshold', 'cyt c', 'cp la', 'cm2 ).', 'chi b', '27 œºw']</t>
  </si>
  <si>
    <t>Chlorophyll b | Chloroplast development at low light intensity | Euglena gracilis var. bacillaris | Light harvesting chlorophyll-protein complex</t>
  </si>
  <si>
    <t>The plastids of dark-grown resting cells of Euglena gracilis Klebs var. bacillaris Cori undergo only limited development when illuminated at the developmental threshold for light intensity 7 foot-candles (ft-c) (27 ŒºW/cm2). In the present work, we have found that these low intensity cells have substantial amounts of electron transport components such as ferredoxin-NADP reductase and Cyt c-552 but only trace amounts of the major antenna components such as the light-harvesting Chl-protein complex (LHCP), the LHCP oligomer, CP la, Chi b and the 26.5 kDa apo-LHCP; CP I and CPa are at levels comparable to the electron transport components. Exposure of the low intensity cells to normal light intensity causes large increases in major antenna components and small increases in electron transport components. The kinetics of accumulation of the antenna components Chi b and apo-LHCP during greening of dark-grown resting cells at normal intensities are the same as for Chi a. The low intensity wild-type cells strongly resemble mutants of Euglena low in Chi b grown at normal intensities in lacking major antenna components. ¬© 1987. The Japanese Society of Plant Physiologists (JSPP).</t>
  </si>
  <si>
    <t>1101-1108</t>
  </si>
  <si>
    <t>60016247;60016247;60016247</t>
  </si>
  <si>
    <t>7004432612;36506382600;7005348707</t>
  </si>
  <si>
    <t>Spano, Anthony J.;Ghaus, Harris;Schiff, Jerome A.</t>
  </si>
  <si>
    <t>Brandeis University</t>
  </si>
  <si>
    <t>Spano A.</t>
  </si>
  <si>
    <t>Chlorophyll-protein complexes and other thylakoid components at the low intensity threshold in euglena chloroplast development</t>
  </si>
  <si>
    <t>2-s2.0-0009924457</t>
  </si>
  <si>
    <t>['vibration amplitude', 'sensitive air', 'resonant frequency', 'range 1', 'possible role', 'positioning reaction', 'pedicellar mechanoreceptors', 'mechanical properties', 'measuring deflections', 'locusta migratoria', 'locust antenna', 'little effect', 'head movements', 'flying locusts', 'flight control', 'flight causes', 'flagellum shows', 'flagellar vibrations', 'exhibits amplitudes', 'dynamic characteristics', 'beat frequency', 'aperiodically damped', 'aperiodic decay', 'antennal angle', 'also produced', 'adequate stimulus', '9b ).', '9a ).', '90 ¬∞', '8 ).', '6 khz', '6 ).', '4 ).', '3 oscillations', '3 ).', '20 hz', '180 hz', '132 hz', '10b ),', '10a ).']</t>
  </si>
  <si>
    <t>The antennae of locusts, Locusta migratoria, act as vibration-sensitive air-current sense organs, by measuring deflections of the flagellum with the mechanoreceptors of the pedicellus. We analyzed the mechanical properties of the flagellum and its dynamic characteristics which are both a prerequisite for the evaluation of the adequate stimulus for the pedicellar mechanoreceptors and their possible role in flight control. 1. The locust antenna has a resonant frequency between 70-132 Hz when the flagellum is vibrated by head movements (Figs. 2, 3). Vibrations of 20 Hz (wing-beat frequency) cause only small amplitude deflections. A superimposed steady air stream has little effect on flagellar vibrations whereas a reduction of the antennal angle (Œ≥) corresponding to the locust's antennal-positioning reaction during flight causes a reduction of the vibration amplitude (Fig. 4). 2. K√°rm√°n vortices behind the flagellum have frequencies in the range 1.5-6 kHz and are not sufficient to cause flagellar vibrations. 3. Flagellar vibrations are also produced by turbulent air streams (Figs. 1, 5, 8). In flying locusts the beating wings generate velocity modulations of the oncoming air stream with an amplitude (peak-to-peak) of 0.1-0.3 m/s in the region of the antennae (Fig. 6). Such modulations cause flagellar vibrations with amplitudes (about Œ≤=0.03¬∞, Fig. 7) which are known to be above threshold for the pedicellar sensilla campaniformia. The sensitivity of the flagellum for air current modulations at wing-beat frequency corresponds to a frequency response curve which exhibits amplitudes at 20 Hz to be nearly as large as at the resonant frequency of 125-180 Hz (Fig. 9a). The deviation of the flagellum shows a phase lag relative to the air particle velocity which is small near 20 Hz and reaches -90¬∞ at resonance (Fig. 9b). 4. Free flagellar vibrations are aperiodically damped (Fig. 10b), or 2-3 oscillations are superimposed on the aperiodic decay (Fig. 10a). ¬© 1987 Springer-Verlag.</t>
  </si>
  <si>
    <t>671-680</t>
  </si>
  <si>
    <t>60024025;60025310</t>
  </si>
  <si>
    <t>6602085573;6701785707</t>
  </si>
  <si>
    <t>Heinzel, Hans Georg;Gewecke, Michael</t>
  </si>
  <si>
    <t>Dusseldorf;Koln</t>
  </si>
  <si>
    <t>Heinrich-Heine-Universit√§t D√ºsseldorf;University of Cologne</t>
  </si>
  <si>
    <t>60025310;60024025</t>
  </si>
  <si>
    <t>Heinzel H.</t>
  </si>
  <si>
    <t>Aerodynamic and mechanical properties of the antennae as air-current sense organs in Locusta migratoria - II. Dynamic characteristics</t>
  </si>
  <si>
    <t>10.1007/BF00605008</t>
  </si>
  <si>
    <t>2-s2.0-0013640323</t>
  </si>
  <si>
    <t>['topics discussed', 'patently needed', 'paper outlines', 'much remains', 'existing methods', 'current sources', 'cosine antenna', 'buried conductors', 'alternating currents']</t>
  </si>
  <si>
    <t>If techniques for the survey of buried conductors are to accomplish the acquisition of accurate engineering data on as broad a scale as is patently needed, it is clear that much remains to be achieved. This paper outlines some existing methods and attempts a forecast of a successor. Some topics discussed are these: the cosine antenna, properties of alternating currents in buried conductors, other signal-current sources, sum of currents in a network, sources of signal-current, and the triple sine antenna.</t>
  </si>
  <si>
    <t>0032020X</t>
  </si>
  <si>
    <t>Pipes and Pipelines International</t>
  </si>
  <si>
    <t>Howell, M. I.</t>
  </si>
  <si>
    <t>Insight Data Ltd</t>
  </si>
  <si>
    <t>Howell M.</t>
  </si>
  <si>
    <t>PIPELINE AND CABLE LOCATION.</t>
  </si>
  <si>
    <t>2-s2.0-0023095916</t>
  </si>
  <si>
    <t>['yet complete', 'work carried', 'various utilities', 'urban areas', 'progress achieved', 'performance required', 'paper outlines', 'operational aspects', 'locating radar', 'factors affecting', 'economic use', 'current results', 'buried plant']</t>
  </si>
  <si>
    <t>There is a clear financial benefit in using trenchless techniques for the installation of buried plant. In order to employ such techniques in the congested underground situations encountered in urban areas, it is as necessary to 'see' through the ground to delineate volumes clear of obstacles as it is to able to locate buried plant. This paper outlines the factors affecting the design of a pipe-locating radar and summarizes the work carried out by the British Gas Engineering Research Station to develop such a radar. Although the project is not yet complete, current results are encouraging. The performance required of the radar is discussed and the progress achieved in meeting the requirement is described. Operational aspects of the radar are considered and two distinct modes of use are identified. The most economic use of the equipment may well be achieved through cooperation between the various utilities.</t>
  </si>
  <si>
    <t>60000453;60000453</t>
  </si>
  <si>
    <t>8434546200;6701734711</t>
  </si>
  <si>
    <t>Scott, H. F.;Gunton, D. J.</t>
  </si>
  <si>
    <t>Reading</t>
  </si>
  <si>
    <t>BG Group plc</t>
  </si>
  <si>
    <t>Scott H.F.</t>
  </si>
  <si>
    <t>GROUND-PROBING RADAR - A TECHNIQUE FOR MAPPING BURIED PIPES AND CABLES.</t>
  </si>
  <si>
    <t>2-s2.0-0023149772</t>
  </si>
  <si>
    <t>['œ ±)', 'view point', 'sveral numerical', 'polynomial one', 'plane waves', 'microstrip patch', 'input impedance', 'increasing use', 'exact values', 'constructive manner', 'bounding back', 'approximate expression', 'accuratelly predicting', 'accuratelly define']</t>
  </si>
  <si>
    <t>The increasing use of microstrip antenna technology requires methods of accuratelly predicting the input impedance. Our purpose is to derive a procedurefthat can easy and accuratelly define the above impedance. It is used the view point of plane waves that propagate under the microstrip patch, bounding back and forth from the edges and interacting in a constructive manner. The reflection coefficient Œì(Œ±)=ejx(Œ±) at the edges needs long computation, time for exact values while the approximate values give significant error in the impedance. We correct the approximate expression of Œì(Œ±) and give a polynomial one which has the same values with the exact. Sveral numerical and experimental results show the validity of our expressions. ¬© 1987 Springer-Verlag.</t>
  </si>
  <si>
    <t>349-357</t>
  </si>
  <si>
    <t>60030988;60015331</t>
  </si>
  <si>
    <t>7003999101;7005683394</t>
  </si>
  <si>
    <t>Kyriacou, G.;Sahalos, J. N.</t>
  </si>
  <si>
    <t>Komotini;Thessaloniki</t>
  </si>
  <si>
    <t>Democritus University of Thrace;Aristotle University of Thessaloniki</t>
  </si>
  <si>
    <t>Kyriacou G.</t>
  </si>
  <si>
    <t>An easy to use method to define the input impedance of a probe-fed rectangular microstrip antenna</t>
  </si>
  <si>
    <t>10.1007/BF01476275</t>
  </si>
  <si>
    <t>2-s2.0-0023211007</t>
  </si>
  <si>
    <t>R01AI023253</t>
  </si>
  <si>
    <t>['two chemically', 'triggered arousal', 'tonically inhibited', 'smaller number', 'similarly excited', 'sex pheromones', 'second category', 'response polarity', 'remaining 16', 'processes information', 'plant volatiles', 'pheromone pathways', 'olfactory subsystem', 'olfactory stimuli', 'olfactory stimulation', 'obvious effect', 'observations suggest', 'mixture detectors', 'mixed response', 'mixed input', 'mgc neuropil', 'mgc ),', 'may operate', 'macroglomerular complex', 'l 5', 'ipsilateral antenna', 'identified odors', 'first category', 'extensive arborizations', 'equally excited', 'electrical stimulation', 'dependent manner', 'characterized according', 'arborizations throughout', 'antennal receptors', 'antennal nerve', 'antennal lobe', 'al ),', '8 ).', '41 ).', '41 ),', '3 ).', '2 ).', '15 ).', "15 ')", '14 ).', '12 cells', '12 ).', '1 ).']</t>
  </si>
  <si>
    <t>1. A subset of olfactory projection neurons in the brain of male Manduca sexta is described, and their role in sex pheromone information processing is examined. 2. These neurons have extensive arborizations in the macroglomerular complex (MGC), a distinctive and sexually dimorphic area of neuropil in the antennal lobe (AL), to which the axons of two known classes of antennal pheromone receptors project. Each projection neuron sends an axon from the AL into the protocerebrum (Figs. 4, 7, 9, 13 and 15). 3. Forty-one projection neurons were characterized according to their responses to electrical stimulation of the antennal nerve as well as olfactory stimulation of antennal receptors (Fig. 1). 4. All neurons exhibited strong selectivity for female sex pheromones. Other behaviorally relevant odors, such as plant volatiles, had no obvious effect on the activity of these neurons (Fig. 2). 5. Two broad physiological categories were found: (a) cells that were excited by stimulation of the ipsilateral antenna with pheromones (29 out of 41), and (b) cells that received a mixed input (inhibition and excitation) from pheromone pathways (12 out of 41). 6. Of the cells in the first category, 13 out of 29 were equally excited in response to stimulation of the antenna with either the principal natural pheromone (bombykal) or a mimic of a second unidentified pheromone ('C-15') and were similarly excited by the natural pheromone blend (Fig. 3). 7. The remaining 16 out of 29 cells responded selectively, and in some cases, in a dose-dependent manner, to stimulation of the antenna with bombykal or C-15, but not both (Figs. 5, 6 and 8). Some of these neurons had dendritic arborizations restricted to only a portion of the MGC neuropil (Fig. 9), whereas most had arborizations throughout the MGC. 8. Of the cells in the second category, 9 out of 12 were excited by bombykal, inhibited by C-l 5, and showed a mixed response to the natural pheromone blend (Figs. 11 and 12). For the other 3 out of 12 cells, the response polarity was reversed for the two chemically-identified odors (Fig. 14). 9. Two additional neurons, which were not tested with olfactory stimuli, were tonically inhibited in response to electrical stimulation of the ipsilateral antennal nerve (Fig. 15). 10. These observations suggest that some of the male-specific projection neurons may signal general pheromone-triggered arousal, whereas a smaller number can actively integrate inputs from the two known receptor classes (Bal- and C-15-selective) and may operate as 'mixture detectors' at this level of the olfactory subsystem that processes information about sex pheromones. ¬© 1987 Springer-Verlag.</t>
  </si>
  <si>
    <t>553-569</t>
  </si>
  <si>
    <t>60023324;60023324</t>
  </si>
  <si>
    <t>57213669759;7102653635</t>
  </si>
  <si>
    <t>Christensen, Thomas A.;Hildebrand, John G.</t>
  </si>
  <si>
    <t>Christensen T.</t>
  </si>
  <si>
    <t>Male-specific, sex pheromone-selective projection neurons in the antennal lobes of the moth Manduca sexta</t>
  </si>
  <si>
    <t>10.1007/BF00611929</t>
  </si>
  <si>
    <t>2-s2.0-0023339557</t>
  </si>
  <si>
    <t>['time processing', 'spectral processing', 'spectral domains', 'direction finder']</t>
  </si>
  <si>
    <t>Digital suboptimal direction finding algorithms for nonperiodic oscillation sources in the time and spectral domains are synthesized for the case of amplitude direction finding using stationary frame antennas. On the basis of the analysis of direction finding algorithms synthesized on discrete orthonormal bases, the conditions under which the effectiveness of a direction finder with spectral processing is higher than with time processing has been established. Methods for implementing the direction finder were considered.</t>
  </si>
  <si>
    <t>130-131</t>
  </si>
  <si>
    <t>41-42</t>
  </si>
  <si>
    <t>Telecommunications and Radio Engineering (English translation of Elektrosvyaz and Radiotekhnika)</t>
  </si>
  <si>
    <t>Senatorov, A. K.</t>
  </si>
  <si>
    <t>Senatorov A.</t>
  </si>
  <si>
    <t>Investigation of the effectiveness of digital direction finding algorithms for nonperiodic oscillation sources</t>
  </si>
  <si>
    <t>2-s2.0-0023402127</t>
  </si>
  <si>
    <t>['winter time', 'two media', 'proposed earlier', 'paper contains', 'large loop', 'ice surface', 'horizontal loop', 'experimental investigations', 'effective height', 'dry land']</t>
  </si>
  <si>
    <t>A new field source in the form of a large loop at the boundary of two media with significantly different conductivities was proposed earlier. This paper contains the results of experimental investigations of such sources at a dry land/salt water interface and also examines large loops on electrically contrasted elevated terrain. Measurements of the effective height of a horizontal loop at a salt/water dry land interface were carried out in winter time on an ice surface.</t>
  </si>
  <si>
    <t>117-118</t>
  </si>
  <si>
    <t>Korchagin, Yu A.</t>
  </si>
  <si>
    <t>Korchagin Y.</t>
  </si>
  <si>
    <t>VLF field sources using electrically contrasted media</t>
  </si>
  <si>
    <t>2-s2.0-0023402131</t>
  </si>
  <si>
    <t>['scattered signal', 'optical radius', 'numerical modeling', 'multiple scattering', 'isotropic scatterers', 'frequency spectrum', 'electromagnetic wave', 'absorption coefficient']</t>
  </si>
  <si>
    <t>Results of numerical modeling of the multiple scattering of an electromagnetic wave by isotropic scatterers in an inhomogeneous cylindrical array are presented. The dependence of the angular and frequency spectrum of the scattered signal on the absorption coefficient, the optical radius of the array, and its degree of inhomogeneity is investigated.</t>
  </si>
  <si>
    <t>57200684689;6603348232</t>
  </si>
  <si>
    <t>Spitsyn, V. G.;Stolyarova, N. A.</t>
  </si>
  <si>
    <t>Spitsyn V.</t>
  </si>
  <si>
    <t>Calculation of spectral characteristics of an electromagnetic wave transmitted through an inhomogeneous array of scatterers</t>
  </si>
  <si>
    <t>2-s2.0-0023402136</t>
  </si>
  <si>
    <t>['rf circuit', 'primary types', 'evaluated based', 'digital implementation', 'adaptation algorithms']</t>
  </si>
  <si>
    <t>The structure of an RF circuit that makes it possible to employ adaptive spatial filtering techniques is examined, and the possibility of using group processors is evaluated based on the total algorithm execution time for the case of digital implementation of the primary types of adaptation algorithms.</t>
  </si>
  <si>
    <t>75-77</t>
  </si>
  <si>
    <t>6602851818;7005060977</t>
  </si>
  <si>
    <t>Glushankov, Ye I.;Davydenko, V. V.</t>
  </si>
  <si>
    <t>Glushankov Y.</t>
  </si>
  <si>
    <t>Adaptive spatial filtering in the RF circuit of a radio receiving center</t>
  </si>
  <si>
    <t>2-s2.0-0023402183</t>
  </si>
  <si>
    <t>['satellite receivers', 'noise levels', 'least 1', 'however reception', 'domestic quality', 'dish aerial', 'dbs state', '8 meters', '2 meters']</t>
  </si>
  <si>
    <t>True direct broadcast by satellite (DBS) still seems several years away, with the British satellite broadcasting venture (BSB) starting at the earliest in 1990. However reception of 'domestic quality' from these same satellites is now possible, especially in the south of England, by dishes of 1. 2 meters. Only two years ago a dish aerial of at least 1. 8 meters was required. The reduction in size has come about by improved threshold levels of satellite receivers and in particular, improvement of noise levels in LNB (low noise block down convertor) design. DBS state of the art is discussed.</t>
  </si>
  <si>
    <t>143-148</t>
  </si>
  <si>
    <t>0141061X</t>
  </si>
  <si>
    <t>Electronic technology London</t>
  </si>
  <si>
    <t>Finch, A.</t>
  </si>
  <si>
    <t>Finch A.</t>
  </si>
  <si>
    <t>SATELLITE TELEVISION RECEPTION - THE CURRENT STATE OF THE ART.</t>
  </si>
  <si>
    <t>2-s2.0-0023409984</t>
  </si>
  <si>
    <t>['four groups', 'clear description', 'balun family']</t>
  </si>
  <si>
    <t>This paper is intended to give a clear description of the balun. Four balancing conditions are introduced to categorize the balun family into four groups. Finally, a table is given to show how many balun types can be formed.</t>
  </si>
  <si>
    <t>227-229</t>
  </si>
  <si>
    <t>Hu, Shuhao</t>
  </si>
  <si>
    <t>Changjiang Machinery Factory</t>
  </si>
  <si>
    <t>Hu S.</t>
  </si>
  <si>
    <t>BALUN FAMILY.</t>
  </si>
  <si>
    <t>2-s2.0-0023416012</t>
  </si>
  <si>
    <t>['substantial amounts', 'site must', 'site chosen', 'physical accessibility', 'electronic rather', 'constructed quickly', 'communications satellites', 'capacity microwave', '700 million']</t>
  </si>
  <si>
    <t>Although a teleport is little more than a collection of concrete pads supporting large dish antennas aimed at communications satellites, between 600 and 700 million will be spent on teleports now being planned and designed. Most of the cost is in the electronics, but substantial amounts are involved in engineering and constructing this new project type. The pads must stand firm in wind and earthquakes after being constructed quickly and economically at a site chosen for electronic rather than physical accessibility. The site must be shielded from common urban electronic interferences, yet be linked via high-capacity microwave or fiber optic cables to the users.</t>
  </si>
  <si>
    <t>48-49</t>
  </si>
  <si>
    <t>Civil engineering New York, N.Y.</t>
  </si>
  <si>
    <t>Fantozzi, Mark W.</t>
  </si>
  <si>
    <t>Fantozzi M.W.</t>
  </si>
  <si>
    <t>TELEPORT: NEW WAVE ENGINEERING.</t>
  </si>
  <si>
    <t>2-s2.0-0023416763</t>
  </si>
  <si>
    <t>['two slots', 'standard x', 'slots cut', 'simple radiator', 'short circuit', 'reduced height', 'rectangular waveguide', 'paper shows', 'measured data', 'matched load', 'far end', 'design formulas', 'broad wall', 'bandwidth limited', 'band guide', '80 percent', '0 mm']</t>
  </si>
  <si>
    <t>A single-slot radiator cut in a rectangular waveguide with a matched load at its far end has a bandwidth of only a few percent. This paper shows that cascading two transverse-slots cut in the broad wall of a rectangular waveguide yields a simple radiator with bandwidth limited only by the bandwidth of the guide: two slots in a standard X-band guide of reduced height (6. 0 mm) terminated by a short circuit have efficiency of 80 percent and higher in the 8. 3 to 12. 4 GHz frequency range. The measured data are in agreement with design formulas.</t>
  </si>
  <si>
    <t>223-226</t>
  </si>
  <si>
    <t>BROADBAND DOUBLE-SLOT WAVEGUIDE ANTENNA.</t>
  </si>
  <si>
    <t>2-s2.0-0023417945</t>
  </si>
  <si>
    <t>['software solutions', 'operational functions', 'fundamental problems', 'article outlines', 'antenna tracking']</t>
  </si>
  <si>
    <t>This article outlines the fundamental problems and objectives in antenna tracking. The operational functions of the step track unit are described and, finally, the hardware and software solutions are dealt with.</t>
  </si>
  <si>
    <t>79-88</t>
  </si>
  <si>
    <t>Technische Mitteilungen Krupp English ed.</t>
  </si>
  <si>
    <t>60072188;60072188;60072188</t>
  </si>
  <si>
    <t>6508230589;36778311800;6506216132</t>
  </si>
  <si>
    <t>Van Der Horst, Ludwig;Jurgens, Klaus;Timmes, Rudolf</t>
  </si>
  <si>
    <t>Dortmund</t>
  </si>
  <si>
    <t>ThyssenKrupp AG</t>
  </si>
  <si>
    <t>Van Der Horst L.</t>
  </si>
  <si>
    <t>STEP TRACK UNIT FOR ANTENNA CONTROL.</t>
  </si>
  <si>
    <t>2-s2.0-0023418606</t>
  </si>
  <si>
    <t>['work done', 'transmission without', 'many years', 'leaky feeders', 'guiding devices', 'geological criteria', 'electromagnetic waves', 'complex function', 'article reviews', 'antenna characteristics']</t>
  </si>
  <si>
    <t>Electromagnetic waves do propagate through rock. Their ability to do so is a complex function of frequency, geological criteria (both electrical and physical) and antenna characteristics. This article reviews the work done over many years to solve the problems of transmission without having to rely on wave-guiding devices such as leaky feeders.</t>
  </si>
  <si>
    <t>943-946</t>
  </si>
  <si>
    <t>RADIO COMMUNICATION THROUGH ROCK.</t>
  </si>
  <si>
    <t>2-s2.0-0023418835</t>
  </si>
  <si>
    <t>['time processing', 'stochastic signals', 'samples taken', 'observed processes', 'input field', 'discussed taking', 'array antenna', 'arbitrary configuration']</t>
  </si>
  <si>
    <t>Optimum digital algorithms for the space-time processing of signals are synthesized under the assumption that the observed processes are discrete Fourier transforms of samples taken from elements of an array antenna of arbitrary configuration. The detection of deterministic, quasi-deterministic and stochastic signals is discussed taking into account conditions pertaining to the space and time correlation intervals of the input field.</t>
  </si>
  <si>
    <t>6507277927;6507886159</t>
  </si>
  <si>
    <t>Aleyner, R. Sh;Yanover, B. I.</t>
  </si>
  <si>
    <t>Aleyner R.</t>
  </si>
  <si>
    <t>SYNTHESIS OF ALGORITHMS FOR THE SPACE-TIME PROCESSING OF SIGNALS IN THE FREQUENCY DOMAIN BY USING THE DISCRETE FOURIER TRANSFORMATION.</t>
  </si>
  <si>
    <t>2-s2.0-0023419338</t>
  </si>
  <si>
    <t>['useful means', 'rain depolarization', 'power may', 'power increase', 'permissible increase', 'least 99', 'controlled link', 'broadcasting satellites']</t>
  </si>
  <si>
    <t>Although power control is a useful means of overcoming rain attenuation on feeder-links to broadcasting satellites, the power increase should be limited to keep other feeder-links from interference by the cross-polar component due to rain depolarization in the power-controlled link. The permissible increase of power may be inadequate for feeder-links in heavy rain climatic zones. This is, however, with linear power control. If nonlinear power control is applied, a greater power increase may be allowed, so that the performance of feeder-links can be maintained in at least 99. 9% of the average year even in heavy rain climatic zones.</t>
  </si>
  <si>
    <t>0027657X</t>
  </si>
  <si>
    <t>NHK Laboratories Note</t>
  </si>
  <si>
    <t>Ito, Shiro</t>
  </si>
  <si>
    <t>Ito S.</t>
  </si>
  <si>
    <t>NONLINEAR POWER CONTROL FOR FEEDER-LINKS TO BROADCASTING SATELLITES.</t>
  </si>
  <si>
    <t>2-s2.0-0023421068</t>
  </si>
  <si>
    <t>['radiating horn', 'experimental measurements', 'beam width']</t>
  </si>
  <si>
    <t>horn radiator | millimeter waves</t>
  </si>
  <si>
    <t>A radiating horn of continuously variable gain using groove-guide is proposed. The beam width in both planes is varied. Some experimental measurements at 100 GHz confirm the behaviour. ¬© 1987 Plenum Publishing Corporation.</t>
  </si>
  <si>
    <t>1115-1118</t>
  </si>
  <si>
    <t>60071762;60001159</t>
  </si>
  <si>
    <t>7403920721;36784511300</t>
  </si>
  <si>
    <t>Harris, D. J.;Eggleston, H. S.</t>
  </si>
  <si>
    <t>Papua New Guinea;United Kingdom</t>
  </si>
  <si>
    <t>Lae;Stevenage</t>
  </si>
  <si>
    <t>Papua New Guinea University of Technology;Warren Spring Laboratory</t>
  </si>
  <si>
    <t>Harris D.</t>
  </si>
  <si>
    <t>A variable-gain radiating horn using groove guide</t>
  </si>
  <si>
    <t>10.1007/BF01010815</t>
  </si>
  <si>
    <t>2-s2.0-0023421740</t>
  </si>
  <si>
    <t>['somatic crossing', 'notum anlage', 'mosaics induced', 'morphogenetic maps', 'mature disc', 'leg discs', 'larval development', 'gynandromorph data', 'authors concerning', 'adult stage']</t>
  </si>
  <si>
    <t>Drosophila | Growth | Imaginal disc | Morphogenesis | Pattern formation</t>
  </si>
  <si>
    <t>A comparison of the morphogenetic maps of the notum anlage of Drosophila melanogaster derived from the gynandromorph data and mosaics induced by somatic crossing-over during the first instar larval stage revealed that practically no major morphogenetic movements occur in the development of the anlage between the blastoderm and first instar larval stages and the adult stage. By comparing the morphogenetic map derived from gynandromorphs and the fate map derived from data on the transplantation of fragments of the mature wing imaginal disc, it was observed that no major morphogenetic movements occur in the notum anlage between the stages of the allocation of the disc and the mature disc. The results are consistent with the observations of other authors concerning the larval development of eye-antenna, wing and leg discs. ¬© 1987 Springer-Verlag.</t>
  </si>
  <si>
    <t>372-375</t>
  </si>
  <si>
    <t>Portin, Petter</t>
  </si>
  <si>
    <t>Turku</t>
  </si>
  <si>
    <t>Turun yliopisto</t>
  </si>
  <si>
    <t>Portin P.</t>
  </si>
  <si>
    <t>Analysis of morphogenetic movements in the development of the notum anlage of Drosophila melanogaster</t>
  </si>
  <si>
    <t>10.1007/BF00375774</t>
  </si>
  <si>
    <t>2-s2.0-34250108171</t>
  </si>
  <si>
    <t>['¬© 1987', 'two photosystems', 'trapping kinetics', 'splitting enzyme', 'relative contributions', 'red light', 'quinone acceptor', 'ps flashes', 'primary donor', 'photovoltage due', 'photosystem ii', 'pea chloroplasts', 'kinetic analysis', 'intermediary acceptor', 'grana stacks', 'gradient effect', 'first occurring', 'fast photovoltage', 'excited state', 'electrogenicity connected', 'deficient mutants', 'could show', 'continuous far', 'chloroplasts prepared', 'charge separation', 'barley chloroplasts', 'artificial quencher', '50 œºj', '50 ps', '450 ps', '200 ps', '2 3', '1 2']</t>
  </si>
  <si>
    <t>Antenna organization | Charge separation | Photosynthesis | Photosystem II | Photovoltage | Trapping</t>
  </si>
  <si>
    <t>The amplitude and the kinetics of the fast photovoltage from pea chloroplasts, which arise from the light-gradient effect, were reexamined with respect to the relative contributions of the two photosystems. Chloroplasts prepared under stacking conditions displayed no photovoltage due to Photosystem II. The photovoltage observed originated exclusively from Photosystem I. This conclusion was drawn from various experimental assays that have been chosen to separate the two photosystems: (i) reduction of the quinone acceptor, QA, of Photosystem II either by 3-(3,4-dichlorophenyl)-1,1-dimethylurea and preillumination or by dithionite; (ii) kinetic analysis of the fast photovoltage elicited by 30-ps flashes; (iii) oxidation of Photosystem I by ferricyanide and continuous far-red light; (iv) the effect of the artificial quencher of the excited state, dinitrobenzene; and (v) the use of Photosystem-I-deficient mutants of the alga Chlamydomonas reinhardtii and barley chloroplasts. We ascribe the lack of electrogenicity of Photosystem II to a delocalization of the excitation energy within the grana stacks, such that the anisotropy of the light-gradient is equilibrated before trapping takes place ('excitonic short-circuit' of the light-gradient effect). This conclusion is substantiated by the observation that chloroplasts prepared under destacking conditions ('blebs' or EDTA-vesicles) did display a photovoltage due to Photosystem II. In this case we could show (i) that the primary charge separation proceeds in two kinetically distinct steps, the first occurring in less than 50 ps and the second in 300-450 ps; (ii) that the charge separation between the primary donor, P-680, and the intermediary acceptor, pheophytin, accounts for approx. 1 2 to 2 3 of the total charge separation; (iii) that the trapping kinetics is on the order of 200 ps at 50 ŒºJ/cm2; (iv) that no charge separation occurs when QA is reduced; and (v) that there is no electrogenicity connected with the rereduction of P-680 by the water-splitting enzyme. ¬© 1987.</t>
  </si>
  <si>
    <t>305-319</t>
  </si>
  <si>
    <t>60009731;60019615;60019615;60009731</t>
  </si>
  <si>
    <t>57202396392;24310010600;16439434700;7004055809</t>
  </si>
  <si>
    <t>Trissl, H. W.;Breton, J.;Deprez, J.;Leibl, W.</t>
  </si>
  <si>
    <t>France;Germany</t>
  </si>
  <si>
    <t>Gif-sur-Yvette;Osnabruck</t>
  </si>
  <si>
    <t>CEA Saclay;Universit√§t Osnabr√ºck</t>
  </si>
  <si>
    <t>60019615;60009731</t>
  </si>
  <si>
    <t>Trissl H.</t>
  </si>
  <si>
    <t>Primary electrogenic reactions of Photosystem II as probed by the light-gradient method</t>
  </si>
  <si>
    <t>10.1016/0005-2728(87)90052-1</t>
  </si>
  <si>
    <t>2-s2.0-0001561513</t>
  </si>
  <si>
    <t>['œºs range', '¬© 1987', 'time resolution', 'takes place', 'strong illumination', 'states p', 'state p', 'results led', 'redox state', 'reaction centers', 'reaction center', 'prompt fluorescence', 'multiphasic p', 'minus sign', 'kept largely', 'initial amplitude', 'following results', 'following dependencies', 'following conclusions', 'fluorescence emission', 'fluorescence decay', 'evolving photosystem', 'dark recovery', 'comparative measurements', 'absorption changes', '830 nm', '532 nm', '500 ps', '4 min', '1 hz']</t>
  </si>
  <si>
    <t>(Spinach) | Exciton trapping | Fluorescence lifetime | Pheophytin photoaccumulation | Photosystem II | Radical pair recombination</t>
  </si>
  <si>
    <t>Absorption changes at 830 nm, ŒîA830, induced by repetitive (1 Hz) strong actinic 35 ps laser pulses (Œª = 532 nm; E = 4 ¬∑ 1015 photons / cm2 per pulse) were detected in oxygen-evolving Photosystem (PS) II membrane fragments with a time resolution of about 500 ps. The following results were obtained: (a) in the presence of 2 mM K3(Fe(CN)6) the relaxation of ŒîA830 is dominated by the multiphasic P-680+-reduction kinetics (ns and Œºs range) and the fast I{minus sign, dot below} reoxidation, (b) if the reaction centers are kept largely in the reduced state P-680IQ{minus sign, dot below}A, the initial amplitude of ŒîA830 remains almost unaffected, but the decay mainly occurs via a kinetics of at most 500 ps, (c) if the reaction centers are transformed into the state P-680I{minus sign, dot below}Q{minus sign, dot below}A by strong illumination in the presence of Na2S2O4, then the initial amplitude of ŒîA830 becomes drastically diminished, (d) after a few cycles of strong continuous actinic light and dark recovery (4 min) ŒîA830 is dominated by a 3 ns relaxation kinetics. Comparative measurements of the fluorescence decay after excitation with weak 620 nm pulses (E = 2 ¬∑ 1010 photons / cm2 per pulse) exhibited the following dependencies of the kinetics of the redox state of the reaction center: up to 200 ps kinetics dominate for the states P-680IQA and for P-680I{minus sign, dot below}Q{minus sign, dot below}A, whereas for the state P-680IQ{minus sign, dot below}A the fluorescence relaxes predominantly via 1.3 ns kinetics. The analysis of these results led to the following conclusions. (i) The PS II reaction center provides a rather shallow trap for excitons. (ii) The fluorescence emission in the state P-680IQ{minus sign, dot below}a is probably not a recombination fast delayed light emission but represents a prompt fluorescence of the antenna. (iii) If the yield of flash-induced radical pair formation in reaction centers of the state P-680IQ{minus sign, dot below}A is significant (at least 25%), then the recombination reaction P-680+I‚Ä¢Q‚Ä¢A ‚Üí P-680IQ‚Ä¢A takes place with t 1 2 ‚â§ 500 ps. ¬© 1987.</t>
  </si>
  <si>
    <t>208-218</t>
  </si>
  <si>
    <t>100460193;100460193;60011604;60011604;60011604;60011604</t>
  </si>
  <si>
    <t>7202036178;56216930900;55317497400;24404486900;7202880919;7005804679</t>
  </si>
  <si>
    <t>Eckert, H. J.;Renger, G.;Bernarding, J.;Faust, P.;Eichler, H. J.;Salk, J.</t>
  </si>
  <si>
    <t>Berlin;Berlin</t>
  </si>
  <si>
    <t>Technical University of Berlin;Max-Volmer Inst. f. Biophysikalische und Physikalische Chemie</t>
  </si>
  <si>
    <t>60011604;100460193</t>
  </si>
  <si>
    <t>Eckert H.J.</t>
  </si>
  <si>
    <t>Examination of fluorescence lifetime and radical-pair decay in Photosystem II membrane fragments from spinach</t>
  </si>
  <si>
    <t>10.1016/0005-2728(87)90041-7</t>
  </si>
  <si>
    <t>2-s2.0-24844441769</t>
  </si>
  <si>
    <t>['¬© 1987', 'variable energy', 'trapping rate', 'time resolution', 'thus demonstrating', 'ten 30', 'takes place', 'slightly smaller', 'single flash', 'single 30', 'rise time', 'respectively ).', 'reaction centers', 'reaction center', 'ps flashes', 'photovoltage yield', 'photovoltage amplitude', 'photosystem ii', 'pea chloroplasts', 'one elicited', 'one determined', 'ns flashes', 'neither forward', 'nearly independent', 'low energies', 'loss processes', 'locked laser', 'highest energy', 'findings demonstrate', 'excitation source', 'excitation flash', 'excitation energy', 'e .,', 'different duration', 'closed traps', 'charge separation', '80 œºj', '7 ns', '532 nm', '50 ps', '50 ns', '30 ps', '2 ).', '12 ns', '1015 photons', '1014 photons']</t>
  </si>
  <si>
    <t>Annihilation | Charge stabilization | Excitation energy trapping | Photosystem I | Photovoltage</t>
  </si>
  <si>
    <t>The primary charge separation in Photosystem I of pea chloroplasts was measured as a photovoltage in the pico- and nanosecond time range by applying laser flashes at 532 nm of variable energy and different duration (12 ns and 30 ps, respectively). Contributions to the photovoltage from Photosystem II was eliminated by addition of 3-(3,4-dichlorophenyl)-1,1-dimethylurea and preillumination. The dependence of the photovoltage amplitude on the excitation energy could be described by an exponential saturation law when the excitation flash had a duration of 12 ns. Nearly the same dependence was found when the excitation source was the train of a mode-locked laser (approx. ten 30-ps flashes spaced by 7 ns; highest energy of a single flash, 80 ŒºJ / cm-2). Even with single 30-ps flashes the photovoltage was only slightly smaller than the one elicited by 12-ns flashes of the same energy. These findings demonstrate that trapping of excitation energy by the reaction center of Photosystem I is much more effective than losses by annihilation and other loss processes. The photovoltage yield was nearly independent of the fraction of closed traps, thus demonstrating that the absorption cross section of Photosystem I is not altered by the closing of its reaction centers. By recording the rise time of the photovoltage with our highest time resolution we found that the trapping rate of the excitation energy in Photosystem I depended on the energy of the 30-ps flashes: at low excitation energies (less than 1014 photons / cm2 per pulse) trapping occurred within 90 ¬± 15 ps and at high excitation energy (1015 photons / cm2 per pulse) trapping and charge stabilization occurred within the time resolution of the apparatus, i.e., up to 50 ps. The trapping rate at low energies is in agreement with the one determined by fluorescence decay kinetics. Up to 50 ns there was no further detectable electrogenic phase (neither forward nor backward reactions). This demonstrates that all the electrogenicity, produced by the charge separation, takes place in less than 50 ps. ¬© 1987.</t>
  </si>
  <si>
    <t>320-332</t>
  </si>
  <si>
    <t>60009731;60009731;60019615;60014168;60019615</t>
  </si>
  <si>
    <t>57202396392;7004055809;16439434700;56032452500;24310010600</t>
  </si>
  <si>
    <t>Trissl, H. W.;Leibl, W.;Deprez, J.;Dobek, A.;Breton, J.</t>
  </si>
  <si>
    <t>France;Poland;Germany</t>
  </si>
  <si>
    <t>Gif-sur-Yvette;Poznan;Osnabruck</t>
  </si>
  <si>
    <t>CEA Saclay;Uniwersytet im. Adama Mickiewicza w Poznaniu;Universit√§t Osnabr√ºck</t>
  </si>
  <si>
    <t>60019615;60014168;60009731</t>
  </si>
  <si>
    <t>Trapping and annihilation in the antenna system of Photosystem I</t>
  </si>
  <si>
    <t>10.1016/0005-2728(87)90053-3</t>
  </si>
  <si>
    <t>2-s2.0-4244163787</t>
  </si>
  <si>
    <t>ON</t>
  </si>
  <si>
    <t>['¬© 1987', 'photosystem ii', 'parallel orientation', 'native structure', 'minor component', 'membrane plane', 'main fluorescence', 'fluorescence spectroscopy', 'earlier proposed', 'different orientations', 'd2 complex', 'cytochrome b', 'absorption maximum', '690 nm', '684 nm', '680 nm', '677 nm']</t>
  </si>
  <si>
    <t>Chlorophyll protein | Photosystem II | Reaction center | Spectroscopy</t>
  </si>
  <si>
    <t>The D1-D2-cytochrome b-559 reaction center complex and the 47 kDa antenna chlorophyll protein isolated from spinach Photosystem II were characterized by means of low temperature absorption and fluorescence spectroscopy. The low temperature absorption spectrum of the D1-D2-cytochrome b-559 complex showed two bands in the Qy region located at 670 and 680 nm. On the basis of its absorption maximum and orientation the latter component may be attributed at least in part to P-680, the primary electron donor of Photosystem II. The 47 kDa antenna complex showed absorption bands at 660, 668 and 677 nm and a minor component at 690 nm. The latter transition appeared to be associated with the characteristic low temperature 695 nm fluorescence band of Photosystem II. The 695 nm emission band was absent in the D1-D2 complex, which indicates that it does not originate from the reaction center pheophytin, as earlier proposed. The transition dipole responsible for the main fluorescence at 684 nm from this complex had a parallel orientation with respect to the membrane plane in the native structure. The reaction center preparation contains two spectrally distinct carotenoids with different orientations. ¬© 1987.</t>
  </si>
  <si>
    <t>267-274</t>
  </si>
  <si>
    <t>60003878;60019615;60003878;60023147;60003878;60003878</t>
  </si>
  <si>
    <t>7801620289;24310010600;24388765000;57209103617;7003439547;7004456032</t>
  </si>
  <si>
    <t>van Dorssen, R. J.;Breton, J.;Plijter, J. J.;Satoh, K.;van Gorkom, H. J.;Amesz, J.</t>
  </si>
  <si>
    <t>Japan;France;Netherlands</t>
  </si>
  <si>
    <t>Okayama;Gif-sur-Yvette;Leiden</t>
  </si>
  <si>
    <t>Okayama University;CEA Saclay;Sterrewacht Leiden</t>
  </si>
  <si>
    <t>60023147;60019615;60003878</t>
  </si>
  <si>
    <t>van Dorssen R.</t>
  </si>
  <si>
    <t>Spectroscopic properties of the reaction center and of the 47 kDa chlorophyll protein of Photosystem II</t>
  </si>
  <si>
    <t>000527288790048X</t>
  </si>
  <si>
    <t>10.1016/0005-2728(87)90048-X</t>
  </si>
  <si>
    <t>2-s2.0-45949116118</t>
  </si>
  <si>
    <t>['¬© 1987', 'synechococcus 6301', 'protein occurs', 'protein interactions', 'protein induced', 'phycocyanobilin probably', 'phycocyanobilin chromophore', 'ph 1', 'low temperature', 'helical conformation', 'extended conformation', 'electronic absorption', 'covalent chromophore', 'complete denaturation', 'changes occurring', 'anacystis nidulans', '8 nm', '40 k']</t>
  </si>
  <si>
    <t>(A. nidulans) | Absorption spectroscopy | Antenna complex | Photosynthesis | Phycobilisome | Resonance Raman spectroscopy</t>
  </si>
  <si>
    <t>We have studied the changes occurring in the electronic absorption and resonance Raman spectra of C-phycocyanin from Synechococcus 6301 (Anacystis nidulans) during denaturation of the protein induced by lowering the pH of the medium. Absorption studies showed that phycocyanobilin probably does not change its native, extended conformation in the pH range 7.5-3.0, but folds into a helical conformation as the pH is lowered further. Resonance Raman spectra obtained using ultraviolet excitation at 363.8 nm and at low temperature (40 K) revealed that non-covalent chromophore-protein interactions which are necessary in maintaining the extended conformation of the phycocyanobilin chromophore in the native protein involve the ends of the chromophore. They probably involve strong interactions from the protein on the two lactam C=O groups. These groups indeed become protonated only at pH values lower than 2.7, hence allowing folding of the chromophore. At pH 1.5 a complete denaturation of the protein occurs, but even this is partly reversible upon restoration of the physiological pH values. ¬© 1987.</t>
  </si>
  <si>
    <t>296-304</t>
  </si>
  <si>
    <t>60019615-60027811;60027811;60027811;60019615</t>
  </si>
  <si>
    <t>6603939141;7003667751;57225250998;7201814095</t>
  </si>
  <si>
    <t>Szalontai, Bal√°zs;Gombos, Zolt√°n;Csizmadia, Vilmos;Lutz, Marc</t>
  </si>
  <si>
    <t>Hungary;France</t>
  </si>
  <si>
    <t>Budapest;Gif-sur-Yvette</t>
  </si>
  <si>
    <t>Magyar Tudomanyos Akademia;CEA Saclay</t>
  </si>
  <si>
    <t>60027811;60019615</t>
  </si>
  <si>
    <t>Szalontai B.</t>
  </si>
  <si>
    <t>The chromophore structure and chromophore-protein interactions in C-phycocyanin as studied by resonance Raman spectroscopy</t>
  </si>
  <si>
    <t>000527288790051X</t>
  </si>
  <si>
    <t>10.1016/0005-2728(87)90051-X</t>
  </si>
  <si>
    <t>2-s2.0-5244359307</t>
  </si>
  <si>
    <t>['¬© 1987', 'passive n', 'infn laboratory', 'fold pendulum', '9 respectively', '10 hz']</t>
  </si>
  <si>
    <t>We present the study of a passive n-fold pendulum to be used as a three-dimensional seismic noise attenuator. A 7-fold pendulum, under construction at the INFN laboratory in Pisa, is expected to provide a horizontal and vertical attenuation factor of 10-11 and 10-9 respectively at 10 Hz and is capable to sustain a 400 kg test mass used in a large base interferometric gravitational wave antenna. ¬© 1987.</t>
  </si>
  <si>
    <t>253-257</t>
  </si>
  <si>
    <t>60028868;60028868;60028868;60028868;60028868;60028868</t>
  </si>
  <si>
    <t>6603424528;7004046447;22943966700;23015157600;57189876378;7003569996</t>
  </si>
  <si>
    <t>Del Fabbro, R.;Di Virgilio, A.;Giazotto, A.;Kautzky, H.;Montelatici, V.;Passuello, D.</t>
  </si>
  <si>
    <t>Pisa</t>
  </si>
  <si>
    <t>Universit√† di Pisa</t>
  </si>
  <si>
    <t>Del Fabbro R.</t>
  </si>
  <si>
    <t>Three-dimensional seismic super-attenuator for low frequency gravitational wave detection</t>
  </si>
  <si>
    <t>0375-9601(87)90632-3</t>
  </si>
  <si>
    <t>10.1016/0375-9601(87)90632-3</t>
  </si>
  <si>
    <t>2-s2.0-0039633494</t>
  </si>
  <si>
    <t>['¬© 1987', 'synechococcus sp', 'results suggest', 'red algae', 'quantitative relationship', 'porphyridium cruentum', 'plant physiologists', 'phormidium sp', 'pc )]', 'pbs occurs', 'one phycobilisome', 'nibb 1059', 'nibb 1052', 'jspp ).', 'japanese society', 'hemidiscoidal type', 'hemidiscoidal pbs', 'following results', 'common antenna', 'antenna pbp', 'always equal', 'allophycocyanin contents', '10 cyanobacterial']</t>
  </si>
  <si>
    <t>Quantitative relationship between phycobiliprotein (PBP) and PS II contents was compared for 10 cyanobacterial and 3 red algal strains. Following results were obtained: (1) content of PBP per PS II was always equal to that of one phycobilisome (PBS) when PBS was hemidiscoidal type, (2) unusually high ratios between antenna PBP [phycoerythrin (PE) and phycocyanin (PC)] and allophycocyanin contents were found in the PE-containing cyanobacteria Phormidium persicinum, Phormidium sp. NIBB 1052 and Synechococcus sp. NIBB 1059 and the red alga Porphyra yezoensis suggesting that PBS in these organisms is not ordinary hemidiscoidal type, and (3) the PBP content per PS II in Synechococcus NIBB 1059 and P. yezoensis was as small as 1{circled division slash}4 to 1{circled division slash}3 of that of one PBS similarly to the case of Porphyridium cruentum. Results suggest that (1) hemidiscoidal PBS is the antenna for only one PS II, but (2) in some of organisms containing non-hemidiscoidal PBS, one PBS becomes a common antenna for plural PS II (around 4), and (3) such PBS occurs not only in red algae but also in cyanobacteria. ¬© 1987 The Japanese Society of Plant Physiologists (JSPP).</t>
  </si>
  <si>
    <t>1219-1226</t>
  </si>
  <si>
    <t>60028586;60028586;60028586;60028586</t>
  </si>
  <si>
    <t>7102523360;57215736600;7202094233;35462746400</t>
  </si>
  <si>
    <t>Ohki, Kaori;Okabe, Yasuyuki;Murakami, Akio;Fujita, Yoshihiko</t>
  </si>
  <si>
    <t>Okazaki</t>
  </si>
  <si>
    <t>National Institutes of Natural Sciences - National Institute for Basic Biology</t>
  </si>
  <si>
    <t>Ohki K.</t>
  </si>
  <si>
    <t>A comparative study of quantitative relationship between phycobiliproteins and photosystem II in cyanobacteria and red algae</t>
  </si>
  <si>
    <t>2-s2.0-0001688775</t>
  </si>
  <si>
    <t>['variable length', 'two parts', 'supramolecular structure', 'splitting system', 'separated perpendicular', 'reaction center', 'negative contrast', 'monomeric 10', 'long axis', 'liposomes made', 'isolated photosystem', 'ii complexes', 'fracture particles', 'external side', 'exoplasmic freeze', 'energy distribution', 'domains exposed', 'chlorophyll antennae', 'binding polypeptides']</t>
  </si>
  <si>
    <t>Cyanobacteria | Photosystem II | Phycobilisome | Synechococcus | Thylakoid (freeze-fracture)</t>
  </si>
  <si>
    <t>The supramolecular structure of the exoplasmic freeze-fracture particles of thylakoids of the thermophilic cyanobacterium Synechococcus sp. is compared with that of isolated photosystem-II complexes. The in-situ EF particles are scattered on the thylakoids or organized in rows of variable length; the latter aligned particles measure 10 nmx20 nm and are separated perpendicular to their long axis into two parts. We propose that they represent dimers composed of two monomeric 10-nm EF particles side by side. Isolated photosystem (PS)II particles correspond in size to the monomeric 10-nm EF particles as analysed by negative contrast and freeze-fracture electron microscopy. Dimeric PSII particles, very similar to the in-situ 10 nmx20 nm EF particles, are obtained after incorporation of purified PSII complexes into liposomes made from phospholipid and cholesterol. Each monomeric complex consists of the reaction center, the water-splitting system, the chlorophyll antennae and phycobilisome-binding polypeptides. We propose that the dimeric complexes bind one hemidiscoidal phycobilisome at their domains exposed to the external side of the thylakoids. The implications of this arrangement of the PSII-phycobilisome complexes within the thylakoids upon excitation-energy distribution are discussed. ¬© 1987 Springer-Verlag.</t>
  </si>
  <si>
    <t>145-154</t>
  </si>
  <si>
    <t>60012556;60072285</t>
  </si>
  <si>
    <t>6602074449;16460158600</t>
  </si>
  <si>
    <t>M√∂rschel, Erhard;Schatz, G√ºnther H.</t>
  </si>
  <si>
    <t>Mulheim an der Ruhr;Marburg</t>
  </si>
  <si>
    <t>Max Planck Institute for Chemical Energy Conversion;Philipps-Universit√§t Marburg</t>
  </si>
  <si>
    <t>60072285;60012556</t>
  </si>
  <si>
    <t>M√∂rschel E.</t>
  </si>
  <si>
    <t>Correlation of photosystem-II complexes with exoplasmatic freeze-fracture particles of thylakoids of the cyanobacterium Synechococcus sp.</t>
  </si>
  <si>
    <t>10.1007/BF00394582</t>
  </si>
  <si>
    <t>2-s2.0-0002737148</t>
  </si>
  <si>
    <t>['two club', 'southeastern brazil', 'related rotifers', 'new rotifer', 'junk publishers', 'hexarthra mira', 'coastal lakes', '5 ),']</t>
  </si>
  <si>
    <t>Brazil | Neotropis | new species | rotifers | taxonomy</t>
  </si>
  <si>
    <t>A new rotifer is described from among samples taken from coastal lakes in southeastern Brazil. Comparisons to related rotifers are made. This new animal belongs to the Hexarthra mira-intermedia species group by way of its general morphological configuration, the number of teeth in the trophi (5), and the two club-shaped caudal appendages (CSCA's). An extremely long dorsal antenna and very long setae extending from the bend in the ventro-lateral arm characterize this animal's speciation. ¬© 1987 Dr W. Junk Publishers.</t>
  </si>
  <si>
    <t>Turner, P. N.</t>
  </si>
  <si>
    <t>Smithsonian National Museum of Natural History</t>
  </si>
  <si>
    <t>Turner P.</t>
  </si>
  <si>
    <t>A new rotifer from a coastal lake in Southeastern Brazil: Hexarthra longicornicula n. sp.</t>
  </si>
  <si>
    <t>10.1007/BF00006648</t>
  </si>
  <si>
    <t>2-s2.0-0006161426</t>
  </si>
  <si>
    <t>['route length', 'robet theorem', 'radio waves', 'propagation route', 'experimental data', 'attenuation factor']</t>
  </si>
  <si>
    <t>The Robet theorem is applied to the problem of finding the average signal level in the case of the long-range tropospheric propagation of radio waves. The formulas obtained agree with the experimental data as regards the dependence of the attenuation factor on route length, wavelength, and other parameters of the propagation route.</t>
  </si>
  <si>
    <t>7003655363;6701715041</t>
  </si>
  <si>
    <t>Frolov, O. P.;Yampol'skiy, V. G.</t>
  </si>
  <si>
    <t>Estimation of the average signal level in the case of long-range tropospheric propagation</t>
  </si>
  <si>
    <t>2-s2.0-0023422915</t>
  </si>
  <si>
    <t>['time required', 'time generation', 'test antenna', 'speed computers', 'radiating systems', 'phase distribution', 'obtain characteristics', 'modern high', 'holographic measurements', 'high degree', 'far field', 'dimensional amplitude', 'difference three', 'computer systems', 'central line', 'central column', 'axisymmetric antennas', 'algorithm makes']</t>
  </si>
  <si>
    <t>In a number of cases in holographic measurements it is necessary to use express methods for the real-time generation of estimates of the characteristics of a test antenna. The use of modern high-speed computers in measurement-computer systems has resulted in a situation where most of the time required to obtain characteristics of the test antenna in the far field is taken up by the process of measuring the amplitude-phase distribution (APD) of the field. An algorithm is described for synthesizing the two-dimensional amplitude-phase field distribution of radiating systems with axial symmetry based on the results of measurements of the central line and central column. This algorithm makes it possible, with a high degree of accuracy, to recover both the sum and difference three-dimensional radiation patterns of axisymmetric antennas with a significantly reduced measurement time.</t>
  </si>
  <si>
    <t>100-102</t>
  </si>
  <si>
    <t>6507434575;7004286735</t>
  </si>
  <si>
    <t>Grinchuk, A. P.;Gromyko, A. V.</t>
  </si>
  <si>
    <t>Grinchuk A.</t>
  </si>
  <si>
    <t>Express-method of analyzing the characteristics of radiating systems with axial symmetry</t>
  </si>
  <si>
    <t>2-s2.0-0023422922</t>
  </si>
  <si>
    <t>['useful signal', 'search presented', 'practical applications', 'corresponding design', 'array parameters']</t>
  </si>
  <si>
    <t>The system for suppression-protection of the useful signal by an adaptive antenna proposed by L.I. Griffits is very sensitive to antenna manufacturing error. The search presented in the present paper shows that the corresponding design by O.L. Frost is free from this drawback, which makes it valuable for practical applications. The Frost algorithm virtually entirely eliminates the influence of array fabrication errors from a lack of precise dipole placement on the array parameters.</t>
  </si>
  <si>
    <t>81-86</t>
  </si>
  <si>
    <t>Pistol'kors, A. A.</t>
  </si>
  <si>
    <t>Pistol'kors A.</t>
  </si>
  <si>
    <t>Useful signal protection by the frost technique when there are errors in an adaptive antenna array</t>
  </si>
  <si>
    <t>2-s2.0-0023422981</t>
  </si>
  <si>
    <t>['widely used', 'reflector antennas', 'horn junction', 'horn aperture', 'experimental data']</t>
  </si>
  <si>
    <t>Conical horn radiators are widely used as radiators for reflector antennas and as elements of arrays. However, there are insufficient reliable theoretical and experimental data on the matching of such radiators. The problems of matching conical horn antennas are examined; reflections from the waveguide/horn junction and from the horn aperture are determined.</t>
  </si>
  <si>
    <t>92-94</t>
  </si>
  <si>
    <t>Yampol'skiy, V. G.</t>
  </si>
  <si>
    <t>Yampol'skiy V.</t>
  </si>
  <si>
    <t>Matching conical horn radiators</t>
  </si>
  <si>
    <t>2-s2.0-0023422992</t>
  </si>
  <si>
    <t>['periodic array']</t>
  </si>
  <si>
    <t>More-accurate impedance boundary conditions on a semitransparent periodically loaded structure in the form of a periodic array of conductors are given; each of the conductors contains uniformly distributed reactive loads. The results can be useful for the design of periodically loaded structures in antenna feed systems.</t>
  </si>
  <si>
    <t>89-92</t>
  </si>
  <si>
    <t>7003963010;6603558268</t>
  </si>
  <si>
    <t>Tereshin, O. N.;Dvurechenskiy, V. D.</t>
  </si>
  <si>
    <t>Tereshin O.</t>
  </si>
  <si>
    <t>More-accurate impedance boundary conditions on a semitransparent periodically loaded structure</t>
  </si>
  <si>
    <t>2-s2.0-0023423023</t>
  </si>
  <si>
    <t>['waveguide circuits', 'geometrical dimensions', 'determining losses', 'designing antenna', 'attenuation coefficients']</t>
  </si>
  <si>
    <t>Relations are derived for the attenuation coefficients of the E- and H-modes in uniformly filled waveguides of arbitrary cross section by the method of perturbation of the geometrical dimensions of the waveguides; formulae for determining losses in waveguides with a regular polygonal cross section are given as examples. These relations are universal and simple and can be used in designing antenna-waveguide circuits.</t>
  </si>
  <si>
    <t>95-97</t>
  </si>
  <si>
    <t>Gureyev, A. V.</t>
  </si>
  <si>
    <t>Gureyev A.</t>
  </si>
  <si>
    <t>Electromagnetic energy losses in hollow waveguides</t>
  </si>
  <si>
    <t>2-s2.0-0023423028</t>
  </si>
  <si>
    <t>['successive approximations', 'pi ).', 'optimum excitation', 'maximum dag', 'identical amplitudes', 'finite amplitude', 'direction perpendicular', 'binary quantization']</t>
  </si>
  <si>
    <t>The optimum excitation of currents with a finite amplitude, realizing the maximum directive antenna gain (DAG) in a direction perpendicular to the antenna, is obtained for a linear nonequidistant antenna array. It is shown that the maximum DAG is achieved for identical amplitudes of the emitters and binary quantization of the phase (0, pi ). The problem is solved by the method of successive approximations.</t>
  </si>
  <si>
    <t>20-23</t>
  </si>
  <si>
    <t>16448437600;6507704865</t>
  </si>
  <si>
    <t>Mints, M. Ya;Prilepskiy, Ye D.</t>
  </si>
  <si>
    <t>Mints M.</t>
  </si>
  <si>
    <t>LINEAR ANTENNA ARRAYS WITH MAXIMUM DIRECTIVE ANTENNA GAIN FOR CURRENT-AMPLITUDE LIMITATION.</t>
  </si>
  <si>
    <t>2-s2.0-0023435331</t>
  </si>
  <si>
    <t>['sophisticated range', 'propagation program', 'propagation calculations', 'pattern model', 'interpolation scheme', 'empe program', 'antenna patterns']</t>
  </si>
  <si>
    <t>New algorithms implemented in the Electromagnetic Parabolic Equation (EMPE) propagation program have resulted in a capability to include a finitely conducting earth surface and most types of antenna patterns in propagation calculations. The antenna-pattern model has, in turn, made it possible to investigate monopulse radar performance in anomalous propagation conditions. Also, a simultaneous experimental effort has led to the development of a sophisticated range-interpolation scheme for refractive index variations and, ultimately, to validation of the EMPE program.</t>
  </si>
  <si>
    <t>404-412</t>
  </si>
  <si>
    <t>Solar Cells</t>
  </si>
  <si>
    <t>7005875949;6507597871</t>
  </si>
  <si>
    <t>Dockery, G. Daniel;Konstanzer, Gerald C.</t>
  </si>
  <si>
    <t>Dockery G.</t>
  </si>
  <si>
    <t>RECENT ADVANCES IN PREDICTION OF TROPOSPHERIC PROPAGATION USING THE PARABOLIC EQUATION.</t>
  </si>
  <si>
    <t>2-s2.0-0023435384</t>
  </si>
  <si>
    <t>['system prove', 'specific code', 'shelf components', 'results obtained', 'permits identification', 'microwave beams', 'laboratory prototype', 'interrogator transmits', 'given frequency', 'coding circuits', 'blocks constituting', 'beam coming']</t>
  </si>
  <si>
    <t>We propose an identifying system using a small passive card carried by an object or person to be identified. This card is sensitive to microwave beams of a given frequency. The beam coming from an interrogator transmits to the card the power that supplies the coding circuits. The card sends back to the interrogator a specific code that permits identification. The card is fabricated using microstrip technology and includes only inexpensive off-the-shelf components. A rigorous calculation method is used to determine the performance of all blocks constituting the card. The results obtained with the laboratory prototype of this system prove its feasibility.</t>
  </si>
  <si>
    <t>6603558105;7007028096;6602079064;7801314038</t>
  </si>
  <si>
    <t>Razban, T.;Lemaitre, R.;Bouthinon, M.;Coumes, A.</t>
  </si>
  <si>
    <t>Razban T.</t>
  </si>
  <si>
    <t>PASSIVE TRANSPONDER CARD SYSTEM. IDENTIFYING OBJECTS THROUGH MICROWAVE INTERROGATION.</t>
  </si>
  <si>
    <t>2-s2.0-0023435458</t>
  </si>
  <si>
    <t>['two methods', 'new method', 'lommel function', 'exact ones', 'aperture antenna']</t>
  </si>
  <si>
    <t>A new method, named a hypergeometric and R** minus **p power series techniques, is presented for the computation of Fresnel or near zone field of aperture antenna. The method is an evolution from two methods in which R** minus **p series expansion of the field was utilized and the calculation of Fresnel zone field was performed by using a series of Lommel function with two variables respectively. Some improvements have been given by this method. The results of calculation are compared with exact ones and show that the method is valid.</t>
  </si>
  <si>
    <t>Extra Issue</t>
  </si>
  <si>
    <t>Xibei Gongye Daxue Xuebao/Journal of Northwestern Polytechnical University</t>
  </si>
  <si>
    <t>60003977;60003977</t>
  </si>
  <si>
    <t>7409735492;7102080549</t>
  </si>
  <si>
    <t>Wan Wei, ;Xue, Mingbiao</t>
  </si>
  <si>
    <t>Xi'an</t>
  </si>
  <si>
    <t>Northwestern Polytechnical University</t>
  </si>
  <si>
    <t>Wan Wei</t>
  </si>
  <si>
    <t>COMPUTATION OF FRESNEL ZONE FIELD WITH THE HYPERGEOMETRIC FUNCTION AND POWER SERIES.</t>
  </si>
  <si>
    <t>2-s2.0-0023436357</t>
  </si>
  <si>
    <t>['new era', 'goonhilly downs', 'following morning', 'exciting story', 'events leading', 'early hours', 'british telecom', 'article describes']</t>
  </si>
  <si>
    <t>Twenty-five years ago world-wide communications entered a new era. TELSTAR, the world's first commercial communications satellite, was launched on 10 July 1962 and the first live television signals via satellite were received by British Telecom's first earth station at Goonhilly Downs, in Cornwall, in the early hours of the following morning. This article describes some of the events leading up to the establishment of the Goonhilly earth station, and goes on to tell the exciting story of the first TELSTAR experiments.</t>
  </si>
  <si>
    <t>170-176</t>
  </si>
  <si>
    <t>pt 3</t>
  </si>
  <si>
    <t>0262401X</t>
  </si>
  <si>
    <t>British Telecommunications Engineering</t>
  </si>
  <si>
    <t>Lawson, J. S.R.</t>
  </si>
  <si>
    <t>BT Group plc</t>
  </si>
  <si>
    <t>Lawson J.S.R.</t>
  </si>
  <si>
    <t>EVENTS UP TO TELSTAR, 1962.</t>
  </si>
  <si>
    <t>2-s2.0-0023436782</t>
  </si>
  <si>
    <t>['side lobes', 'principal direction', 'optimum operation', 'noise temperature', 'given sector', 'given emission', 'considerably lower', 'chebyshev law']</t>
  </si>
  <si>
    <t>The problem of synthesizing a wide-band discrete antenna with an optimum mean directivity pattern is solved. The results of calculations and experiments are given. As the criterion for optimum directivity pattern the following is used: the mean power within a given sector of the side lobes is minimzed in the principal direction for a given emission (or reception) level. This choice of the criterion for optimum operation is dictated by the fact that the noise temperature of such antennas is considerably lower than for antennas in the elements of which the currents are distributed in accordance with the Dolph-Chebyshev law.</t>
  </si>
  <si>
    <t>14-19</t>
  </si>
  <si>
    <t>Bazovoy, A. F.</t>
  </si>
  <si>
    <t>Bazovoy A.</t>
  </si>
  <si>
    <t>SYNTHESIS OF DISCRETE WIDE-BAND ANTENNAS WITH OPTIMUM MEAN DIRECTIVITY PATTERNS.</t>
  </si>
  <si>
    <t>2-s2.0-0023436989</t>
  </si>
  <si>
    <t>['well known', 'thereby enhancing', 'scanning surface', 'reflecting surface', 'octave bandwidth']</t>
  </si>
  <si>
    <t>The inverse Cassegrain antenna is well known for its use as an airborne radar antenna. A version of this antenna was built in which the scanning surface, known as a twistreflector, operates over an octave bandwidth, thereby enhancing the performance of the antenna. This was accomplished by constructing the twistreflector from a meanderline polarizer backed by a reflecting surface.</t>
  </si>
  <si>
    <t>185-186, 189</t>
  </si>
  <si>
    <t>6506840761;57197974956;6504770669</t>
  </si>
  <si>
    <t>Orleansky, Eda;Samson, Claude;Havkin, Mike</t>
  </si>
  <si>
    <t>Orleansky E.</t>
  </si>
  <si>
    <t>BROADBAND MEANDERLINE TWISTREFLECTOR FOR THE INVERSE CASSEGRAIN ANTENNA.</t>
  </si>
  <si>
    <t>2-s2.0-0023437221</t>
  </si>
  <si>
    <t>['personal account']</t>
  </si>
  <si>
    <t>This article is a personal account of the search for the site and the construction of the aerial and buildings for BT's first satellite earth station prior to the launch of TELSTAR in 1962.</t>
  </si>
  <si>
    <t>177-180</t>
  </si>
  <si>
    <t>Oakes, B. A.</t>
  </si>
  <si>
    <t>Oakes B.A.</t>
  </si>
  <si>
    <t>OPERATION SKYWARD.</t>
  </si>
  <si>
    <t>2-s2.0-0023437452</t>
  </si>
  <si>
    <t>['synthesis procedure', 'synthesis method', 'solved using', 'results obtained', 'rectangular arrays', 'radiating elements', 'paper presents', 'paper describes', 'numerical example', 'microstrip arrays', 'large class', 'elliptical arrays', 'brief discussion', 'author concerning', 'arrays mentioned', 'arrays formed']</t>
  </si>
  <si>
    <t>This paper presents the results obtained by the author concerning the application of Prony's algorithm to linear array synthesis or any other type of arrays formed with radiating elements which can be modeled as linear ones using mathematical transformations. The paper describes the synthesis procedure for a large class of arrays, rectangular arrays, elliptical arrays and microstrip arrays. After a brief discussion of Prony's algorithm, the synthesis method for all the arrays mentioned above is solved using this algorithm and a numerical example is given for a series fed microstrip array.</t>
  </si>
  <si>
    <t>Revue roumaine de sciences techniques. Serie electrotechnique et energetique</t>
  </si>
  <si>
    <t>Dragoman, M.</t>
  </si>
  <si>
    <t>Romania</t>
  </si>
  <si>
    <t>Bucharest</t>
  </si>
  <si>
    <t>R&amp;D Cent for Semiconductors</t>
  </si>
  <si>
    <t>Dragoman M.</t>
  </si>
  <si>
    <t>NEW METHOD FOR THE SYNTHESIS OF RADIATING SYSTEMS.</t>
  </si>
  <si>
    <t>2-s2.0-0023437706</t>
  </si>
  <si>
    <t>['surface waves', 'strip antennas', 'stratified region', 'spectrum separated', 'numerical results', 'lm modes', 'dielectric substrate', 'air gap']</t>
  </si>
  <si>
    <t>The radiation from strip antennas and antenna arrays constructed on a dielectric substrate with an air gap is studied. The solution is based on the expansion of the fields of the stratified region in LE and LM modes with the spectrum separated into space and surface waves. Numerical results are presented and analyzed.</t>
  </si>
  <si>
    <t>111-116</t>
  </si>
  <si>
    <t>6701772560;23993993200;6503953146</t>
  </si>
  <si>
    <t>Panchenko, B. A.;Knyazev, S. T.;Sabirzyanov, F. KH</t>
  </si>
  <si>
    <t>Panchenko B.</t>
  </si>
  <si>
    <t>RADIATION CHARACTERISTICS OF STRIP ANTENNAS AND ANTENNA ARRAYS BUILT ON A DIELECTRIC SUBSTRATE WITH AN AIR GAP.</t>
  </si>
  <si>
    <t>2-s2.0-0023437856</t>
  </si>
  <si>
    <t>['realizability conditions', 'meixner conditions', 'closed surface']</t>
  </si>
  <si>
    <t>The problem of finding the current density distribution on a closed surface, satisfying the Meixner conditions on its contour, in terms of a given directivity pattern is solved. The current is found in the form of a series, converging with respect to the norm of the space L//R**2(s). The realizability conditions of the pattern are examined and methods are pointed out for determining the current in terms of a given unrealizable pattern.</t>
  </si>
  <si>
    <t>Fel'D, Ya N.</t>
  </si>
  <si>
    <t>Fel'D Y.</t>
  </si>
  <si>
    <t>CURRENT SYNTHESIS ON CLOSED SURFACES IN TERMS OF A GIVEN DIRECTIVITY PATTERN.</t>
  </si>
  <si>
    <t>2-s2.0-0023438340</t>
  </si>
  <si>
    <t>['whole system', 'significant improvement', 'global throughput', 'distributed structure', 'distributed approach', 'applicable bandwidth', 'adaptive arrays', 'adaptive array']</t>
  </si>
  <si>
    <t>A distributed approach for adaptive arrays is presented. For a complex multibeam system of an adaptive array, a specific preadaptive transformation or spatial prefiltering scheme is introduced to implement mainlobe constraints and to have the adaptive algorithms simplified. Thus, the whole system can be configured in a distributed structure of multiple processing units, resulting in significant improvement in global throughput and applicable bandwidth. Detailed theoretical analysis and main computer simulation results are given.</t>
  </si>
  <si>
    <t>Ma, Yuanliang</t>
  </si>
  <si>
    <t>Ma Y.</t>
  </si>
  <si>
    <t>DISTRIBUTED APPROACH FOR MAINLOBE CONSTRAINED ADAPTIVE ARRAYS.</t>
  </si>
  <si>
    <t>2-s2.0-0023438398</t>
  </si>
  <si>
    <t>['wideband log', 'wave antennas', 'substrate lens', 'similar patterns', 'radio astronomy', 'previous lens', 'possible applications', 'plasma diagnostics', 'periodic antenna', 'oxynitride membranes', 'junction receivers', 'imaging arrays', 'db beamwidths', 'coupled antennas', 'better patterns', 'approach results', '700 ghz', '60 ¬∞.', '40 ¬∞', '370 ghz']</t>
  </si>
  <si>
    <t>Submillimeter-wave antennas have been fabricated on 1-Œºm thick silicon-oxynitride membranes. This approach results in better patterns than previous lens-coupled antennas, and eliminates the dielectric loss associated with the substrate lens. Measurements on a wideband log-periodic antenna at 700 GHz, 370 GHz and 167 GHz show no sidelobes and 3-dB beamwidths between 40¬∞ and 60¬∞. A linear imaging array has similar patterns at 700 GHz. Possible applications for membrane antennas include wideband superconducting tunnel-junction receivers for radio astronomy and imaging arrays for radiometry and plasma diagnostics. ¬© 1987 Plenum Publishing Corporation.</t>
  </si>
  <si>
    <t>1249-1255</t>
  </si>
  <si>
    <t>60031581;60031581;60031581;60027550;60027550</t>
  </si>
  <si>
    <t>7006384021;7005373211;7102803490;36893878100;56478417600</t>
  </si>
  <si>
    <t>Rebeiz, Gabriel M.;Regehr, Wade G.;Rutledge, David B.;Savage, Richard L.;Luhmann, Neville C.</t>
  </si>
  <si>
    <t>Pasadena;Los Angeles</t>
  </si>
  <si>
    <t>California Institute of Technology;University of California, Los Angeles</t>
  </si>
  <si>
    <t>60031581;60027550</t>
  </si>
  <si>
    <t>Rebeiz G.</t>
  </si>
  <si>
    <t>Submillimeter-wave antennas on thin membranes</t>
  </si>
  <si>
    <t>10.1007/BF01011076</t>
  </si>
  <si>
    <t>2-s2.0-0023438960</t>
  </si>
  <si>
    <t>['virginia batch', 'simultaneously reducing', 'second resonance', 'reflectivity modulation', 'realistic ranges', 'plasma frequency', 'modulation frequency', 'generation efficiency', 'frequency modulator', 'epilayer doping', 'diode radius', 'diode parameters', 'dielectric relaxation', 'depletion region', 'degraded well', 'cube antenna', 'carrier inertia', 'carrier frequency', 'barrier capacitance', 'band potential', 'antenna impedance', 'analysis includes', 'amplitude modulation', 'also includes', '8 ghz', '52 thz', '1988 ).', '1986 ).', '1978 ).']</t>
  </si>
  <si>
    <t>We analyze the performance as a terahertz-frequency modulator of a small-area Schottky diode mounted in a corner-cube antenna. The analysis includes the effects of carrier inertia and dielectric relaxation as modeled by Champlin and Eisenstein (1978). It also includes the effect of the vanishing of the depletion region above the flat-band potential, as modeled by Crowe and Mattauch (1986). Our baseline calculation refers to a 1.4 Œºm diameter diode (Univ. of Virginia batch no. 1E12) operated at a carrier frequency of 2.52 THz and a modulation frequency of 8 GHz, as was used in the experiments of Watson, Grossman, and Phillips (1988). The effects on reflectivity modulation, and therefore on sideband-generation efficiency, of varying the diode parameters are investigated. Our conclusions are: A) For all realistic diode parameters, the phase modulation completely dominates the amplitude modulation. B) Performance is degraded well below the plasma frequency in the undepleted epilayer due to the presence of a second resonance, caused by the interaction of the barrier capacitance and the effective inductance due to carrier inertia, C) The effects of varying the antenna impedance, temperature, diode substrate size, and Schottky barrier height over realistic ranges are small. D) An improvement in single-sideband conversion efficiency of approximately 20 db may be obtained by increasing the epilayer doping and simultaneously reducing the diode radius. ¬© 1987 Plenum Publishing Corporation.</t>
  </si>
  <si>
    <t>1293-1312</t>
  </si>
  <si>
    <t>Grossman, Erich N.</t>
  </si>
  <si>
    <t>Grossman E.</t>
  </si>
  <si>
    <t>The performance of Schottky diodes as far-infrared modulators</t>
  </si>
  <si>
    <t>10.1007/BF01011081</t>
  </si>
  <si>
    <t>2-s2.0-0023438961</t>
  </si>
  <si>
    <t>['slot wave', 'significant bandwidth', 'physical principles', 'mode operation', 'millimeter band', 'low attenuation', 'integrated circuits', 'experimental data', 'engineering formulas', 'dominant mode', 'components based']</t>
  </si>
  <si>
    <t>The characteristics of the propagation of the dominant mode of a longitudinally slotted cylinder - the slot wave (quasi-H//0//0 mode) - in a cylindrical and mirror slotted lines are described. A number of engineering formulas and experimental data are presented. The physical principles of the construction of components based on them are described. It is shown that the mirror slotted line is itself a miniature transmission line; it is distinguished by single-mode operation with a significant bandwidth, low attenuation, and several operating states. It enables complex miniaturization of integrated circuits (IC) in the millimeter band to be achieved.</t>
  </si>
  <si>
    <t>66-85</t>
  </si>
  <si>
    <t>6603546004;7005559067</t>
  </si>
  <si>
    <t>Komar, G. I.;Shestopalov, V. P.</t>
  </si>
  <si>
    <t>Komar G.</t>
  </si>
  <si>
    <t>CYLINDRICAL AND MIRROR SLOTTED LINES (REVIEW).</t>
  </si>
  <si>
    <t>2-s2.0-0023439122</t>
  </si>
  <si>
    <t>['wave beams', 'structural changes', 'solved analytically', 'propagating away', 'large number', 'diffraction harmonics', 'array fit']</t>
  </si>
  <si>
    <t>The problem of diffraction of weakly diversing Gaussian wave beams by one-dimensionally periodic gratings is solved analytically for the case when a large number of periods of the array fit into the spot of the field. It is shown that the fields of the diffraction harmonics, propagating away from the grating, are wave beams of the same order as the incident wave beam. The structure of the field of the decaying diffraction harmonics differs from the structure of the incident wave beam. A generalized destructive parameter is introduced as a measure of the structural changes.</t>
  </si>
  <si>
    <t>Sysoyev, A. S.</t>
  </si>
  <si>
    <t>Sysoyev A.</t>
  </si>
  <si>
    <t>STRUCTURE OF THE FIELD OF DECAYING HARMONICS IN THE DIFFRACTION OF WAVE BEAMS BY ONE-DIMENSIONALLY PERIODIC GRATINGS.</t>
  </si>
  <si>
    <t>2-s2.0-0023439856</t>
  </si>
  <si>
    <t>1014-1017</t>
  </si>
  <si>
    <t>Measurement Techniques</t>
  </si>
  <si>
    <t>6701411909;57196604328</t>
  </si>
  <si>
    <t>Rumyantsev, R. I.;Trofimov, A. S.</t>
  </si>
  <si>
    <t>Rumyantsev R.</t>
  </si>
  <si>
    <t>Selection of optimization criteria for information-measuring systems for antenna measurements</t>
  </si>
  <si>
    <t>10.1007/BF00865004</t>
  </si>
  <si>
    <t>2-s2.0-0023966718</t>
  </si>
  <si>
    <t>897-901</t>
  </si>
  <si>
    <t>6602541196;57207638516</t>
  </si>
  <si>
    <t>Gazazyan, E. D.;Ivanyan, M. I.</t>
  </si>
  <si>
    <t>Gazazyan E.</t>
  </si>
  <si>
    <t>Toward a theory of antenna characteristic measurement by the spherical harmonic method</t>
  </si>
  <si>
    <t>10.1007/BF01034852</t>
  </si>
  <si>
    <t>2-s2.0-34250104245</t>
  </si>
  <si>
    <t>['¬© 1987', 'significant amounts', 'sepharose ).', 'rats comparatively', 'polypeptide portion', 'natural constituent', 'metabolic behaviour', 'large proportion', 'human asialotransferrin', 'glcnac residues', 'fucose linked', 'entire glycoprotein', 'distinctly different', 'cellular milieu']</t>
  </si>
  <si>
    <t>Fucose | Glycoprotein metabolism | Transferrin</t>
  </si>
  <si>
    <t>The metabolic behaviour of the chitobiose core fucose that is a natural constituent of a large proportion of rat transferrin molecules was studied in rats comparatively to that of the polypeptide portion of the glyco-protein by using appropriate labels ([3H]fucose and 125I) and affinity chromatographic techniques (lentil-Sepharose). No evidence was obtained to suggest that this residue is cleaved from the glycan in significant amounts before removal of the entire glycoprotein for catabolism. Similarly, [14C]fucose linked to GlcNAc residues in the antennae of human asialotransferrin was being eliminated in pigeons at the same rate as the polypeptide itself. It is concluded that in spite of transferrin's exposure to the cellular milieu, the fate of its fucose is distinctly different from that of the same in plasma membrane glycoproteins. ¬© 1987.</t>
  </si>
  <si>
    <t>271-274</t>
  </si>
  <si>
    <t>60071027;60071027</t>
  </si>
  <si>
    <t>7007020991;6603915224</t>
  </si>
  <si>
    <t>Regoeczi, Erwin;Chindemi, Paul A.</t>
  </si>
  <si>
    <t>McMaster University Medical Centre</t>
  </si>
  <si>
    <t>Regoeczi E.</t>
  </si>
  <si>
    <t>Metabolic stability of the fucose in rat transferrin</t>
  </si>
  <si>
    <t>0014-5793(87)80384-8</t>
  </si>
  <si>
    <t>10.1016/0014-5793(87)80384-8</t>
  </si>
  <si>
    <t>2-s2.0-0023645736</t>
  </si>
  <si>
    <t>Ministry of Education, Culture, Sports, Science and Technology</t>
  </si>
  <si>
    <t>Monbusho</t>
  </si>
  <si>
    <t>['¬© 1987', "x '.", 'vitamin k', 'significant effect', 'results suggest', 'remained unchanged', 'reaction center', 'purified chlorophyll', 'pigments shifted', 'pigment extraction', 'pigment extracted', 'particles containing', 'partial recovery', 'less sensitive', 'higher value', 'gz values', 'gx value', 'ether extraction', 'epr signal', 'component x', 'close location', 'antenna pigments', 'acta 376', '50 %.']</t>
  </si>
  <si>
    <t>(Spinach chloroplast) | ESR | Iron-sulfur center | Photosystem I</t>
  </si>
  <si>
    <t>Ether extraction of antenna pigments from PS I particles (Ikegami, I. and Katoh, S. (1975) Biochim. Biophys. Acta 376, 588-592) led to the change of EPR signal of the PS I secondary electron acceptor 'X'. The gx value of the EPR signal of X, which was 1.77 in the PS I particles, remained unchanged as far as the pigment extracted was less than 50%. However, further extraction of pigments shifted it to the higher value; it came up to 1.80 in the particles containing about 5% chlorophyll a. gy and gz values of the EPR signal of X were less sensitive to the pigment extraction. The gx signal intensity of the EPR signal of X remained almost constant through the pigment extraction. The re-incorporation of the purified chlorophyll a to the pigment-extracted particles resulted in a partial recovery of the gx value. On the other hand, vitamin K-1 had no significant effect on the recovery of the gx value. The results suggest the close location of the component X to chlorophyll a in the vicinity of PS I reaction center. ¬© 1987.</t>
  </si>
  <si>
    <t>517-523</t>
  </si>
  <si>
    <t>60027553;60028586</t>
  </si>
  <si>
    <t>55974981900;55684257100</t>
  </si>
  <si>
    <t>Ikegami, Isamu;Itoh, Shigeru</t>
  </si>
  <si>
    <t>Okazaki;Tokyo</t>
  </si>
  <si>
    <t>National Institutes of Natural Sciences - National Institute for Basic Biology;Teikyo University</t>
  </si>
  <si>
    <t>60028586;60027553</t>
  </si>
  <si>
    <t>Ikegami I.</t>
  </si>
  <si>
    <t>Evidence for the interaction of the Photosystem I secondary electron acceptor X with chlorophyll a in spinach Photosystem I particles</t>
  </si>
  <si>
    <t>10.1016/0005-2728(87)90103-4</t>
  </si>
  <si>
    <t>2-s2.0-0000119360</t>
  </si>
  <si>
    <t>PCM-8408201</t>
  </si>
  <si>
    <t>['¬© 1987', 'spectral changes', 'pigment interactions', 'nonspecific change', 'harvesting complex', 'effects suggests', 'carotenoid bands', 'antenna complex', 'absorption spectrum', '857 nm', '850 light', '850 complexes', '850 complex', '800 nm', '590 nm']</t>
  </si>
  <si>
    <t>Light-harvesting complex B800-850 | Lithium dodecyl sulfate | Photosynthetic bacterium | Sodium borohydride | Spectroscopy</t>
  </si>
  <si>
    <t>The effects of the detergent lithium dodecyl sulfate and the reducing agent sodium borohydride on the absorption spectrum of the B800-850 light-harvesting complex from Rhodopseudomonas acidophila 7750 were determined. Treatment of B800-850 complex with 0.1% lithium dodecyl sulfate results in an approx. 85% attenuation of the bacteriochlorophyll absorption band at 800 nm and 2-4 nm red-shifts of the bacteriochlorophyll absorption bands at 590 nm and 857 nm and a 4 nm blue-shift of the carotenoid absorption bands. Treatment with sodium borohydride resulted in an attenuation of the bacteriochlorophyll absorption band at 800 nm, a 1 nm red-shift of the bacteriochlorophyll 857 nm absorption band and an attenuation of the carotenoid bands. A comparison of the effects suggests that lithium dodecyl sulfate induces a nonspecific change in the antenna complex, possibly a protein conformational change whereas sodium borohydride chemically modifies both bacteriochlorophyll and carotenoid. The spectral changes are interpreted in terms of alterations in the pigment interactions which are responsible for the native absorption properties of B800-850 complexes. ¬© 1987.</t>
  </si>
  <si>
    <t>444-451</t>
  </si>
  <si>
    <t>60022659;60022659;60001490;60022659</t>
  </si>
  <si>
    <t>7005162679;56097400800;7006465617;7201842354</t>
  </si>
  <si>
    <t>Chadwick, Barry W.;Zhang, Chaoying;Cogdell, Richard J.;Frank, Harry A.</t>
  </si>
  <si>
    <t>Storrs;Glasgow</t>
  </si>
  <si>
    <t>University of Connecticut;University of Glasgow</t>
  </si>
  <si>
    <t>60022659;60001490</t>
  </si>
  <si>
    <t>Chadwick B.</t>
  </si>
  <si>
    <t>The effects of lithium dodecyl sulfate and sodium borohydride on the absorption spectrum of the B800-850 light-harvesting complex from Rhodopseudomonas acidophila 7750</t>
  </si>
  <si>
    <t>0005-2728(87)90096-X</t>
  </si>
  <si>
    <t>10.1016/0005-2728(87)90096-X</t>
  </si>
  <si>
    <t>2-s2.0-0001346999</t>
  </si>
  <si>
    <t>61-119</t>
  </si>
  <si>
    <t>['¬© 1987', 'vitamin k', 'untreated photosystem', 'total p', 'spinach chloroplasts', 'similar results', 'preparation showed', 'possibly related', 'photochemically oxidized', 'original photosystem', 'long illumination', 'fluroescence band', 'fes centers', 'extracted preparation', 'digitonin treatment', 'antenna chlorophylls', 'also obtained', '700 +.', '692 nm', '429 nm', '230 k', '2 molecules']</t>
  </si>
  <si>
    <t>(Spinach) | ESR | P-700 | Photosystem I particle | Reaction center | Vitamin K-1</t>
  </si>
  <si>
    <t>Treatment of Photosystem I particles, prepared by digitonin treatment of spinach chloroplasts, with dry diethyl ether extracted all the vitamin K-1 (2.2 molecules/P-700 in the original Photosystem I particles) and carotenoids as well as 60% of antenna chlorophylls. P-700 and FeS centers (FX, FA and FB) were not extracted, and were photochemically oxidized and reduced, respectively, upon continuous illumination. This preparation showed the A-0 EPR signal but no A-1 signal even after long illumination at 210 or 230 K, in which condition A-1 was accumulated in the untreated Photosystem I particles. Laser flash excitation induced only a small absorption change, corresponding to 20% of the total P-700, at 429 nm in the extracted preparation, suggesting that charge recombination took place on a submicrosecond time scale. Addition of vitamin K-1 or K-3 but not that of benzyl viologen increased the extent of the slow decay phase of P-700+. The extraction also induced a new fluorescence band peaking at 692 nm, the intensity of which increased upon addition of dithionite. This fluroescence band is possibly related to the rapid charge recombination between A-0 and P-700+. These results strongly suggest that A1 is vitamin K-1 and that it functions to mediate electron transfer between A0 and FeS centers. Similar results were also obtained with the 'P-700 enriched particles' with 7-16 antenna chlorophyll a P-700 which can be obtained by extraction of Photosystem I particles with diethyl ether containing (80% saturated) water. ¬© 1987.</t>
  </si>
  <si>
    <t>508-516</t>
  </si>
  <si>
    <t>60028586;60028586;60027553</t>
  </si>
  <si>
    <t>55684257100;7201981957;55974981900</t>
  </si>
  <si>
    <t>Itoh, Shigeru;Iwaki, Masayo;Ikegami, Isamu</t>
  </si>
  <si>
    <t>Itoh S.</t>
  </si>
  <si>
    <t>Extraction of vitamin K-1 from Photosystem I particles by treatment with diethyl ether and its effects on the A&lt;sup&gt;-&lt;/sup&gt;&lt;inf&gt;1&lt;/inf&gt; EPR signal and System I photochemistry</t>
  </si>
  <si>
    <t>10.1016/0005-2728(87)90102-2</t>
  </si>
  <si>
    <t>2-s2.0-45949115515</t>
  </si>
  <si>
    <t>['¬© 1987', 'w .)', 'underground laboratory', 'simulation shows', 'seems unavoidable', 'present antennas', 'level g', 'energy greater', 'cosmic background', 'assigned value']</t>
  </si>
  <si>
    <t>We present the results of a Monte Carlo simulation for the energy loss distribution of high energy cosmic muons crossing a Weber-type gravitational wave (g.w.) antenna. The number of events per day of energy greater than an assigned value, generated in the antenna by the muons, is deduced. The simulation shows that a rate of 60 events per week due to the cosmic background is expected in a sea-level g.w. detector with an energy sensitivity ten times greater than that of the present antennas. With the sensitivity of the resonant detectors approaching the quantum limit value the rate will increase to 5 √ó 104 events per days. Therefore it seems unavoidable to carry on the experiment in an underground laboratory. ¬© 1987.</t>
  </si>
  <si>
    <t>491-500</t>
  </si>
  <si>
    <t>Nuclear Inst. and Methods in Physics Research, A</t>
  </si>
  <si>
    <t>60032350-60021660</t>
  </si>
  <si>
    <t>Ricci, Fulvio</t>
  </si>
  <si>
    <t>Sapienza Universit√† di Roma;Istituto Nazionale di Fisica Nucleare - INFN</t>
  </si>
  <si>
    <t>60032350;60021660</t>
  </si>
  <si>
    <t>Ricci F.</t>
  </si>
  <si>
    <t>Monte Carlo simulation of the high energy cosmic muon background in a resonant gravitational wave antenna</t>
  </si>
  <si>
    <t>10.1016/0168-9002(87)90122-7</t>
  </si>
  <si>
    <t>2-s2.0-0023425016</t>
  </si>
  <si>
    <t>['¬© 1987', 'transition moments', 'state lifetime', 'polarized light', 'p achieved', 'monomeric bchl', 'long axis', 'living cells', 'limiting value', 'individual chromatophore', 'febs lett', 'essentially parallel', 'coupled associates', 'chlorobium limicola', 'bvr fluorescence', 'bvr excited', 'antenna bacterioviridin', 'antenna bacteriochlorophyll']</t>
  </si>
  <si>
    <t>Antenna | Bacterial photosynthesis | Energy transfer | Fluorescence polarization | Picosecond spectroscopy</t>
  </si>
  <si>
    <t>The orientation of the long-wavelength (Qy) transition moments of the antenna bacterioviridin (BVr) was examined in living cells of Chlorobium limicola. Previous linear dichroism studies [(1986) FEBS Lett. 199, 234-236] indicated that in each individual chromatophore of C. limicola the Qy, transition moment vectors of the whole chlorosome BVr are essentially parallel to each other and are practically ideally oriented along the long axis of the chlorosome. We measured the picosecond polarized fluorescence decay kinetics for antenna bacteriochlorophyll (BChl) emissions upon selective excitation with polarized light of the Qy, transition of BVr. The polarization (p) of the BVr fluorescence is measured to be constant during the BVr excited-state lifetime and to be equal to the limiting value of p achieved in monomeric BChl: P = + 0.42 ¬± 0.02. The results indicate convincingly that the excitation energy transfer within chlorosomes of C. limicola cells takes place between chromophores (or their coupled associates) with parallel transition moment vectors. ¬© 1987.</t>
  </si>
  <si>
    <t>161-164</t>
  </si>
  <si>
    <t>60007457;;</t>
  </si>
  <si>
    <t>7003830809;7005109792;6701855945</t>
  </si>
  <si>
    <t>Fetisova, Z. G.;Freiberg, A. M.;Timpmann, K. E.</t>
  </si>
  <si>
    <t>Lomonosov Moscow State University</t>
  </si>
  <si>
    <t>Fetisova Z.G.</t>
  </si>
  <si>
    <t>Investigations by picosecond polarized fluorescence spectrochronography of structural aspects of energy transfer in living cells of the green bacterium Chlorobium limicola</t>
  </si>
  <si>
    <t>10.1016/0014-5793(87)80528-8</t>
  </si>
  <si>
    <t>2-s2.0-33748577508</t>
  </si>
  <si>
    <t>['¬© 1987', 'light intensity', 'hypergeometrical one', 'harvesting antenna', 'experimental curves', 'excitations caused', 'excellent agreement']</t>
  </si>
  <si>
    <t>Antenna domain | Quantum yield | Statistical distribution</t>
  </si>
  <si>
    <t>The distribution of the excitations caused by the pump laser pulse in the domains of light-harvesting antenna is shown to be the hypergeometrical one. The experimental curves of the photo-oxidation of reaction centers versus the light intensity of pico-second pulses measured for two distinct samples with monocentral antenna domains are in excellent agreement with the statistical distribution predicted. ¬© 1987.</t>
  </si>
  <si>
    <t>60007457;60007457</t>
  </si>
  <si>
    <t>6506457978;6603794637</t>
  </si>
  <si>
    <t>Mineyev, A. P.;Razjivin, A. P.</t>
  </si>
  <si>
    <t>Mineyev A.</t>
  </si>
  <si>
    <t>Statistics of the photon distribution in the set of photosynthetic antenna domains</t>
  </si>
  <si>
    <t>10.1016/0014-5793(87)80533-1</t>
  </si>
  <si>
    <t>2-s2.0-45949113212</t>
  </si>
  <si>
    <t>Carl Tryggers Stiftelse f√∂r Vetenskaplig Forskning</t>
  </si>
  <si>
    <t>VR</t>
  </si>
  <si>
    <t>['¬© 1987', 'tightly bound', 'subfractions isolated', 'structural association', 'reversibly detach', 'results showed', 'protein complex', 'polypeptide composition', 'photosystem ii', 'phosphorylation kinetics', 'peripherally bound', 'lhc ii', 'latter pool', 'heated thylakoids', 'harvesting chlorophyll', 'elevated temperatures', 'dynamic arrangement', 'contains mainly']</t>
  </si>
  <si>
    <t>(Spinach chloroplast) | Light-harvesting complex | Membrane dynamics | Photosystem II | Protein phosphorylation | Thylakoid membrane</t>
  </si>
  <si>
    <t>The properties of the light-harvesting chlorophyll a b-protein complex of Photosystem II (LHC II) was analysed in subfractions isolated from phosphorylated or heated thylakoids. The results showed that LHC II is heterogenous with respect to polypeptide composition, phosphorylation kinetics and structural association with the core of Photosystem II. One LHC II subpopulation is tightly bound to the core of Photosystem II and contains mainly a slowly phosphorylated 27 kDa polypeptide. The other subpopulation of LHC II is peripherally bound to the core and contains a relatively high proportion of a rapidly phosphorylated 25 kDa polypeptide. The latter pool of LHC II can reversibly detach from Photosystem II in respons to phosphorylation or elevated temperatures. These findings will be accommodated into a model for the dynamic arrangement of the antenna of Photosystem II. ¬© 1987.</t>
  </si>
  <si>
    <t>59-68</t>
  </si>
  <si>
    <t>60029170;60029170;60001950</t>
  </si>
  <si>
    <t>7005372912;6602751507;7401941729</t>
  </si>
  <si>
    <t>Larsson, Ulla K.;Sundby, Cecilia;Andersson, Bertil</t>
  </si>
  <si>
    <t>Larsson U.K.</t>
  </si>
  <si>
    <t>Characterization of two different subpopulations of spinach light-harvesting chlorophyll a b-protein complex (LHC II): Polypeptide composition, phosphorylation pattern and association with Photosystem II</t>
  </si>
  <si>
    <t>000527288790212X</t>
  </si>
  <si>
    <t>10.1016/0005-2728(87)90212-X</t>
  </si>
  <si>
    <t>2-s2.0-0002111294</t>
  </si>
  <si>
    <t>Vetenskapsr√•det</t>
  </si>
  <si>
    <t>['¬© 1987', 'two subpopulations', 'two photosystems', 'tightly bound', 'therefore thought', 'term adaptation', 'specific variation', 'ratio close', 'protein phosphorylation', 'protein complex', 'photosystem ii', 'peripheral subpopulation', 'peripheral pool', 'peripheral bound', 'pea grown', 'one population', 'moderate heat', 'membrane development', 'light regime', 'light adaptation', 'lhc ii', 'increased proportion', 'increased amount', 'harvesting chlorophyll', 'grana formation', 'first inserted', 'early stage', 'core due', 'contains predominantly', 'also showed', 'also responsible', 'also demonstrate']</t>
  </si>
  <si>
    <t>Light regulation | Light-harvesting complex | Photosystem II | Thylakoid development | Thylakoid membrane</t>
  </si>
  <si>
    <t>The light-harvesting chlorophyll a b-protein complex of Photosystem II (LHC II) is composed of two subpopulations. One population is tightly bound to the Photosystem II core and contains predominantly a 27 kDa polypeptide. The other population, enriched in a 25 kDa polypeptide, is more peripheral bound and is able to undergo reversible detachment from the core due to protein phosphorylation or moderate heat. This pool of LHC II is therefore thought to be responsible for short-term adaptation of the Photosystem II antenna. In this study we show that the peripheral subpopulation is also responsible for long-term adaptation to variations in light regime. By two-dimensional gel electrophoresis it was found that spinach or pea grown under low irradiance contained an increased amount of total LHC II and also showed an increased proportion of the 25 kDa polypeptide relative to the 27 kDa polypeptide. The additional LHC II incorporated during the low-light adaptation was calculated to possess a 27 25 kDa polypeptide ratio around 2, a ratio close to what has previously been found for the peripheral pool of LHC II. This demonstrates a specific variation in the level of the peripheral LHC II in response to long-term light adaptation. By analyzing the LHC II polypeptide composition of developing pea etioplasts, we also demonstrate that in the early stage of membrane development the Photosystem II core and its tightly bound LHC II antenna is first inserted, while the peripheral LHC II is inserted at a later stage concomitant with grana formation and segregation of the two photosystems. ¬© 1987.</t>
  </si>
  <si>
    <t>69-75</t>
  </si>
  <si>
    <t>7005372912;7406781037;7401941729</t>
  </si>
  <si>
    <t>Larsson, Ulla K.;Anderson, Jan M.;Andersson, Bertil</t>
  </si>
  <si>
    <t>Variations in the relative content of the peripheral and inner light-harvesting chlorophyll a b-protein complex (LHC II) subpopulations during thylakoid light adaptation and development</t>
  </si>
  <si>
    <t>10.1016/0005-2728(87)90213-1</t>
  </si>
  <si>
    <t>2-s2.0-0003080758</t>
  </si>
  <si>
    <t>['¬© 1987', 'xanthophyll amounts', 'vesicles exhibited', 'thylakoid vesicles', 'thylakoid membrane', 'tentatively proposed', 'temperature absorption', 'specific enrichment', 'red absorption', 'ps ii', 'previously related', 'presented absorption', 'polypeptide composition', 'pigment presumed', 'phycoerythrin units', 'photosynthetical activities', 'opposite repartition', 'noticeable amounts', 'molecularmass polypeptides', 'major light', 'low contribution', 'large depletion', 'highly modified', 'heavy band', 'harvesting pigment', 'harvesting complexes', 'harvesting complex', 'harvesting chlorophyll', 'harvesting antennae', 'free phycoerythrin', 'fluorescence characteristics', 'efficient far', 'cryptomonas rufescens', 'complex appeared', 'chlorophyll c2', 'carotenoid contents', 'c2 complex', 'besides chlorophyll', 'active phycoerythrin', '87 kda', '700 ratio', '150 ).']</t>
  </si>
  <si>
    <t>(C rufescens) | Electron microscopy | Light-harvesting chlorophyll a c 2 | Photosystem I | Photosystem II | Phycoerythrin-Photosystem II complex</t>
  </si>
  <si>
    <t>Three subchloroplast fractions and free phycoerythrin have been separated from Cryptomonas rufescens by action of digitonin and ultracentrifugation on sucrose density gradient. They were characterized as Photosystem (PS) I, PS-II and light-harvesting complexes. Besides chlorophyll (Chl) a and c2, high-performance liquid chromatography exposed the presence of noticeable amounts of cis-alloxanthin, in addition of the previously reported carotenoids alloxanthin, crocoxanthin and Œ±-carotene. The heavy band (fraction 1), which presented absorption and fluorescence characteristics of PS I complex appeared up to three times enriched in P-700 (Chl a to P-700 ratio: 150). These PS I vesicles exhibited more efficient far-red absorption and contained high amounts of Œ±-carotene, a low alloxanthin complement, few chlorophyll c2 and a specific enrichment in a pigment presumed to be chlorophyll reaction center I. The low-temperature absorption of both other fractions, previously related to PS II, exhibited a very low contribution of far-red absorbing chlorophyll a forms. Their carotenoid contents were highly modified in a large depletion of Œ±-carotene, contrasting with the increment of xanthophyll amounts. Besides its high chlorophyll c2 content, fraction 2 exhibited an enhanced alloxanthin content. This fraction, according to its photosynthetical activities and polypeptide composition, was interpreted as the major chlorophyllous light-harvesting complex (Chl a c2 complex) connected to some PS II reaction centers. By contrast, the third recovered fraction was an active phycoerythrin-xanthophyll-PS II complex greatly enriched in PS II reaction centres and poor in light-harvesting chlorophyll. Phycoerythrin, the major light-harvesting pigment of this fraction, efficiently transferred energy to PS II reaction centers. Although many features were comparable in the two PS II fractions, the photosynthetical activities revealed an opposite repartition of PS II reaction centres and light-harvesting antennae. Negatively stained preparations of fraction 3 confirmed that thylakoid vesicles were present and associated with small geometrical units corresponding to phycoerythrin. High-molecularmass polypeptides (97 and 87 kDa) were detected in this fraction and were tentatively proposed as linkers between phycoerythrin units and thylakoid membrane. The lightest fraction 4 contained only free phycoerythrin. A functional model describing the organization of Cryptophyceae thylakoid membrane is proposed. ¬© 1987.</t>
  </si>
  <si>
    <t>76-90</t>
  </si>
  <si>
    <t>60000179;60000179;60000179</t>
  </si>
  <si>
    <t>6603248289;7103054985;7004580614</t>
  </si>
  <si>
    <t>Lichtl√©, Christiane;Duval, Jean Claude;Lemoine, Yves</t>
  </si>
  <si>
    <t>√âcole Normale Sup√©rieure</t>
  </si>
  <si>
    <t>Lichtl√© C.</t>
  </si>
  <si>
    <t>Comparative biochemical, functional and ultrastructural studies of photosystem particles from a Cryptophycea: Cryptomonas rufescens; isolation of an active phycoerythrin particle</t>
  </si>
  <si>
    <t>10.1016/0005-2728(87)90214-3</t>
  </si>
  <si>
    <t>2-s2.0-0342859075</t>
  </si>
  <si>
    <t>['unstacked regions', 'starting material', 'stacked regions', 'spectroscopic techniques', 'significant proportion', 'photosystem ii', 'immunogold labelling', 'dcmu insensitive', 'cytochrome b', 'corresponding level', 'completely excluded', 'chlorophyll basis', 'appressed thylakoids', '559 lp', '559 exists']</t>
  </si>
  <si>
    <t>Colloidal gold | electron transport | fluorescence emission | immune-blot | immunocytochemistry | monoclonal antibodies | P700 polypeptides | thylakoids</t>
  </si>
  <si>
    <t>The presence of photosystem II polypeptides and photosystem II activity in unstacked regions of barley thylakoid membranes were investigated by immunological and spectroscopic techniques. Immunogold labelling of Lowicryl-embedded chloroplasts showed that PSI and the ATPase were completely excluded from stacked regions, while a significant proportion of PSII was located in unstacked regions of the membrane. A membrane fraction derived from stroma, lamellae was shown by immuno-blotting to contain PSII components. Their abundance was approximately one tenth (on a chlorophyll basis) of that in the starting material. The stroma lamellae showed a corresponding level of photosystem II-mediated electron transport, in the presence of the electron donor diphenyl-carbazide. Much of the activity was DCMU insensitive, and the reaction centres lacked the antennae pigment CP29, which was located only in appressed thylakoids. Cytochrome b-559 LP, but not HP, was present in the stroma lamellae fraction. Evidence is presented that the native low potential form of cytochrome b-559 exists as a unique molecular species, distinct from the high potential form (cytochrome b-559 HP). ¬© 1987 Carlsberg Laboratory.</t>
  </si>
  <si>
    <t>405-421</t>
  </si>
  <si>
    <t>Carlsberg Research Communications</t>
  </si>
  <si>
    <t>60019782;60019782;60019782</t>
  </si>
  <si>
    <t>55994884800;57198339583;7402414929</t>
  </si>
  <si>
    <t>Vallon, Oliver;H√∏yer-Hansen, Gunilla;Simpson, David J.</t>
  </si>
  <si>
    <t>Copenhagen</t>
  </si>
  <si>
    <t>Carlsberg Research Center</t>
  </si>
  <si>
    <t>Vallon O.</t>
  </si>
  <si>
    <t>Photosystem II and cytochrome b-559 in the stroma lamellae of barley chloroplasts</t>
  </si>
  <si>
    <t>10.1007/BF02907528</t>
  </si>
  <si>
    <t>2-s2.0-0009736908</t>
  </si>
  <si>
    <t>['tropospheric radio', 'space diversity', 'single source', 'single antenna', 'rrl ),', 'relay links', 'relative delay', 'receiving antennas', 'noise voltages', 'noise source', 'located near', 'linear filters', 'effectively rereflects', 'effective suppression', 'direct emission', 'cancelling efficiency', 'antenna outputs', 'antenna output']</t>
  </si>
  <si>
    <t>Effective suppression of a single source of interference, under the conditions of reception with double-space diversity, applicable to, for example, line-of-sight or tropospheric radio-relay links (RRL), is possible using adaptive two-channel noise cancellers. If the equipment that effectively rereflects the radiation of the noise source is located near the receiving antennas, rereflections and direct emission from the noise source, both received by a single antenna, may differ considerably in amplitude, phase, and the relative delay from rereflections and the radiation of the noise source received by the other antenna. This leads to a reduction in the cross-correlation coefficient among the noise voltages at the antenna output, resulting in a fall in cancelling efficiency. We consider a method for cancelling the noise voltages at the antenna outputs by means of linear filters, in order to increase the cross-correlation coefficient among them.</t>
  </si>
  <si>
    <t>35617690000;6602122947</t>
  </si>
  <si>
    <t>Levin, Ye K.;Nemirovskiy, A. S.</t>
  </si>
  <si>
    <t>Levin Y.</t>
  </si>
  <si>
    <t>Method of suppressing the combined noise from a radiation source and passive reradiators</t>
  </si>
  <si>
    <t>2-s2.0-0023440362</t>
  </si>
  <si>
    <t>['waveguide channel', 'using antenna', 'rotating switches', 'receiving stations', 'paper considers', 'moisture accumulation', 'mechanical defects', 'etc .,', 'enables one', 'characteristic indicators', 'awc operation']</t>
  </si>
  <si>
    <t>The occurrence of corrosion, mechanical defects, moisture accumulation, wear and tear of rotating switches, icing, etc., is possible when using antenna-waveguide channel (AWC) receiving stations in multichannel communications systems. One of the characteristic indicators of AWC operation is its VSWR, which is measured on the receiver input side. This paper considers the construction of a device that enables one to measure the VSWR of an AWC without interrupting communications.</t>
  </si>
  <si>
    <t>6506239762;6507428296</t>
  </si>
  <si>
    <t>Martyshevskiy, K. N.;Mushkov, V. P.</t>
  </si>
  <si>
    <t>Martyshevskiy K.</t>
  </si>
  <si>
    <t>Automatic control of the VSWR of an antenna-waveguide channel in low-noise receivers without interrupting communications</t>
  </si>
  <si>
    <t>2-s2.0-0023440365</t>
  </si>
  <si>
    <t>['volumetric body', 'thin conductors', 'mathematical model', 'magnetic fields', 'integral equations', 'end screen', 'electromagnetic excitation', 'concentrated source', 'broadband properties']</t>
  </si>
  <si>
    <t>A mathematical model is proposed in the form of a system of integral equations of electric and magnetic fields to solve the problem of the electromagnetic excitation, using a concentrated source, of a set of thin conductors and a volumetric body. The algorithm is used to analyze the broadband properties of a cylindrical helical antenna with an end screen.</t>
  </si>
  <si>
    <t>94-97</t>
  </si>
  <si>
    <t>6701755348;7004146752</t>
  </si>
  <si>
    <t>Kalashnikov, N. V.;Runov, A. V.</t>
  </si>
  <si>
    <t>Kalashnikov N.</t>
  </si>
  <si>
    <t>Electrodynamic modeling of wire antennas on conducting bodies</t>
  </si>
  <si>
    <t>2-s2.0-0023440366</t>
  </si>
  <si>
    <t>['z axis', 'small vicinity', 'resonant loop', 'others similar', 'obtained form', 'major contribution', 'helical antennas', 'helical antenna', 'f2 ).', 'emission field', 'elementary considerations', 'directivity pattern', 'angle œîœü']</t>
  </si>
  <si>
    <t>A change in frequency from f1 to f2 the directivity pattern of a conical (or plane) log-helical antenna is rotated about the axis of the cone (the z axis in the figure) by the angle ŒîœÜ=Œ±-1 in (f1/f2). This result is obtained form a rigorous electrodynamic analysis and is a consequence of the general construction principles of log-helical antennas. It is shown here that the above equation and others similar to it can be obtained from elementary considerations for the condition that the major contribution to the emission field of such antennas is provided by a small vicinity of a resonant loop.</t>
  </si>
  <si>
    <t>153-154</t>
  </si>
  <si>
    <t>Goroshchenya, A. B.</t>
  </si>
  <si>
    <t>Goroshchenya A.</t>
  </si>
  <si>
    <t>Estimate of the frequency rotation of the directivity pattern of plane and conical helical antennas</t>
  </si>
  <si>
    <t>2-s2.0-0023440374</t>
  </si>
  <si>
    <t>['vector sum', 'reception point', 'random components', 'interferometer systems']</t>
  </si>
  <si>
    <t>The behavior of the power-averaged radiation patterns of interferometer systems is examined in the case of radio wave tropospheric propagation assuming that the field at the reception point is the vector sum of constant and random components.</t>
  </si>
  <si>
    <t>91-94</t>
  </si>
  <si>
    <t>Fortes, V. B.</t>
  </si>
  <si>
    <t>Fortes V.</t>
  </si>
  <si>
    <t>Interferometer radiation pattern distortions on tropospheric over-the-horizon routes</t>
  </si>
  <si>
    <t>2-s2.0-0023440408</t>
  </si>
  <si>
    <t>['slot resonators', 'resonance frequencies', 'metal screen', 'elliptical opening', 'elliptical disk', 'electromagnetic field', 'basis functions']</t>
  </si>
  <si>
    <t>A system of basis functions, which takes into account the singularity in the electromagnetic field at the edges of a metal elliptical disk or an elliptical opening in a metal screen, is introduced. The results of calculations of the capacitance of an elliptical disk and the resonance frequencies of waveguide-slot resonators are presented.</t>
  </si>
  <si>
    <t>61-67</t>
  </si>
  <si>
    <t>Lerer, A. M.</t>
  </si>
  <si>
    <t>Lerer A.</t>
  </si>
  <si>
    <t>Singularities at the edge of an elliptical disk in the solution of some boundary-value problems in microwave electrodynamics</t>
  </si>
  <si>
    <t>2-s2.0-0023440412</t>
  </si>
  <si>
    <t>['usw repeaters', 'sparsely populated', 'inclined beam', 'inaccessible regions', 'hf circuits', 'fm broadcasting', 'block diagram']</t>
  </si>
  <si>
    <t>The development of medium-wave radio broadcasting networks in sparsely populated and inaccessible regions of the USSR has led to the demand for low-power transmitters operating in conjunction with USW repeaters for FM broadcasting and television. A 50-W transistorized MW transmitter based on switching signal gain techniques in the LF and HF circuits and an 'inclined beam' antenna has been developed and tested for this purpose. The block diagram and specifications of the transmitter are presented.</t>
  </si>
  <si>
    <t>60-61</t>
  </si>
  <si>
    <t>;;;;</t>
  </si>
  <si>
    <t>7004106780;7005924432;6507835617;6701863610;7003428250</t>
  </si>
  <si>
    <t>Aleksanyan, A. A.;Galakhov, V. A.;Mozheyko, V. L.;Moiseyev, V. G.;Nikitin, K. K.</t>
  </si>
  <si>
    <t>Aleksanyan A.</t>
  </si>
  <si>
    <t>50-W switched MW radio broadcasting transmitter</t>
  </si>
  <si>
    <t>2-s2.0-0023440419</t>
  </si>
  <si>
    <t>['radiation impedance', 'problem arises', 'inelastic spheroid', 'electromagnetic field']</t>
  </si>
  <si>
    <t>The purpose of this paper is to determine the radiation impedance of radiators in the form of a loop with a constant wave velocity distribution mounted on an inelastic spheroid. The problem arises in investigating the electromagnetic field of such radiators and can have applications, for example, in hydroacoustics.</t>
  </si>
  <si>
    <t>6603474562;6507661729</t>
  </si>
  <si>
    <t>Korochentsev, V. I.;Statsenko, L. G.</t>
  </si>
  <si>
    <t>Korochentsev V.</t>
  </si>
  <si>
    <t>Calculation of the radiation impedance of a spheroid-mounted loop</t>
  </si>
  <si>
    <t>2-s2.0-0023440420</t>
  </si>
  <si>
    <t>['overlapping subarrays', 'eigenvectors determine', 'directions toward', 'determine uniquely', 'antenna array']</t>
  </si>
  <si>
    <t>A method is proposed for determining the number and direction of coherent radiation sources. The method is based on separating the antenna array into overlapping subarrays and constructing a matrix, whose nondegenerate eigenvalues enable one to determine uniquely the number of coherent radiation sources, and its eigenvectors determine the directions toward the sources.</t>
  </si>
  <si>
    <t>47-52</t>
  </si>
  <si>
    <t>6603498542;6507021936</t>
  </si>
  <si>
    <t>Korobko, O. V.;Tauroginskiy, B. I.</t>
  </si>
  <si>
    <t>Korobko O.</t>
  </si>
  <si>
    <t>Analysis of the spatial spectrum of the field of coherent radiation sources from the algebraic properties of the correlation matrix of the signals of an antenna array</t>
  </si>
  <si>
    <t>2-s2.0-0023440455</t>
  </si>
  <si>
    <t>['waveguide resonator', 'waveguide filters', 'temperature stability', 'tc may', 'respectively ),', 'invar filters', 'inserted directly', 'electrical characteristics', '8 khz', '13 khz']</t>
  </si>
  <si>
    <t>One of the methods of increasing the temperature stability of the electrical characteristics of waveguide filters is to use bimetallic temperature compensators (TC) which are inserted directly into each waveguide resonator (WR) and which ensure automatic tuning as the ambient temperature varies. TC may be used to obtain total temperature stability of the electrical characteristics of a filter and, when necessary, to obtain overcompensation also. Compared with invar filters, filters with TC feature high-temperature stability of the electrical characteristics of the WR (the natural frequency drift is not greater than 8 kHz/deg and 13 kHz/deg in the 4-GHz and 6-GHz frequency bands, respectively), are simpler to construct, and, consequently, are more promising.</t>
  </si>
  <si>
    <t>6603923880;6508225212;6506467460</t>
  </si>
  <si>
    <t>Model', A. M.;Stuzhin, V. A.;Manayenkov, V. S.</t>
  </si>
  <si>
    <t>Model' A.</t>
  </si>
  <si>
    <t>Temperature-stable waveguide bandpass filters</t>
  </si>
  <si>
    <t>2-s2.0-0023440505</t>
  </si>
  <si>
    <t>['transverse slot', 'radiation patterns', 'elliptical part', 'elliptical cylinder', 'complicated configuration']</t>
  </si>
  <si>
    <t>The effect of an ideally conducting solid with a complicated configuration on the radiation patterns of a transverse slot is studied. The results of the calculation of the radiation patterns of a transverse slot as a function of the dimensions of an elliptical cylinder and the positions of the slot on the elliptical part of the solid are presented.</t>
  </si>
  <si>
    <t>52-56</t>
  </si>
  <si>
    <t>7102485268;6603273479</t>
  </si>
  <si>
    <t>Kravtsov, V. A.;Ulasik, O. L.</t>
  </si>
  <si>
    <t>Radiation from slots on a solid formed by the intersection of an elliptical cylinder and strips of hyperbolic form</t>
  </si>
  <si>
    <t>2-s2.0-0023440519</t>
  </si>
  <si>
    <t>['widely used', 'simplified considerably', 'sgdra antennas', 'reflection coefficients', 'radio broadcasting', 'matching transformers', 'large number', 'highly branched', 'feeder channels', 'distribution feeders', 'decameter band', 'cable supply', 'broad bandwidth', 'branching points', 'antenna arrays']</t>
  </si>
  <si>
    <t>Antenna arrays, consisting of a large number of radiators, are widely used in the decimeter, meter, and decameter wave bands. The system of distribution feeders of such arrays is highly branched and complex. It contains a large number of branching points and impedance-matching transformers. The SGDRA antennas with cable supply are used for radio broadcasting in the decameter band. The paralleling of several power cables and the transition from these to coaxial wire feeders involve considerable difficulties. The feeder channels of antenna arrays may be simplified considerably if coaxial power dividers (CPD) with a large number of outputs are used in them. Dividers of this type should have reflection coefficients of less than 0.03, have a broad bandwidth, and have high electrical strength.</t>
  </si>
  <si>
    <t>15-17</t>
  </si>
  <si>
    <t>6506477117;7004141244;7006353178</t>
  </si>
  <si>
    <t>Anfilov, Ye A.;Kliger, G. A.;Komissarov, V. I.</t>
  </si>
  <si>
    <t>Anfilov Y.</t>
  </si>
  <si>
    <t>Coaxial power divider</t>
  </si>
  <si>
    <t>2-s2.0-0023440525</t>
  </si>
  <si>
    <t>['wave incident', 'small illumination', 'resonant antennas', 'reentrant resonators', 'paper examines', 'natural oscillations', 'currents flowing', 'closed resonator']</t>
  </si>
  <si>
    <t>If closely spaced slots are cut into the walls of a closed resonator, forming small angles with the currents flowing through the walls in one of its natural oscillations, then a high-Q open resonator is obtained. Such resonators can be used as resonant antennas or as reentrant resonators, transforming the structure and polarization of the wave incident on them. This paper examines the vector problem dealing with the small illumination of the walls of the closed resonator.</t>
  </si>
  <si>
    <t>144-147</t>
  </si>
  <si>
    <t>Katsenelenbau, B. Z.</t>
  </si>
  <si>
    <t>Katsenelenbau B.</t>
  </si>
  <si>
    <t>Open high-Q resonator made by cutting slots in a closed resonator</t>
  </si>
  <si>
    <t>2-s2.0-0023440537</t>
  </si>
  <si>
    <t>['sampling theorem', 'reflected powers', 'polarization angle', 'numerical results']</t>
  </si>
  <si>
    <t>This letter is concerned with the investigation of electromagnetic wave scattering by an infinite patch grating. The analytical method used here is based on the spectral domain method combined with the sampling theorem. Numerical results are given for transmitted and reflected powers when frequency or polarization angle is changed.</t>
  </si>
  <si>
    <t>1035-1037</t>
  </si>
  <si>
    <t>60009108;60009108;60009108</t>
  </si>
  <si>
    <t>7404384791;7402500138;7401741116</t>
  </si>
  <si>
    <t>Uchida, Kazunori;Noda, Takeaki;Matsunaga, Toshiaki</t>
  </si>
  <si>
    <t>Fukuoka Institute of Technology</t>
  </si>
  <si>
    <t>Uchida K.</t>
  </si>
  <si>
    <t>ELECTROMAGNETIC WAVE SCATTERING BY AN INFINITE PATCH GRATING.</t>
  </si>
  <si>
    <t>2-s2.0-0023451198</t>
  </si>
  <si>
    <t>['theoretical results', 'radiating edges', 'making use', 'loaded patch', 'input impedance', 'generalized thevenin', 'galerkin ),']</t>
  </si>
  <si>
    <t>A method is presented to analyze a square microstrip patch antenna loaded with a stub on one of its radiating edges and fed by a probe on its diagonal. Making use of the exact dyadic Green's function. Richmond's reaction integral equation in conjunction with the method of moments (Galerkin), the generalized Thevenin's equivalent network parameters, which enable to find an expression for the input impedance of the loaded patch, are obtained. The theoretical results are compared with the experiment.</t>
  </si>
  <si>
    <t>372-374</t>
  </si>
  <si>
    <t>101387906;101387906</t>
  </si>
  <si>
    <t>55872564400;7102211143</t>
  </si>
  <si>
    <t>Rao, Y. Raja;Deshpande, Manohar D.</t>
  </si>
  <si>
    <t>Green Fields</t>
  </si>
  <si>
    <t>Rao Y.R.</t>
  </si>
  <si>
    <t>ANALYSIS OF STUB-LOADED SQUARE MICROSTRIP ANTENNA FOR CIRCULAR POLARISATION.</t>
  </si>
  <si>
    <t>2-s2.0-0023451971</t>
  </si>
  <si>
    <t>['vehicle fleets', 'speech provided', 'radio network', 'mobile data', 'messages passing', 'existing voice', 'correct techniques', 'control rooms', 'change needs', 'area coverage', 'antennas etc']</t>
  </si>
  <si>
    <t>The advantages of using mobile data rather than speech for messages passing between control rooms and vehicle fleets are considered. It is shown how mobile data can be added to an existing voice-radio network and in most cases no change needs to be made to the radios, channels, modulation, sites, antennas etc. It achieves the same area coverage as speech provided that the correct techniques are used.</t>
  </si>
  <si>
    <t>186-187</t>
  </si>
  <si>
    <t>Ewen-Smith, Bev M.</t>
  </si>
  <si>
    <t>Spectronics Microsystems Ltd</t>
  </si>
  <si>
    <t>Ewen-Smith B.</t>
  </si>
  <si>
    <t>SETTING UP A MOBILE DATA SYSTEM.</t>
  </si>
  <si>
    <t>2-s2.0-0023454881</t>
  </si>
  <si>
    <t>['spatial discrepancy', 'rain observation', 'radar signal', 'radar sensitivity', 'radar calibration', 'paper describes', 'observing volumes', 'configuration allows', 'compression radars', 'compression radar', 'close comparison', 'band fm', 'antenna installed', 'almost equal']</t>
  </si>
  <si>
    <t>A Ku-band FM-CW/Pulse-Compression radar was developed in order to evaluate the performance of FM-CW and Pulse-Compression radars for rain observation and further to utilize this system to the study of microwave remote sensing of rain on a slant-path. With this radar the radar signal can be transmitted from the same antenna installed for propagation data acquisition such as 11. 7-GHz BSE beacon signal and 12. 0-GHz sky noise temperature. This configuration allows the close comparison of radar with the propagation data without errors due to spatial discrepancy between observing volumes. This paper describes the design and characteristics of the radar and method and result of radar calibration. Through the calibration, radar sensitivity was verified to be almost equal to that anticipated from the design.</t>
  </si>
  <si>
    <t>95-113</t>
  </si>
  <si>
    <t>7006711251;55505923400;7003434877;55254133900</t>
  </si>
  <si>
    <t>Kozu, Toshiaki;Nakamura, Kenji;Awaka, Jun;Takeuchi, Makoto</t>
  </si>
  <si>
    <t>Kozu T.</t>
  </si>
  <si>
    <t>DEVELOPMENT OF Ku-BAND FM-CW/PULSE-COMPRESSION RADAR FOR RAIN OBSERVATION ON A SLANT-PATH.</t>
  </si>
  <si>
    <t>2-s2.0-0023455415</t>
  </si>
  <si>
    <t>['turn spacing', 'tapered axial', 'investigated experimentally', 'gain radiation', 'bandwidth characteristics', 'band frequencies', '17 db', '0 ghz']</t>
  </si>
  <si>
    <t>Gain radiation and bandwidth characteristics of tapered axial-mode helix antennas with constant pitch angle, diameter and turn spacing, respectively are investigated experimentally in the 8. 5-11. 0 GHz, X-band frequencies. The characteristics of an improved modified taper structure are discussed which results in relative power gains between 15-17 dB in 8. 5-11. 0 GHz frequencies.</t>
  </si>
  <si>
    <t>106679179;106679179</t>
  </si>
  <si>
    <t>6601988274;6701660519</t>
  </si>
  <si>
    <t>Jamwal, K. K.S.;Vakil, R.</t>
  </si>
  <si>
    <t>Srinagar</t>
  </si>
  <si>
    <t>Kashmir University</t>
  </si>
  <si>
    <t>Jamwal K.</t>
  </si>
  <si>
    <t>GAIN RADIATION CHARACTERISTICS OF TAPERED X-BAND HELICAL ANTENNAS.</t>
  </si>
  <si>
    <t>2-s2.0-0023457309</t>
  </si>
  <si>
    <t>7533-7534</t>
  </si>
  <si>
    <t>Journal of the American Chemical Society</t>
  </si>
  <si>
    <t>60007363;60007363;60007363;60007363</t>
  </si>
  <si>
    <t>57195343267;7004257020;7007113169;35447200300</t>
  </si>
  <si>
    <t>Gingrich, David J.;Nocek, Judith M.;Natan, Michael J.;Hoffman, Brian M.</t>
  </si>
  <si>
    <t>Evanston</t>
  </si>
  <si>
    <t>Northwestern University</t>
  </si>
  <si>
    <t>Gingrich D.</t>
  </si>
  <si>
    <t>Porphyrin Vinyl Groups Act as Antennae for Electron Transfer within [Fe,Zn] Hemoglobin Hybrids</t>
  </si>
  <si>
    <t>10.1021/ja00258a049</t>
  </si>
  <si>
    <t>2-s2.0-0342912539</t>
  </si>
  <si>
    <t>['weakly active', 'unsaturated alcohols', 'synanthedon pictipes', 'robinson )].', 'quite active', 'pure samples', 'ms revealed', 'methyl benzoate', 'largest responses', 'identified components', 'foliar tissue', 'eag responses', 'bark volatiles', 'aromatic alcohols', 'also tested', 'aliphatic aldehydes', 'aliphatic acids']</t>
  </si>
  <si>
    <t>benzaldehyde | electroantennogram | guaiacol | host volatiles | Lepidoptera | methyl benzoate | olfaction | oviposition | phenol | Sesiidae | Synanthedon pictipes</t>
  </si>
  <si>
    <t>Bark volatiles from two peach cultivars (Bisco and Redskin) were obtained by vacuum steam distillation and fractionated by preparative gas chromatography. The fractions were then assayed with the electroantenno- gram (EAG) method on antennae of female lesser peachtree borer [Synanthedon pictipes (Grote and Robinson)]. With both cultivars, two fractions elicited the largest responses. Analysis of this material by GC-MS revealed a complex mixture made up of aromatic alcohols, esters, ketones, and acids, as well as phenols, aliphatic aldehydes, and aliphatic acids. EAG responses to pure samples of all identified components were recorded, and many of these compounds were found to be quite active. Among the most stimulatory were guaiacol, methyl benzoate, and l-phenyl-1,2-propanedione. Also tested were six-carbon aliphatic aldehydes and alcohols which are components of the foliar tissue of most plants. Of these, 1-hexanol showed moderate activity, while the aldehydes and unsaturated alcohols were only weakly active. ¬© 1987 Plenum Publishing Corporation.</t>
  </si>
  <si>
    <t>2103-2114</t>
  </si>
  <si>
    <t>60027678;60027678;60027678</t>
  </si>
  <si>
    <t>7403570591;6603514449;7402980025</t>
  </si>
  <si>
    <t>Andersen, J. F.;Mikolajczak, K. L.;Reed, D. K.</t>
  </si>
  <si>
    <t>Peoria</t>
  </si>
  <si>
    <t>USDA ARS National Center for Agricultural Utilization Research</t>
  </si>
  <si>
    <t>Andersen J.</t>
  </si>
  <si>
    <t>Analysis of peach bark volatiles and their electroantennogram activity with lesser peachtree borer, Synanthedon pictipes (Grote and Robinson)</t>
  </si>
  <si>
    <t>10.1007/BF01012874</t>
  </si>
  <si>
    <t>2-s2.0-26944493741</t>
  </si>
  <si>
    <t>['¬© 1987', 'various fractions', 'unilamellar vesicles', 'suppressed depending', 'strong decrease', 'spectroscopic alteration', 'soybean phospholipids', 'reaction center', 'polypeptide composition', 'patches surrounded', 'massive incorporation', 'lower decrease', 'lateral density', 'induced bandshifts', 'impaired capacity', 'gradually disappeared', 'fusogen phospholipid', 'fusion resulted', 'fractions together', 'equilibrium centrifugation', 'diphosphatidylglycerol enrichment', 'diameters larger', 'could result', 'chromatophore pattern', 'b875 chromophore', 'antenna bacteriochlorophyll', 'acidic ph', '850 antenna']</t>
  </si>
  <si>
    <t>Chromatophore | Freeze-fracture electron microscopy | Fusion | Liposome | Membrane | Phospholipid</t>
  </si>
  <si>
    <t>Wild-type Rhodobacter sphaeroides chromatophores were fused at acidic pH, or by freezing and thawing, with liposomes of soybean phospholipids, phosphatidylserine, phosphatidylglycerol or diphosphatidylglycerol. Equilibrium centrifugation after fusion yielded several fractions. Freeze-fracture electron microscopy showed that fusion resulted in the formation of unilamellar vesicles of diameters larger than that of chromatophores. The lateral density of the intramembrane particles decreased; the asymmetry between the two fracture faces was lost after fusion with soybean phospholipids or phosphatidylserine or phosphatidylglycerol, but gradually disappeared in parallel with diphosphatidylglycerol enrichment. After fusion with phosphatidylserine, when the fractions were frozen from below the lipid transition temperature intramembrane particles aggregated into patches surrounded by smooth lipid zones. A massive incorporation of the fusogen phospholipid was observed in the fractions together with a strong decrease of phosphatidylglycerol and a lower decrease of phosphatidylcholine and aminolipid. The 800 nm absorption band of the B800-850 antenna complex was reduced or suppressed depending on the nature of the lipids while the spectroscopic alteration of B875 chromophore was weaker. The light-induced bandshifts of carotenoid and antenna bacteriochlorophyll were also much weaker or absent; this could result from a desorganization of the B800-850 antenna, or from an impaired capacity to sustain a photoinduced membrane potential. The reaction center was not affected by the fusion, and the polypeptide composition of the various fractions did not show qualitative differences from the chromatophore pattern. Spheroplasts did not show the same capacity of fusion as chromatophores. ¬© 1987.</t>
  </si>
  <si>
    <t>290-300</t>
  </si>
  <si>
    <t>BBA - Biomembranes</t>
  </si>
  <si>
    <t>105897074;60008134;60072948;60008134</t>
  </si>
  <si>
    <t>7005269601;24404097900;7005514401;56616617400</t>
  </si>
  <si>
    <t>Rivas, E.;Costa, B.;Gulik-Krzywicki, T.;Reiss-Husson, F.</t>
  </si>
  <si>
    <t>France;France;Argentina</t>
  </si>
  <si>
    <t>Gif-sur-Yvette;Paris;La Plata</t>
  </si>
  <si>
    <t>Centre de G√©n√©tique Mol√©culaire;CNRS Centre National de la Recherche Scientifique;INIOBIOLP</t>
  </si>
  <si>
    <t>60072948;60008134;105897074</t>
  </si>
  <si>
    <t>Rivas E.</t>
  </si>
  <si>
    <t>Phospholipid and pigment alterations after fusion between Rhodobacter sphaeroides chromatophores and acidic liposomes</t>
  </si>
  <si>
    <t>10.1016/0005-2736(87)90378-6</t>
  </si>
  <si>
    <t>2-s2.0-4243433175</t>
  </si>
  <si>
    <t>['¬© 1987', 'upon excitation', 'two bchl', 'transfer steps', 'sphaeroides seems', 'spectral inhomogeneity', 'slower quenching', 'scale comparable', 'rhodospirillum rubrum', 'rhodobacter sphaeroides', 'red wing', 'marked increase', 'isotropic decay', 'induced anisotropy', 'energy pigment', 'efficient transfer', 'detailed picture', 'corresponding part', 'clear evidence', 'bchl antenna', 'bchl 896', 'bchl 880', 'bchl 875', 'bchl 850', 'bchl 800', 'bacteriochlorophyll antenna', 'b896 pigment', 'also obtained']</t>
  </si>
  <si>
    <t>(R. rubrum) | (Rb. sphaeroides) | Bacterial photosynthesis | Bacteriochlorophyll | Energy transfer | Photosynthesis</t>
  </si>
  <si>
    <t>The dynamics of energy transfer within the bacteriochlorophyll antenna of Rhodobacter sphaeroides and Rhodospirillum rubrum, with closed reaction centers, has been studied at 77 K using low-intensity infrared picosecond absorption recovery. Measurements of isotropic decay as well as decay of induced anisotropy yielded a detailed picture of the energy transfer pathways in the two antenna systems. The BChl antenna of Rb. sphaeroides seems to consist of at least four different BChl a species: BChl 800, BChl 850, BChl 875, and BChl 896. Upon excitation of the highest-energy pigment, a transfer sequence towards lower energy is initiated. The transfer steps between the different pigment pools are characterized by the following time constants: BChl 800 ‚Üí BChl 850, t{cyrillic} = 2 ¬± 1 ps; BChl 850 ‚Üí BChl 875, t{cyrillic} = 40 ¬± 5 ps; BChl 875 ‚Üí BChl 896, t{cyrillic} = 20 ¬± 5 ps. Once the excitations are localized on B896 a slower quenching, t{cyrillic} = 190 ¬± 10 ps, by closed reaction centers (P+) occurs. From measurements of decay of induced anisotropy it is further concluded that efficient transfer between BChl 800 molecules takes place on a time-scale comparable to the BChl 800 ‚Üí BChl 850 transfer. A marked increase in anisotropy in the red wing of the absorption spectrum offers a clear evidence of the presence of the long-wavelength antenna component B896. The BChl antenna of R. rubrum is composed of two BChl a species, BChl 880, and BChl 896, and the energy transfer kinetics are observed to be very similar to the corresponding part of Rb. sphaeroides. Some evidence of further spectral inhomogeneity (apart from B896) or spectral shifts induced by excitation of the B880 antenna pigment was also obtained. Several possible models are discussed for the origin and organization of the B896 pigment. ¬© 1987.</t>
  </si>
  <si>
    <t>313-326</t>
  </si>
  <si>
    <t>60008734;60031040;60031040;60031040</t>
  </si>
  <si>
    <t>35599806700;24371778100;7006706612;7004029175</t>
  </si>
  <si>
    <t>van Grondelle, R.;Bergstr√∂m, H.;Sundstr√∂m, V.;Gillbro, T.</t>
  </si>
  <si>
    <t>Sweden;Netherlands</t>
  </si>
  <si>
    <t>Umea;Amsterdam</t>
  </si>
  <si>
    <t>Ume√• Universitet;Vrije Universiteit Amsterdam</t>
  </si>
  <si>
    <t>60031040;60008734</t>
  </si>
  <si>
    <t>van Grondelle R.</t>
  </si>
  <si>
    <t>Energy transfer within the bacteriochlorophyll antenna of purple bacteria at 77 K, studied by picosecond absorption recovery</t>
  </si>
  <si>
    <t>10.1016/0005-2728(87)90201-5</t>
  </si>
  <si>
    <t>2-s2.0-0012047352</t>
  </si>
  <si>
    <t>['thus work', 'relative bandwidth', 'range attenuation', 'radar signal', 'low frequency', 'inverse method', 'fully compensated', 'emitted radiation', 'correlation integrals']</t>
  </si>
  <si>
    <t>An inverse method for the processing of synthetic aperture radar signals is presented. The method is independent of the relative bandwidth of the radar signal and should thus work when, for instance, the frequency of the emitted radiation is of the same order as the bandwidth, i.e. in low frequency, high resolution applications. It is shown that the obtained relations reduce to the correlation integrals of conventional SAR image processing in the case that the relative bandwidth of the signal is small. Range attenuation and antenna illumination effects may be fully compensated for.</t>
  </si>
  <si>
    <t>Inverse Problem</t>
  </si>
  <si>
    <t>60003554;</t>
  </si>
  <si>
    <t>6701743661;57208047227</t>
  </si>
  <si>
    <t>Hellsten, H.;Andersson, L. E.</t>
  </si>
  <si>
    <t>Totalforsvarets forskningsinstitut</t>
  </si>
  <si>
    <t>Hellsten H.</t>
  </si>
  <si>
    <t>An inverse method for the processing of synthetic aperture radar data</t>
  </si>
  <si>
    <t>10.1088/0266-5611/3/1/013</t>
  </si>
  <si>
    <t>2-s2.0-0000436489</t>
  </si>
  <si>
    <t>['two examples', 'results suggest', 'provide insights', 'observational data', 'much slower', 'morphological features', 'molecules form', 'mathematical models', 'insect appendages', 'greatest effect', 'functional morphology', 'fluid movement', 'fluid motion', 'finite width', 'finest hairs', 'filters depends', 'fibrous structures', 'female moths', 'cephalic fans', 'catch sex', 'biological filters', 'authors address', 'ambient currents', 'air around']</t>
  </si>
  <si>
    <t>Black fly | Filter feeding | Flow | Low Reynolds number | Moth | Pheromone | Porous plate</t>
  </si>
  <si>
    <t>Many organisms use structures composed of arrays of cylinders to capture particulate food or molecules form the water or air around them. The performance of such filters depends on the velocity of fluid movement through them; hence, mathematical models of flow through fibrous structures can provide insights about the functional morphology of biological filters. In this paper, the authors address the case of feather-like biological filters of finite width and assess several possible models for fluid motion through them by comparing model predictions with observational data. Two examples of insect appendages are considered: the cephalic fans of black fly aquatic larvae that capture particulate food and the antennae of adult male moths that catch sex-attractant molecules released by female moths. The results suggest that flow through such structures can be much slower than ambient currents, that the finest hairs in the structure are the morphological features with the greatest effect on leakiness, and that the velocity of movement (or of ambient flow), as well as the morphology of such filters, can be critical in determining their performance. ¬© 1987 Oxford University Press.</t>
  </si>
  <si>
    <t>185-199</t>
  </si>
  <si>
    <t>Mathematical Medicine and Biology</t>
  </si>
  <si>
    <t>60014439-60025038;60014439-60025038</t>
  </si>
  <si>
    <t>6603693264;7005360614</t>
  </si>
  <si>
    <t>Cheer, A. Y.L.;Koehl, M. A.R.</t>
  </si>
  <si>
    <t>Berkeley;Davis</t>
  </si>
  <si>
    <t>University of California, Berkeley;University of California, Davis</t>
  </si>
  <si>
    <t>60025038;60014439</t>
  </si>
  <si>
    <t>Cheer A.</t>
  </si>
  <si>
    <t>Fluid flow through filtering appendages of insects</t>
  </si>
  <si>
    <t>10.1093/imammb/4.3.185</t>
  </si>
  <si>
    <t>2-s2.0-0000934816</t>
  </si>
  <si>
    <t>['¬© 1987', 'results indicated', 'respective ps', 'ps ii', 'previous observation', 'plant physiologists', 'observed changes', 'molar ratio', 'jspp ).', 'japanese society', 'ii complexes', 'findings agree', 'fairly constant', 'f complexes', 'f complex', 'electron influx', 'different ps', 'cyt b6', 'autotrophic cells']</t>
  </si>
  <si>
    <t>Composition regulation | Cyanobacterium | Electron transport | Photosynthesis | Synechocystis PCC 6714 | Thylakoid component.</t>
  </si>
  <si>
    <t>This study was done to confirm our previous observation with the pattern of changes in electron transport composition induced by an imbalance of the electron transport state. Contents of photosystem (PS) I and II complexes and their antennae and Cyt b6/f complex were determined for systems of cyanobacterium Synechocystis PCC 6714 of different PS I/PS II ratios. The results indicated that (1) the observed changes in the PS I/PS II ratio are not-due to regulation of the activities of the respective PS's but to changes in their contents, (2) the molar ratio between PS II and Cyt b6/f complexes was fairly constant when marked changes occurred in the PS I content, and (3) the PS II and Cyt b6/f contents per cell remained fairly constant while the PS I content changed markedly. These findings agree with our previous observation with autotrophic cells of Anacystis nidulans Tx 20 and support our argument that in cyanobacterial and red algal electron transport systems, the content of the terminalcomponent(s), such as PS I complex, is regulated in order to maintain a balance between the electron influx by PS II action to the system and the efflux by PS I action from it. ¬© 1987 The Japanese Society of Plant Physiologists (JSPP).</t>
  </si>
  <si>
    <t>1547-1553</t>
  </si>
  <si>
    <t>60028586;60028586</t>
  </si>
  <si>
    <t>35462746400;7202094233</t>
  </si>
  <si>
    <t>Fujita, Yoshihiko;Murakami, Akio</t>
  </si>
  <si>
    <t>Fujita Y.</t>
  </si>
  <si>
    <t>Regulation of electron transport composition in cyanobacterial photosynthetic system: Stoichiometry among photosystem I and II complexes and their light-harvesting antennae and cytochrome b&lt;inf&gt;6&lt;/inf&gt;/fcomplex</t>
  </si>
  <si>
    <t>2-s2.0-0001587223</t>
  </si>
  <si>
    <t>['wave component', 'sapphire substrates', 'picosecond photoconductivity', 'field response', 'exciting pulse', 'antenna structure', 'also predicted']</t>
  </si>
  <si>
    <t>Broadband tapered slot antennas monolithically integrated on ion damaged silicon-on-sapphire substrates are driven by picosecond photoconductivity to generate and detect millimeter waves. The time-dependent electromagnetic impulse response of these transceivers is modeled by relating the antenna structure and the shape of the exciting pulse. The far-field response is observed to consist of a traveling-wave component and a standing-wave component, which is also predicted by the model.</t>
  </si>
  <si>
    <t>1155-1157</t>
  </si>
  <si>
    <t>Applied Physics Letters</t>
  </si>
  <si>
    <t>60014313;60014313;60014313</t>
  </si>
  <si>
    <t>56979508400;6506663351;57196953356</t>
  </si>
  <si>
    <t>Defonzo, Alfred P.;Jarwala, Madhuri;Lutz, Charles</t>
  </si>
  <si>
    <t>Defonzo A.P.</t>
  </si>
  <si>
    <t>Transient response of planar integrated optoelectronic antennas</t>
  </si>
  <si>
    <t>10.1063/1.97947</t>
  </si>
  <si>
    <t>2-s2.0-0004659741</t>
  </si>
  <si>
    <t>['without teeth', 'usually form', 'usually deeper', 'two species', 'two rows', 'toothed edge', 'thus forming', 'teleutomyrmex schneideri', 'teeth seem', 'strongly parasitic', 'spur bears', 'smooth rim', 'slender strip', 'shaped hairs', 'several species', 'several ponerinae', 'serrated rim', 'remarkably similar', 'presumably openings', 'partly symplesiomorphic', 'partly due', 'myrmosa females', 'investigated tiphiidae', 'female myzinum', 'excretory gland', 'except myrmosa', 'dorsal comb', 'described comparatively', 'common type', 'comb except', 'clear apex', 'characters may', 'basitarsus bears', 'anterior side', 'antenna cleaners', 'aculeate hymenoptera', '9 species', '30 species', '14 species']</t>
  </si>
  <si>
    <t>The morphology of the tibio-tarsal antenna cleaner (strigilis) of 30 species of Formicidae, 14 species of Mutillidae and 9 species of Tiphiidae was investigated and is described comparatively. In Formicidae, there is a common type of strigilis. The spur has a posterior-dorsal comb and its anterior side is covered with squamae, which usually form a brush. Posteriorly, the basitarsal notch bears a comb and anteriorly specialized paddle-shaped hairs. These characters may be apomorphic for Formicidae. In several Ponerinae and in Myrmecia there is also a velum on the spur. In two species of ants which are strongly parasitic (Teleutomyrmex schneideri and Anergates atratulus ‚ôÇ) there are reduced antenna cleaners. Mutillidae (except Myrmosa) have another common type of strigilis: the spur bears a velum with a smooth rim and a clear apex with two rows of teeth. The notch in the basitarsus is usually deeper than that of ants; there is a comb, but no paddle-shaped hairs. The strigilis of Myrmosa females has no velum but there are two prominent rows of teeth on the spur. In the male, the velum is reduced to a slender strip. In Tiphiidae the antenna cleaners show considerable diversity. In Methocha the spur bears a comb but no velum; the spur of Tiphia has a velum with a serrated rim; the spur of Myzinum is equipped with a velum with a smooth rim; in Thynnus the surface of the velum is wrinkled or undulating. An apex (without teeth) is present in all investigated Tiphiidae. The notch of the basitarsus bears a comb except in female Myzinum, where the teeth seem to have fused, thus forming a rim. It is suggested that a velum with a serrated or toothed edge and an apex with two rows of teeth are plesiomorphic for aculeate Hymenoptera. The antenna cleaners in Mutillidae are remarkably similar to those in some bees. This fact is interpreted as partly due to convergence and as partly symplesiomorphic. In several species of ants, there is a specialized cuticular area ("bande poreuse") anterior to the comb of the notch, which is characterized by fissures or holes. These are presumably openings of an excretory gland. ¬© 1987 Springer-Verlag.</t>
  </si>
  <si>
    <t>273-285</t>
  </si>
  <si>
    <t>60028717;60028717</t>
  </si>
  <si>
    <t>6508341238;16458951400</t>
  </si>
  <si>
    <t>Sch√∂nitzer, Klaus;Lawitzky, Gerwig</t>
  </si>
  <si>
    <t>Sch√∂nitzer K.</t>
  </si>
  <si>
    <t>A phylogenetic study of the antenna cleaner in Formicidae, Mutillidae, and Tiphiidae (Insecta, Hymenoptera)</t>
  </si>
  <si>
    <t>10.1007/BF00312173</t>
  </si>
  <si>
    <t>2-s2.0-0009304745</t>
  </si>
  <si>
    <t>['wide variety', 'tritium ratio', 'tokamak plasma', 'simple method', 'sawtooth activity', 'profile changes', 'power level', 'modes depend', 'mhd theory', 'impurity puffing', 'global eigenmodes', 'effective mass', 'current profile', 'boundary layer', 'applications investigated', 'adequately estimated']</t>
  </si>
  <si>
    <t>The spectrum of global eigenmodes of the Alfven wave omega &lt; omega ci offers the possibility of a very simple method for diagnosing the centre of a Tokamak plasma. The frequencies of these modes depend on the central mass density and the current profile, and can be adequately estimated by MHD theory in cylindrical geometry including ion cyclotron effects. A simple unshielded bar antenna has been used to launch the waves at a power level of a few watts, detected by magnetic field probes in the boundary layer. Applications investigated on the TCA and PETULA Tokamaks include estimates of the core current density over a wide variety of discharges, measurements of changes of the effective mass during impurity puffing and the observation of profile changes during sawtooth activity. A method for the measurement of the deuterium-tritium ratio in a Tokamak is proposed.</t>
  </si>
  <si>
    <t>323-339</t>
  </si>
  <si>
    <t>Plasma Physics and Controlled Fusion</t>
  </si>
  <si>
    <t>60028186;60028186;60028186;60028186</t>
  </si>
  <si>
    <t>57216266897;6603995456;7201547237;6603601663</t>
  </si>
  <si>
    <t>Collins, G. A.;Howling, A. A.;Lister, J. B.;Marmillod, P.</t>
  </si>
  <si>
    <t>Collins G.A.</t>
  </si>
  <si>
    <t>Central mass and current density measurements in Tokamaks using the discrete Alfven wave spectrum</t>
  </si>
  <si>
    <t>10.1088/0741-3335/29/3/004</t>
  </si>
  <si>
    <t>2-s2.0-0012612389</t>
  </si>
  <si>
    <t>['well established', 'vhf frequencies', 'two arms', 'results obtained', 'relative phase', 'recently demonstrated', 'radio signals', 'prototype instrument', 'optical interferometer', 'optic direction', 'kosters double', 'image prisms', 'brief description', 'bragg cells', 'arrival interferometer', '55 mhz']</t>
  </si>
  <si>
    <t>The use of Bragg cells for radio-frequency spectrum analysis is now well established and an extension of the technology into direction of arrival measurements using an optical interferometer was recently demonstrated. In an acousto-optic direction of arrival interferometer the signals from a pair of radio antennas spaced less than a quarter of the radio wavelength apart are amplified and fed to a pair of Bragg cells mounted in the two arms of an optical interferometer. The relative phase of the radio signals is transferred to the diffracted beams produced by the Bragg cells and when the beams are recombined the intensity modulation produced can be used to measure the relative phase of the radio signals. A prototype instrument to determine the feasibility of the system is now being built and a new interferometer using a pair of Kosters double-image prisms has been designed that has inherent stability due to its symmetrical optical system. The design of the interferometer is discussed, a brief description is given of the electronic control systems required to maintain the accuracy of measurement, and some results obtained with the equipment at VHF frequencies from 30 to 55 MHz are presented.</t>
  </si>
  <si>
    <t>164-169</t>
  </si>
  <si>
    <t>Brown, M. S.</t>
  </si>
  <si>
    <t>Brown M.</t>
  </si>
  <si>
    <t>A Kosters prism acousto-optic interferometer for radio-frequency direction of arrival measurements</t>
  </si>
  <si>
    <t>10.1088/0022-3735/20/2/008</t>
  </si>
  <si>
    <t>2-s2.0-0023288309</t>
  </si>
  <si>
    <t>['soviet union', 'satellite communications', 'radio telescopes', 'quantum electronics', 'associated fields']</t>
  </si>
  <si>
    <t>R&amp;D activities of electronics and associated fields in the Soviet Union are reviewed. Topics considered include: radio, television, satellite communications, radar, interferometry, radio telescopes, antennas, computers, microprocessors, supercomputers, quantum electronics, lasers, photoelectronics, and holography.</t>
  </si>
  <si>
    <t>Radioelectronics and Communications Systems (English translation of Izvestiya Vysshikh Uchebnykh Zavedenii Radioelektronika)</t>
  </si>
  <si>
    <t>Chestakhovskii, V. P.</t>
  </si>
  <si>
    <t>Chestakhovskii V.</t>
  </si>
  <si>
    <t>Radioelectronics: An overview</t>
  </si>
  <si>
    <t>2-s2.0-0023457927</t>
  </si>
  <si>
    <t>['unbalanced dipole', 'technique based', 'present study', 'numerical calculation', 'input impedance', 'frequency band']</t>
  </si>
  <si>
    <t>The purpose of the present study is to describe a procedure and some results of a numerical calculation of the input impedance over a frequency band for a thin, unbalanced dipole. A technique based on a space-time integral equation is described.</t>
  </si>
  <si>
    <t>116-117</t>
  </si>
  <si>
    <t>7003716747;6701437189</t>
  </si>
  <si>
    <t>Yegorov, A. N.;Ryabtsev, V. Ye</t>
  </si>
  <si>
    <t>Yegorov A.</t>
  </si>
  <si>
    <t>Electrodynamic calculation of the input impedance of a thin unbalanced dipole</t>
  </si>
  <si>
    <t>2-s2.0-0023458093</t>
  </si>
  <si>
    <t>['toeplitz structure', 'structural properties', 'signal processing', 'particular toeplitz', 'make use', 'major advances', 'free operation', 'final probability', 'equal spacing', 'elements leads', 'digital methods', 'correlation matrix', 'computational procedures', 'achieved recently']</t>
  </si>
  <si>
    <t>Major advances in digital methods of signal processing in equidistant antenna arrays have been achieved recently through the use of computational procedures that make use of the structural properties, in particular Toeplitz, of spatial correlation matrices. However, the final probability of failure-free operation of the elements of present-day antenna arrays forces one to consider the possibility of their failure in the course of operation. A breakdown in the equal spacing of a phased antenna array (PAA) because of the failure of elements leads to a defect in the Toeplitz structure of the correlation matrix and, as a consequence, to a loss of effectiveness of Toeplitz tuning algorithms.</t>
  </si>
  <si>
    <t>123-124</t>
  </si>
  <si>
    <t>Effect of failures of antenna elements on the effectiveness of `Toeplitz' tuning methods</t>
  </si>
  <si>
    <t>2-s2.0-0023458150</t>
  </si>
  <si>
    <t>['systems consisting', 'new approach', 'microwave engineering', 'dielectric layer']</t>
  </si>
  <si>
    <t>Systems consisting of a dielectric layer and gratings are used in antenna and other areas of microwave engineering. Such a system has been investigated before for the case when the grating is formed by ideal conducting cylinders. In this paper a new approach is proposed, and the problem is algorithmized for the case of dielectric grating cylinders.</t>
  </si>
  <si>
    <t>143-145</t>
  </si>
  <si>
    <t>7003720251;6503929128;6505564488;6507100164</t>
  </si>
  <si>
    <t>Bogdanov, F. G.;Kevanishvili, R. G.;Kekeliya, G. V.;Medzmariashvili, E. V.</t>
  </si>
  <si>
    <t>Bogdanov F.</t>
  </si>
  <si>
    <t>Diffraction of a plane wave by a system comprising a dielectric layer and a grating</t>
  </si>
  <si>
    <t>2-s2.0-0023458347</t>
  </si>
  <si>
    <t>['wave law', 'substrate materials', 'ring current', 'radiation characteristics', 'paper reports', 'optimum manner', 'microstrip devices', 'lower surface', 'gain coefficient', 'etc .)', 'emitting ring', 'emitted power', 'directivity pattern', 'dielectric layer', 'dielectric constant', 'current flows', 'basic characteristics']</t>
  </si>
  <si>
    <t>This paper reports on the results of a calculation of the radiation characteristics for the field, excited by a ring current that varies in accordance with the traveling-wave law. The current flows in a medium with a dielectric layer, the lower surface of which is plated with a metal. The structure being considered is typical of microstrip devices; in particular the ring current in a medium with a dielectric is close to the model of a ring microstrip antenna. An investigation of the basic characteristics of the radiation (the shape of the directivity pattern, the gain coefficient, the emitted power, etc.) as a function of the dielectric constant and thickness of the substrate and the depth to which the emitting ring is immersed in the dielectric layer makes it possible to choose in an optimum manner the geometry of the structure and the substrate materials for building microstrip emitters.</t>
  </si>
  <si>
    <t>112-114</t>
  </si>
  <si>
    <t>Novikov, Yu N.</t>
  </si>
  <si>
    <t>Novikov Y.</t>
  </si>
  <si>
    <t>Characteristics of ring-current emission in a medium with a dielectric layer</t>
  </si>
  <si>
    <t>2-s2.0-0023458472</t>
  </si>
  <si>
    <t>['wide wall', 'waveguide arrays', 'third harmonics', 'rough method', 'rectangular waveguide', 'radiation pattern', 'radiation characteristics', 'longitudinal slots', 'linear slotted', 'fundamental frequency', 'equivalent conductances', 'commonly used']</t>
  </si>
  <si>
    <t>The purpose of this study is to propose a rough method of calculating the gain and the radiation pattern at the harmonics of slotted-waveguide arrays with longitudinal slots in the wide wall that are commonly used in practice. Expressions are derived for the internal, external and equivalent conductances of longitudinal slots in the wide wall of a rectangular waveguide at harmonics of the fundamental frequency; the radiation characteristics of a linear slotted-waveguide array operating at harmonics are calculated and the behavior of these characteristics at the second and third harmonics is investigated.</t>
  </si>
  <si>
    <t>6506058999;6603244472;6602607987</t>
  </si>
  <si>
    <t>Yershov, L. I.;Kremenetskiy, S. D.;Los', V. F.</t>
  </si>
  <si>
    <t>Yershov L.</t>
  </si>
  <si>
    <t>Parameters of slotted-waveguide arrays operating at harmonics of the fundamental frequency</t>
  </si>
  <si>
    <t>2-s2.0-0023458634</t>
  </si>
  <si>
    <t>['transverse slots', 'transverse single', 'transfer admittances', 'susceptance components', 'sided slots', 'metal wedge', 'cylindrical attachment', 'analytic expressions']</t>
  </si>
  <si>
    <t>The purpose of this paper is to determine the external transfer admittances of slotted antennas mounted on the cylindrical attachment of a metal wedge. Analytic expressions are derived for determining the transfer admittances of transverse single-sided slots in the cylindrical attachment to a metal wedge; results are given of the calculation of the conductance and susceptance components of the transfer admittances of the transverse slots.</t>
  </si>
  <si>
    <t>118-121</t>
  </si>
  <si>
    <t>7102485268;6503983396;6603273479</t>
  </si>
  <si>
    <t>Kravtsov, V. A.;Pasyutina, L. B.;Ulasik, O. L.</t>
  </si>
  <si>
    <t>Transfer admittances of transverse slots in a cylindrical attachment of a metal wedge</t>
  </si>
  <si>
    <t>2-s2.0-0023458957</t>
  </si>
  <si>
    <t>['time structure', 'time signals', 'time modulation', 'proposed model', 'obtain relationships', 'laws governing', 'elementary examples']</t>
  </si>
  <si>
    <t>A proposed model for a transmitting active antenna array (AAA) is used to obtain relationships that describe the space-frequency-time structure of the far-zone radiation field as a function of the type of exciting radar signal and the laws governing its amplitude and time modulation. Elementary examples are used to demonstrate the possibility of space-time modulation based on control of the shape of space-time signals.</t>
  </si>
  <si>
    <t>Lebedev, A. N.</t>
  </si>
  <si>
    <t>Lebedev A.</t>
  </si>
  <si>
    <t>Controlling radiation space characteristics of a radar system with antenna arrays</t>
  </si>
  <si>
    <t>2-s2.0-0023459012</t>
  </si>
  <si>
    <t>['well developed', 'synthesizing conformal', 'structural features', 'spherical surface', 'scanning sector', 'plane paas', 'planar arrays', 'paa ).', 'one approach', 'large number', 'emitters along', 'dp ).', 'annular arrangement', 'additional possibilities']</t>
  </si>
  <si>
    <t>Recently, a large number of papers have been devoted to questions of analyzing and synthesizing conformal (or convex) phased antenna arrays (PAA). The structural features of convex PAAs give rise to additional possibilities, compared with line and planar arrays, with regard to expanding the scanning sector and shaping multibeam directivity patterns (DP). Methods for the analysis and systhesis of line and plane PAAs, which have now been well developed, are not applicable in this case. One approach to solving the problem of synthesizing a spherical antenna array with an annular arrangement of emitters along the parallels of a spherical surface is considered in this paper.</t>
  </si>
  <si>
    <t>115-117</t>
  </si>
  <si>
    <t>6506923861;55973232200</t>
  </si>
  <si>
    <t>Martynyak, M. M.;Savenko, P. A.</t>
  </si>
  <si>
    <t>Martynyak M.</t>
  </si>
  <si>
    <t>Numerical solution of the problem of synthesizing a spherical antenna array</t>
  </si>
  <si>
    <t>2-s2.0-0023459023</t>
  </si>
  <si>
    <t>['sommerfeld integration', 'situated partly', 'several applications', 'publications present', 'planar interfaces', 'papers present', 'microstrip structures', 'mathematical formulation', 'input impedance', 'human skin', 'horn antenna', 'ground surface', 'field radiation', 'complex space', 'biological media', 'basic principle', 'basic idea', 'antennas near']</t>
  </si>
  <si>
    <t>The paper summarizes ten publications constituting the thesis for the degree of Doctor of Technology. The publications present the basic idea and mathematical formulation of the exact image principle for electromagnetic field calculation and several applications of the principle. The principle can be applied in problems with planar interfaces, such as antennas near the ground surface, microstrip structures, field radiation through the interface, or radiation in biological media. The exact field solutions are presented using continuous image current distributions which are situated partly in complex space. Three of the papers present the basic principle with a comparison to Sommerfeld integration. The remaining seven papers present applications of the method: the effect of the ground on the input impedance of short vertical dipoles, power line field calculation, radiation of a horn antenna in contact with the human skin, and microstrip field calculation.</t>
  </si>
  <si>
    <t>Acta Polytechnica Scandinavica, Electrical Engineering Series</t>
  </si>
  <si>
    <t>Alanen, Esko</t>
  </si>
  <si>
    <t>Alanen E.</t>
  </si>
  <si>
    <t>EXACT IMAGE PRINCIPLE IN ELECTROMAGNETIC FIELD COMPUTATION.</t>
  </si>
  <si>
    <t>2-s2.0-0023469672</t>
  </si>
  <si>
    <t>['various cases', 'user accuracy', 'two parameters', 'shipborne applications', 'satellite constellation', 'reliability enhancements', 'positioning accuracy', 'major concern', 'imaging effects', 'gps measurements', 'gps limitations', 'error sources', 'antenna requirements', 'antenna characteristics']</t>
  </si>
  <si>
    <t>Positioning accuracy and reliability are two parameters of major concern to GPS marine users. GPS limitations and error sources are analyzed from a user's point of view. The coverage limitations inherent to the (18 + 3) satellite constellation are discussed and related outages inherent to specific geographical areas are described. Receiver and antenna characteristics are described in relation to their effect on positioning accuracy and reliability. Antenna requirements for shipborne applications are discussed. The effect of the troposphere and ionosphere on GPS measurements is quantified for various cases. Multipath and imaging effects on both P and C/A code and carrier phase measurements are discussed. A variety of user accuracy and reliability enhancements are described. -from Authors</t>
  </si>
  <si>
    <t>143-172</t>
  </si>
  <si>
    <t>Canadian Surveyor</t>
  </si>
  <si>
    <t>;;;;;</t>
  </si>
  <si>
    <t>7005283542;7201892217;57215735899;6701620368;7004680083;7202883312</t>
  </si>
  <si>
    <t>Lachapelle, G.;Casey, M.;Eaton, R. M.;Kleusberg, A.;Tranquilla, J.;Wells, D.</t>
  </si>
  <si>
    <t>Lachapelle G.</t>
  </si>
  <si>
    <t>GPS marine kinematic positioning accuracy and reliability.</t>
  </si>
  <si>
    <t>2-s2.0-0023524792</t>
  </si>
  <si>
    <t>['statistical techniques', 'shall consider', 'several sources', 'proposed algorithms', 'numerous studies', 'multidimensional estimation', 'likelihood method', 'effective algorithm', 'deterministic method', 'combined measurement', 'angular coordinates', 'algebraic properties']</t>
  </si>
  <si>
    <t>The problem of synthesizing an effective algorithm for combined measurement of the angular coordinates of several sources of radiation with utilization of adaptive antenna arraus has been the subject of numerous studies in which the problem has been solved by a deterministic method, by analysis of the algebraic properties of the space correlation matrix, by statistical techniques, etc. The proposed algorithms are usually quite complicated owing either to the extremely massive examination of permissible solution variants or to the cumbersome matrix calculations. Here we shall consider an algorithm for multidimensional estimation of angular coordinates that realizes a multichannel (in accordance with the number of sources whose directions are being sought) iterative measurement procedure using the maximum-likelihood method; it has a comparatively uncomplicated technical realization.</t>
  </si>
  <si>
    <t>72-74</t>
  </si>
  <si>
    <t>Dorosinskii, L. G.</t>
  </si>
  <si>
    <t>Dorosinskii L.</t>
  </si>
  <si>
    <t>COMBINED MEASUREMENT OF THE ANGULAR COORDINATES OF SEVERAL SIGNAL SOURCES.</t>
  </si>
  <si>
    <t>2-s2.0-0023532067</t>
  </si>
  <si>
    <t>['underlying surface', 'time functions', 'small angles', 'signal radiated', 'receiving system', 'radar signal', 'phase modulation', 'noise caused', 'minor constraints', 'geometric characteristics', 'correlation function', 'closed form', 'analytic treatment']</t>
  </si>
  <si>
    <t>The space-time correlation function is obtained for noise caused by reflection of a radar signal from the underlying surface at small angles of elevation. An expression is obtained for this function in closed form with minor constraints as a result of an analytic treatment. Allowance is made for the parameters of the underlying surface, the geometric characteristics of the receiving system, the width of the illumination radiation pattern, and the amplitude-phase modulation of the signal radiated. It is shown that the correlation function is separated (factored) into space and time functions.</t>
  </si>
  <si>
    <t>7004339217;6504193094;6508306805</t>
  </si>
  <si>
    <t>Zinov'ev, A. L.;Mikolenko, D. A.;Uglov, O. D.</t>
  </si>
  <si>
    <t>Zinov'ev A.</t>
  </si>
  <si>
    <t>SPACE-TIME CORRELATION FUNCTION OF INTERFERING REFLECTIONS OF A RADAR SIGNAL.</t>
  </si>
  <si>
    <t>2-s2.0-0023533227</t>
  </si>
  <si>
    <t>['mutual position', 'mutual admittance', 'investigated numerically', 'interacting waveguides', 'integral equation', 'higher modes', 'higher harmonics', 'geometrical dimensions']</t>
  </si>
  <si>
    <t>The integral equation for the mutual admittance between the harmonics of the expansion of the field in the apertures of interacting waveguides is analyzed, and the composition of the spectra of higher modes is determined. The dependence of the amplitudes of the higher harmonics on the geometrical dimensions of the waveguides and their mutual position is investigated numerically. Recommendations are made on the choice of harmonics which approximate the field in the radiators of waveguide antenna arrays.</t>
  </si>
  <si>
    <t>40-43</t>
  </si>
  <si>
    <t>Klimachev, K. G.</t>
  </si>
  <si>
    <t>Klimachev K.</t>
  </si>
  <si>
    <t>ANALYSIS OF THE SPECTRA OF HIGHER MODES IN INTERACTING WAVEGUIDE APERTURES.</t>
  </si>
  <si>
    <t>2-s2.0-0023533688</t>
  </si>
  <si>
    <t>['theoretical model', 'radiation patterns', 'experimentally determined']</t>
  </si>
  <si>
    <t>The radiation patterns of an x-band horn antenna are experimentally determined in an isotropic, low-loss, stationary plasma using rodded medium simulation technique. The horn antenna pattern measurements agree reasonably well with the theoretical model.</t>
  </si>
  <si>
    <t>59-64</t>
  </si>
  <si>
    <t>Modelling, Measurement and Control A</t>
  </si>
  <si>
    <t>60071577;60071577</t>
  </si>
  <si>
    <t>7402378359;6602239508</t>
  </si>
  <si>
    <t>Prasad, Ramjee;Mgombelo, Henry R.</t>
  </si>
  <si>
    <t>Tanzania</t>
  </si>
  <si>
    <t>Dar Es Salaam</t>
  </si>
  <si>
    <t>University of Dar Es Salaam</t>
  </si>
  <si>
    <t>RADIATION PATTERNS OF A HORN ANTENNA IN A SIMULATED PLASMA USING RODDED MEDIUM.</t>
  </si>
  <si>
    <t>2-s2.0-0023533825</t>
  </si>
  <si>
    <t>['widely employed', 'strip antennas', 'specified distributions', 'simultaneous satisfaction', 'shf antennas', 'several structural', 'paper describes', 'multilayer dielectrics', 'laminated dielectrics', 'functional requirements', 'arbitrary number']</t>
  </si>
  <si>
    <t>Laminated dielectrics are widely employed in SHF antennas and devices: caps, strip antennas, bulk integrated circuits, etc. Multilayer dielectrics, which permit multiparameter optimization, are finding ever greater application in such devices for the simultaneous satisfaction of several structural and functional requirements. This paper describes a technique for determining the electromagnetic fields radiated by specified distributions of electric and magnetic currents located in dielectric structures containing an arbitrary number of homogeneous dielectric layers.</t>
  </si>
  <si>
    <t>Panchenko, B. A.</t>
  </si>
  <si>
    <t>DETERMINATION OF RADIATION FIELDS IN MULTILAYER DIELECTRIC STRUCTURES.</t>
  </si>
  <si>
    <t>2-s2.0-0023534094</t>
  </si>
  <si>
    <t>['working mode', 'wavelength lambda', 'square metal', 'polarization converter', 'plane wave', 'periodic array', 'period p', 'optical lines', 'much less', 'linearly polarized', 'guiding systems', 'experimental results', 'enables one', 'electromagnetic wave', 'dielectric waveguide', 'certain conditions']</t>
  </si>
  <si>
    <t>Under certain conditions, a combination of a periodic array, in which the period p of the array is much less than the wavelength lambda , with a plane metal mirror, enables one to convert the polarization of an electromagnetic wave. In a number of publications, the development of such a device in quasi-optical lines is reported. In this paper, we calculate the main electrical characteristics of a polarization converter, which can be constructed in the form of guiding systems the working mode of which is linearly polarized, and its structure is close to the structure of a plane wave. Experimental results are presented on a polarization converter based on a square metal-dielectric waveguide.</t>
  </si>
  <si>
    <t>79-81</t>
  </si>
  <si>
    <t>6602687052;6504530202</t>
  </si>
  <si>
    <t>Agababyan, K. R.;Aibazyan, M. Ts</t>
  </si>
  <si>
    <t>Agababyan K.</t>
  </si>
  <si>
    <t>POLARIZATION CONVERTER FOR THE SHORT-WAVE PART OF THE MILLIMETER AND SUBMILLIMETER WAVEBANDS.</t>
  </si>
  <si>
    <t>2-s2.0-0023535680</t>
  </si>
  <si>
    <t>['shifter mode', 'reflection phase', 'phase shifters', 'numerical investigation', 'mathematical model', 'antenna array']</t>
  </si>
  <si>
    <t>A mathematical model of a reflection antenna array with printed multidipole radiator-phase shifters is described. The results of a numerical investigation of the antenna array in the reflection phase-shifter mode are presented.</t>
  </si>
  <si>
    <t>7202667195;7006548266</t>
  </si>
  <si>
    <t>Filippov, V. S.;Sapozhnikov, A. A.</t>
  </si>
  <si>
    <t>Filippov V.</t>
  </si>
  <si>
    <t>CHARACTERISTICS OF MULTIDIPOLE RADIATOR-PHASE SHIFTERS IN PLANAR REFLECTING PHASED ANTENNA ARRAYS.</t>
  </si>
  <si>
    <t>2-s2.0-0023537914</t>
  </si>
  <si>
    <t>['strip antenna', 'side walls', 'resonator method', 'paper considers', 'main feature', 'low resonator', 'electric walls', 'approach employed']</t>
  </si>
  <si>
    <t>One of the methods of analyzing strip antennas is the resonator method. This paper considers the use of ring magnetic currents in this method. The strip antenna is represented in the form of a low resonator with electric walls, 'submerged' in a layer of dielectric. The main feature of the approach employed is in specifying a continuous equivalent ring magnetic current on the side walls of the resonator.</t>
  </si>
  <si>
    <t>8740714100;6701772560</t>
  </si>
  <si>
    <t>Bychkova, L. V.;Panchenko, B. A.</t>
  </si>
  <si>
    <t>Bychkova L.</t>
  </si>
  <si>
    <t>ANALYSIS OF STRIP ANTENNAS BY A RESONATOR METHOD USING RING MAGNETIC CURRENTS.</t>
  </si>
  <si>
    <t>2-s2.0-0023537916</t>
  </si>
  <si>
    <t>['specific version', 'experimental measurement', 'coaxial line']</t>
  </si>
  <si>
    <t>A leaky-wave antenna using a coaxial line, the braiding of which transforms into a two-dimensional periodic loaded cylindrical structure while the inner conductor transforms into a relief impedance rod is considered. We present the results of an experimental measurement of a specific version of the antenna.</t>
  </si>
  <si>
    <t>82-83</t>
  </si>
  <si>
    <t>6507956998;6602978632</t>
  </si>
  <si>
    <t>Kornyukhin, V. I.;Tankov, I. I.</t>
  </si>
  <si>
    <t>Kornyukhin V.</t>
  </si>
  <si>
    <t>LEAKY-WAVE ANTENNA BASED ON A COAXIAL LINE WITH A RELIEF IMPEDANCE INNER CONDUCTOR.</t>
  </si>
  <si>
    <t>2-s2.0-0023538218</t>
  </si>
  <si>
    <t>['widely used', 'united states', 'time laboratories', 'time delay', 'september 29', 'october 27', 'national bureau', 'international unification', 'gps receivers', 'common view', 'bipm ).']</t>
  </si>
  <si>
    <t>The method of clock comparisons using GPS satellites in common view is now widely used in the time laboratories which participate in the international unification of time under the coordination of the Bureau International des Poids et Mesures (BIPM). We report here the results of a campaign of calibration of time delay in GPS receivers under the auspices of the BIPM with the assistance of the National Bureau of Standards (NBS), Boulder, CO. This trip in the United States and in Europe was performed from September 29, 1986 to October 27, 1986.</t>
  </si>
  <si>
    <t>181-186</t>
  </si>
  <si>
    <t>Metrologia</t>
  </si>
  <si>
    <t>60028899;60023053;60023053</t>
  </si>
  <si>
    <t>55904017700;7404317293;35392873800</t>
  </si>
  <si>
    <t>Lewandowski, W.;Weiss, M.;Davis, D.</t>
  </si>
  <si>
    <t>France;United States</t>
  </si>
  <si>
    <t>Sevres;Gaithersburg</t>
  </si>
  <si>
    <t>BIPM Bureau International des Poids et Mesures;National Institute of Standards and Technology</t>
  </si>
  <si>
    <t>60028899;60023053</t>
  </si>
  <si>
    <t>Lewandowski W.</t>
  </si>
  <si>
    <t>A calibration of GPS equipment at time and frequency standards laboratories in the USA and Europe</t>
  </si>
  <si>
    <t>10.1088/0026-1394/24/4/005</t>
  </si>
  <si>
    <t>2-s2.0-0023538498</t>
  </si>
  <si>
    <t>['radar systems', 'radar characteristics', 'proper use', 'outstanding features', 'new radars', 'multifunctional systems', 'microwave technology', 'microwave components', 'improvements required', 'high degree', 'different types', 'deep impact', 'complex subsystems', 'combined technologies', 'antenna configurations', 'advanced radars', 'advanced characteristics']</t>
  </si>
  <si>
    <t>The impact of microwave technology on the performance of modern radar systems is outlined, together with the resulting design implications. The most advanced characteristics of the main microwave components are pointed out and proper use of combined technologies in such complex subsystems as electronically scanned antennas is shown to be essential in order to reach advanced performance and capabilities for new radars. Different types of antenna configurations are examined from the viewpoint of improvements required by the enhancement of radar characteristics. Similar considerations apply to other microwave radar subsystems. High degree of integration, use of advanced computer resource and techniques are shown to be fundamental in the design and development of advanced microwave components. Outstanding features of advanced radars, as 3D and multifunctional systems, are pointed out. The introduction of new capabilities envisaged or being introduced in radar systems has a deep impact on the requirements for microwave components.</t>
  </si>
  <si>
    <t>Esposito, Raffaele</t>
  </si>
  <si>
    <t>Esposito R.</t>
  </si>
  <si>
    <t>SYSTEM APPLICATIONS OF MICROWAVES TO RADARS: MODERN TRENDS.</t>
  </si>
  <si>
    <t>2-s2.0-0023541084</t>
  </si>
  <si>
    <t>['rf components', 'quantitative investigations', 'planar antennas', 'mlcd recommended', 'mlcd film', 'microstrip antennas', 'loading effects', 'loading effect', 'higher frequencies', 'experimental technique', 'detector might', 'conclusion reached', '3 ghz']</t>
  </si>
  <si>
    <t>Microwave liquid crystal detectors (MLCDs) have been assessed as useful for quantitative investigations of near field patterns of planar antennas and RF components. However careful consideration must be given to the loading and other effects that the detector might have on the device under test. These loading effects are examined, and the conclusion reached that the method of application of the MLCD recommended in the literature is only suitable for high quality factor devices such as, for example, typical microstrip antennas operating at frequencies below 3 GHz. For microstrip antennas on typical substrates operating at higher frequencies, some improvements in the experimental technique are described which reduce the loading effect of the MLCD film.</t>
  </si>
  <si>
    <t>282-284</t>
  </si>
  <si>
    <t>Martin, N. M.</t>
  </si>
  <si>
    <t>Martin N.</t>
  </si>
  <si>
    <t>IMPROVEMENTS TO THE MICROWAVE LIQUID CRYSTAL DETECTOR TECHNIQUE OF NEAR-FIELD PATTERN MEASUREMENT.</t>
  </si>
  <si>
    <t>2-s2.0-0023541451</t>
  </si>
  <si>
    <t>['telemetric device', 'remote measurement', 'paper discusses', 'mechanical support', 'link antenna', 'freshwater lake', 'circuit details']</t>
  </si>
  <si>
    <t>This paper discusses the evolution of a telemetric device that enables the remote measurement of surface wave height on a freshwater lake. The basic instrumentation package uses an anchored, insulated metal probe as a capacitive sensor element to determine peak wave amplitudes up to 1 m; the probe also serves as the mechanical support for a lightweight UHF radio-link antenna. The principal system design considerations and circuit details of the baseband signal processing stages are included; representative test results are documented.</t>
  </si>
  <si>
    <t>Analytical Instrumentation</t>
  </si>
  <si>
    <t>WATER SURFACE WAVE-HEIGHT RADIO TELEMETER.</t>
  </si>
  <si>
    <t>2-s2.0-0023542036</t>
  </si>
  <si>
    <t>['time required', 'receiving points', 'geometrical characteristics', 'finite duration', 'external sources', 'broadband signals']</t>
  </si>
  <si>
    <t>Criteria for optimizing the geometrical characteristics of coherent multiposition radar systems in order to increase their interference-protection from external sources are investigated, taking into account the directivity of the antennas at the receiving points and edge effects due to the finite duration of the broadband signals and the time required to process them.</t>
  </si>
  <si>
    <t>66-71</t>
  </si>
  <si>
    <t>Petrov, V. M.</t>
  </si>
  <si>
    <t>Petrov V.</t>
  </si>
  <si>
    <t>STATISTICAL OPTIMIZATION OF COHERENT MULTIPOSITION SYSTEMS TAKING INTO ACCOUNT THE DIRECTIVITY OF THE ANTENNAS AT THE RECEIVING POINTS.</t>
  </si>
  <si>
    <t>2-s2.0-0023542159</t>
  </si>
  <si>
    <t>['introducing feedpoints', 'cones representing', 'allows one']</t>
  </si>
  <si>
    <t>A method for introducing feedpoints of wires into a moment method wire antenna analysis program is described. The model is based on a divergent transmission line made up of a cluster of cones representing each of the wires at the junction and allows one or more wires to be fed against the remainder.</t>
  </si>
  <si>
    <t>257-260</t>
  </si>
  <si>
    <t>Pages, J. L.</t>
  </si>
  <si>
    <t>The University of Sydney</t>
  </si>
  <si>
    <t>Pages J.</t>
  </si>
  <si>
    <t>NUMERICAL MODELLING OF FEEDPOINTS AT WIRE JUNCTIONS.</t>
  </si>
  <si>
    <t>2-s2.0-0023542657</t>
  </si>
  <si>
    <t>['well known', 'theoretical study', 'suitable number', 'receiving pattern', 'phased array', 'mutual coupling', 'guard elements', 'effectively given', 'determined solely', 'antenna elements']</t>
  </si>
  <si>
    <t>It is well known that the receiving pattern of a phased array is distorted by the mutual coupling between the antenna elements. In this paper, a theoretical study of the use of guard elements to reduce the effect of mutual coupling on the receiving pattern of a linear monopole array is presented. It is shown that by using a suitable number of guard elements, the actual receiving pattern is effectively given by the common 'active element pattern' times the ideal receiving pattern. In this case, the degree of distortion of the receiving pattern is reduced and determined solely by the common 'active element pattern'.</t>
  </si>
  <si>
    <t>306-309</t>
  </si>
  <si>
    <t>REDUCTION OF MUTUAL COUPLING EFFECTS ON THE RECEIVING PATTERN OF A PHASED ARRAY USING GUARD ELEMENTS.</t>
  </si>
  <si>
    <t>2-s2.0-0023542659</t>
  </si>
  <si>
    <t>['space processing', 'side lobes']</t>
  </si>
  <si>
    <t>Algorithms are obtained for space processing of signals in modules of a large-aperture antenna array. They ensure separate processing of noise oscillations received in the main and side lobes of the module directivity patterns. They make it possible to simplify adaptive processing of signals. Their effectiveness is evaluated by computer digital monitoring.</t>
  </si>
  <si>
    <t>6603712016;7003568179;57193753071;7801568812</t>
  </si>
  <si>
    <t>Manzhos, V. N.;Kokin, V. N.;Belov, A. A.;Kamchatnyi, N. I.</t>
  </si>
  <si>
    <t>Manzhos V.</t>
  </si>
  <si>
    <t>ADAPTIVE ALGORITHM FOR SPACE PROCESSING OF SIGNALS IN MODULES OF A LARGE-APERTURE ANTENNA ARRAY.</t>
  </si>
  <si>
    <t>2-s2.0-0023544224</t>
  </si>
  <si>
    <t>['theoretical basis', 'revolution technique', 'previous work', 'predict radiation', 'numerical convergence', 'new formulation', 'moments body', 'measured results', 'geometrical theory', 'axial slots', 'also compared']</t>
  </si>
  <si>
    <t>The method of moments body of revolution technique is used to predict radiation from asymmetrically excited apertures on a class of perfectly conducting rotationally symmetric structures. This paper briefly outlines the theoretical basis of the method, proposes some corrections to previous work on the subject and presents a new formulation for a cosinusoidal aperture distribution. Results computed using the method are compared with measured results (from the literature) for the pitch and roll plane patterns of an aperture on a cone-sphere. Results are also compared with the roll plane patterns computed using the geometrical theory of diffraction for axial slots on a cylinder, and with measured roll plane patterns for this case. Numerical convergence of the method is discussed.</t>
  </si>
  <si>
    <t>Transactions of the South African Institute of Electrical Engineers</t>
  </si>
  <si>
    <t>57198126544;57203176700</t>
  </si>
  <si>
    <t>Davidson, D. B.;McNamara, D. A.</t>
  </si>
  <si>
    <t>Davidson D.</t>
  </si>
  <si>
    <t>PREDICTING RADIATION PATTERNS FROM APERTURE ANTENNAS ON STRUCTURES USING THE METHOD OF MOMENTS BODY OF REVOLUTION TECHNIQUE.</t>
  </si>
  <si>
    <t>2-s2.0-0023545137</t>
  </si>
  <si>
    <t>['wide spectrum', 'major headings', 'electronic warfare', 'antenna developments']</t>
  </si>
  <si>
    <t>A study of antenna developments in the military field necessarily involves a review over a wide spectrum of military electronics requirements. This paper considers developments in military electronics requirements in which antennas are involved under the major headings of communications, radar and electronic warfare. A survey of current military antenna development worldwide illustrates the way in which military antenna development responds to military systems requirements. Some emphasis is given to Australian military systems requirements and the way in which these drive antenna developments. Examples of current Australian Defence projects involving antennas are given and some projections are made of likely future trends in this country.</t>
  </si>
  <si>
    <t>234-244</t>
  </si>
  <si>
    <t>Sinnott, D. H.</t>
  </si>
  <si>
    <t>Sinnott D.</t>
  </si>
  <si>
    <t>DEVELOPMENTS IN MILITARY ANTENNAS.</t>
  </si>
  <si>
    <t>2-s2.0-0023545141</t>
  </si>
  <si>
    <t>['radiation patterns', 'field data', 'direct measurement', 'cylindrical near', 'automatic acquisition', 'also presented']</t>
  </si>
  <si>
    <t>A computer controlled system for the automatic acquisition of cylindrical near-field data is described. Also presented are radiation patterns for an E-plane horn antenna obtained by cylindrical wave transformation of near-field data, by direct measurement and by theoretical analysis using GTD.</t>
  </si>
  <si>
    <t>46-52</t>
  </si>
  <si>
    <t>7005311898;6602265048;7403985792</t>
  </si>
  <si>
    <t>Cloete, J. H.;Stassen, W. M.;Morgan, D. A.G.</t>
  </si>
  <si>
    <t>Cloete J.</t>
  </si>
  <si>
    <t>ANTENNA RADIATION PATTERNS FROM CYLINDRICAL NEAR-FIELD MEASUREMENTS.</t>
  </si>
  <si>
    <t>2-s2.0-0023545568</t>
  </si>
  <si>
    <t>['sidelobe levels', 'reflector parameters', 'ratios required', 'made using', 'feed parameters', 'compare efficiency', 'aussat system', '300 lambda']</t>
  </si>
  <si>
    <t>A comparison of multiple beam antennas using parabolic and parabolic torus reflectors is made using the requirements of the AUSSAT system as a basis for comparison. This system requires three beams with around 4 degree separation. Optimization of feed parameters is used to compare efficiency and sidelobe levels as a function of the reflector parameters only. Both offset and symmetrical reflector arrangements with diameters between 50 and 300 lambda are considered and minimum focal length to diameter (f/D) ratios required to satisfy CCIR sidelobe recommendations are identified.</t>
  </si>
  <si>
    <t>298-301</t>
  </si>
  <si>
    <t>COMPARISON OF THE PARABOLIC AND PARABOLIC TORUS REFLECTOR ANTENNAS FOR MULTIPLE SATELLITE ACCESS IN THE AUSSAT SYSTEM.</t>
  </si>
  <si>
    <t>2-s2.0-0023545574</t>
  </si>
  <si>
    <t>['b scheduled', '3 satellites']</t>
  </si>
  <si>
    <t>The National Space Development Agency (NASDA) of Japan has completed the development of communication satellites CS-3a and b scheduled to be launched in 1988. The CS-3 satellites are successors to CS-2a, b and are designed to improve Japanese satellite technology in anticipation of future communication demands.</t>
  </si>
  <si>
    <t>64-67</t>
  </si>
  <si>
    <t>JEE. Journal of electronic engineering</t>
  </si>
  <si>
    <t xml:space="preserve">Anon, </t>
  </si>
  <si>
    <t>Anon</t>
  </si>
  <si>
    <t>COMMUNICATION SATELLITE CS-3 TO BE LAUNCHED NEXT YEAR.</t>
  </si>
  <si>
    <t>2-s2.0-0023546018</t>
  </si>
  <si>
    <t>['problems encountered', 'polarizer designed', 'phase error', 'parametric dependence', 'optimum value', 'numerical analysis', 'axial ratio', 'also discussed', 'acute angle']</t>
  </si>
  <si>
    <t>Results of a numerical analysis, using the finite element technique, on a polarizer designed for an S-band slotted waveguide array are presented. The polarizer consisted essentially of an array of waveguides of parallelogram cross section, with the acute angle 45 degrees. The polarizer had poor axial ratio and the purpose of the analysis was to determine the parametric dependence of the axial ratio on the acute angle. The optimum value for the angle was found to be approximately 39 degrees. With the angle 45 degrees the predicted axial ratio was approximately 1 db, assuming no phase error. Problems encountered with the finite element technique are also discussed.</t>
  </si>
  <si>
    <t>70-75</t>
  </si>
  <si>
    <t>7005720141;7005311898</t>
  </si>
  <si>
    <t>Smit, L. H.E.;Cloete, J. H.</t>
  </si>
  <si>
    <t>Smit L.</t>
  </si>
  <si>
    <t>ANALYSIS OF A NARROW BAND POLARIZER FOR A SLOTTED WAVEGUIDE ARRAY.</t>
  </si>
  <si>
    <t>2-s2.0-0023547825</t>
  </si>
  <si>
    <t>['wheeler method', 'shield used', 'measurement system', 'frequencies determined', 'efficiency measurement']</t>
  </si>
  <si>
    <t>The shield used in the Wheeler Method of efficiency measurement will resonate at frequencies determined by its dimensions. Experimental results showed that these resonances introduce significant losses into the measurement system and can cause substantial errors unless due precautions are taken to avoid them.</t>
  </si>
  <si>
    <t>76-78</t>
  </si>
  <si>
    <t>6506870231;7101618795</t>
  </si>
  <si>
    <t>van der Riet, K. P.;Austin, B. A.</t>
  </si>
  <si>
    <t>van der Riet K.P.</t>
  </si>
  <si>
    <t>LIMITATIONS OF THE WHEELER METHOD OF MEASURING ANTENNA RADIATION EFFICIENCY DUE TO CAVITY RESONANT MODES.</t>
  </si>
  <si>
    <t>2-s2.0-0023548294</t>
  </si>
  <si>
    <t>['synchronous rotation', 'spatial selection', 'selection arises', 'remote targets', 'remote target', 'range pi', 'r //', 'passive interference', 'nearby reflectors', 'f greater', '2r //']</t>
  </si>
  <si>
    <t>The utilization of diversity radar systems broadens the possibilities for spatial selection of signals and interference. We consider such selection in application to a short-base radar system with the aim of increasing the snr in detection of signals from remote targets in a background of passive interference (PI) from nearby reflectors. The need for utilization of such selection arises when the probe-pulse repetition frequency is high, F greater than c/2R//M (R//M is the maximum detection range; c is the wave propagation velocity) owing to superposition of short-range PI on the signals of remote target, making it impossible to implement time selection. We consider a two-position radar system with base b VM LS TH R//M in which scanning is carried out by synchronous rotation of the receiving (Rc) and transmitting (T) antennas at constant angular velocity OMEGA .</t>
  </si>
  <si>
    <t>Ryndyk, A. G.</t>
  </si>
  <si>
    <t>Ryndyk A.</t>
  </si>
  <si>
    <t>OPTIMIZING SPACE PROCESSING OF SIGNALS IN A TWO-POSITION RADAR SYSTEM.</t>
  </si>
  <si>
    <t>2-s2.0-0023548568</t>
  </si>
  <si>
    <t>['vertical distance', 'rapid change', 'one regime', 'occurs within', 'level meter', 'input impedance', 'impedance measurements', 'height dependent', 'half lengths', 'depth dependence', 'data fits', 'conveyor belt', 'also outlined', '2 meters', '16 khz']</t>
  </si>
  <si>
    <t>An electrically short thin horizontal wire antenna located very close to a lossy earth plane has an input impedance which is height dependent. Impedance measurements at 4, 8 and 16 kHz were made on bare and insulated wire antennas with half lengths of 9. 2 meters, both above and below the earth's surface. Above the surface the data fits a parallel transmission line model. Below the surface no depth dependence was evident. The transition from one regime to the other occurs within a vertical distance of 10** minus **6 lambda //0. This rapid change in impedance has implications for antenna ground screen effectiveness. The application of an electrically short dipole antenna as a level meter on a conveyor belt is also outlined.</t>
  </si>
  <si>
    <t>252-256</t>
  </si>
  <si>
    <t>60032987;60032987</t>
  </si>
  <si>
    <t>36893654800;57198830071</t>
  </si>
  <si>
    <t>Thiel, D. V.;Stewart, A. J.</t>
  </si>
  <si>
    <t>Griffith University</t>
  </si>
  <si>
    <t>Thiel D.</t>
  </si>
  <si>
    <t>INPUT IMPEDANCE OF ELECTRICALLY SHORT HORIZONTAL WIRE ANTENNAS CLOSE TO THE AIR/EARTH INTERFACE.</t>
  </si>
  <si>
    <t>2-s2.0-0023553962</t>
  </si>
  <si>
    <t>['rapid transformation', 'personal computer', 'computing power']</t>
  </si>
  <si>
    <t>The application of near-field measurement techniques to assess the performance of a physically large secondary surveillance radar antenna is discussed. Emphasis is placed on quick and efficient in situ measurements combined with rapid transformation of the collected data using the computing power of a personal computer.</t>
  </si>
  <si>
    <t>271-273</t>
  </si>
  <si>
    <t>Madigan, P. Q.</t>
  </si>
  <si>
    <t>Madigan P.Q.</t>
  </si>
  <si>
    <t>IN SITU NEAR-FIELD MEASUREMENT OF A SECONDARY SURVEILLANCE RADAR ANTENNA.</t>
  </si>
  <si>
    <t>2-s2.0-0023553965</t>
  </si>
  <si>
    <t>['theoretical investigations', 'correlated signals', 'computer modeling']</t>
  </si>
  <si>
    <t>Results are reported for theoretical investigations and computer modeling of the possibilities of differentiation of correlated signals by an adaptive antenna array. It is shown that such discrimination (resolution) is possible for near-unity correlation coefficients.</t>
  </si>
  <si>
    <t>7006887703;6507603252</t>
  </si>
  <si>
    <t>Kudinov, A. V.;Tetel'baum, I. S.</t>
  </si>
  <si>
    <t>Kudinov A.</t>
  </si>
  <si>
    <t>RESOLUTION OF CORRELATED SIGNALS BY ADAPTIVE ANTENNA ARRAY.</t>
  </si>
  <si>
    <t>2-s2.0-0023558370</t>
  </si>
  <si>
    <t>['one sampling', 'likelihood method', 'iteration procedure', 'initial approximation', 'estimate based', 'certain number']</t>
  </si>
  <si>
    <t>Application of the maximum-likelihood method to solution of the problem of evaluating the parameters of a certain number of signals on the basis of one sampling of observations at the output of a linear equidistant antenna array is considered. The solution is found as an iteration procedure; an estimate based on the generalized Prony method is used as the initial approximation. Results are reported for computer statistical modeling of algorithms for determination of the signal angle parameters by the maximum-likelihood method and the generalized Prony method.</t>
  </si>
  <si>
    <t>49-55</t>
  </si>
  <si>
    <t>7003496334;6507354623</t>
  </si>
  <si>
    <t>Konovalov, L. N.;Merkulenko, I. D.</t>
  </si>
  <si>
    <t>Konovalov L.</t>
  </si>
  <si>
    <t>DETERMINING THE PARAMETERS OF SIGNALS FROM ONE SAMPLING OF OBSERVATIONS FROM THE OUTPUT OF AN EQUIDISTANT ANTENNA ARRAYS.</t>
  </si>
  <si>
    <t>2-s2.0-0023558709</t>
  </si>
  <si>
    <t>['various methods', 'toeplitz type', 'measurement data', 'covariance matrices', 'beamforming applications', 'array beamforming']</t>
  </si>
  <si>
    <t>The estimation of covariance matrices which are structured, for example, of Toeplitz type, from measurement data is considered. The problem is considered in the context of array beamforming, and various methods of estimation are derived and compared, such comparison including consideration of the behavior of the estimate in beamforming applications. ¬© 1987 Birkh√§user.</t>
  </si>
  <si>
    <t>421-447</t>
  </si>
  <si>
    <t>0278081X</t>
  </si>
  <si>
    <t>Circuits, Systems, and Signal Processing</t>
  </si>
  <si>
    <t>101269455;60008950;60006925</t>
  </si>
  <si>
    <t>7403494155;7404263205;7005094623</t>
  </si>
  <si>
    <t>Gray, D. A.;Anderson, B. D.O.;Sim, P. K.</t>
  </si>
  <si>
    <t>Canberra;Melbourne;Adelaide</t>
  </si>
  <si>
    <t>The Australian National University;La Trobe University;Weapons System Research Laboratory</t>
  </si>
  <si>
    <t>60008950;60006925;101269455</t>
  </si>
  <si>
    <t>Gray D.A.</t>
  </si>
  <si>
    <t>Estimation of structured covariances with application to array beamforming</t>
  </si>
  <si>
    <t>10.1007/BF01600233</t>
  </si>
  <si>
    <t>2-s2.0-0023559388</t>
  </si>
  <si>
    <t>['strip antennas', 'radiation pattern', 'practical problems', 'paper discusses', 'isotropic radiation', 'input impedance', 'curvilinear bodies', 'conducting cylindrial', 'certain characteristics', 'antennas situated']</t>
  </si>
  <si>
    <t>The majority of papers on strip antennas consider problems involving planar configurations. Antennas situated on curvilinear bodies have not been investigated to the same extent. Papers have been published in which certain characteristics of the radiation of strip antennas on a cylinder are determined. Metal strips encircling a conducting cylindrial or spherical body enable one to obtain an antenna with quasi-isotropic radiation, which is important in a number of practical problems. The paper discusses and calculates the input impedance and the radiation pattern of the antenna.</t>
  </si>
  <si>
    <t>56-59</t>
  </si>
  <si>
    <t>7006255144;6701772560</t>
  </si>
  <si>
    <t>Kats, E. A.;Panchenko, B. A.</t>
  </si>
  <si>
    <t>Kats E.</t>
  </si>
  <si>
    <t>RADIATION OF A STRIP ANTENNA ON A SPHERE.</t>
  </si>
  <si>
    <t>2-s2.0-0023559674</t>
  </si>
  <si>
    <t>['water reserve', 'theoretical investigations', 'sighting angle', 'radiothermal measurement', 'radiothermal detection', 'priori information', 'maximal range', 'convective clouds', 'antenna contrasts']</t>
  </si>
  <si>
    <t>Presented are the results of theoretical investigations of radiothermal measurement of the water reserve of convective clouds from the Earth's surface. Analyzed is the dependence of radiobrightness and antenna contrasts of convective clouds on their water reserve, the sighting angle, and the wavelength of the radiation. Investigated is the maximal range of radiothermal detection of convective clouds at all phases of their development. Optimal spectral channels are selected and errors of radiothermal measurement of water reserve are estimated. The influence of a priori information and inaccuracies in specifying effective cloud temperature on these errors is investigated.</t>
  </si>
  <si>
    <t>96-104</t>
  </si>
  <si>
    <t>Soviet meteorology and hydrology</t>
  </si>
  <si>
    <t>7003770342;6701774395;6602437130;6508150939</t>
  </si>
  <si>
    <t>Bobylev, L. P.;Shchukin, G. G.;Dorofeev, E. V.;Tarabukin, I. A.</t>
  </si>
  <si>
    <t>Bobylev L.P.</t>
  </si>
  <si>
    <t>RADIOTHERMAL MEASUREMENT OF WATER RESERVE OF CONVECTIVE CLOUDS.</t>
  </si>
  <si>
    <t>2-s2.0-0023560215</t>
  </si>
  <si>
    <t>['terrestrial transmitters', 'television programs', 'satellite signals', 'receiving installations', 'receiving antennas', 'receive radio', 'necessary installations', 'ensure use', 'coverage area', 'author evaluates']</t>
  </si>
  <si>
    <t>The author evaluates the number of households that can receive radio and television programs if they own the necessary installations, starting with the coverage area of terrestrial transmitters, receiving antennas for satellite signals and the number of connections to the cable distribution networks. The PTT's responsibility is not limited to the transmission of signals. It also has to ensure use of the receiving installations at the best possible conditions. Therefore, it regulates the use of the radio frequency spectrum to assure efficient utilization.</t>
  </si>
  <si>
    <t>522-526, 54,</t>
  </si>
  <si>
    <t>Technische Mitteilungen PTT</t>
  </si>
  <si>
    <t>Steffen, Charles</t>
  </si>
  <si>
    <t>Thailand</t>
  </si>
  <si>
    <t>Bangkok</t>
  </si>
  <si>
    <t>PTT</t>
  </si>
  <si>
    <t>Steffen C.</t>
  </si>
  <si>
    <t>RECEPTION OF RADIO AND TELEVISION PROGRAMMES IN SWITZERLAND.</t>
  </si>
  <si>
    <t>2-s2.0-0023560288</t>
  </si>
  <si>
    <t>['sequential irradiation', 'point source', 'mathematical modeling', 'diffraction process', 'different points', 'data acquired', 'beam pattern']</t>
  </si>
  <si>
    <t>A method is proposed for determining the beam pattern of a receiving antenna based on data acquired with sequential irradiation of the antenna by a point source from different points in space. The method is based on mathematical modeling of the diffraction process.</t>
  </si>
  <si>
    <t>121-122</t>
  </si>
  <si>
    <t>Moscow University Physics Bulletin (English Translation of Vestnik Moskovskogo Universiteta, Fizik</t>
  </si>
  <si>
    <t>7102485503;6506600379</t>
  </si>
  <si>
    <t>Kravtsov, V. V.;Senatorov, P. K.</t>
  </si>
  <si>
    <t>METHOD FOR CALIBRATING RECEIVING ANTENNAS.</t>
  </si>
  <si>
    <t>2-s2.0-0023561856</t>
  </si>
  <si>
    <t>['vsats ).', 'transmission goes', 'supervisory control', 'small set', 'remote sites', 'ku band', 'indoor electronics', 'economical solution', 'data acquisition', 'communications flow', '500 mi', '14 ghz']</t>
  </si>
  <si>
    <t>South Carolina Pipeline Corp. (SCPC) wanted to test a Ku band system, which appeared to be an economical solution to expansion and upgrade of their supervisory control and data acquisition (SCADA) network. The Ku band (12-14 GHz) transmission goes through a satellite in geosynchronous orbit approximately 22,500 mi above the earth. Communications flow between a centrally located Master Earth Station - or hub - and a network of very small aperture terminals (VSATs). These terminals are installed at the user's remote sites and at the SCADA master station. VSAT equipment consists of a 1. 8 m antenna, an outdoor radio unit and a small set of indoor electronics.</t>
  </si>
  <si>
    <t>13-15</t>
  </si>
  <si>
    <t>100482831;100482831;100482831</t>
  </si>
  <si>
    <t>6506240419;7801354379;35582215100</t>
  </si>
  <si>
    <t>Yabsley, John;Truex, Bob;Tucker, Charles</t>
  </si>
  <si>
    <t>Columbia</t>
  </si>
  <si>
    <t>South Carolina Pipeline Corp</t>
  </si>
  <si>
    <t>Yabsley J.</t>
  </si>
  <si>
    <t>Ku BAND SATELLITE LINKS FOR GAS PIPE LINE SCADA NETWORK.</t>
  </si>
  <si>
    <t>2-s2.0-0023561957</t>
  </si>
  <si>
    <t>['two baluns', 'gain shows', 'etched balun', 'design curves', 'axial ratio']</t>
  </si>
  <si>
    <t>The finite element method is used to design an etched microstrip balun for transforming a 100 ohm balanced impedance to a 50 ohm unbalanced coaxial cable. Design curves for determining the required impedances along the balun are presented. An etched balun was incorporated into a planar Archimedes spiral antenna and the performance of this antenna is compared to that of a second spiral antenna fed by a tapered coaxial line balun. Examination of the VSWR, patterns, axial ratio, squint and gain shows that the performance of the two baluns is equivalent with the etched balun having superior squint properties.</t>
  </si>
  <si>
    <t>34-37</t>
  </si>
  <si>
    <t>7404140488;7007024842;6602778055</t>
  </si>
  <si>
    <t>Baker, D. E.;Nortier, J. R.;van der Neut, C. A.</t>
  </si>
  <si>
    <t>Baker D.</t>
  </si>
  <si>
    <t>DESIGN AND PERFORMANCE OF A MICROSTRIP BALUN FOR ARCHIMEDES SPIRAL ANTENNAS.</t>
  </si>
  <si>
    <t>2-s2.0-0023562814</t>
  </si>
  <si>
    <t>['several approaches', 'mainlobe gain', 'look direction', 'angular shift']</t>
  </si>
  <si>
    <t>Several approaches in formulating the null constrained optimization problem in antenna array pattern synthesis are reviewed and shown to yield equivalent solutions. The mainlobe gain reduction and angular shift which are inherent to the null constrained problem are discussed. It is demonstrated that although the mainlobe can be constrained in the look direction, it can only be accomplished at the cost of further reduction in the mainlobe gain or SNR.</t>
  </si>
  <si>
    <t>302-305</t>
  </si>
  <si>
    <t>Ng, T. S.</t>
  </si>
  <si>
    <t>Wollongong</t>
  </si>
  <si>
    <t>University of Wollongong</t>
  </si>
  <si>
    <t>Ng T.</t>
  </si>
  <si>
    <t>EQUIVALENCE OF NULL CONSTRAINED OPTIMISATION PROBLEMS IN ANTENNA ARRAY PATTERN SYNTHESIS.</t>
  </si>
  <si>
    <t>2-s2.0-0023562817</t>
  </si>
  <si>
    <t>['working power', 'voltage oriented', 'two elements', 'transmission lines', 'three criteria', 'supplied power', 'queueing system', 'power oriented', 'maximum voltage', 'maximum power', 'maximum current', 'loss power', 'last technique', 'inner impedance', 'flow control', 'external world', 'electrical circuit', 'effective resistance', 'current oriented', 'automatically derived', 'audio amplifiers']</t>
  </si>
  <si>
    <t>Recently the concept of ‚Ä≥power‚Ä≥ has been introduced into the flow control of computer communications networks. We have clarified the conception from the point of view of electrical network designs. Originally the word ‚Ä≥power‚Ä≥ was derived from a category of electrical circuit theory. There are three criteria for electrical network design: maximum voltage (voltage oriented) technique, maximum current (current oriented) technique, and the maximum power (power oriented) technique. The last technique is more useful for design of audio amplifiers, transmission lines, and antennas. With such apparatus, there are two elements of power, i. e. power loss due to inner impedance and working power due to the effective resistance of the connection to the external world. Customers of a queueing system are forced to wait. This waiting is an disadvantage, and thus a loss. We regard the queueing system as being equivalent to an electrical circuit and have applied electrical circuit design techniques to queueing system design. All the power of the system, that is, the supplied power, the loss power and the working power has been automatically derived from the correspondence between a queueing system and an electrical circuit.</t>
  </si>
  <si>
    <t>Technology Reports of the Iwate University</t>
  </si>
  <si>
    <t>Yoshioka, Yosio</t>
  </si>
  <si>
    <t>Morioka</t>
  </si>
  <si>
    <t>Iwate University</t>
  </si>
  <si>
    <t>Yoshioka Y.</t>
  </si>
  <si>
    <t>DESIGNING OF OPTIMUM QUEUES.</t>
  </si>
  <si>
    <t>2-s2.0-0023563009</t>
  </si>
  <si>
    <t>['width may', 'various points', 'thick leaves', 'predict materials', 'materials indices', 'large number', 'green leaves', 'five samples', 'find mean', 'electrical resistances', 'determine materials', 'chemical action', 'average values']</t>
  </si>
  <si>
    <t>The configuration of leaves carries different materials. The construction, size, shape, thickness, length and width may be exploited to predict materials into the leaves. The materials indices are formulated for long and thick leaves. The chemical action in the presence of sun and electric current may be predicted by the measurement of electrical resistances at various points. Gradients of resistance, thickness, width and length are exploited to predict materials into green leaves. The random measurements used to find mean and the variance to generalize the average values of measurements for large number of leaves and trees. Hall effect measurements and antenna characteristics simulation are used to determine materials in the green leaves. Five samples of leaves are taken to study material indices into the green leaves. Some largely available leaves are taken under this study and the random electrical measurements are made to predict a clue of materials.</t>
  </si>
  <si>
    <t>73-80</t>
  </si>
  <si>
    <t>Journal of the Institution of Engineers (India): Electrical Engineering Division</t>
  </si>
  <si>
    <t>60072218;60072218;60072218</t>
  </si>
  <si>
    <t>6602225184;7003913804;57198920634</t>
  </si>
  <si>
    <t>Vani, A.;Chhalotra, G. P.;Rao, A. C.</t>
  </si>
  <si>
    <t>Ballia</t>
  </si>
  <si>
    <t>S.C. College India</t>
  </si>
  <si>
    <t>Vani A.</t>
  </si>
  <si>
    <t>STUDY OF MATERIAL INDICES INTO GREEN LEAVES BY RANDOM ELECTRICAL AND PHYSICAL MEASUREMENTS.</t>
  </si>
  <si>
    <t>2-s2.0-0023564384</t>
  </si>
  <si>
    <t>['space frames', 'several photographs', 'red telescopes', 'radio antennae', 'particularly appropriate', 'mauna kea', 'large optical', 'keck telescope', 'generated drawings', 'briefly noted', 'aesthetic characteristics']</t>
  </si>
  <si>
    <t>Presented in the paper is a brief general discussion of space frames in architecture and in science. Structural, functional and aesthetic characteristics of these structures are briefly noted. Their lightness and great stiffness make them particularly appropriate in the field of large optical and infra-red telescopes. This is demonstrated on the example of a ten meter Keck Telescope soon to be erected at the top of Mauna Kea on the island of Hawaii. The paper is illustrated with a number of photographs. Included are several photographs of radio antennae, and computer-generated drawings of the Keck Telescope.</t>
  </si>
  <si>
    <t>3 -v 28 n 1</t>
  </si>
  <si>
    <t>Journal of the International Association for Shell and Spatial Structures</t>
  </si>
  <si>
    <t>Medwadowski, S. J.</t>
  </si>
  <si>
    <t>Medwadowski S.</t>
  </si>
  <si>
    <t>SPACE FRAMES IN ARCHITECTURE AND SCIENCE.</t>
  </si>
  <si>
    <t>2-s2.0-0023565513</t>
  </si>
  <si>
    <t>['upper bounds', 'survey results', 'microwave radiation', 'melbourne suburbs', 'many orders', 'immediate vicinity', 'generally comparable', 'general public', 'environmental levels']</t>
  </si>
  <si>
    <t>Upper bounds for the levels of environmental microwave radiation measured in the vicinity of large aperture antennas using directive microwave probe antennas are discussed. In addition, the results of several surveys around satellite earth stations are summarized and presented. From the survey results it can be concluded that the environmental levels of microwave radiation outside the immediate vicinity of the antennas are many orders of magnitude below currently accepted exposure standards for members of the general public. As a point of comparison, it was found that the environmental levels of microwave radiation were generally comparable with the combined power densities of FM and TV transmissions measured in Melbourne suburbs.</t>
  </si>
  <si>
    <t>274-277</t>
  </si>
  <si>
    <t>60021095;60021095</t>
  </si>
  <si>
    <t>7202338079;35576999000</t>
  </si>
  <si>
    <t>Davies, W. S.;Joyner, K. H.</t>
  </si>
  <si>
    <t>Telecom Australia Research Lab</t>
  </si>
  <si>
    <t>Davies W.</t>
  </si>
  <si>
    <t>TECHNIQUE FOR THE MEASUREMENT OF ENVIRONMENTAL LEVELS OF MICROWAVE RADIATION AROUND SATELLITE EARTH STATIONS.</t>
  </si>
  <si>
    <t>2-s2.0-0023566482</t>
  </si>
  <si>
    <t>['thermal noise', 'statistical distribution', 'relevant parts', 'receiving antenna', 'radio system', 'propagation experiments', 'observed dispersions', 'medium bandwidth', 'high level', 'forcing algorithm', 'equals 16', 'computer modeling', 'channel dispersions', 'also shown', 'also incorporated']</t>
  </si>
  <si>
    <t>This contribution reviews existing models for the channel in a medium bandwidth and gives some results on the statistical distribution of the parameters of one model obtained from wideband microwave channel probing experiments. Especially the effect of the beamwidth of the receiving antenna on the observed dispersions is elaborated. Furthermore, the impairment of high level M-QAM radio systems (M equals 16, 64 and 256) stressed by such channel dispersions and by thermal noise can be evaluated by modeling the relevant parts of the radio system. The effect of adaptive baseband equilization applied in modern radio systems is also incorporated. Results in terms of the 'signature' are given for linear transversal equalizers whose tap gains are adjusted by the zero-forcing algorithm. The improvement for minimum phase type fading by employing a decision feedback part is also shown. The computer modeling of the radio system is then applied to obtain the improvement by space and angle diversity reception where the microwave channel transfer functions measured in the propagation experiments are used.</t>
  </si>
  <si>
    <t>122323461;122323461</t>
  </si>
  <si>
    <t>7005855778;57196569738</t>
  </si>
  <si>
    <t>Valentin, Rolf;Metzger, Kurt</t>
  </si>
  <si>
    <t>Darmstadt</t>
  </si>
  <si>
    <t>Forschungsinstitut der Deutsche Bundespost</t>
  </si>
  <si>
    <t>Valentin R.</t>
  </si>
  <si>
    <t>PROPAGATION IMPAIRMENTS IN HIGH BIT-RATE DIGITAL RADIO-RELAY-SYSTEMS.</t>
  </si>
  <si>
    <t>2-s2.0-0023566784</t>
  </si>
  <si>
    <t>['weighting factors', 'weighted summation', 'radiation patterns', 'preliminary calibration', 'phase measurements', 'numerical modeling', 'near zone', 'mathematical model', 'found either', 'directional properties', 'checked amplitude', 'auxiliary antenna']</t>
  </si>
  <si>
    <t>A method of establishing the radiation patterns of antennas from amplitude-phase measurements in the near zone, taking into account the directional properties of an auxiliary antenna, is considered. The radiation patterns are established by weighted summation of the measured complex transfer constants between a fixed auxiliary antenna and a rotating test antenna. The weighting factors are found either by preliminary calibration of the measurement bench using standard antennas with checked amplitude and phase radiation patterns, or by a mathematical model. The results of numerical modeling of the procedure for reconstructing radiation patterns are given.</t>
  </si>
  <si>
    <t>54-59</t>
  </si>
  <si>
    <t>6507920759;6603450040;57201758287</t>
  </si>
  <si>
    <t>Plokhikh, S. A.;Sazonov, D. M.;Shcherbakov, V. I.</t>
  </si>
  <si>
    <t>Plokhikh S.</t>
  </si>
  <si>
    <t>RECONSTRUCTION OF THE RADIATION PATTERN OF ANTENNAS BY THE STANDARD-ANTENNA METHOD USING AMPLITUDE-PHASE MEASUREMENTS IN THE NEAR ZONE.</t>
  </si>
  <si>
    <t>2-s2.0-0023567667</t>
  </si>
  <si>
    <t>['simplest version', 'lens antenna', 'frequency band', 'electrical parameters', 'combined mirror', 'accelerating metal']</t>
  </si>
  <si>
    <t>In this communication we determine the geometrical and electrical parameters of a combined mirror-lens antenna, which forms a multibeam radiation pattern in different frequency bands. The simplest version of such an antenna is a combination of a parabolic mirror antenna operating in the low-frequency band, and an accelerating metal-laminated lens operating in the high-frequency band.</t>
  </si>
  <si>
    <t>102-104</t>
  </si>
  <si>
    <t>7006169937;7102607345;7005677889</t>
  </si>
  <si>
    <t>Danilov, Yu N.;Fedorova, L. A.;Egorov, M. V.</t>
  </si>
  <si>
    <t>Danilov Y.</t>
  </si>
  <si>
    <t>GEOMETRICAL AND ELECTRICAL PARAMETERS OF MULTIBEAM MIRROR-LENS ANTENNAS.</t>
  </si>
  <si>
    <t>2-s2.0-0023568890</t>
  </si>
  <si>
    <t>['seven elements', 'qualitative investigation', 'protein complex', 'pigment matrix', 'matrix method', 'master equation', 'fluorescence intensity', 'differential descriptions', 'bacterial pigment', 'antenna geometry']</t>
  </si>
  <si>
    <t>The probability-matrix method and the master equation are used for qualitative investigation of the dependence of the fluorescence intensity on the reversibility of the trap and the probability of deactivation in migration of the excitation over a pigment matrix of seven elements in the model of a bacterial pigment-protein complex. Correspondence between the matrix and differential descriptions is established. The latter gives biexponential kinetics of the fluorescence, which is due to processes of deactivation and capture of excitations by the trap and also by the antenna geometry.</t>
  </si>
  <si>
    <t>50-56</t>
  </si>
  <si>
    <t>6507103433;6603068450;7102473065</t>
  </si>
  <si>
    <t>Torgashin, V. M.;Melikhova, E. M.;Kukushkin, A. K.</t>
  </si>
  <si>
    <t>Torgashin V.</t>
  </si>
  <si>
    <t>PROBABILISTIC DESCRIPTION OF FLUORESCENCE KINETICS IN THE COURSE OF ENERGY MIGRATION OVER A LIGHT-COLLECTING MATRIX IN THE MODEL OF A PIGMENT-PROTEIN COMPLEX.</t>
  </si>
  <si>
    <t>2-s2.0-0023569208</t>
  </si>
  <si>
    <t>['horn antennas', 'gain calibration', 'developed using', 'contribute little', 'arc relative', 'antenna misalignment', 'alignment method']</t>
  </si>
  <si>
    <t>For antenna misalignment to contribute little to the uncertainty of the gain calibration of horn antennas it is desirable that their axes be aligned to within 10 minutes of arc relative to their axis of separation. An alignment method has been developed using an inexpensive helium neon laser and a system of prisms, mirrors and a target.</t>
  </si>
  <si>
    <t>264-266</t>
  </si>
  <si>
    <t>Allen, G. R.</t>
  </si>
  <si>
    <t>Allen G.</t>
  </si>
  <si>
    <t>OFFSET LASER SYSTEM FOR THE ALIGNMENT OF ANTENNAS.</t>
  </si>
  <si>
    <t>2-s2.0-0023569223</t>
  </si>
  <si>
    <t>['theoretical review', 'measurement program', 'designed 18']</t>
  </si>
  <si>
    <t>Microwave holography techniques provide exciting possibilities for optimizing the multi-panel reflector antennas of satellite earth stations. In this paper a theoretical review of the technique is given. Then the advantages of utilizing microwave holography are outlined. The OTC microwave holography system is described, including some preliminary results obtained during the measurement program of the Australian-designed 18-meter antenna erected at OTC's Sydney satellite earth station.</t>
  </si>
  <si>
    <t>267-270</t>
  </si>
  <si>
    <t>100339215;100339215;100339215</t>
  </si>
  <si>
    <t>6506304513;7006057975;7006305363</t>
  </si>
  <si>
    <t>Kalcina, A. P.;Hawke, R. D.;Neil, G. T.</t>
  </si>
  <si>
    <t>OTC Ltd</t>
  </si>
  <si>
    <t>Kalcina A.</t>
  </si>
  <si>
    <t>OPTIMISING SATELLITE EARTH STATION ANTENNAS BY MICROWAVE HOLOGRAPHY.</t>
  </si>
  <si>
    <t>2-s2.0-0023569987</t>
  </si>
  <si>
    <t>['unbalanced dipole', 'successful version', 'slot antenna', 'previous paper', 'present paper', 'placed orthogonal', 'one side', 'one end', 'numerically investigate', 'miniature antennas', 'metal screen', 'magnetic radiators', 'dipole passes', 'conductor line', 'common single', 'antennas proposed', 'antenna consists', 'absorbing resistor']</t>
  </si>
  <si>
    <t>Miniature antennas with frequency-independent input impedance can be constructed using electric and magnetic radiators with an additional absorbing resistor. A successful version of a dipole-slot antenna is described in a previous paper. This antenna consists of slots in a metal screen, closed on one side with a resonator and an unbalanced dipole, placed orthogonal to the screen, so that the axis of the dipole passes through the center of the slot. The dipole and the slot are excited by a common single-conductor line, to one end of which the generator is connected, and to the other an absorbing resistor. In the present paper we propose a method of analyzing the antenna by means of which one can calculate its characteristics. In addition, we numerically investigate an array of such antennas proposed with the idea of increasing the efficiency and directivity.</t>
  </si>
  <si>
    <t>105-108</t>
  </si>
  <si>
    <t>7003580445;6603022446</t>
  </si>
  <si>
    <t>Yatskevich, V. A.;Nikitenko, M. V.</t>
  </si>
  <si>
    <t>Yatskevich V.</t>
  </si>
  <si>
    <t>APPROXIMATE ANALYSIS OF BROADBAND DIPOLE-SLOT ANTENNAS.</t>
  </si>
  <si>
    <t>2-s2.0-0023570573</t>
  </si>
  <si>
    <t>['promising applications', 'must compete', 'microwaves find', 'microwave imaging']</t>
  </si>
  <si>
    <t>Microwaves find a use both in therapy and diagnosis. The most promising applications are still with heating of tumors and the retrieval of the corresponding temperature distributions. Microwave imaging is of interest in itself, but must compete with other techniques offering greater resolution.</t>
  </si>
  <si>
    <t>Andersen, Jorgen Bach</t>
  </si>
  <si>
    <t>Aalborg</t>
  </si>
  <si>
    <t>Aalborg University</t>
  </si>
  <si>
    <t>MEDICAL APPLICATIONS OF MICROWAVES.</t>
  </si>
  <si>
    <t>2-s2.0-0023571019</t>
  </si>
  <si>
    <t>['line center', 'fwhm 6', 'carbon monoxide', 'calibration techniques', '6 ).', '55 k', '3 kms', '13 wm', '1 might']</t>
  </si>
  <si>
    <t>CO Observations | Heterodyne Spectrometer | Molecular Lines</t>
  </si>
  <si>
    <t>A compact heterodyne receiver system used in the Kuiper Airborne Observatory (KAO) is described. Calibration techniques and methods for eliminating standing wave effects are presented. The J=7-6 rotational transition of carbon monoxide was detected in OMC-1 and in W3 with a beam of 5.5‚Ä≤ HPBW. The peak antenna temperature of OMC-1 is 55 K, with the line center at +8¬±1 kms-1 and FWHM 6.0¬±0.3 kms-1. The total line flux in our beam is 7.8√ó10-13 Wm-2. This relatively high value seems to indicate that OMC-1 might be extended over at least several arcminutes in CO (J=7-6). In W3, the peak antenna temperature is 6¬±2 K, with line center at -42¬±2 kms-1 and FWHM ‚àº9 kms-1. The total line flux is 1.5√ó10-13 Wm-2. W3 thus emits about 50 L‚äô in CO (J=7-6) alone. ¬© 1987 Plenum Publishing Corporation.</t>
  </si>
  <si>
    <t>1541-1556</t>
  </si>
  <si>
    <t>60001754;60001754;60001754;60001754;60001754;60001754</t>
  </si>
  <si>
    <t>7006727330;7103383886;6506125627;7201361703;7006130484;6603037461</t>
  </si>
  <si>
    <t>Roeser, H. P.;Schaefer, F.;Schmid-Burgk, J.;Schultz, G. V.;van der Wal, P.;Wattenbach, R.</t>
  </si>
  <si>
    <t>Bonn</t>
  </si>
  <si>
    <t>Max Planck Institute for Radio Astronomy</t>
  </si>
  <si>
    <t>Roeser H.</t>
  </si>
  <si>
    <t>A submillimeter heterodyne receiver for the Kuiper Airborne Observatory and the detection of the 372 Œºm carbon monoxide line J=7-6 in OMC-1 and W3</t>
  </si>
  <si>
    <t>10.1007/BF01012441</t>
  </si>
  <si>
    <t>2-s2.0-0023572412</t>
  </si>
  <si>
    <t>['situation may', 'rapid technological', 'rain attenuation', 'perspective applications', 'noticeable disadvantage', 'network oriented', 'negatively affected', 'much easier', 'may happen', 'interference problems', 'higher frequencies', 'especially rain', 'attenuation may', 'atmospheric precipitations', 'architectural evolution', 'antenna gain', 'advantageously counteracted', 'adaptive methods', '20 ghz']</t>
  </si>
  <si>
    <t>Satellite communication systems for point-to point fixed services have been and are characterized by a rapid technological and architectural evolution, which includes the use of higher and higher frequencies. The paper refers particularly to the use of frequencies above 20 GHz and considers the perspective applications to network oriented and user oriented systems. The frequencies under consideration present advantages for what concerns antenna directivity and interference problems, but have the noticeable disadvantage that their propagation is negatively affected by atmospheric precipitations, especially rain. In case of high availability requirements as may happen in network oriented systems, the rain attenuation to be taken into account is very high (at least in meteorologically unfavourable locations) and may be advantageously counteracted by adaptive methods. In case of low availability requirements, as may happen in user oriented networks, the situation may be much easier, at the point that, increasing the frequency, the increase in attenuation may be lower than the increase in antenna gain.</t>
  </si>
  <si>
    <t>Carassa, Francesco</t>
  </si>
  <si>
    <t>Carassa F.</t>
  </si>
  <si>
    <t>IMPLICATIONS OF THE USE OF FREQUENCIES ABOVE 20 GHz IN SATELLITE FIXED SERVICES COMMUNICATIONS.</t>
  </si>
  <si>
    <t>2-s2.0-0023572571</t>
  </si>
  <si>
    <t>['scattering matrices', 'possible application', 'parallel waveguides', 'multiterminal networks']</t>
  </si>
  <si>
    <t>A method of analyzing finite antenna arrays is proposed. The method is based on a representation of finite antenna arrays in the form of an equivalent multiterminal network. The scattering matrices of the multiterminal networks are found by solving the corresponding boundary value problems of electrodynamics. Areas of possible application of the method are found, and examples are given of the calculation of the characteristics of finite antenna arrays consisting of plane-parallel waveguides.</t>
  </si>
  <si>
    <t>7202540493;7004577920</t>
  </si>
  <si>
    <t>Maksimov, V. M.;Sukharev, I. G.</t>
  </si>
  <si>
    <t>Maksimov V.</t>
  </si>
  <si>
    <t>DESIGN OF FINITE ANTENNA ARRAYS BY WAVEGUIDE MODELLING OF INFINITE PHASED ANTENNA ARRAYS.</t>
  </si>
  <si>
    <t>2-s2.0-0023573758</t>
  </si>
  <si>
    <t>['year lifetime', 'thematic mapper', 'operational system', 'obtain design', 'modified antenna', 'image data', 'gain experience', 'fabrication experience', 'experimental basis', 'diameter antenna', 'changes necessary', 'als 9', 'allow collection', 'alice springs', '85 mb']</t>
  </si>
  <si>
    <t>The ALS/CSIRO Signal Processing Experiment was devised to gain experience in the acquisition and processing of high-quality-image data from the thematic mapper on the Landsat V satellite. These data are relayed to earth on an 8212. 5 MHz radio link at a rate of 85 Mb s** minus **1. The ALS 9. 14-m-diameter antenna at Alice Springs is currently being modified by CSIRO to allow collection of these data on an experimental basis. The changes necessary and the expected system performance of the modified antenna are outlined. The aim was to obtain design and fabrication experience with a minimum of cost and with no impact on the normal MSS operations of ALS. Design was based on a two-year lifetime and is far from an operational system.</t>
  </si>
  <si>
    <t>285-294</t>
  </si>
  <si>
    <t>7404355243;7101948992;6506661776;57199847517;7201399131;6505588667;6603625198</t>
  </si>
  <si>
    <t>Cooper, D. N.;Parsons, B. F.;Moorey, G. G.;Kennedy, R. A.;James, G. L.;Wilcockson, B.;van der Meulen, G. C.J.</t>
  </si>
  <si>
    <t>Cooper D.N.</t>
  </si>
  <si>
    <t>AUSTRALIAN LANDSAT STATION AT X-BAND.</t>
  </si>
  <si>
    <t>2-s2.0-0023575228</t>
  </si>
  <si>
    <t>['state shape', 'state convergence', 'model reduction', 'limited number', 'finite element', 'controller gains', 'control actuators', 'computationally simpler', 'companion paper', 'approximation method']</t>
  </si>
  <si>
    <t>aerospace structures | control theory | Distributed parameter systems | partial differential equations</t>
  </si>
  <si>
    <t>We propose an on-line control approach which will adjust the steady-state shape of a large antenna arbitrarily close to any achievable desired profile. The method makes use of distributed-parameter system theory and allows refocusing using a limited number of control actuators and sensors. The controller gains are calculated by approximating the solution to an infinite-dimensional optimal quasi-static control problem. The controller gain calculation is computationally simpler than that proposed in a companion paper. The Galerkin (finite element) approximation method is used for model reduction. We prove that both gain and state convergence can be achieved by using the proposed approximation scheme. ¬© 1987 Plenum Publishing Corporation.</t>
  </si>
  <si>
    <t>403-416</t>
  </si>
  <si>
    <t>Journal of Optimization Theory and Applications</t>
  </si>
  <si>
    <t>60025534;60025534</t>
  </si>
  <si>
    <t>6603925447;7004861131</t>
  </si>
  <si>
    <t>Sievers, L. A.;Balas, M. J.</t>
  </si>
  <si>
    <t>Troy</t>
  </si>
  <si>
    <t>Rensselaer Polytechnic Institute</t>
  </si>
  <si>
    <t>Sievers L.</t>
  </si>
  <si>
    <t>Suboptimal shape control for quasi-static distributed-parameter systems</t>
  </si>
  <si>
    <t>10.1007/BF00941177</t>
  </si>
  <si>
    <t>2-s2.0-0023576399</t>
  </si>
  <si>
    <t>['scanning angles', 'rectilinear conductors', 'oriented arbitrarily', 'input impedance', 'current distribution', 'corner antenna', 'compiled using']</t>
  </si>
  <si>
    <t>An algorithm for calculating the characteristics of a periodic phased antenna array whose elements consist of rectilinear conductors, oriented arbitrarily with respect to the plane of the array, is proposed. The algorithm is compiled using the Pocklington integral equation using piecewise-trigonometric basis functions of the current to approximate the current distribution in an element of the array. The results of a calculation of the input impedance as a function of the angle of inclination of the arms of a corner antenna over a range of scanning angles are presented.</t>
  </si>
  <si>
    <t>44-48</t>
  </si>
  <si>
    <t>7006839310;6601928381;6602156706</t>
  </si>
  <si>
    <t>Bodrov, V. V.;Volodina, I. V.;Chistyakova, I. A.</t>
  </si>
  <si>
    <t>Bodrov V.</t>
  </si>
  <si>
    <t>MATHEMATICAL MODELING OF DIPOLE RADIATORS WITH INCLINED AND INTERSECTING CONDUCTORS IN A PHASE ANTENNA ARRAY.</t>
  </si>
  <si>
    <t>2-s2.0-0023576483</t>
  </si>
  <si>
    <t>['region emp', 'provide high', 'protect installations', 'oxide varistor', 'nil ).', 'induced lightning', 'improved high', 'hemp ),', 'free protection', 'first element', 'fast rise', 'extended networks', 'energy relief', 'emp threat', 'electromagnetic pulse', 'device technologies', 'authors report', 'altitude emp']</t>
  </si>
  <si>
    <t>The authors report the development of improved high-energy surge arresters (HESAs) to protect installations from EMP (electromagnetic pulse) induced on extended networks. The EMP threat was defined in terms of a composite threat envelope which embodied the high frequency aspects of high-altitude EMP (HEMP), the high current level of source-region EMP (SREMP) and the high charge level of nuclear-induced lightning (NIL). The installations of concern included ac power lines and high-power transmitter antennas. A solid-state, self-recovery HESA design concept was developed for kilowatt (rms)-level, RF transmitters using existing metal-oxide varistor and saturable-magnetic-device technologies. This concept, based on a two-element hybrid protective device approach, has the capability to provide high-voltage/fast-risetime and long-pulse/high-current threat protection. The first element provides delay-free protection against the fast rise-time HEMP threat and was implemented using metal-oxide varistor technology. The second element provides the high-energy relief for the first element, and was implemented using saturable magnetics.</t>
  </si>
  <si>
    <t>NS-34</t>
  </si>
  <si>
    <t>IEEE Transactions on Nuclear Science</t>
  </si>
  <si>
    <t>6603661944;7801389112</t>
  </si>
  <si>
    <t>Tasca, Dante M.;Swant, David H.</t>
  </si>
  <si>
    <t>Tasca D.M.</t>
  </si>
  <si>
    <t>APPLICATION OF SATURABLE MAGNETICS IN THE EMP PROTECTION OF HIGH POWER, RF TRANSMITTERS.</t>
  </si>
  <si>
    <t>2-s2.0-0023576535</t>
  </si>
  <si>
    <t>['significant improvements', 'previous systems', 'marconi radar', 'large volume', 'data received']</t>
  </si>
  <si>
    <t>After a description of secondary surveillance radar principles, this paper describes shortcomings of previous systems which have been eliminated by significant improvements to the antenna, to the direction finding technique used and to the processing of the large volume of data received. These improvements have been embodied in Messenger, Marconi Radar's latest monopulse SSR system. The paper gives examples of the improved results measured during the Messenger system evaluation program.</t>
  </si>
  <si>
    <t>86-97</t>
  </si>
  <si>
    <t>GEC Review</t>
  </si>
  <si>
    <t>Cole, H. W.</t>
  </si>
  <si>
    <t>Marconi Radar Systems Ltd</t>
  </si>
  <si>
    <t>Cole H.</t>
  </si>
  <si>
    <t>MESSENGER - A HIGH PERFORMANCE MONOPULSE SECONDARY RADAR SYSTEM.</t>
  </si>
  <si>
    <t>2-s2.0-0023576552</t>
  </si>
  <si>
    <t>['surface wave', 'plasma frequency', 'plasma cylinder', 'instantaneous disappearance', 'frequencies close', 'directed perpendicular', 'directed along']</t>
  </si>
  <si>
    <t>The problem of reradiation of the surface wave of a plasma cylinder into a volumetric electromagnetic wave with instantaneous disappearance of the plasma is analyzed. It is shown that at frequencies much less than the plasma frequency the radiation is directed along the axis of the cylinder, while at frequencies close to the plasma frequency, it is directed perpendicular to the axis.</t>
  </si>
  <si>
    <t>63-66</t>
  </si>
  <si>
    <t>Soviet Physics - Lebedev Institute Reports (English Translation of Sbornik Kratkie Soobshcheniya p</t>
  </si>
  <si>
    <t>7101838046;7005944284</t>
  </si>
  <si>
    <t>Vladimirov, S. V.;Rukhadze, A. A.</t>
  </si>
  <si>
    <t>Vladimirov S.V.</t>
  </si>
  <si>
    <t>DEVELOPING A PLASMA ANTENNA THEORY.</t>
  </si>
  <si>
    <t>2-s2.0-0023579610</t>
  </si>
  <si>
    <t>['vlf antennas', 'type used', 'operational difficulties', 'commonly encountered']</t>
  </si>
  <si>
    <t>The characteristics of VLF antennas of the type used by the Omega navigational system operating near 11 kHz have been discussed. The operational difficulties which are commonly encountered with this type of antenna have been highlighted and the methods which are employed to optimize their efficiency have been discussed.</t>
  </si>
  <si>
    <t>Lucas, J. G.</t>
  </si>
  <si>
    <t>Lucas J.</t>
  </si>
  <si>
    <t>VLF ANTENNAS OF THE OMEGA TYPE - A TUTORIAL APPROACH.</t>
  </si>
  <si>
    <t>2-s2.0-0023581194</t>
  </si>
  <si>
    <t>['two antennas', 'time position', 'priori estimate', 'necessary operations', 'likelihood method', 'known envelope', 'interfering rereflections', 'given signals', 'fluctuation noise', 'difficult owing', 'antiphase connection']</t>
  </si>
  <si>
    <t>We consider an algorithm for estimating the time position of a packet of pulses with known envelope in the presence of fluctuation noise and interfering rereflections. The envelope is produced by two antennas in antiphase connection with partially overlapping directivity patterns. Utilization of the maximum-likelihood method to measure the delay of such signals is difficult owing to the rigid requirements applying to the a priori estimate. The concepts and methods of an optimal discrete Kalman filter were used in developing the algorithm. The necessary operations have been worked out for solution of the problem with the given signals and have been simplified so that the algorithm can be realized by a microprocessor.</t>
  </si>
  <si>
    <t>111-113</t>
  </si>
  <si>
    <t>Fedosova, A. I.</t>
  </si>
  <si>
    <t>Fedosova A.</t>
  </si>
  <si>
    <t>PULSE-PACKET TIME-POSITION GAUGE.</t>
  </si>
  <si>
    <t>2-s2.0-0023581538</t>
  </si>
  <si>
    <t>['transmission mode', 'signal spectrum', 'signal ratio', 'radiation field', 'inherent noise', 'energy spectrum']</t>
  </si>
  <si>
    <t>An expression is obtained for the energy spectrum of the radiation field of an active phased antenna array of continuous-signal systems taking time destabilizing factors into account. A comparison is made with the energy spectrum of a passive phased antenna array. The distortions of the signal spectrum of the exciter and the dependence of the level of its components on the direction in space are found. The noise/signal ratio in the transmission mode is estimated when inherent noise of the active phased antenna array amplifiers is present.</t>
  </si>
  <si>
    <t>60-65</t>
  </si>
  <si>
    <t>Gostyukhin, V. L.</t>
  </si>
  <si>
    <t>Gostyukhin V.</t>
  </si>
  <si>
    <t>SPECTRAL CHARACTERISTICS OF ACTIVE PHASED ANTENNA ARRAYS.</t>
  </si>
  <si>
    <t>2-s2.0-0023585898</t>
  </si>
  <si>
    <t>['technical design', 'june 1', 'ebu ).', 'danmarks radio', 'article describes']</t>
  </si>
  <si>
    <t>The article describes the satellite earth station put into service on June 1, 1987 for the purpose of receiving and transmitting TV signals for Danmarks Radio, the Danish broadcasting corporation, within the framework of the European Broadcasting Union (EBU). The background to the construction of the station and its technical design are described.</t>
  </si>
  <si>
    <t>68-72</t>
  </si>
  <si>
    <t>Teleteknik (English Edition)</t>
  </si>
  <si>
    <t>Malmberg, Peter</t>
  </si>
  <si>
    <t>TDC AS</t>
  </si>
  <si>
    <t>Malmberg P.</t>
  </si>
  <si>
    <t>SATELLITE EARTH STATION FOR EBU.</t>
  </si>
  <si>
    <t>2-s2.0-0023587361</t>
  </si>
  <si>
    <t>['wave processing', 'systems theory', 'scientific problems', 'present stage', 'possible classification', 'part played', 'need attention', 'important problems', 'antennas using', 'antenna theory', 'antenna systems']</t>
  </si>
  <si>
    <t>Problems in the development of antenna-systems theory and techniques are discussed. In particular the part played by antenna systems in modern radio equipment is determined. A possible classification of antennas using the criterion of the degree of signal and electromagnetic-wave processing in the antenna and its channel is presented. The features of the present stage of the development of antenna theory and techniques are considered, and the most important problems in antenna theory and technique which need attention in order to solve future economic and scientific problems are formulated.</t>
  </si>
  <si>
    <t>8217709300;7202540493</t>
  </si>
  <si>
    <t>Voskresenskii, D. I.;Maksimov, V. M.</t>
  </si>
  <si>
    <t>Voskresenskii D.I.</t>
  </si>
  <si>
    <t>DEVELOPMENT OF ANTENNA SYSTEMS (SURVEY).</t>
  </si>
  <si>
    <t>2-s2.0-0023591678</t>
  </si>
  <si>
    <t>['trunk part', 'thus applicable', 'subscriber services', 'paper describes', 'next generation', 'include many', 'immediate demand', 'high capacity', 'future services', 'docat system', 'docat concept', '565 mbit']</t>
  </si>
  <si>
    <t>The DOCAT Digital Optical CATV Trunk system is a modern CATV concept. It fulfils the immediate demand for distribution of TV and radio programmes using classical coaxial subscriber networks combined with the newest digital optical fibre techniques. The trunk part of the network is thus applicable for the next generation of subscriber services. Further, when the DOCAT system is combined with the newest telecommunications techniques, i. e. 565 Mbit/s transmission, the capacity of the network will be sufficient to include many of the future services. This paper describes the basics of the DOCAT concept which together with SYSTEM 565 ES offers high quality, high capacity and future-proof CATV networks.</t>
  </si>
  <si>
    <t>455-458</t>
  </si>
  <si>
    <t>Cable television engineering</t>
  </si>
  <si>
    <t>Hede, Carsten</t>
  </si>
  <si>
    <t>Brondby</t>
  </si>
  <si>
    <t>NKT Holding A/S</t>
  </si>
  <si>
    <t>Hede C.</t>
  </si>
  <si>
    <t>HOW TO TRANSMIT 8 HIGH QUALITY TV PROGRAMMES ON ONE OPTICAL FIBRE.</t>
  </si>
  <si>
    <t>2-s2.0-0023592499</t>
  </si>
  <si>
    <t>['source interference', 'several sources', 'relationships among', 'polarization selection', 'polarization parameters', 'noise set', 'narrowband space', 'likelihood ratio', 'internal noise', 'familiar factors']</t>
  </si>
  <si>
    <t>Processing that is optimal in the sense of the likelihood ratio is considered for a narrowband space-time elliptically polarized radio signal received in a background of noise set up by several sources and internal noise. It is shown that the effectiveness of polarization selection is determined, in addition to the familiar factors, by the relationships among the energy and polarization parameters of the external-source interference.</t>
  </si>
  <si>
    <t>6701570597;6507775669</t>
  </si>
  <si>
    <t>Radzievskii, V. G.;Myazitova, L. Sh</t>
  </si>
  <si>
    <t>Radzievskii V.</t>
  </si>
  <si>
    <t>RECEPTION OF AN ELLIPTICALLY POLARIZED SPACE-TME SIGNAL IN THE PRESENCE OF INTERFERENCE SET UP BY EXTERNAL SOURCES.</t>
  </si>
  <si>
    <t>2-s2.0-0023593944</t>
  </si>
  <si>
    <t>['radar direction', 'popular techniques', 'methods based', 'give improvements', 'external environment']</t>
  </si>
  <si>
    <t>Radar direction-finding (DF) methods based on a model of the external environment as seen by a linear phased array can give improvements over conventional Fourier Transform based techniques. The more popular techniques, based on adaptive beam scanning and eigenanalysis of the array covariance matrix are analyzed.</t>
  </si>
  <si>
    <t>193-207</t>
  </si>
  <si>
    <t>GEC journal of research</t>
  </si>
  <si>
    <t>Starkey, P. G.</t>
  </si>
  <si>
    <t>Starkey P.</t>
  </si>
  <si>
    <t>DIRECTION-FINDING WITH LINEAR PHASED ARRAYS USING EIGEN-ANALYSIS TECHNIQUES.</t>
  </si>
  <si>
    <t>2-s2.0-0023594713</t>
  </si>
  <si>
    <t>['widely used', 'waveguide transitions', 'present time', 'metal waveguides', 'insertion loss', 'horn transitions', 'horn transition', 'dielectric waveguides', 'constructional parameters', 'considerable importance']</t>
  </si>
  <si>
    <t>When developing devices based on dielectric waveguides, it is of considerable importance to have a choice of dielectric-waveguide transitions. Horn transitions are widely used at the present time to excite dielectric waveguides. In this paper we describe experimental investigations of the characteristics of a horn transition from metal waveguides to mirror dielectric waveguides, namely, the insertion loss and the level of reflections over a wide frequency range as a function of the constructional parameters of the transition.</t>
  </si>
  <si>
    <t>84-87</t>
  </si>
  <si>
    <t>6506488651;6503966528;6504169218;7102325503</t>
  </si>
  <si>
    <t>Emel'yanenkov, B. N.;Marytnik, T. N.;Dzyubanyuk, D. A.;Sidorenko, A. P.</t>
  </si>
  <si>
    <t>Emel'yanenkov B.</t>
  </si>
  <si>
    <t>EXPERIMENTAL INVESTIGATIONS OF A HORN TRANSITION FROM METAL TO MIRROR DIELECTRIC WAVEGUIDE.</t>
  </si>
  <si>
    <t>2-s2.0-0023596782</t>
  </si>
  <si>
    <t>['working point', 'thermal noise', 'theoretically investigated', 'parameter g', 'nonthermodynamic fluctuations', 'limiting sensitivity', 'frequency squid', 'amplitude demodulation', 'adjacent plateaus']</t>
  </si>
  <si>
    <t>The limiting sensitivity of a solid-state gravitational antenna with a recording element based on a radio-frequency squid is theoretically investigated, choosing a working point between adjacent plateaus. Formulas are obtained for estimating the minimum observable force determined by the thermal noise of the contact, the thermal noise of the contour, and the nonthermodynamic fluctuations of the preamplifier, with amplitude demodulation of the squid output signal. The optimal magnetomechanical coupling coefficient is determined as a function of the parameter g.</t>
  </si>
  <si>
    <t>107-109</t>
  </si>
  <si>
    <t>Gusev, A. V.</t>
  </si>
  <si>
    <t>Gusev A.</t>
  </si>
  <si>
    <t>QUANTUM INTERFEROMETER IN REGENERATED CONDITIONS AT A GRAVITATIONAL ANTENNA.</t>
  </si>
  <si>
    <t>2-s2.0-0023599421</t>
  </si>
  <si>
    <t>['widely used', 'phasing circuits', 'phase shifters', 'phase shifter', 'phase shift', 'overall length', 'operating frequencies', 'microwave techniques', 'control algorithm', 'antenna arrays']</t>
  </si>
  <si>
    <t>Digital phase shifters, are widely used in microwave techniques, and also in the phasing circuits of the radiators of antenna arrays. The value of the differential phase shift DELTA phi //i of such phase shifters is controlled by changing the overall length of sections of transmission line using switching units. In this paper we solve the problem of extending the range of operating frequencies for this type of phase shifter by optimizing the method of design and using a control algorithm which depends on the phase shift and on the frequency.</t>
  </si>
  <si>
    <t>81-84</t>
  </si>
  <si>
    <t>Tilichenko, M. P.</t>
  </si>
  <si>
    <t>Tilichenko M.</t>
  </si>
  <si>
    <t>MULTIDIGIT BROADBAND MICROWAVE PHASE SHIFTER.</t>
  </si>
  <si>
    <t>2-s2.0-0023600358</t>
  </si>
  <si>
    <t>['theoretical assumptions', 'solved using', 'reversible duality', 'required values', 'reflection coefficients', 'reflection coefficient', 'practical interest', 'incident wave', 'geometrical dimensions', 'experimental results', 'antenna techniques', 'agreement confirms']</t>
  </si>
  <si>
    <t>The use of perforated metal screens, reinforced with a dielectric, is of practical interest in antenna techniques. It is then necessary to determine the geometrical dimensions of the system, namely, the thickness of the layer, the form and position of the openings as a function of the required values of the transmission and reflection coefficient, and the angle and polarization of the incident wave. The problem is solved using the principle of reversible duality. Relations are obtained for the transmission and reflection coefficients. The theoretical results obtained are compared with experimental results, and their agreement confirms the correctness of the theoretical assumptions and relationships.</t>
  </si>
  <si>
    <t>49-53</t>
  </si>
  <si>
    <t>7003720048;7006916053;7102360910</t>
  </si>
  <si>
    <t>Kaplun, V. A.;Fedin, V. I.;Zakharov, S. M.</t>
  </si>
  <si>
    <t>Kaplun V.</t>
  </si>
  <si>
    <t>DIFFRACTION OF ELECTROMAGNETIC WAVES BY A PERFORATED METAL SCREEN IN A DIELECTRIC LAYER.</t>
  </si>
  <si>
    <t>2-s2.0-0023601102</t>
  </si>
  <si>
    <t>['tae scheme', 'specified bands', 'small mirror', 'radiation field', 'radiating system', 'one area', 'often leads', 'multiband radiator', 'mirror antennas', 'mirror antenna', 'millimeter bands', 'large mirror', 'geometrical theory', 'extremely strict', 'elliptic generatrix', 'current method', 'current distribution', 'cassegrain arrangement']</t>
  </si>
  <si>
    <t>Two-mirror antennas have become widely used in various radio systems. One area of further development is to ensure that such antennas are multifunctional, which includes simultaneous operation in widely spaced frequency bands. Attempts to obtain the maximum possible antenna parameters simultaneously in all the specified bands, for example, in the centimeter and millimeter bands, often leads to the imposition of extremely strict and even contradictory requirements on the construction of a multiband radiator. We investigated two constructions of two-mirror antennas, namely, the Cassegrain arrangement and the TAE scheme (the two-mirror antenna with an elliptic generatrix of the small mirror and a displaced parabolic axis of the large mirror. The radiation field of the antenna was calculated by the current method, which is necessary in order to determine the current distribution in the mirror, and the radiation field of the radiating system was found by the geometrical theory of diffraction.</t>
  </si>
  <si>
    <t>36907890500;6602873460</t>
  </si>
  <si>
    <t>Bondar, L. V.;Gryanik, M. V.</t>
  </si>
  <si>
    <t>Bondar L.</t>
  </si>
  <si>
    <t>EFFECTIVENESS OF TWO-MIRROR ANTENNAS WHEN OPERATING IN SPACED FREQUENCY BANDS.</t>
  </si>
  <si>
    <t>2-s2.0-0023601103</t>
  </si>
  <si>
    <t>['vswr less', 'physical dimensions', 'paper introduces', 'microwave frequencies', 'measured patterns', 'fat cylindrical', 'excellent agreement', 'elevation patterns', 'diameter ratio']</t>
  </si>
  <si>
    <t>This paper introduces the concept that extremely fat monopole antennas (length-to-diameter ratio of about two) can be made to operate with VSWR less than 2:1 over a 3:1 frequency bandwidth at microwave frequencies. These monopole antennas exploit the physical dimensions of commonly used microwave coaxial connectors to reduce excess base capacitance. The body of revolution moment method is used to predict the elevation patterns of very fat cylindrical and conical monopoles mounted at the center of finite circular ground planes. Excellent agreement is achieved between predicted and measured patterns.</t>
  </si>
  <si>
    <t>31-33</t>
  </si>
  <si>
    <t>7404140488;35560866400</t>
  </si>
  <si>
    <t>Baker, D. E.;Botha, L.</t>
  </si>
  <si>
    <t>PATTERN PREDICTION AND VSWR PERFORMANCE OF BROADBAND MONOPOLE ANTENNAS FOR MICROWAVE FREQUENCIES.</t>
  </si>
  <si>
    <t>2-s2.0-0023601591</t>
  </si>
  <si>
    <t>['reflector optics', 'paper outlines', 'new 22', 'eventually operate', 'australia telescope', '115 ghz']</t>
  </si>
  <si>
    <t>The Australia Telescope is expected to eventually operate over a very wide frequency range of 0. 327 to 115 GHz. This paper outlines the reflector optics for the new 22 m diameter Cassegrain reflectors and the associated feed system designed to meet this demand.</t>
  </si>
  <si>
    <t>295-297</t>
  </si>
  <si>
    <t>AUSTRALIA TELESCOPE ANTENNAS: REFLECTOR OPTICS AND FEED SYSTEM.</t>
  </si>
  <si>
    <t>2-s2.0-0023601599</t>
  </si>
  <si>
    <t>['sometimes installed', 'flight vehicles', 'dimensional continuous', 'atmospheric conditions']</t>
  </si>
  <si>
    <t>Fairings in the form of hemispheres are sometimes installed on the surface of flight vehicles: radar antenna fairings, blisters, and so on. In this paper, the flow characteristics around a hemisphere are presented. The experiments were conducted in a two-dimensional continuous-operation wind tunnel with air stream stagnation parameters equal to atmospheric conditions.</t>
  </si>
  <si>
    <t>131-134</t>
  </si>
  <si>
    <t>Soviet Aeronautics (English translation of Izvestiya VUZ, Aviatsionnaya Tekhnika)</t>
  </si>
  <si>
    <t>Shushin, N. A.</t>
  </si>
  <si>
    <t>Shushin N.</t>
  </si>
  <si>
    <t>CHARACTERISTICS OF FLOW AROUND A HEMISPHERE ON A PLANE.</t>
  </si>
  <si>
    <t>2-s2.0-0023601648</t>
  </si>
  <si>
    <t>['problems encountered', 'problems associated', 'bodied structures', 'antennas fitted', 'antenna measurements']</t>
  </si>
  <si>
    <t>This paper describes two instrumentation systems which utilize fiber optics to improve the quality of antenna measurements. First the problems encountered in determining the free space patterns of antennas fitted to aircraft are discussed and a solution using fiber optics is given. Second the problems associated with the measurement of capacitance of electrically short antennas (or open-bodied structures) is discussed and an instrument is described which can make these measurements with greatly improved accuracy.</t>
  </si>
  <si>
    <t>278-281</t>
  </si>
  <si>
    <t>7101839518;6701805084</t>
  </si>
  <si>
    <t>Kemp, W. M.;Tickner, A. T.</t>
  </si>
  <si>
    <t>Kemp W.</t>
  </si>
  <si>
    <t>ROLE FOR FIBRE OPTICS IN ANTENNA MEASUREMENTS.</t>
  </si>
  <si>
    <t>2-s2.0-0023604212</t>
  </si>
  <si>
    <t>['simple near', 'quality control', 'particularly useful', 'little space', 'linear near', 'implemented indoors', 'good estimate', 'field technique', 'field method', 'antenna production']</t>
  </si>
  <si>
    <t>A simple near-field technique for obtaining a good estimate of the azimuth plane radiation pattern of a linear slotted waveguide array is presented. The method entails measuring the near-field of the antenna and computing the far-field radiation pattern. The linear near-field method can be implemented indoors, requires very little space, and may be particularly useful for quality control during antenna production.</t>
  </si>
  <si>
    <t>63-69</t>
  </si>
  <si>
    <t>7005311898;7004301548;7202536090</t>
  </si>
  <si>
    <t>Cloete, J. H.;du Toit, L. J.;George, W. I.</t>
  </si>
  <si>
    <t>LINEAR NEAR-FIELD MEASUREMENTS ON A SLOTTED WAVEGUIDE ARRAY.</t>
  </si>
  <si>
    <t>2-s2.0-0023606343</t>
  </si>
  <si>
    <t>['representative sample', 'papers published', 'development undertaken', 'briefly outlined', 'antenna research', '20 institutions']</t>
  </si>
  <si>
    <t>Antenna research and development undertaken in Australia in the five-year period since 1982 is briefly outlined. Over 20 institutions and industries are included in this review and a representative sample is given of papers published in the period.</t>
  </si>
  <si>
    <t>227-233</t>
  </si>
  <si>
    <t>60029470;60029470</t>
  </si>
  <si>
    <t>7202832083;7201399131</t>
  </si>
  <si>
    <t>Bird, T. S.;James, G. L.</t>
  </si>
  <si>
    <t>ANTENNA RESEARCH &amp; DEVELOPMENT IN AUSTRALIA: A PROGRESS REPORT.</t>
  </si>
  <si>
    <t>2-s2.0-0023606776</t>
  </si>
  <si>
    <t>['special request', 'minus 0', 'fed horns', 'although uncertainties', '4 ghz', '25 dbi', '1 db']</t>
  </si>
  <si>
    <t>The National Measurement Laboratory provides a standard-horn gain calibration service from 2. 4 GHz to 18 GHz using the three antenna method in a microwave anechoic chamber. The usual uncertainty quoted for waveguide or coaxially-fed horns with gains up to 25 dBi is plus or minus 0. 1 dB, although uncertainties as low as plus or minus 0. 05 dB may be achievable on special request for waveguide-fed horns.</t>
  </si>
  <si>
    <t>261-263</t>
  </si>
  <si>
    <t>55581757800;7402951745</t>
  </si>
  <si>
    <t>Hunter, J. D.;Campbell, P. W.</t>
  </si>
  <si>
    <t>Hunter J.</t>
  </si>
  <si>
    <t>MICROWAVE STANDARD-HORN CALIBRATION SYSTEM AT THE NATIONAL MEASUREMENT LABORATORY.</t>
  </si>
  <si>
    <t>2-s2.0-0023606778</t>
  </si>
  <si>
    <t>['single pulse', 'sapphire substrate', 'recent advances', 'picosecond duration', 'photoconductively generate', 'damaged silicon', 'achieved using']</t>
  </si>
  <si>
    <t>We report on the recent advances in using integrated planar antenna technology to photoconductively generate and detect picosecond radiation. Detection of a single pulse of picosecond duration has been achieved using a coplanar antenna structure fabricated on a radiation-damaged silicon-on-sapphire substrate.</t>
  </si>
  <si>
    <t>212-214</t>
  </si>
  <si>
    <t>56979508400;57196953356</t>
  </si>
  <si>
    <t>Defonzo, Alfred P.;Lutz, Charles R.</t>
  </si>
  <si>
    <t>Defonzo A.</t>
  </si>
  <si>
    <t>Optoelectronic transmission and reception of ultrashort electrical pulses</t>
  </si>
  <si>
    <t>10.1063/1.98478</t>
  </si>
  <si>
    <t>2-s2.0-0038757502</t>
  </si>
  <si>
    <t>['yig ).', 'uses magneto', 'thin film', 'propagation path', 'propagation direction', 'optical probing', 'optical probe', 'optic effects', 'nonlinear effects', 'ne laser', 'msfvw traveled', 'msfvw profile', 'msfvw modulation', 'monotonic increase', 'microwave magnetization', 'microwave frequency', 'localized probing', 'launching antenna', 'input power', 'focused upon', 'examine linear', 'direction perpendicular', 'always occur', '45 mw', '2 ghz', '15 œºm', '100 œºm']</t>
  </si>
  <si>
    <t>An optical probe system has been developed that uses magneto-optic effects to examine the microwave magnetization of microwave magnetostatic waves propagating in thin ferrite films. The optical probe uses light from a 45 mW, 1.15 Œºm He-Ne laser which is focused upon a ferrite for localized probing. An effective spatial resolution of 100 Œºm was achieved with the optical probe. Experiments to examine linear and nonlinear magnetostatic forward volume waves (MSFVW) were conducted with the probe. MSFVW, with microwave frequency from 1 to 2 GHz, were launched in the [21ÃÑ1ÃÑ] direction of a thin film of liquid-phase-epitaxy (LPE) yttrium-iron-garnet (YIG). The LPE-YIG thin film was 47.4 Œºm thick, and deposited on a 1-in. disk of gadolinium-gallium-garnet with the [111] direction perpendicular to the surface of the disk. The nonlinear microwave MSFVW effects were characterized by a MSFVW power saturation and then a decline as input power to the MSFVW was increased. Localized optical probing of nonlinear effects, along the propagation path of the MSFVW, showed that a monotonic increase in MSFVW modulation of light with increasing microwave input power does not always occur. Optical probing of linear MSFVW examined the evolution of a MSFVW profile, transverse to the phase-propagation direction, as the MSFVW traveled from its launching antenna.</t>
  </si>
  <si>
    <t>972-989</t>
  </si>
  <si>
    <t>Journal of Applied Physics</t>
  </si>
  <si>
    <t>Vlannes, Nickolas P.</t>
  </si>
  <si>
    <t>Vlannes N.</t>
  </si>
  <si>
    <t>Optical probing of magnetostatic forward volume waves in thin film yttrium-iron-garnet</t>
  </si>
  <si>
    <t>10.1063/1.339684</t>
  </si>
  <si>
    <t>2-s2.0-0039631979</t>
  </si>
  <si>
    <t>['spatial distribution', 'potentially useful', 'hf band', 'help evaluate', 'heating shale', 'extract oil']</t>
  </si>
  <si>
    <t>Insulated dipole antennas in the HF band are potentially useful in heating shale in situ to extract oil. To help evaluate the efficiency of such antennas, the spatial distribution of the power absorbed per unit volume in the shale is computed.</t>
  </si>
  <si>
    <t>5455-5457</t>
  </si>
  <si>
    <t>60019947;60022659</t>
  </si>
  <si>
    <t>7201591225;7202185170</t>
  </si>
  <si>
    <t>Casey, John P.;Bansal, Rajeev</t>
  </si>
  <si>
    <t>Storrs;New London</t>
  </si>
  <si>
    <t>University of Connecticut;US Naval Underwater Systems Center</t>
  </si>
  <si>
    <t>60022659;60019947</t>
  </si>
  <si>
    <t>Casey J.</t>
  </si>
  <si>
    <t>Insulated dipole antennas for heating oil shale</t>
  </si>
  <si>
    <t>10.1063/1.338235</t>
  </si>
  <si>
    <t>2-s2.0-0142084963</t>
  </si>
  <si>
    <t>['setae configuration', 'second antenna', 'naupliar stages', 'first appearance', 'drescheriella glacialis', 'copepodid iv', 'apomorphic processes', 'ancestral state', '6 naupliar']</t>
  </si>
  <si>
    <t>All 6 naupliar and 5 copepodite stages of Drescheriella glacialis, a tisbid from Antarctic fast ice, are described. A key for the identification of the naupliar stages is given. Sexual dimorphism makes its first appearance in the copepodid IV. The setae configuration of the exopod of the second antenna in copepodid I is considered to be an ancestral state, and subsequent ontogenetic reductions are proposed to be apomorphic processes. ¬© 1987 Springer-Verlag.</t>
  </si>
  <si>
    <t>81-93</t>
  </si>
  <si>
    <t>Dahms, Hans Uwe</t>
  </si>
  <si>
    <t>Dahms H.</t>
  </si>
  <si>
    <t>Postembryonic development of Drescheriella glacialis Dahms &amp; Dieckmann (Copepoda, Harpacticoida) reared in the laboratory</t>
  </si>
  <si>
    <t>10.1007/BF00297062</t>
  </si>
  <si>
    <t>2-s2.0-0345163298</t>
  </si>
  <si>
    <t>['wood characteristics', 'since wood', 'sapwood ).', 'reasonable cost', 'physical characteristics', 'one variable', 'moisture content', 'metallic objects', 'internal scanning', 'experimental apparatus', 'electromagnetic waves', 'electric permittivity', 'efficient coupling', 'easy automation', 'automatically measures', 'automatic detection']</t>
  </si>
  <si>
    <t>Internal scanning of wood by microwaves presents many advantages for the automatic detection of defects and the evaluation of the characteristics of wood in the dry wood processing industries. Advantages are: access to more than one variable, efficient coupling in the air, easy automation and reasonable cost. Microwaves are electromagnetic waves the speed and attenuation of which depend of the medium in which they are propagated, especially its electric permittivity which depends on its moisture content and its density. Since wood is anisotropic, this dielectric constant also varies with the direction of fibers. An experimental apparatus was set up that allows to test the feasibility of automatic detection of wood characteristics and defects. It automatically measures the attenuation and dephasing of an ultra high frequency wave sent through a board and moving through two rotating antennas. The graphs and results obtained gave significant information of physical characteristics of wood (density, moisture content, slope of grain) and the detection of defects (knots, metallic objects, sapwood). ¬© 1987 Springer-Verlag.</t>
  </si>
  <si>
    <t>361-371</t>
  </si>
  <si>
    <t>Wood Science and Technology</t>
  </si>
  <si>
    <t>60073336;60073336;60073336;60104289</t>
  </si>
  <si>
    <t>55474850300;25824762700;16456619300;55399713300</t>
  </si>
  <si>
    <t>Martin, P.;Collet, R.;Barthelemy, P.;Roussy, G.</t>
  </si>
  <si>
    <t>Nancy;Vandoeouvre-les-Nancy</t>
  </si>
  <si>
    <t>Universit√© de Lorraine;CRAN Centre de Recherche en Automatique de Nancy</t>
  </si>
  <si>
    <t>60104289;60073336</t>
  </si>
  <si>
    <t>Martin P.</t>
  </si>
  <si>
    <t>Evaluation of wood characteristics: Internal scanning of the material by microwaves</t>
  </si>
  <si>
    <t>10.1007/BF00380203</t>
  </si>
  <si>
    <t>2-s2.0-34250105175</t>
  </si>
  <si>
    <t>['tokamak plasma', 'strongly guided', 'shear alfven', 'poloidal array', 'magnetic probes', 'magnetic fields', 'icrf experiments', 'frequencies close', 'experimental results', 'edge heating', 'deuterium plasma', 'cyclotron frequencies', 'also observed']</t>
  </si>
  <si>
    <t>Experimental results are presented which show that shear Alfven and ion-ion hybrid waves in a hydrogen-deuterium plasma are strongly guided by magnetic fields, even at frequencies close to the cyclotron frequencies. Rays were generated by a small dipole loop antenna located at the edge of Tokamak plasma, and detected with a poloidal array of magnetic probes. The rays were observed to follow a trajectory along helical magnetic field lines intersecting the antenna. An additional ray path through the hydrogen cyclotron layer was also observed. These results are of relevance to the problem of edge heating in ICRF experiments.</t>
  </si>
  <si>
    <t>681-696</t>
  </si>
  <si>
    <t>60025709;60025709</t>
  </si>
  <si>
    <t>22991143800;7202235472</t>
  </si>
  <si>
    <t>Borg, G. G.;Cross, R. C.</t>
  </si>
  <si>
    <t>Borg G.</t>
  </si>
  <si>
    <t>Guided propagation of Alfven and ion-ion hybrid waves in a plasma with two ion species</t>
  </si>
  <si>
    <t>10.1088/0741-3335/29/6/001</t>
  </si>
  <si>
    <t>2-s2.0-36149032106</t>
  </si>
  <si>
    <t>['whistler waves', 'system may', 'parametric antenna', 'near field', 'enhanced excitation', 'combination frequencies', 'authors study']</t>
  </si>
  <si>
    <t>The authors study an antenna system consisting of a current loop exciting resonance cones and of an electric dipole generating ion sound waves. The transformation of lower oblique resonance waves on quasineutral density perturbations in the near field of an antenna gives rise to whistler waves on combination frequencies. Their amplitude may exceed several times the amplitude of linear whistler waves excited by the loop itself. The system may be regarded as a parametric antenna for enhanced excitation of whistlers in the ionosphere.</t>
  </si>
  <si>
    <t>1511-1521</t>
  </si>
  <si>
    <t>10B</t>
  </si>
  <si>
    <t>60068924;60068924;60068924</t>
  </si>
  <si>
    <t>6701368960;16435848000;7102269095</t>
  </si>
  <si>
    <t>Fiala, V.;Kruchina, E. N.;Sotnikov, V. I.</t>
  </si>
  <si>
    <t>Czech Republic</t>
  </si>
  <si>
    <t>Prague</t>
  </si>
  <si>
    <t>Geophysical Institute, Prague</t>
  </si>
  <si>
    <t>Fiala V.</t>
  </si>
  <si>
    <t>Whistler excitation by transformation of lower oblique resonance waves on density perturbations in the vicinity of a VLF antenna</t>
  </si>
  <si>
    <t>10.1088/0741-3335/29/10B/004</t>
  </si>
  <si>
    <t>2-s2.0-36149036440</t>
  </si>
  <si>
    <t>['producing strain']</t>
  </si>
  <si>
    <t>The bacteriochlorophyll-d producing strain of bacterial Chlorobium forma thiosulfatophilum (NCIB Strain 8327) alters its chromophore by modification of its 4- and 5-substituents using methylations with S-adenosylmethionine; with time, the strain produces bacteriochlorophyll-c by performing macrocyclic rather than side chain methylation.</t>
  </si>
  <si>
    <t>276-277</t>
  </si>
  <si>
    <t>Journal of the Chemical Society, Chemical Communications</t>
  </si>
  <si>
    <t>56752781800;7801411187</t>
  </si>
  <si>
    <t>Smith, Kevin M.;Bobe, Frank W.</t>
  </si>
  <si>
    <t>Smith K.</t>
  </si>
  <si>
    <t>Light adaptation of bacteriochlorophyll-d producing bacteria by enzymic methylation of their antenna pigments</t>
  </si>
  <si>
    <t>10.1039/C39870000276</t>
  </si>
  <si>
    <t>2-s2.0-37049083869</t>
  </si>
  <si>
    <t>['¬© 1988', 'purple bacteria', 'primary processes', 'physical mechanisms', 'photosynthetic units', 'main aspects', 'latter accompanied', 'energy migration', 'electron excitations', 'consistently include', 'absorbed light']</t>
  </si>
  <si>
    <t>The present work looks at the problems of the primary processes of photosynthesis. The main aspects are the molecular-physical mechanisms of supply of the energy of the absorbed light from the chlorophyll "antenna" to the photochemical reaction centres and the capture of the energy of the electron excitations by the latter accompanied by spatial charge separation. Models of energy migration in photosynthetic units of purple bacteria which naturally and consistently include all the known experimental data are demonstrated. ¬© 1988.</t>
  </si>
  <si>
    <t>1139-1157</t>
  </si>
  <si>
    <t>Biophysics</t>
  </si>
  <si>
    <t>Borisov, A. Yu</t>
  </si>
  <si>
    <t>Borisov A.</t>
  </si>
  <si>
    <t>Energy migration in photosynthesis</t>
  </si>
  <si>
    <t>2-s2.0-45949120157</t>
  </si>
  <si>
    <t>['¬© 1987', 'rights reserved', 'kinetic properties', 'chromophore b84', 'chlorom ercuribenzenesulfonate', 'changes spectroscopic', '1 vibration']</t>
  </si>
  <si>
    <t>Antenna pigments | Biliproteins | CARS | Mastigocladus laminosus | Phycocyanin</t>
  </si>
  <si>
    <t>Titration of trimers of C-phycocyanin with p-chlorom ercuribenzenesulfonate (PCMS) changes spectroscopic and kinetic properties of Chromophore B84. The resonance-enhanced CARS spectra of room tem perature solutions indicate that these changes are due to a modification in B84 chromophore geometry (movement of ring D) as judged by the disappearance ofthe 1245 cm-1 vibration. ¬© 1987, Walter de Gruyter. All rights reserved.</t>
  </si>
  <si>
    <t>1269-1274</t>
  </si>
  <si>
    <t>7401903425;57210379912;56897975200</t>
  </si>
  <si>
    <t>Schneider, S.;Baumann, F.;Kliiter, U.</t>
  </si>
  <si>
    <t>Schneider S.</t>
  </si>
  <si>
    <t>CARS investigation of changes in chromophore geometry of c-phycocyanin from mastigocladus laminosus induced by titration with p-chloromercuribenzenesuifonate</t>
  </si>
  <si>
    <t>10.1515/znc-1987-11-1220</t>
  </si>
  <si>
    <t>2-s2.0-84918598211</t>
  </si>
  <si>
    <t>['¬© 1987', 'values obtained', 'phaeodactylum tricornutum', 'pavlova lutherii', 'harvesting complex', 'gradient centrifugation', 'digitonin solubilisation']</t>
  </si>
  <si>
    <t>(P. lutherii) | (Ph. tricornutum) | Chlorophyll c | Light harvesting complex | Pigment protein complex | Secondary structure | Ultraviolet circular dichroism</t>
  </si>
  <si>
    <t>The light-harvesting complex and Photosystem I have been isolated from thylakoids of two chromophyte algae by digitonin solubilisation and sucrose-gradient centrifugation. The Œ±-helic and Œ≤-structure content was determined by ultraviolet circular dichroism. The values obtained were approx. 40% Œ±-helix and approx. 14% Œ≤-structure for the light-harvesting complex of both Pavlova lutherii and Phaeodactylum tricornutum. For Photosystem I the values were approx. 55% Œ±-helix and 7% Œ≤-structure for both algae. It is concluded that for all photosynthetic antennae containing chlorophyll the dominant secondary structure is Œ±-helix. ¬© 1987.</t>
  </si>
  <si>
    <t>365-369</t>
  </si>
  <si>
    <t>60019615;60019615;60019615</t>
  </si>
  <si>
    <t>7005379828;6603917977;57196232486</t>
  </si>
  <si>
    <t>Hiller, Roger G.;Bardin, Anne Marie;Nabedryk, Eliane</t>
  </si>
  <si>
    <t>Gif-sur-Yvette</t>
  </si>
  <si>
    <t>CEA Saclay</t>
  </si>
  <si>
    <t>Hiller R.</t>
  </si>
  <si>
    <t>The secondary structure content of pigment-protein complexes from the thylakoids of two Chromophyte algae</t>
  </si>
  <si>
    <t>10.1016/0005-2728(87)90114-9</t>
  </si>
  <si>
    <t>2-s2.0-4243416943</t>
  </si>
  <si>
    <t>weighted matrix_7:3</t>
  </si>
  <si>
    <t>weighted matrix_5:5</t>
  </si>
  <si>
    <t>weighted matrix_3:7</t>
  </si>
  <si>
    <t>if</t>
  </si>
  <si>
    <t>fund_sponsor</t>
  </si>
  <si>
    <t>fund_no</t>
  </si>
  <si>
    <t>fund_acr</t>
  </si>
  <si>
    <t>openaccess</t>
  </si>
  <si>
    <t>max-min</t>
  </si>
  <si>
    <t>citation_norm</t>
  </si>
  <si>
    <t>average_citation</t>
  </si>
  <si>
    <t>citedby_count</t>
  </si>
  <si>
    <t>Rake Keyword</t>
  </si>
  <si>
    <t>authkeywords</t>
  </si>
  <si>
    <t>description</t>
  </si>
  <si>
    <t>pageRange</t>
  </si>
  <si>
    <t>article_number</t>
  </si>
  <si>
    <t>issueIdentifier</t>
  </si>
  <si>
    <t>volume</t>
  </si>
  <si>
    <t>aggregationType</t>
  </si>
  <si>
    <t>eIssn</t>
  </si>
  <si>
    <t>source_id</t>
  </si>
  <si>
    <t>issn</t>
  </si>
  <si>
    <t>sjr_norm</t>
  </si>
  <si>
    <t>sjr</t>
  </si>
  <si>
    <t>publicationName</t>
  </si>
  <si>
    <t>coverDisplayDate</t>
  </si>
  <si>
    <t>Year Gap</t>
  </si>
  <si>
    <t>Year</t>
  </si>
  <si>
    <t>coverDate</t>
  </si>
  <si>
    <t>author_afids</t>
  </si>
  <si>
    <t>author_ids</t>
  </si>
  <si>
    <t>author_names</t>
  </si>
  <si>
    <t>author_count</t>
  </si>
  <si>
    <t>affiliation_country</t>
  </si>
  <si>
    <t>affiliation_city</t>
  </si>
  <si>
    <t>affilname</t>
  </si>
  <si>
    <t>afid</t>
  </si>
  <si>
    <t>creator</t>
  </si>
  <si>
    <t>subtypeDescription</t>
  </si>
  <si>
    <t>subtype</t>
  </si>
  <si>
    <t>title</t>
  </si>
  <si>
    <t>pubmed_id</t>
  </si>
  <si>
    <t>pii</t>
  </si>
  <si>
    <t>doi</t>
  </si>
  <si>
    <t>eid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</si>
</sst>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9" x14ac:knownFonts="1">
    <font>
      <sz val="12"/>
      <color theme="1"/>
      <name val="Calibri"/>
      <family val="2"/>
      <scheme val="minor"/>
    </font>
    <font>
      <sz val="12"/>
      <color rgb="FF006100"/>
      <name val="Calibri"/>
      <family val="2"/>
      <scheme val="minor"/>
    </font>
    <font>
      <sz val="12"/>
      <color rgb="FF9C0006"/>
      <name val="Calibri"/>
      <family val="2"/>
      <scheme val="minor"/>
    </font>
    <font>
      <sz val="12"/>
      <color rgb="FF3F3F76"/>
      <name val="Calibri"/>
      <family val="2"/>
      <scheme val="minor"/>
    </font>
    <font>
      <b/>
      <sz val="12"/>
      <color theme="1"/>
      <name val="Calibri"/>
      <family val="2"/>
      <scheme val="minor"/>
    </font>
    <font>
      <b/>
      <sz val="12"/>
      <color rgb="FF3F3F76"/>
      <name val="Calibri"/>
      <family val="2"/>
      <scheme val="minor"/>
    </font>
    <font>
      <b/>
      <sz val="11"/>
      <color theme="1"/>
      <name val="Calibri"/>
      <family val="2"/>
      <scheme val="minor"/>
    </font>
    <font>
      <b/>
      <sz val="12"/>
      <color rgb="FF006100"/>
      <name val="Calibri"/>
      <family val="2"/>
      <scheme val="minor"/>
    </font>
    <font>
      <b/>
      <sz val="12"/>
      <color rgb="FF9C0006"/>
      <name val="Calibri"/>
      <family val="2"/>
      <scheme val="minor"/>
    </font>
  </fonts>
  <fills count="8">
    <fill>
      <patternFill patternType="none"/>
    </fill>
    <fill>
      <patternFill patternType="gray125"/>
    </fill>
    <fill>
      <patternFill patternType="solid">
        <fgColor rgb="FFC6EFCE"/>
      </patternFill>
    </fill>
    <fill>
      <patternFill patternType="solid">
        <fgColor rgb="FFFFC7CE"/>
      </patternFill>
    </fill>
    <fill>
      <patternFill patternType="solid">
        <fgColor rgb="FFFFCC99"/>
      </patternFill>
    </fill>
    <fill>
      <patternFill patternType="solid">
        <fgColor rgb="FFFFFF00"/>
        <bgColor indexed="64"/>
      </patternFill>
    </fill>
    <fill>
      <patternFill patternType="solid">
        <fgColor theme="2" tint="-9.9978637043366805E-2"/>
        <bgColor indexed="64"/>
      </patternFill>
    </fill>
    <fill>
      <patternFill patternType="solid">
        <fgColor theme="2"/>
        <bgColor indexed="64"/>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style="thin">
        <color auto="1"/>
      </top>
      <bottom style="thin">
        <color auto="1"/>
      </bottom>
      <diagonal/>
    </border>
  </borders>
  <cellStyleXfs count="4">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1" applyNumberFormat="0" applyAlignment="0" applyProtection="0"/>
  </cellStyleXfs>
  <cellXfs count="20">
    <xf numFmtId="0" fontId="0" fillId="0" borderId="0" xfId="0"/>
    <xf numFmtId="0" fontId="3" fillId="4" borderId="1" xfId="3"/>
    <xf numFmtId="0" fontId="0" fillId="5" borderId="0" xfId="0" applyFill="1"/>
    <xf numFmtId="2" fontId="1" fillId="0" borderId="0" xfId="1" applyNumberFormat="1" applyFill="1"/>
    <xf numFmtId="2" fontId="1" fillId="2" borderId="0" xfId="1" applyNumberFormat="1"/>
    <xf numFmtId="2" fontId="0" fillId="5" borderId="0" xfId="0" applyNumberFormat="1" applyFill="1"/>
    <xf numFmtId="0" fontId="2" fillId="3" borderId="0" xfId="2"/>
    <xf numFmtId="164" fontId="0" fillId="0" borderId="0" xfId="0" applyNumberFormat="1"/>
    <xf numFmtId="0" fontId="0" fillId="6" borderId="0" xfId="0" applyFill="1"/>
    <xf numFmtId="16" fontId="0" fillId="0" borderId="0" xfId="0" applyNumberFormat="1"/>
    <xf numFmtId="17" fontId="0" fillId="0" borderId="0" xfId="0" applyNumberFormat="1"/>
    <xf numFmtId="0" fontId="0" fillId="7" borderId="0" xfId="0" applyFill="1"/>
    <xf numFmtId="0" fontId="5" fillId="0" borderId="1" xfId="3" applyFont="1" applyFill="1"/>
    <xf numFmtId="0" fontId="6" fillId="0" borderId="2" xfId="0" applyFont="1" applyBorder="1" applyAlignment="1">
      <alignment horizontal="center" vertical="top"/>
    </xf>
    <xf numFmtId="0" fontId="4" fillId="0" borderId="0" xfId="0" applyFont="1"/>
    <xf numFmtId="2" fontId="7" fillId="0" borderId="0" xfId="1" applyNumberFormat="1" applyFont="1" applyFill="1"/>
    <xf numFmtId="2" fontId="4" fillId="0" borderId="0" xfId="0" applyNumberFormat="1" applyFont="1"/>
    <xf numFmtId="0" fontId="6" fillId="0" borderId="0" xfId="0" applyFont="1" applyAlignment="1">
      <alignment horizontal="center" vertical="top"/>
    </xf>
    <xf numFmtId="0" fontId="8" fillId="0" borderId="0" xfId="2" applyFont="1" applyFill="1" applyBorder="1" applyAlignment="1">
      <alignment horizontal="center" vertical="top"/>
    </xf>
    <xf numFmtId="164" fontId="4" fillId="0" borderId="0" xfId="0" applyNumberFormat="1" applyFont="1"/>
  </cellXfs>
  <cellStyles count="4">
    <cellStyle name="Bad" xfId="2" builtinId="27"/>
    <cellStyle name="Good" xfId="1" builtinId="26"/>
    <cellStyle name="Input" xfId="3"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year_data/antenna_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tenna_all"/>
      <sheetName val="Sheet2"/>
      <sheetName val="&lt;=1980"/>
      <sheetName val="&lt;=1985"/>
      <sheetName val="1989"/>
      <sheetName val="1988"/>
      <sheetName val="1990"/>
      <sheetName val="1991"/>
      <sheetName val="1992"/>
      <sheetName val="1993"/>
      <sheetName val="1994"/>
      <sheetName val="1995"/>
      <sheetName val="1987"/>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253E9-1ABC-3141-9317-16C7F3E3CD6F}">
  <dimension ref="A1:AW220"/>
  <sheetViews>
    <sheetView tabSelected="1" topLeftCell="W1" workbookViewId="0">
      <selection activeCell="AN2" sqref="AN2"/>
    </sheetView>
  </sheetViews>
  <sheetFormatPr baseColWidth="10" defaultRowHeight="16" x14ac:dyDescent="0.2"/>
  <sheetData>
    <row r="1" spans="1:49" s="11" customFormat="1" x14ac:dyDescent="0.2">
      <c r="A1" s="14"/>
      <c r="B1" s="14" t="s">
        <v>2201</v>
      </c>
      <c r="C1" s="14" t="s">
        <v>2200</v>
      </c>
      <c r="D1" s="14" t="s">
        <v>2199</v>
      </c>
      <c r="E1" s="14" t="s">
        <v>2198</v>
      </c>
      <c r="F1" s="14" t="s">
        <v>2197</v>
      </c>
      <c r="G1" s="14" t="s">
        <v>2196</v>
      </c>
      <c r="H1" s="14" t="s">
        <v>2195</v>
      </c>
      <c r="I1" s="14" t="s">
        <v>2194</v>
      </c>
      <c r="J1" s="14" t="s">
        <v>2193</v>
      </c>
      <c r="K1" s="14" t="s">
        <v>2192</v>
      </c>
      <c r="L1" s="14" t="s">
        <v>2191</v>
      </c>
      <c r="M1" s="14" t="s">
        <v>2190</v>
      </c>
      <c r="N1" s="14" t="s">
        <v>2189</v>
      </c>
      <c r="O1" s="14" t="s">
        <v>2188</v>
      </c>
      <c r="P1" s="14" t="s">
        <v>2187</v>
      </c>
      <c r="Q1" s="14" t="s">
        <v>2186</v>
      </c>
      <c r="R1" s="19" t="s">
        <v>2185</v>
      </c>
      <c r="S1" s="14" t="s">
        <v>2184</v>
      </c>
      <c r="T1" s="14" t="s">
        <v>2184</v>
      </c>
      <c r="U1" s="14" t="s">
        <v>2183</v>
      </c>
      <c r="V1" s="19" t="s">
        <v>2182</v>
      </c>
      <c r="W1" s="14" t="s">
        <v>2181</v>
      </c>
      <c r="X1" s="13" t="s">
        <v>2180</v>
      </c>
      <c r="Y1" s="18" t="s">
        <v>2179</v>
      </c>
      <c r="Z1" s="17" t="s">
        <v>2164</v>
      </c>
      <c r="AA1" s="14" t="s">
        <v>2178</v>
      </c>
      <c r="AB1" s="14" t="s">
        <v>2177</v>
      </c>
      <c r="AC1" s="14" t="s">
        <v>2176</v>
      </c>
      <c r="AD1" s="14" t="s">
        <v>2175</v>
      </c>
      <c r="AE1" s="14" t="s">
        <v>2174</v>
      </c>
      <c r="AF1" s="14" t="s">
        <v>2173</v>
      </c>
      <c r="AG1" s="14" t="s">
        <v>2172</v>
      </c>
      <c r="AH1" s="14" t="s">
        <v>2171</v>
      </c>
      <c r="AI1" s="14" t="s">
        <v>2170</v>
      </c>
      <c r="AJ1" s="14" t="s">
        <v>2169</v>
      </c>
      <c r="AK1" s="13" t="s">
        <v>2168</v>
      </c>
      <c r="AL1" s="14" t="s">
        <v>2167</v>
      </c>
      <c r="AM1" s="16" t="s">
        <v>2166</v>
      </c>
      <c r="AN1" s="15" t="s">
        <v>2165</v>
      </c>
      <c r="AO1" s="15" t="s">
        <v>2164</v>
      </c>
      <c r="AP1" s="14" t="s">
        <v>2163</v>
      </c>
      <c r="AQ1" s="14" t="s">
        <v>2162</v>
      </c>
      <c r="AR1" s="14" t="s">
        <v>2161</v>
      </c>
      <c r="AS1" s="14" t="s">
        <v>2160</v>
      </c>
      <c r="AT1" s="13" t="s">
        <v>2159</v>
      </c>
      <c r="AU1" s="12" t="s">
        <v>2158</v>
      </c>
      <c r="AV1" s="12" t="s">
        <v>2157</v>
      </c>
      <c r="AW1" s="12" t="s">
        <v>2156</v>
      </c>
    </row>
    <row r="2" spans="1:49" x14ac:dyDescent="0.2">
      <c r="A2">
        <v>0</v>
      </c>
      <c r="B2" t="s">
        <v>2155</v>
      </c>
      <c r="C2" t="s">
        <v>2154</v>
      </c>
      <c r="D2">
        <v>5272887901149</v>
      </c>
      <c r="F2" t="s">
        <v>2153</v>
      </c>
      <c r="G2" t="s">
        <v>4</v>
      </c>
      <c r="H2" t="s">
        <v>3</v>
      </c>
      <c r="I2" t="s">
        <v>2152</v>
      </c>
      <c r="J2">
        <v>60019615</v>
      </c>
      <c r="K2" t="s">
        <v>2151</v>
      </c>
      <c r="L2" t="s">
        <v>2150</v>
      </c>
      <c r="M2" t="s">
        <v>14</v>
      </c>
      <c r="N2">
        <v>3</v>
      </c>
      <c r="O2" t="s">
        <v>2149</v>
      </c>
      <c r="P2" t="s">
        <v>2148</v>
      </c>
      <c r="Q2" t="s">
        <v>2147</v>
      </c>
      <c r="R2" s="7">
        <v>32128</v>
      </c>
      <c r="S2" s="8">
        <f t="shared" ref="S2:S65" si="0">YEAR(R2)</f>
        <v>1987</v>
      </c>
      <c r="T2" s="8">
        <v>1987</v>
      </c>
      <c r="U2" s="8">
        <f t="shared" ref="U2:U65" si="1">2022-T2</f>
        <v>35</v>
      </c>
      <c r="V2" s="7">
        <v>32128</v>
      </c>
      <c r="W2" t="s">
        <v>151</v>
      </c>
      <c r="X2" s="2">
        <v>1.59</v>
      </c>
      <c r="Y2" s="6">
        <f t="shared" ref="Y2:Y65" si="2">(X2-$Z$4)/($Z$3-$Z$4)</f>
        <v>4.2444141907583888E-2</v>
      </c>
      <c r="AA2">
        <v>52728</v>
      </c>
      <c r="AB2">
        <v>16791</v>
      </c>
      <c r="AD2" t="s">
        <v>1</v>
      </c>
      <c r="AE2">
        <v>894</v>
      </c>
      <c r="AF2">
        <v>3</v>
      </c>
      <c r="AH2" t="s">
        <v>2146</v>
      </c>
      <c r="AI2" t="s">
        <v>2145</v>
      </c>
      <c r="AJ2" t="s">
        <v>2144</v>
      </c>
      <c r="AK2" t="s">
        <v>2143</v>
      </c>
      <c r="AL2">
        <v>8</v>
      </c>
      <c r="AM2" s="5">
        <f t="shared" ref="AM2:AM65" si="3">AL2/U2</f>
        <v>0.22857142857142856</v>
      </c>
      <c r="AN2" s="4">
        <f t="shared" ref="AN2:AN65" si="4">(AM2-$AO$4)/($AO$3-$AO$4)</f>
        <v>3.461892140423E-4</v>
      </c>
      <c r="AO2" s="3"/>
      <c r="AP2">
        <v>0</v>
      </c>
      <c r="AR2" t="s">
        <v>0</v>
      </c>
      <c r="AT2" s="2" t="s">
        <v>6</v>
      </c>
      <c r="AU2" s="1">
        <f t="shared" ref="AU2:AU65" si="5">(Y2*0.7+AN2*0.3)*100</f>
        <v>2.9814756099521409</v>
      </c>
      <c r="AV2" s="1">
        <f t="shared" ref="AV2:AV65" si="6">(Y2*0.5+AN2*0.5)*100</f>
        <v>2.1395165560813094</v>
      </c>
      <c r="AW2" s="1">
        <f t="shared" ref="AW2:AW65" si="7">(Y2*0.3+AN2*0.7)*100</f>
        <v>1.2975575022104775</v>
      </c>
    </row>
    <row r="3" spans="1:49" x14ac:dyDescent="0.2">
      <c r="A3">
        <v>1</v>
      </c>
      <c r="B3" t="s">
        <v>2142</v>
      </c>
      <c r="C3" t="s">
        <v>2141</v>
      </c>
      <c r="F3" t="s">
        <v>2140</v>
      </c>
      <c r="G3" t="s">
        <v>4</v>
      </c>
      <c r="H3" t="s">
        <v>3</v>
      </c>
      <c r="I3" t="s">
        <v>2139</v>
      </c>
      <c r="J3">
        <v>60019722</v>
      </c>
      <c r="K3" t="s">
        <v>140</v>
      </c>
      <c r="L3" t="s">
        <v>57</v>
      </c>
      <c r="M3" t="s">
        <v>9</v>
      </c>
      <c r="N3">
        <v>3</v>
      </c>
      <c r="O3" t="s">
        <v>2138</v>
      </c>
      <c r="P3" t="s">
        <v>2137</v>
      </c>
      <c r="Q3" t="s">
        <v>163</v>
      </c>
      <c r="R3" s="7">
        <v>32112</v>
      </c>
      <c r="S3" s="8">
        <f t="shared" si="0"/>
        <v>1987</v>
      </c>
      <c r="T3" s="8">
        <v>1987</v>
      </c>
      <c r="U3" s="8">
        <f t="shared" si="1"/>
        <v>35</v>
      </c>
      <c r="V3" s="7">
        <v>32112</v>
      </c>
      <c r="W3" t="s">
        <v>139</v>
      </c>
      <c r="X3" s="2">
        <v>0.30099999999999999</v>
      </c>
      <c r="Y3" s="6">
        <f t="shared" si="2"/>
        <v>8.0350230906809754E-3</v>
      </c>
      <c r="Z3">
        <v>37.460999999999999</v>
      </c>
      <c r="AA3">
        <v>9395075</v>
      </c>
      <c r="AB3">
        <v>14954</v>
      </c>
      <c r="AC3">
        <v>18657125</v>
      </c>
      <c r="AD3" t="s">
        <v>1</v>
      </c>
      <c r="AE3">
        <v>42</v>
      </c>
      <c r="AF3" s="9">
        <v>44541</v>
      </c>
      <c r="AH3" t="s">
        <v>2136</v>
      </c>
      <c r="AI3" t="s">
        <v>2135</v>
      </c>
      <c r="AJ3" t="s">
        <v>2134</v>
      </c>
      <c r="AK3" t="s">
        <v>2133</v>
      </c>
      <c r="AL3">
        <v>8</v>
      </c>
      <c r="AM3" s="5">
        <f t="shared" si="3"/>
        <v>0.22857142857142856</v>
      </c>
      <c r="AN3" s="4">
        <f t="shared" si="4"/>
        <v>3.461892140423E-4</v>
      </c>
      <c r="AO3" s="3">
        <v>660.25</v>
      </c>
      <c r="AP3">
        <v>1</v>
      </c>
      <c r="AQ3" t="s">
        <v>114</v>
      </c>
      <c r="AR3" t="s">
        <v>138</v>
      </c>
      <c r="AS3" t="s">
        <v>113</v>
      </c>
      <c r="AT3" s="2" t="s">
        <v>6</v>
      </c>
      <c r="AU3" s="1">
        <f t="shared" si="5"/>
        <v>0.57283729276893725</v>
      </c>
      <c r="AV3" s="1">
        <f t="shared" si="6"/>
        <v>0.41906061523616378</v>
      </c>
      <c r="AW3" s="1">
        <f t="shared" si="7"/>
        <v>0.26528393770339026</v>
      </c>
    </row>
    <row r="4" spans="1:49" x14ac:dyDescent="0.2">
      <c r="A4">
        <v>2</v>
      </c>
      <c r="B4" t="s">
        <v>2132</v>
      </c>
      <c r="D4">
        <v>6350987901505</v>
      </c>
      <c r="F4" t="s">
        <v>2131</v>
      </c>
      <c r="G4" t="s">
        <v>4</v>
      </c>
      <c r="H4" t="s">
        <v>3</v>
      </c>
      <c r="I4" t="s">
        <v>2130</v>
      </c>
      <c r="J4">
        <v>60007457</v>
      </c>
      <c r="K4" t="s">
        <v>986</v>
      </c>
      <c r="L4" t="s">
        <v>129</v>
      </c>
      <c r="M4" t="s">
        <v>128</v>
      </c>
      <c r="N4">
        <v>1</v>
      </c>
      <c r="O4" t="s">
        <v>2129</v>
      </c>
      <c r="P4">
        <v>15049241600</v>
      </c>
      <c r="Q4">
        <v>60007457</v>
      </c>
      <c r="R4" s="7">
        <v>32112</v>
      </c>
      <c r="S4" s="8">
        <f t="shared" si="0"/>
        <v>1987</v>
      </c>
      <c r="T4" s="8">
        <v>1987</v>
      </c>
      <c r="U4" s="8">
        <f t="shared" si="1"/>
        <v>35</v>
      </c>
      <c r="V4" s="7">
        <v>1987</v>
      </c>
      <c r="W4" t="s">
        <v>2128</v>
      </c>
      <c r="X4" s="2" t="s">
        <v>6</v>
      </c>
      <c r="Y4" s="6" t="e">
        <f t="shared" si="2"/>
        <v>#VALUE!</v>
      </c>
      <c r="Z4">
        <v>0</v>
      </c>
      <c r="AA4">
        <v>63509</v>
      </c>
      <c r="AB4">
        <v>14860</v>
      </c>
      <c r="AD4" t="s">
        <v>1</v>
      </c>
      <c r="AE4">
        <v>32</v>
      </c>
      <c r="AF4">
        <v>6</v>
      </c>
      <c r="AH4" t="s">
        <v>2127</v>
      </c>
      <c r="AI4" t="s">
        <v>2126</v>
      </c>
      <c r="AK4" t="s">
        <v>2125</v>
      </c>
      <c r="AL4">
        <v>3</v>
      </c>
      <c r="AM4" s="5">
        <f t="shared" si="3"/>
        <v>8.5714285714285715E-2</v>
      </c>
      <c r="AN4" s="4">
        <f t="shared" si="4"/>
        <v>1.2982095526586251E-4</v>
      </c>
      <c r="AO4" s="3">
        <v>0</v>
      </c>
      <c r="AP4">
        <v>0</v>
      </c>
      <c r="AR4" t="s">
        <v>0</v>
      </c>
      <c r="AT4" s="2" t="s">
        <v>6</v>
      </c>
      <c r="AU4" s="1" t="e">
        <f t="shared" si="5"/>
        <v>#VALUE!</v>
      </c>
      <c r="AV4" s="1" t="e">
        <f t="shared" si="6"/>
        <v>#VALUE!</v>
      </c>
      <c r="AW4" s="1" t="e">
        <f t="shared" si="7"/>
        <v>#VALUE!</v>
      </c>
    </row>
    <row r="5" spans="1:49" x14ac:dyDescent="0.2">
      <c r="A5">
        <v>3</v>
      </c>
      <c r="B5" t="s">
        <v>2124</v>
      </c>
      <c r="C5" t="s">
        <v>2123</v>
      </c>
      <c r="F5" t="s">
        <v>2122</v>
      </c>
      <c r="G5" t="s">
        <v>4</v>
      </c>
      <c r="H5" t="s">
        <v>3</v>
      </c>
      <c r="I5" t="s">
        <v>2121</v>
      </c>
      <c r="J5">
        <v>60014439</v>
      </c>
      <c r="K5" t="s">
        <v>103</v>
      </c>
      <c r="L5" t="s">
        <v>102</v>
      </c>
      <c r="M5" t="s">
        <v>2</v>
      </c>
      <c r="N5">
        <v>2</v>
      </c>
      <c r="O5" t="s">
        <v>2120</v>
      </c>
      <c r="P5" t="s">
        <v>2119</v>
      </c>
      <c r="Q5" t="s">
        <v>101</v>
      </c>
      <c r="R5" s="7">
        <v>32112</v>
      </c>
      <c r="S5" s="8">
        <f t="shared" si="0"/>
        <v>1987</v>
      </c>
      <c r="T5" s="8">
        <v>1987</v>
      </c>
      <c r="U5" s="8">
        <f t="shared" si="1"/>
        <v>35</v>
      </c>
      <c r="V5" s="7">
        <v>1987</v>
      </c>
      <c r="W5" t="s">
        <v>2118</v>
      </c>
      <c r="X5" s="2" t="s">
        <v>6</v>
      </c>
      <c r="Y5" s="6" t="e">
        <f t="shared" si="2"/>
        <v>#VALUE!</v>
      </c>
      <c r="AA5">
        <v>224936</v>
      </c>
      <c r="AB5">
        <v>35328</v>
      </c>
      <c r="AD5" t="s">
        <v>1</v>
      </c>
      <c r="AF5">
        <v>4</v>
      </c>
      <c r="AH5" t="s">
        <v>2117</v>
      </c>
      <c r="AI5" t="s">
        <v>2116</v>
      </c>
      <c r="AK5" t="s">
        <v>2115</v>
      </c>
      <c r="AL5">
        <v>37</v>
      </c>
      <c r="AM5" s="5">
        <f t="shared" si="3"/>
        <v>1.0571428571428572</v>
      </c>
      <c r="AN5" s="4">
        <f t="shared" si="4"/>
        <v>1.6011251149456375E-3</v>
      </c>
      <c r="AO5" s="3"/>
      <c r="AP5">
        <v>0</v>
      </c>
      <c r="AR5" t="s">
        <v>0</v>
      </c>
      <c r="AT5" s="2" t="s">
        <v>6</v>
      </c>
      <c r="AU5" s="1" t="e">
        <f t="shared" si="5"/>
        <v>#VALUE!</v>
      </c>
      <c r="AV5" s="1" t="e">
        <f t="shared" si="6"/>
        <v>#VALUE!</v>
      </c>
      <c r="AW5" s="1" t="e">
        <f t="shared" si="7"/>
        <v>#VALUE!</v>
      </c>
    </row>
    <row r="6" spans="1:49" x14ac:dyDescent="0.2">
      <c r="A6">
        <v>4</v>
      </c>
      <c r="B6" t="s">
        <v>2114</v>
      </c>
      <c r="C6" t="s">
        <v>2113</v>
      </c>
      <c r="F6" t="s">
        <v>2112</v>
      </c>
      <c r="G6" t="s">
        <v>4</v>
      </c>
      <c r="H6" t="s">
        <v>3</v>
      </c>
      <c r="I6" t="s">
        <v>2111</v>
      </c>
      <c r="J6">
        <v>60068924</v>
      </c>
      <c r="K6" t="s">
        <v>2110</v>
      </c>
      <c r="L6" t="s">
        <v>2109</v>
      </c>
      <c r="M6" t="s">
        <v>2108</v>
      </c>
      <c r="N6">
        <v>3</v>
      </c>
      <c r="O6" t="s">
        <v>2107</v>
      </c>
      <c r="P6" t="s">
        <v>2106</v>
      </c>
      <c r="Q6" t="s">
        <v>2105</v>
      </c>
      <c r="R6" s="7">
        <v>32112</v>
      </c>
      <c r="S6" s="8">
        <f t="shared" si="0"/>
        <v>1987</v>
      </c>
      <c r="T6" s="8">
        <v>1987</v>
      </c>
      <c r="U6" s="8">
        <f t="shared" si="1"/>
        <v>35</v>
      </c>
      <c r="V6" s="7">
        <v>1987</v>
      </c>
      <c r="W6" t="s">
        <v>1308</v>
      </c>
      <c r="X6" s="2">
        <v>1.3280000000000001</v>
      </c>
      <c r="Y6" s="6">
        <f t="shared" si="2"/>
        <v>3.5450201542937994E-2</v>
      </c>
      <c r="AA6">
        <v>7413335</v>
      </c>
      <c r="AB6">
        <v>29251</v>
      </c>
      <c r="AD6" t="s">
        <v>1</v>
      </c>
      <c r="AE6">
        <v>29</v>
      </c>
      <c r="AF6" t="s">
        <v>2104</v>
      </c>
      <c r="AG6">
        <v>4</v>
      </c>
      <c r="AH6" t="s">
        <v>2103</v>
      </c>
      <c r="AI6" t="s">
        <v>2102</v>
      </c>
      <c r="AK6" t="s">
        <v>2101</v>
      </c>
      <c r="AL6">
        <v>5</v>
      </c>
      <c r="AM6" s="5">
        <f t="shared" si="3"/>
        <v>0.14285714285714285</v>
      </c>
      <c r="AN6" s="4">
        <f t="shared" si="4"/>
        <v>2.1636825877643749E-4</v>
      </c>
      <c r="AO6" s="3"/>
      <c r="AP6">
        <v>0</v>
      </c>
      <c r="AR6" t="s">
        <v>0</v>
      </c>
      <c r="AT6" s="2">
        <v>2.4580000000000002</v>
      </c>
      <c r="AU6" s="1">
        <f t="shared" si="5"/>
        <v>2.4880051557689526</v>
      </c>
      <c r="AV6" s="1">
        <f t="shared" si="6"/>
        <v>1.7833284900857216</v>
      </c>
      <c r="AW6" s="1">
        <f t="shared" si="7"/>
        <v>1.0786518244024905</v>
      </c>
    </row>
    <row r="7" spans="1:49" x14ac:dyDescent="0.2">
      <c r="A7">
        <v>5</v>
      </c>
      <c r="B7" t="s">
        <v>2100</v>
      </c>
      <c r="C7" t="s">
        <v>2099</v>
      </c>
      <c r="F7" t="s">
        <v>2098</v>
      </c>
      <c r="G7" t="s">
        <v>4</v>
      </c>
      <c r="H7" t="s">
        <v>3</v>
      </c>
      <c r="I7" t="s">
        <v>2097</v>
      </c>
      <c r="J7">
        <v>60025709</v>
      </c>
      <c r="K7" t="s">
        <v>1516</v>
      </c>
      <c r="L7" t="s">
        <v>24</v>
      </c>
      <c r="M7" t="s">
        <v>7</v>
      </c>
      <c r="N7">
        <v>2</v>
      </c>
      <c r="O7" t="s">
        <v>2096</v>
      </c>
      <c r="P7" t="s">
        <v>2095</v>
      </c>
      <c r="Q7" t="s">
        <v>2094</v>
      </c>
      <c r="R7" s="7">
        <v>32112</v>
      </c>
      <c r="S7" s="8">
        <f t="shared" si="0"/>
        <v>1987</v>
      </c>
      <c r="T7" s="8">
        <v>1987</v>
      </c>
      <c r="U7" s="8">
        <f t="shared" si="1"/>
        <v>35</v>
      </c>
      <c r="V7" s="7">
        <v>1987</v>
      </c>
      <c r="W7" t="s">
        <v>1308</v>
      </c>
      <c r="X7" s="2">
        <v>1.3280000000000001</v>
      </c>
      <c r="Y7" s="6">
        <f t="shared" si="2"/>
        <v>3.5450201542937994E-2</v>
      </c>
      <c r="AA7">
        <v>7413335</v>
      </c>
      <c r="AB7">
        <v>29251</v>
      </c>
      <c r="AD7" t="s">
        <v>1</v>
      </c>
      <c r="AE7">
        <v>29</v>
      </c>
      <c r="AF7">
        <v>6</v>
      </c>
      <c r="AG7">
        <v>1</v>
      </c>
      <c r="AH7" t="s">
        <v>2093</v>
      </c>
      <c r="AI7" t="s">
        <v>2092</v>
      </c>
      <c r="AK7" t="s">
        <v>2091</v>
      </c>
      <c r="AL7">
        <v>44</v>
      </c>
      <c r="AM7" s="5">
        <f t="shared" si="3"/>
        <v>1.2571428571428571</v>
      </c>
      <c r="AN7" s="4">
        <f t="shared" si="4"/>
        <v>1.90404067723265E-3</v>
      </c>
      <c r="AO7" s="3"/>
      <c r="AP7">
        <v>0</v>
      </c>
      <c r="AR7" t="s">
        <v>0</v>
      </c>
      <c r="AT7" s="2">
        <v>2.4580000000000002</v>
      </c>
      <c r="AU7" s="1">
        <f t="shared" si="5"/>
        <v>2.5386353283226391</v>
      </c>
      <c r="AV7" s="1">
        <f t="shared" si="6"/>
        <v>1.8677121110085322</v>
      </c>
      <c r="AW7" s="1">
        <f t="shared" si="7"/>
        <v>1.1967888936944253</v>
      </c>
    </row>
    <row r="8" spans="1:49" x14ac:dyDescent="0.2">
      <c r="A8">
        <v>6</v>
      </c>
      <c r="B8" t="s">
        <v>2090</v>
      </c>
      <c r="C8" t="s">
        <v>2089</v>
      </c>
      <c r="F8" t="s">
        <v>2088</v>
      </c>
      <c r="G8" t="s">
        <v>4</v>
      </c>
      <c r="H8" t="s">
        <v>3</v>
      </c>
      <c r="I8" t="s">
        <v>2087</v>
      </c>
      <c r="J8" t="s">
        <v>2086</v>
      </c>
      <c r="K8" t="s">
        <v>2085</v>
      </c>
      <c r="L8" t="s">
        <v>2084</v>
      </c>
      <c r="M8" t="s">
        <v>26</v>
      </c>
      <c r="N8">
        <v>4</v>
      </c>
      <c r="O8" t="s">
        <v>2083</v>
      </c>
      <c r="P8" t="s">
        <v>2082</v>
      </c>
      <c r="Q8" t="s">
        <v>2081</v>
      </c>
      <c r="R8" s="7">
        <v>32112</v>
      </c>
      <c r="S8" s="8">
        <f t="shared" si="0"/>
        <v>1987</v>
      </c>
      <c r="T8" s="8">
        <v>1987</v>
      </c>
      <c r="U8" s="8">
        <f t="shared" si="1"/>
        <v>35</v>
      </c>
      <c r="V8" s="7">
        <v>32112</v>
      </c>
      <c r="W8" t="s">
        <v>2080</v>
      </c>
      <c r="X8" s="2">
        <v>0.63100000000000001</v>
      </c>
      <c r="Y8" s="6">
        <f t="shared" si="2"/>
        <v>1.6844184618670086E-2</v>
      </c>
      <c r="AA8">
        <v>437719</v>
      </c>
      <c r="AB8">
        <v>26091</v>
      </c>
      <c r="AC8">
        <v>14325225</v>
      </c>
      <c r="AD8" t="s">
        <v>1</v>
      </c>
      <c r="AE8">
        <v>21</v>
      </c>
      <c r="AF8">
        <v>4</v>
      </c>
      <c r="AH8" t="s">
        <v>2079</v>
      </c>
      <c r="AI8" t="s">
        <v>2078</v>
      </c>
      <c r="AK8" t="s">
        <v>2077</v>
      </c>
      <c r="AL8">
        <v>40</v>
      </c>
      <c r="AM8" s="5">
        <f t="shared" si="3"/>
        <v>1.1428571428571428</v>
      </c>
      <c r="AN8" s="4">
        <f t="shared" si="4"/>
        <v>1.7309460702114999E-3</v>
      </c>
      <c r="AO8" s="3"/>
      <c r="AP8">
        <v>0</v>
      </c>
      <c r="AR8" t="s">
        <v>0</v>
      </c>
      <c r="AT8" s="2">
        <v>2.5059999999999998</v>
      </c>
      <c r="AU8" s="1">
        <f t="shared" si="5"/>
        <v>1.2310213054132511</v>
      </c>
      <c r="AV8" s="1">
        <f t="shared" si="6"/>
        <v>0.92875653444407935</v>
      </c>
      <c r="AW8" s="1">
        <f t="shared" si="7"/>
        <v>0.62649176347490754</v>
      </c>
    </row>
    <row r="9" spans="1:49" x14ac:dyDescent="0.2">
      <c r="A9">
        <v>7</v>
      </c>
      <c r="B9" t="s">
        <v>2076</v>
      </c>
      <c r="C9" t="s">
        <v>2075</v>
      </c>
      <c r="F9" t="s">
        <v>2074</v>
      </c>
      <c r="G9" t="s">
        <v>4</v>
      </c>
      <c r="H9" t="s">
        <v>3</v>
      </c>
      <c r="I9" t="s">
        <v>2073</v>
      </c>
      <c r="J9">
        <v>60020306</v>
      </c>
      <c r="K9" t="s">
        <v>146</v>
      </c>
      <c r="L9" t="s">
        <v>145</v>
      </c>
      <c r="M9" t="s">
        <v>9</v>
      </c>
      <c r="N9">
        <v>1</v>
      </c>
      <c r="O9" t="s">
        <v>2072</v>
      </c>
      <c r="P9">
        <v>7003562311</v>
      </c>
      <c r="Q9">
        <v>60020306</v>
      </c>
      <c r="R9" s="7">
        <v>32112</v>
      </c>
      <c r="S9" s="8">
        <f t="shared" si="0"/>
        <v>1987</v>
      </c>
      <c r="T9" s="8">
        <v>1987</v>
      </c>
      <c r="U9" s="8">
        <f t="shared" si="1"/>
        <v>35</v>
      </c>
      <c r="V9" s="7">
        <v>32112</v>
      </c>
      <c r="W9" t="s">
        <v>144</v>
      </c>
      <c r="X9" s="2">
        <v>0.874</v>
      </c>
      <c r="Y9" s="6">
        <f t="shared" si="2"/>
        <v>2.3330930834734791E-2</v>
      </c>
      <c r="AA9">
        <v>7224060</v>
      </c>
      <c r="AB9">
        <v>13048</v>
      </c>
      <c r="AC9">
        <v>14322056</v>
      </c>
      <c r="AD9" t="s">
        <v>1</v>
      </c>
      <c r="AE9">
        <v>8</v>
      </c>
      <c r="AF9">
        <v>2</v>
      </c>
      <c r="AH9" t="s">
        <v>2071</v>
      </c>
      <c r="AI9" t="s">
        <v>2070</v>
      </c>
      <c r="AK9" t="s">
        <v>2069</v>
      </c>
      <c r="AL9">
        <v>13</v>
      </c>
      <c r="AM9" s="5">
        <f t="shared" si="3"/>
        <v>0.37142857142857144</v>
      </c>
      <c r="AN9" s="4">
        <f t="shared" si="4"/>
        <v>5.6255747281873749E-4</v>
      </c>
      <c r="AO9" s="3"/>
      <c r="AP9">
        <v>0</v>
      </c>
      <c r="AR9" t="s">
        <v>0</v>
      </c>
      <c r="AT9" s="2">
        <v>2.31</v>
      </c>
      <c r="AU9" s="1">
        <f t="shared" si="5"/>
        <v>1.6500418826159973</v>
      </c>
      <c r="AV9" s="1">
        <f t="shared" si="6"/>
        <v>1.1946744153776765</v>
      </c>
      <c r="AW9" s="1">
        <f t="shared" si="7"/>
        <v>0.73930694813935538</v>
      </c>
    </row>
    <row r="10" spans="1:49" x14ac:dyDescent="0.2">
      <c r="A10">
        <v>8</v>
      </c>
      <c r="B10" t="s">
        <v>2068</v>
      </c>
      <c r="C10" t="s">
        <v>2067</v>
      </c>
      <c r="F10" t="s">
        <v>2066</v>
      </c>
      <c r="G10" t="s">
        <v>4</v>
      </c>
      <c r="H10" t="s">
        <v>3</v>
      </c>
      <c r="I10" t="s">
        <v>2065</v>
      </c>
      <c r="J10" t="s">
        <v>2064</v>
      </c>
      <c r="K10" t="s">
        <v>2063</v>
      </c>
      <c r="L10" t="s">
        <v>2062</v>
      </c>
      <c r="M10" t="s">
        <v>8</v>
      </c>
      <c r="N10">
        <v>2</v>
      </c>
      <c r="O10" t="s">
        <v>2061</v>
      </c>
      <c r="P10" t="s">
        <v>2060</v>
      </c>
      <c r="Q10" t="s">
        <v>2059</v>
      </c>
      <c r="R10" s="7">
        <v>32112</v>
      </c>
      <c r="S10" s="8">
        <f t="shared" si="0"/>
        <v>1987</v>
      </c>
      <c r="T10" s="8">
        <v>1987</v>
      </c>
      <c r="U10" s="8">
        <f t="shared" si="1"/>
        <v>35</v>
      </c>
      <c r="V10" s="7">
        <v>1987</v>
      </c>
      <c r="W10" t="s">
        <v>2050</v>
      </c>
      <c r="X10" s="2">
        <v>0.69899999999999995</v>
      </c>
      <c r="Y10" s="6">
        <f t="shared" si="2"/>
        <v>1.8659405782013295E-2</v>
      </c>
      <c r="AA10">
        <v>218979</v>
      </c>
      <c r="AB10">
        <v>28132</v>
      </c>
      <c r="AD10" t="s">
        <v>1</v>
      </c>
      <c r="AE10">
        <v>61</v>
      </c>
      <c r="AF10">
        <v>12</v>
      </c>
      <c r="AH10" t="s">
        <v>2058</v>
      </c>
      <c r="AI10" t="s">
        <v>2057</v>
      </c>
      <c r="AK10" t="s">
        <v>2056</v>
      </c>
      <c r="AL10">
        <v>5</v>
      </c>
      <c r="AM10" s="5">
        <f t="shared" si="3"/>
        <v>0.14285714285714285</v>
      </c>
      <c r="AN10" s="4">
        <f t="shared" si="4"/>
        <v>2.1636825877643749E-4</v>
      </c>
      <c r="AO10" s="3"/>
      <c r="AP10">
        <v>0</v>
      </c>
      <c r="AR10" t="s">
        <v>0</v>
      </c>
      <c r="AT10" s="2">
        <v>2.5459999999999998</v>
      </c>
      <c r="AU10" s="1">
        <f t="shared" si="5"/>
        <v>1.3126494525042236</v>
      </c>
      <c r="AV10" s="1">
        <f t="shared" si="6"/>
        <v>0.9437887020394865</v>
      </c>
      <c r="AW10" s="1">
        <f t="shared" si="7"/>
        <v>0.57492795157474941</v>
      </c>
    </row>
    <row r="11" spans="1:49" x14ac:dyDescent="0.2">
      <c r="A11">
        <v>9</v>
      </c>
      <c r="B11" t="s">
        <v>2055</v>
      </c>
      <c r="C11" t="s">
        <v>2054</v>
      </c>
      <c r="F11" t="s">
        <v>2053</v>
      </c>
      <c r="G11" t="s">
        <v>4</v>
      </c>
      <c r="H11" t="s">
        <v>3</v>
      </c>
      <c r="I11" t="s">
        <v>2052</v>
      </c>
      <c r="J11">
        <v>60022195</v>
      </c>
      <c r="K11" t="s">
        <v>18</v>
      </c>
      <c r="L11" t="s">
        <v>17</v>
      </c>
      <c r="M11" t="s">
        <v>2</v>
      </c>
      <c r="N11">
        <v>1</v>
      </c>
      <c r="O11" t="s">
        <v>2051</v>
      </c>
      <c r="P11">
        <v>6507482903</v>
      </c>
      <c r="Q11">
        <v>60022195</v>
      </c>
      <c r="R11" s="7">
        <v>32112</v>
      </c>
      <c r="S11" s="8">
        <f t="shared" si="0"/>
        <v>1987</v>
      </c>
      <c r="T11" s="8">
        <v>1987</v>
      </c>
      <c r="U11" s="8">
        <f t="shared" si="1"/>
        <v>35</v>
      </c>
      <c r="V11" s="7">
        <v>1987</v>
      </c>
      <c r="W11" t="s">
        <v>2050</v>
      </c>
      <c r="X11" s="2">
        <v>0.69899999999999995</v>
      </c>
      <c r="Y11" s="6">
        <f t="shared" si="2"/>
        <v>1.8659405782013295E-2</v>
      </c>
      <c r="AA11">
        <v>218979</v>
      </c>
      <c r="AB11">
        <v>28132</v>
      </c>
      <c r="AD11" t="s">
        <v>1</v>
      </c>
      <c r="AE11">
        <v>62</v>
      </c>
      <c r="AF11">
        <v>3</v>
      </c>
      <c r="AH11" t="s">
        <v>2049</v>
      </c>
      <c r="AI11" t="s">
        <v>2048</v>
      </c>
      <c r="AK11" t="s">
        <v>2047</v>
      </c>
      <c r="AL11">
        <v>11</v>
      </c>
      <c r="AM11" s="5">
        <f t="shared" si="3"/>
        <v>0.31428571428571428</v>
      </c>
      <c r="AN11" s="4">
        <f t="shared" si="4"/>
        <v>4.7601016930816251E-4</v>
      </c>
      <c r="AO11" s="3"/>
      <c r="AP11">
        <v>0</v>
      </c>
      <c r="AR11" t="s">
        <v>0</v>
      </c>
      <c r="AT11" s="2">
        <v>2.5459999999999998</v>
      </c>
      <c r="AU11" s="1">
        <f t="shared" si="5"/>
        <v>1.3204387098201753</v>
      </c>
      <c r="AV11" s="1">
        <f t="shared" si="6"/>
        <v>0.95677079756607297</v>
      </c>
      <c r="AW11" s="1">
        <f t="shared" si="7"/>
        <v>0.5931028853119702</v>
      </c>
    </row>
    <row r="12" spans="1:49" x14ac:dyDescent="0.2">
      <c r="A12">
        <v>10</v>
      </c>
      <c r="B12" t="s">
        <v>2046</v>
      </c>
      <c r="C12" t="s">
        <v>2045</v>
      </c>
      <c r="F12" t="s">
        <v>2044</v>
      </c>
      <c r="G12" t="s">
        <v>4</v>
      </c>
      <c r="H12" t="s">
        <v>3</v>
      </c>
      <c r="I12" t="s">
        <v>2043</v>
      </c>
      <c r="J12">
        <v>60014313</v>
      </c>
      <c r="K12" t="s">
        <v>72</v>
      </c>
      <c r="L12" t="s">
        <v>71</v>
      </c>
      <c r="M12" t="s">
        <v>2</v>
      </c>
      <c r="N12">
        <v>2</v>
      </c>
      <c r="O12" t="s">
        <v>2042</v>
      </c>
      <c r="P12" t="s">
        <v>2041</v>
      </c>
      <c r="Q12" t="s">
        <v>70</v>
      </c>
      <c r="R12" s="7">
        <v>32112</v>
      </c>
      <c r="S12" s="8">
        <f t="shared" si="0"/>
        <v>1987</v>
      </c>
      <c r="T12" s="8">
        <v>1987</v>
      </c>
      <c r="U12" s="8">
        <f t="shared" si="1"/>
        <v>35</v>
      </c>
      <c r="V12" s="7">
        <v>1987</v>
      </c>
      <c r="W12" t="s">
        <v>1287</v>
      </c>
      <c r="X12" s="2">
        <v>1.1819999999999999</v>
      </c>
      <c r="Y12" s="6">
        <f t="shared" si="2"/>
        <v>3.1552814927524625E-2</v>
      </c>
      <c r="AA12">
        <v>36951</v>
      </c>
      <c r="AB12">
        <v>27030</v>
      </c>
      <c r="AD12" t="s">
        <v>1</v>
      </c>
      <c r="AE12">
        <v>51</v>
      </c>
      <c r="AF12">
        <v>4</v>
      </c>
      <c r="AH12" t="s">
        <v>2040</v>
      </c>
      <c r="AI12" t="s">
        <v>2039</v>
      </c>
      <c r="AK12" t="s">
        <v>2038</v>
      </c>
      <c r="AL12">
        <v>62</v>
      </c>
      <c r="AM12" s="5">
        <f t="shared" si="3"/>
        <v>1.7714285714285714</v>
      </c>
      <c r="AN12" s="4">
        <f t="shared" si="4"/>
        <v>2.6829664088278246E-3</v>
      </c>
      <c r="AO12" s="3"/>
      <c r="AP12">
        <v>0</v>
      </c>
      <c r="AR12" t="s">
        <v>0</v>
      </c>
      <c r="AT12" s="2">
        <v>3.7909999999999999</v>
      </c>
      <c r="AU12" s="1">
        <f t="shared" si="5"/>
        <v>2.2891860371915582</v>
      </c>
      <c r="AV12" s="1">
        <f t="shared" si="6"/>
        <v>1.7117890668176226</v>
      </c>
      <c r="AW12" s="1">
        <f t="shared" si="7"/>
        <v>1.1343920964436864</v>
      </c>
    </row>
    <row r="13" spans="1:49" x14ac:dyDescent="0.2">
      <c r="A13">
        <v>11</v>
      </c>
      <c r="B13" t="s">
        <v>2037</v>
      </c>
      <c r="F13" t="s">
        <v>2036</v>
      </c>
      <c r="G13" t="s">
        <v>4</v>
      </c>
      <c r="H13" t="s">
        <v>3</v>
      </c>
      <c r="I13" t="s">
        <v>2035</v>
      </c>
      <c r="J13">
        <v>60029470</v>
      </c>
      <c r="K13" t="s">
        <v>82</v>
      </c>
      <c r="L13" t="s">
        <v>81</v>
      </c>
      <c r="M13" t="s">
        <v>7</v>
      </c>
      <c r="N13">
        <v>2</v>
      </c>
      <c r="O13" t="s">
        <v>2034</v>
      </c>
      <c r="P13" t="s">
        <v>2033</v>
      </c>
      <c r="Q13" t="s">
        <v>2025</v>
      </c>
      <c r="R13" s="7">
        <v>32112</v>
      </c>
      <c r="S13" s="8">
        <f t="shared" si="0"/>
        <v>1987</v>
      </c>
      <c r="T13" s="8">
        <v>1987</v>
      </c>
      <c r="U13" s="8">
        <f t="shared" si="1"/>
        <v>35</v>
      </c>
      <c r="V13" s="7">
        <v>32112</v>
      </c>
      <c r="W13" t="s">
        <v>171</v>
      </c>
      <c r="X13" s="2">
        <v>0.14099999999999999</v>
      </c>
      <c r="Y13" s="6">
        <f t="shared" si="2"/>
        <v>3.7639144710498915E-3</v>
      </c>
      <c r="AA13">
        <v>7252986</v>
      </c>
      <c r="AB13">
        <v>18037</v>
      </c>
      <c r="AD13" t="s">
        <v>1</v>
      </c>
      <c r="AE13">
        <v>7</v>
      </c>
      <c r="AF13">
        <v>4</v>
      </c>
      <c r="AH13" t="s">
        <v>2032</v>
      </c>
      <c r="AI13" t="s">
        <v>2031</v>
      </c>
      <c r="AK13" t="s">
        <v>2030</v>
      </c>
      <c r="AL13">
        <v>1</v>
      </c>
      <c r="AM13" s="5">
        <f t="shared" si="3"/>
        <v>2.8571428571428571E-2</v>
      </c>
      <c r="AN13" s="4">
        <f t="shared" si="4"/>
        <v>4.32736517552875E-5</v>
      </c>
      <c r="AO13" s="3"/>
      <c r="AP13">
        <v>0</v>
      </c>
      <c r="AR13" t="s">
        <v>0</v>
      </c>
      <c r="AT13" s="2" t="s">
        <v>6</v>
      </c>
      <c r="AU13" s="1">
        <f t="shared" si="5"/>
        <v>0.26477222252615101</v>
      </c>
      <c r="AV13" s="1">
        <f t="shared" si="6"/>
        <v>0.19035940614025895</v>
      </c>
      <c r="AW13" s="1">
        <f t="shared" si="7"/>
        <v>0.11594658975436686</v>
      </c>
    </row>
    <row r="14" spans="1:49" x14ac:dyDescent="0.2">
      <c r="A14">
        <v>12</v>
      </c>
      <c r="B14" t="s">
        <v>2029</v>
      </c>
      <c r="F14" t="s">
        <v>2028</v>
      </c>
      <c r="G14" t="s">
        <v>4</v>
      </c>
      <c r="H14" t="s">
        <v>3</v>
      </c>
      <c r="I14" t="s">
        <v>105</v>
      </c>
      <c r="J14">
        <v>60029470</v>
      </c>
      <c r="K14" t="s">
        <v>82</v>
      </c>
      <c r="L14" t="s">
        <v>81</v>
      </c>
      <c r="M14" t="s">
        <v>7</v>
      </c>
      <c r="N14">
        <v>2</v>
      </c>
      <c r="O14" t="s">
        <v>2027</v>
      </c>
      <c r="P14" t="s">
        <v>2026</v>
      </c>
      <c r="Q14" t="s">
        <v>2025</v>
      </c>
      <c r="R14" s="7">
        <v>32112</v>
      </c>
      <c r="S14" s="8">
        <f t="shared" si="0"/>
        <v>1987</v>
      </c>
      <c r="T14" s="8">
        <v>1987</v>
      </c>
      <c r="U14" s="8">
        <f t="shared" si="1"/>
        <v>35</v>
      </c>
      <c r="V14" s="7">
        <v>32112</v>
      </c>
      <c r="W14" t="s">
        <v>171</v>
      </c>
      <c r="X14" s="2">
        <v>0.14099999999999999</v>
      </c>
      <c r="Y14" s="6">
        <f t="shared" si="2"/>
        <v>3.7639144710498915E-3</v>
      </c>
      <c r="AA14">
        <v>7252986</v>
      </c>
      <c r="AB14">
        <v>18037</v>
      </c>
      <c r="AD14" t="s">
        <v>1</v>
      </c>
      <c r="AE14">
        <v>7</v>
      </c>
      <c r="AF14">
        <v>4</v>
      </c>
      <c r="AH14" t="s">
        <v>2024</v>
      </c>
      <c r="AI14" t="s">
        <v>2023</v>
      </c>
      <c r="AK14" t="s">
        <v>2022</v>
      </c>
      <c r="AL14">
        <v>0</v>
      </c>
      <c r="AM14" s="5">
        <f t="shared" si="3"/>
        <v>0</v>
      </c>
      <c r="AN14" s="4">
        <f t="shared" si="4"/>
        <v>0</v>
      </c>
      <c r="AO14" s="3"/>
      <c r="AP14">
        <v>0</v>
      </c>
      <c r="AR14" t="s">
        <v>0</v>
      </c>
      <c r="AT14" s="2" t="s">
        <v>6</v>
      </c>
      <c r="AU14" s="1">
        <f t="shared" si="5"/>
        <v>0.26347401297349238</v>
      </c>
      <c r="AV14" s="1">
        <f t="shared" si="6"/>
        <v>0.18819572355249459</v>
      </c>
      <c r="AW14" s="1">
        <f t="shared" si="7"/>
        <v>0.11291743413149673</v>
      </c>
    </row>
    <row r="15" spans="1:49" x14ac:dyDescent="0.2">
      <c r="A15">
        <v>13</v>
      </c>
      <c r="B15" t="s">
        <v>2021</v>
      </c>
      <c r="F15" t="s">
        <v>2020</v>
      </c>
      <c r="G15" t="s">
        <v>4</v>
      </c>
      <c r="H15" t="s">
        <v>3</v>
      </c>
      <c r="I15" t="s">
        <v>1552</v>
      </c>
      <c r="N15">
        <v>3</v>
      </c>
      <c r="O15" t="s">
        <v>2019</v>
      </c>
      <c r="P15" t="s">
        <v>2018</v>
      </c>
      <c r="Q15" t="s">
        <v>11</v>
      </c>
      <c r="R15" s="7">
        <v>32112</v>
      </c>
      <c r="S15" s="8">
        <f t="shared" si="0"/>
        <v>1987</v>
      </c>
      <c r="T15" s="8">
        <v>1987</v>
      </c>
      <c r="U15" s="8">
        <f t="shared" si="1"/>
        <v>35</v>
      </c>
      <c r="V15" s="7">
        <v>32112</v>
      </c>
      <c r="W15" t="s">
        <v>1534</v>
      </c>
      <c r="X15" s="2">
        <v>0.14399999999999999</v>
      </c>
      <c r="Y15" s="6">
        <f t="shared" si="2"/>
        <v>3.8439977576679744E-3</v>
      </c>
      <c r="AA15">
        <v>382221</v>
      </c>
      <c r="AB15">
        <v>19255</v>
      </c>
      <c r="AD15" t="s">
        <v>1</v>
      </c>
      <c r="AE15">
        <v>78</v>
      </c>
      <c r="AF15">
        <v>2</v>
      </c>
      <c r="AH15" t="s">
        <v>2017</v>
      </c>
      <c r="AI15" t="s">
        <v>2016</v>
      </c>
      <c r="AK15" t="s">
        <v>2015</v>
      </c>
      <c r="AL15">
        <v>0</v>
      </c>
      <c r="AM15" s="5">
        <f t="shared" si="3"/>
        <v>0</v>
      </c>
      <c r="AN15" s="4">
        <f t="shared" si="4"/>
        <v>0</v>
      </c>
      <c r="AO15" s="3"/>
      <c r="AP15">
        <v>0</v>
      </c>
      <c r="AR15" t="s">
        <v>0</v>
      </c>
      <c r="AT15" s="2" t="s">
        <v>6</v>
      </c>
      <c r="AU15" s="1">
        <f t="shared" si="5"/>
        <v>0.26907984303675819</v>
      </c>
      <c r="AV15" s="1">
        <f t="shared" si="6"/>
        <v>0.19219988788339873</v>
      </c>
      <c r="AW15" s="1">
        <f t="shared" si="7"/>
        <v>0.11531993273003922</v>
      </c>
    </row>
    <row r="16" spans="1:49" x14ac:dyDescent="0.2">
      <c r="A16">
        <v>14</v>
      </c>
      <c r="B16" t="s">
        <v>2014</v>
      </c>
      <c r="F16" t="s">
        <v>2013</v>
      </c>
      <c r="G16" t="s">
        <v>4</v>
      </c>
      <c r="H16" t="s">
        <v>3</v>
      </c>
      <c r="I16" t="s">
        <v>2012</v>
      </c>
      <c r="J16">
        <v>60003480</v>
      </c>
      <c r="K16" t="s">
        <v>173</v>
      </c>
      <c r="L16" t="s">
        <v>89</v>
      </c>
      <c r="M16" t="s">
        <v>7</v>
      </c>
      <c r="N16">
        <v>2</v>
      </c>
      <c r="O16" t="s">
        <v>2011</v>
      </c>
      <c r="P16" t="s">
        <v>2010</v>
      </c>
      <c r="Q16" t="s">
        <v>172</v>
      </c>
      <c r="R16" s="7">
        <v>32112</v>
      </c>
      <c r="S16" s="8">
        <f t="shared" si="0"/>
        <v>1987</v>
      </c>
      <c r="T16" s="8">
        <v>1987</v>
      </c>
      <c r="U16" s="8">
        <f t="shared" si="1"/>
        <v>35</v>
      </c>
      <c r="V16" s="7">
        <v>32112</v>
      </c>
      <c r="W16" t="s">
        <v>171</v>
      </c>
      <c r="X16" s="2">
        <v>0.14099999999999999</v>
      </c>
      <c r="Y16" s="6">
        <f t="shared" si="2"/>
        <v>3.7639144710498915E-3</v>
      </c>
      <c r="AA16">
        <v>7252986</v>
      </c>
      <c r="AB16">
        <v>18037</v>
      </c>
      <c r="AD16" t="s">
        <v>1</v>
      </c>
      <c r="AE16">
        <v>7</v>
      </c>
      <c r="AF16">
        <v>4</v>
      </c>
      <c r="AH16" t="s">
        <v>2009</v>
      </c>
      <c r="AI16" t="s">
        <v>2008</v>
      </c>
      <c r="AK16" t="s">
        <v>2007</v>
      </c>
      <c r="AL16">
        <v>0</v>
      </c>
      <c r="AM16" s="5">
        <f t="shared" si="3"/>
        <v>0</v>
      </c>
      <c r="AN16" s="4">
        <f t="shared" si="4"/>
        <v>0</v>
      </c>
      <c r="AO16" s="3"/>
      <c r="AP16">
        <v>0</v>
      </c>
      <c r="AR16" t="s">
        <v>0</v>
      </c>
      <c r="AT16" s="2" t="s">
        <v>6</v>
      </c>
      <c r="AU16" s="1">
        <f t="shared" si="5"/>
        <v>0.26347401297349238</v>
      </c>
      <c r="AV16" s="1">
        <f t="shared" si="6"/>
        <v>0.18819572355249459</v>
      </c>
      <c r="AW16" s="1">
        <f t="shared" si="7"/>
        <v>0.11291743413149673</v>
      </c>
    </row>
    <row r="17" spans="1:49" x14ac:dyDescent="0.2">
      <c r="A17">
        <v>15</v>
      </c>
      <c r="B17" t="s">
        <v>2006</v>
      </c>
      <c r="F17" t="s">
        <v>2005</v>
      </c>
      <c r="G17" t="s">
        <v>4</v>
      </c>
      <c r="H17" t="s">
        <v>3</v>
      </c>
      <c r="I17" t="s">
        <v>2004</v>
      </c>
      <c r="N17">
        <v>1</v>
      </c>
      <c r="O17" t="s">
        <v>2003</v>
      </c>
      <c r="P17">
        <v>6602716610</v>
      </c>
      <c r="R17" s="7">
        <v>32112</v>
      </c>
      <c r="S17" s="8">
        <f t="shared" si="0"/>
        <v>1987</v>
      </c>
      <c r="T17" s="8">
        <v>1987</v>
      </c>
      <c r="U17" s="8">
        <f t="shared" si="1"/>
        <v>35</v>
      </c>
      <c r="V17" s="7">
        <v>1987</v>
      </c>
      <c r="W17" t="s">
        <v>2002</v>
      </c>
      <c r="X17" s="2" t="s">
        <v>6</v>
      </c>
      <c r="Y17" s="6" t="e">
        <f t="shared" si="2"/>
        <v>#VALUE!</v>
      </c>
      <c r="AA17">
        <v>385255</v>
      </c>
      <c r="AB17">
        <v>36180</v>
      </c>
      <c r="AD17" t="s">
        <v>1</v>
      </c>
      <c r="AE17">
        <v>30</v>
      </c>
      <c r="AF17">
        <v>4</v>
      </c>
      <c r="AH17" t="s">
        <v>2001</v>
      </c>
      <c r="AI17" t="s">
        <v>2000</v>
      </c>
      <c r="AK17" t="s">
        <v>1999</v>
      </c>
      <c r="AL17">
        <v>0</v>
      </c>
      <c r="AM17" s="5">
        <f t="shared" si="3"/>
        <v>0</v>
      </c>
      <c r="AN17" s="4">
        <f t="shared" si="4"/>
        <v>0</v>
      </c>
      <c r="AO17" s="3"/>
      <c r="AP17">
        <v>0</v>
      </c>
      <c r="AR17" t="s">
        <v>0</v>
      </c>
      <c r="AT17" s="2" t="s">
        <v>6</v>
      </c>
      <c r="AU17" s="1" t="e">
        <f t="shared" si="5"/>
        <v>#VALUE!</v>
      </c>
      <c r="AV17" s="1" t="e">
        <f t="shared" si="6"/>
        <v>#VALUE!</v>
      </c>
      <c r="AW17" s="1" t="e">
        <f t="shared" si="7"/>
        <v>#VALUE!</v>
      </c>
    </row>
    <row r="18" spans="1:49" x14ac:dyDescent="0.2">
      <c r="A18">
        <v>16</v>
      </c>
      <c r="B18" t="s">
        <v>1998</v>
      </c>
      <c r="F18" t="s">
        <v>1997</v>
      </c>
      <c r="G18" t="s">
        <v>4</v>
      </c>
      <c r="H18" t="s">
        <v>3</v>
      </c>
      <c r="I18" t="s">
        <v>83</v>
      </c>
      <c r="J18">
        <v>60029470</v>
      </c>
      <c r="K18" t="s">
        <v>82</v>
      </c>
      <c r="L18" t="s">
        <v>81</v>
      </c>
      <c r="M18" t="s">
        <v>7</v>
      </c>
      <c r="N18">
        <v>1</v>
      </c>
      <c r="O18" t="s">
        <v>80</v>
      </c>
      <c r="P18">
        <v>7201399131</v>
      </c>
      <c r="Q18">
        <v>60029470</v>
      </c>
      <c r="R18" s="7">
        <v>32112</v>
      </c>
      <c r="S18" s="8">
        <f t="shared" si="0"/>
        <v>1987</v>
      </c>
      <c r="T18" s="8">
        <v>1987</v>
      </c>
      <c r="U18" s="8">
        <f t="shared" si="1"/>
        <v>35</v>
      </c>
      <c r="V18" s="7">
        <v>32112</v>
      </c>
      <c r="W18" t="s">
        <v>171</v>
      </c>
      <c r="X18" s="2">
        <v>0.14099999999999999</v>
      </c>
      <c r="Y18" s="6">
        <f t="shared" si="2"/>
        <v>3.7639144710498915E-3</v>
      </c>
      <c r="AA18">
        <v>7252986</v>
      </c>
      <c r="AB18">
        <v>18037</v>
      </c>
      <c r="AD18" t="s">
        <v>1</v>
      </c>
      <c r="AE18">
        <v>7</v>
      </c>
      <c r="AF18">
        <v>4</v>
      </c>
      <c r="AH18" t="s">
        <v>1996</v>
      </c>
      <c r="AI18" t="s">
        <v>1995</v>
      </c>
      <c r="AK18" t="s">
        <v>1994</v>
      </c>
      <c r="AL18">
        <v>3</v>
      </c>
      <c r="AM18" s="5">
        <f t="shared" si="3"/>
        <v>8.5714285714285715E-2</v>
      </c>
      <c r="AN18" s="4">
        <f t="shared" si="4"/>
        <v>1.2982095526586251E-4</v>
      </c>
      <c r="AO18" s="3"/>
      <c r="AP18">
        <v>0</v>
      </c>
      <c r="AR18" t="s">
        <v>0</v>
      </c>
      <c r="AT18" s="2" t="s">
        <v>6</v>
      </c>
      <c r="AU18" s="1">
        <f t="shared" si="5"/>
        <v>0.26736864163146828</v>
      </c>
      <c r="AV18" s="1">
        <f t="shared" si="6"/>
        <v>0.19468677131578771</v>
      </c>
      <c r="AW18" s="1">
        <f t="shared" si="7"/>
        <v>0.12200490100010711</v>
      </c>
    </row>
    <row r="19" spans="1:49" x14ac:dyDescent="0.2">
      <c r="A19">
        <v>17</v>
      </c>
      <c r="B19" t="s">
        <v>1993</v>
      </c>
      <c r="F19" t="s">
        <v>1992</v>
      </c>
      <c r="G19" t="s">
        <v>4</v>
      </c>
      <c r="H19" t="s">
        <v>3</v>
      </c>
      <c r="I19" t="s">
        <v>1689</v>
      </c>
      <c r="N19">
        <v>2</v>
      </c>
      <c r="O19" t="s">
        <v>1991</v>
      </c>
      <c r="P19" t="s">
        <v>1990</v>
      </c>
      <c r="Q19" t="s">
        <v>19</v>
      </c>
      <c r="R19" s="7">
        <v>32112</v>
      </c>
      <c r="S19" s="8">
        <f t="shared" si="0"/>
        <v>1987</v>
      </c>
      <c r="T19" s="8">
        <v>1987</v>
      </c>
      <c r="U19" s="8">
        <f t="shared" si="1"/>
        <v>35</v>
      </c>
      <c r="V19" s="7">
        <v>32112</v>
      </c>
      <c r="W19" t="s">
        <v>1534</v>
      </c>
      <c r="X19" s="2">
        <v>0.14399999999999999</v>
      </c>
      <c r="Y19" s="6">
        <f t="shared" si="2"/>
        <v>3.8439977576679744E-3</v>
      </c>
      <c r="AA19">
        <v>382221</v>
      </c>
      <c r="AB19">
        <v>19255</v>
      </c>
      <c r="AD19" t="s">
        <v>1</v>
      </c>
      <c r="AE19">
        <v>78</v>
      </c>
      <c r="AF19">
        <v>2</v>
      </c>
      <c r="AH19" t="s">
        <v>1989</v>
      </c>
      <c r="AI19" t="s">
        <v>1988</v>
      </c>
      <c r="AK19" t="s">
        <v>1987</v>
      </c>
      <c r="AL19">
        <v>0</v>
      </c>
      <c r="AM19" s="5">
        <f t="shared" si="3"/>
        <v>0</v>
      </c>
      <c r="AN19" s="4">
        <f t="shared" si="4"/>
        <v>0</v>
      </c>
      <c r="AO19" s="3"/>
      <c r="AP19">
        <v>0</v>
      </c>
      <c r="AR19" t="s">
        <v>0</v>
      </c>
      <c r="AT19" s="2" t="s">
        <v>6</v>
      </c>
      <c r="AU19" s="1">
        <f t="shared" si="5"/>
        <v>0.26907984303675819</v>
      </c>
      <c r="AV19" s="1">
        <f t="shared" si="6"/>
        <v>0.19219988788339873</v>
      </c>
      <c r="AW19" s="1">
        <f t="shared" si="7"/>
        <v>0.11531993273003922</v>
      </c>
    </row>
    <row r="20" spans="1:49" x14ac:dyDescent="0.2">
      <c r="A20">
        <v>18</v>
      </c>
      <c r="B20" t="s">
        <v>1986</v>
      </c>
      <c r="F20" t="s">
        <v>1985</v>
      </c>
      <c r="G20" t="s">
        <v>4</v>
      </c>
      <c r="H20" t="s">
        <v>3</v>
      </c>
      <c r="I20" t="s">
        <v>1984</v>
      </c>
      <c r="N20">
        <v>2</v>
      </c>
      <c r="O20" t="s">
        <v>1983</v>
      </c>
      <c r="P20" t="s">
        <v>1982</v>
      </c>
      <c r="Q20" t="s">
        <v>19</v>
      </c>
      <c r="R20" s="7">
        <v>32112</v>
      </c>
      <c r="S20" s="8">
        <f t="shared" si="0"/>
        <v>1987</v>
      </c>
      <c r="T20" s="8">
        <v>1987</v>
      </c>
      <c r="U20" s="8">
        <f t="shared" si="1"/>
        <v>35</v>
      </c>
      <c r="V20" s="7">
        <v>1987</v>
      </c>
      <c r="W20" t="s">
        <v>53</v>
      </c>
      <c r="X20" s="2" t="s">
        <v>6</v>
      </c>
      <c r="Y20" s="6" t="e">
        <f t="shared" si="2"/>
        <v>#VALUE!</v>
      </c>
      <c r="AA20">
        <v>337870</v>
      </c>
      <c r="AB20">
        <v>32478</v>
      </c>
      <c r="AD20" t="s">
        <v>1</v>
      </c>
      <c r="AE20">
        <v>30</v>
      </c>
      <c r="AF20">
        <v>2</v>
      </c>
      <c r="AH20" t="s">
        <v>1578</v>
      </c>
      <c r="AI20" t="s">
        <v>1981</v>
      </c>
      <c r="AK20" t="s">
        <v>1980</v>
      </c>
      <c r="AL20">
        <v>0</v>
      </c>
      <c r="AM20" s="5">
        <f t="shared" si="3"/>
        <v>0</v>
      </c>
      <c r="AN20" s="4">
        <f t="shared" si="4"/>
        <v>0</v>
      </c>
      <c r="AO20" s="3"/>
      <c r="AP20">
        <v>0</v>
      </c>
      <c r="AR20" t="s">
        <v>0</v>
      </c>
      <c r="AT20" s="2" t="s">
        <v>6</v>
      </c>
      <c r="AU20" s="1" t="e">
        <f t="shared" si="5"/>
        <v>#VALUE!</v>
      </c>
      <c r="AV20" s="1" t="e">
        <f t="shared" si="6"/>
        <v>#VALUE!</v>
      </c>
      <c r="AW20" s="1" t="e">
        <f t="shared" si="7"/>
        <v>#VALUE!</v>
      </c>
    </row>
    <row r="21" spans="1:49" x14ac:dyDescent="0.2">
      <c r="A21">
        <v>19</v>
      </c>
      <c r="B21" t="s">
        <v>1979</v>
      </c>
      <c r="F21" t="s">
        <v>1978</v>
      </c>
      <c r="G21" t="s">
        <v>4</v>
      </c>
      <c r="H21" t="s">
        <v>3</v>
      </c>
      <c r="I21" t="s">
        <v>1977</v>
      </c>
      <c r="N21">
        <v>3</v>
      </c>
      <c r="O21" t="s">
        <v>1976</v>
      </c>
      <c r="P21" t="s">
        <v>1975</v>
      </c>
      <c r="Q21" t="s">
        <v>11</v>
      </c>
      <c r="R21" s="7">
        <v>32112</v>
      </c>
      <c r="S21" s="8">
        <f t="shared" si="0"/>
        <v>1987</v>
      </c>
      <c r="T21" s="8">
        <v>1987</v>
      </c>
      <c r="U21" s="8">
        <f t="shared" si="1"/>
        <v>35</v>
      </c>
      <c r="V21" s="7">
        <v>1987</v>
      </c>
      <c r="W21" t="s">
        <v>53</v>
      </c>
      <c r="X21" s="2" t="s">
        <v>6</v>
      </c>
      <c r="Y21" s="6" t="e">
        <f t="shared" si="2"/>
        <v>#VALUE!</v>
      </c>
      <c r="AA21">
        <v>337870</v>
      </c>
      <c r="AB21">
        <v>32478</v>
      </c>
      <c r="AD21" t="s">
        <v>1</v>
      </c>
      <c r="AE21">
        <v>30</v>
      </c>
      <c r="AF21">
        <v>2</v>
      </c>
      <c r="AH21" t="s">
        <v>1974</v>
      </c>
      <c r="AI21" t="s">
        <v>1973</v>
      </c>
      <c r="AK21" t="s">
        <v>1972</v>
      </c>
      <c r="AL21">
        <v>0</v>
      </c>
      <c r="AM21" s="5">
        <f t="shared" si="3"/>
        <v>0</v>
      </c>
      <c r="AN21" s="4">
        <f t="shared" si="4"/>
        <v>0</v>
      </c>
      <c r="AO21" s="3"/>
      <c r="AP21">
        <v>0</v>
      </c>
      <c r="AR21" t="s">
        <v>0</v>
      </c>
      <c r="AT21" s="2" t="s">
        <v>6</v>
      </c>
      <c r="AU21" s="1" t="e">
        <f t="shared" si="5"/>
        <v>#VALUE!</v>
      </c>
      <c r="AV21" s="1" t="e">
        <f t="shared" si="6"/>
        <v>#VALUE!</v>
      </c>
      <c r="AW21" s="1" t="e">
        <f t="shared" si="7"/>
        <v>#VALUE!</v>
      </c>
    </row>
    <row r="22" spans="1:49" x14ac:dyDescent="0.2">
      <c r="A22">
        <v>20</v>
      </c>
      <c r="B22" t="s">
        <v>1971</v>
      </c>
      <c r="F22" t="s">
        <v>1970</v>
      </c>
      <c r="G22" t="s">
        <v>4</v>
      </c>
      <c r="H22" t="s">
        <v>3</v>
      </c>
      <c r="I22" t="s">
        <v>1969</v>
      </c>
      <c r="N22">
        <v>1</v>
      </c>
      <c r="O22" t="s">
        <v>1968</v>
      </c>
      <c r="P22">
        <v>6602584648</v>
      </c>
      <c r="R22" s="7">
        <v>32112</v>
      </c>
      <c r="S22" s="8">
        <f t="shared" si="0"/>
        <v>1987</v>
      </c>
      <c r="T22" s="8">
        <v>1987</v>
      </c>
      <c r="U22" s="8">
        <f t="shared" si="1"/>
        <v>35</v>
      </c>
      <c r="V22" s="7">
        <v>1987</v>
      </c>
      <c r="W22" t="s">
        <v>53</v>
      </c>
      <c r="X22" s="2" t="s">
        <v>6</v>
      </c>
      <c r="Y22" s="6" t="e">
        <f t="shared" si="2"/>
        <v>#VALUE!</v>
      </c>
      <c r="AA22">
        <v>337870</v>
      </c>
      <c r="AB22">
        <v>32478</v>
      </c>
      <c r="AD22" t="s">
        <v>1</v>
      </c>
      <c r="AE22">
        <v>30</v>
      </c>
      <c r="AF22">
        <v>5</v>
      </c>
      <c r="AH22" t="s">
        <v>1967</v>
      </c>
      <c r="AI22" t="s">
        <v>1966</v>
      </c>
      <c r="AK22" t="s">
        <v>1965</v>
      </c>
      <c r="AL22">
        <v>0</v>
      </c>
      <c r="AM22" s="5">
        <f t="shared" si="3"/>
        <v>0</v>
      </c>
      <c r="AN22" s="4">
        <f t="shared" si="4"/>
        <v>0</v>
      </c>
      <c r="AO22" s="3"/>
      <c r="AP22">
        <v>0</v>
      </c>
      <c r="AR22" t="s">
        <v>0</v>
      </c>
      <c r="AT22" s="2" t="s">
        <v>6</v>
      </c>
      <c r="AU22" s="1" t="e">
        <f t="shared" si="5"/>
        <v>#VALUE!</v>
      </c>
      <c r="AV22" s="1" t="e">
        <f t="shared" si="6"/>
        <v>#VALUE!</v>
      </c>
      <c r="AW22" s="1" t="e">
        <f t="shared" si="7"/>
        <v>#VALUE!</v>
      </c>
    </row>
    <row r="23" spans="1:49" x14ac:dyDescent="0.2">
      <c r="A23">
        <v>21</v>
      </c>
      <c r="B23" t="s">
        <v>1964</v>
      </c>
      <c r="F23" t="s">
        <v>1963</v>
      </c>
      <c r="G23" t="s">
        <v>4</v>
      </c>
      <c r="H23" t="s">
        <v>3</v>
      </c>
      <c r="I23" t="s">
        <v>1962</v>
      </c>
      <c r="N23">
        <v>1</v>
      </c>
      <c r="O23" t="s">
        <v>1961</v>
      </c>
      <c r="P23">
        <v>56423205700</v>
      </c>
      <c r="R23" s="7">
        <v>32112</v>
      </c>
      <c r="S23" s="8">
        <f t="shared" si="0"/>
        <v>1987</v>
      </c>
      <c r="T23" s="8">
        <v>1987</v>
      </c>
      <c r="U23" s="8">
        <f t="shared" si="1"/>
        <v>35</v>
      </c>
      <c r="V23" s="7">
        <v>1987</v>
      </c>
      <c r="W23" t="s">
        <v>1668</v>
      </c>
      <c r="X23" s="2" t="s">
        <v>6</v>
      </c>
      <c r="Y23" s="6" t="e">
        <f t="shared" si="2"/>
        <v>#VALUE!</v>
      </c>
      <c r="AA23">
        <v>271349</v>
      </c>
      <c r="AB23">
        <v>28721</v>
      </c>
      <c r="AD23" t="s">
        <v>1</v>
      </c>
      <c r="AE23">
        <v>42</v>
      </c>
      <c r="AF23">
        <v>4</v>
      </c>
      <c r="AH23" t="s">
        <v>1960</v>
      </c>
      <c r="AI23" t="s">
        <v>1959</v>
      </c>
      <c r="AK23" t="s">
        <v>1958</v>
      </c>
      <c r="AL23">
        <v>0</v>
      </c>
      <c r="AM23" s="5">
        <f t="shared" si="3"/>
        <v>0</v>
      </c>
      <c r="AN23" s="4">
        <f t="shared" si="4"/>
        <v>0</v>
      </c>
      <c r="AO23" s="3"/>
      <c r="AP23">
        <v>0</v>
      </c>
      <c r="AR23" t="s">
        <v>0</v>
      </c>
      <c r="AT23" s="2" t="s">
        <v>6</v>
      </c>
      <c r="AU23" s="1" t="e">
        <f t="shared" si="5"/>
        <v>#VALUE!</v>
      </c>
      <c r="AV23" s="1" t="e">
        <f t="shared" si="6"/>
        <v>#VALUE!</v>
      </c>
      <c r="AW23" s="1" t="e">
        <f t="shared" si="7"/>
        <v>#VALUE!</v>
      </c>
    </row>
    <row r="24" spans="1:49" x14ac:dyDescent="0.2">
      <c r="A24">
        <v>22</v>
      </c>
      <c r="B24" t="s">
        <v>1957</v>
      </c>
      <c r="F24" t="s">
        <v>1956</v>
      </c>
      <c r="G24" t="s">
        <v>4</v>
      </c>
      <c r="H24" t="s">
        <v>3</v>
      </c>
      <c r="I24" t="s">
        <v>1955</v>
      </c>
      <c r="N24">
        <v>4</v>
      </c>
      <c r="O24" t="s">
        <v>1954</v>
      </c>
      <c r="P24" t="s">
        <v>1953</v>
      </c>
      <c r="Q24" t="s">
        <v>33</v>
      </c>
      <c r="R24" s="7">
        <v>32112</v>
      </c>
      <c r="S24" s="8">
        <f t="shared" si="0"/>
        <v>1987</v>
      </c>
      <c r="T24" s="8">
        <v>1987</v>
      </c>
      <c r="U24" s="8">
        <f t="shared" si="1"/>
        <v>35</v>
      </c>
      <c r="V24" s="7">
        <v>1987</v>
      </c>
      <c r="W24" t="s">
        <v>53</v>
      </c>
      <c r="X24" s="2" t="s">
        <v>6</v>
      </c>
      <c r="Y24" s="6" t="e">
        <f t="shared" si="2"/>
        <v>#VALUE!</v>
      </c>
      <c r="AA24">
        <v>337870</v>
      </c>
      <c r="AB24">
        <v>32478</v>
      </c>
      <c r="AD24" t="s">
        <v>1</v>
      </c>
      <c r="AE24">
        <v>30</v>
      </c>
      <c r="AF24">
        <v>2</v>
      </c>
      <c r="AH24" t="s">
        <v>1952</v>
      </c>
      <c r="AI24" t="s">
        <v>1951</v>
      </c>
      <c r="AK24" t="s">
        <v>1950</v>
      </c>
      <c r="AL24">
        <v>0</v>
      </c>
      <c r="AM24" s="5">
        <f t="shared" si="3"/>
        <v>0</v>
      </c>
      <c r="AN24" s="4">
        <f t="shared" si="4"/>
        <v>0</v>
      </c>
      <c r="AO24" s="3"/>
      <c r="AP24">
        <v>0</v>
      </c>
      <c r="AR24" t="s">
        <v>0</v>
      </c>
      <c r="AT24" s="2" t="s">
        <v>6</v>
      </c>
      <c r="AU24" s="1" t="e">
        <f t="shared" si="5"/>
        <v>#VALUE!</v>
      </c>
      <c r="AV24" s="1" t="e">
        <f t="shared" si="6"/>
        <v>#VALUE!</v>
      </c>
      <c r="AW24" s="1" t="e">
        <f t="shared" si="7"/>
        <v>#VALUE!</v>
      </c>
    </row>
    <row r="25" spans="1:49" x14ac:dyDescent="0.2">
      <c r="A25">
        <v>23</v>
      </c>
      <c r="B25" t="s">
        <v>1949</v>
      </c>
      <c r="F25" t="s">
        <v>1948</v>
      </c>
      <c r="G25" t="s">
        <v>4</v>
      </c>
      <c r="H25" t="s">
        <v>3</v>
      </c>
      <c r="I25" t="s">
        <v>1947</v>
      </c>
      <c r="N25">
        <v>1</v>
      </c>
      <c r="O25" t="s">
        <v>1946</v>
      </c>
      <c r="P25">
        <v>7006932121</v>
      </c>
      <c r="R25" s="7">
        <v>32112</v>
      </c>
      <c r="S25" s="8">
        <f t="shared" si="0"/>
        <v>1987</v>
      </c>
      <c r="T25" s="8">
        <v>1987</v>
      </c>
      <c r="U25" s="8">
        <f t="shared" si="1"/>
        <v>35</v>
      </c>
      <c r="V25" s="7">
        <v>1987</v>
      </c>
      <c r="W25" t="s">
        <v>1945</v>
      </c>
      <c r="X25" s="2" t="s">
        <v>6</v>
      </c>
      <c r="Y25" s="6" t="e">
        <f t="shared" si="2"/>
        <v>#VALUE!</v>
      </c>
      <c r="AA25">
        <v>2649187</v>
      </c>
      <c r="AB25">
        <v>36931</v>
      </c>
      <c r="AD25" t="s">
        <v>1</v>
      </c>
      <c r="AE25">
        <v>5</v>
      </c>
      <c r="AF25">
        <v>4</v>
      </c>
      <c r="AH25" t="s">
        <v>1944</v>
      </c>
      <c r="AI25" t="s">
        <v>1943</v>
      </c>
      <c r="AK25" t="s">
        <v>1942</v>
      </c>
      <c r="AL25">
        <v>5</v>
      </c>
      <c r="AM25" s="5">
        <f t="shared" si="3"/>
        <v>0.14285714285714285</v>
      </c>
      <c r="AN25" s="4">
        <f t="shared" si="4"/>
        <v>2.1636825877643749E-4</v>
      </c>
      <c r="AO25" s="3"/>
      <c r="AP25">
        <v>0</v>
      </c>
      <c r="AR25" t="s">
        <v>0</v>
      </c>
      <c r="AT25" s="2" t="s">
        <v>6</v>
      </c>
      <c r="AU25" s="1" t="e">
        <f t="shared" si="5"/>
        <v>#VALUE!</v>
      </c>
      <c r="AV25" s="1" t="e">
        <f t="shared" si="6"/>
        <v>#VALUE!</v>
      </c>
      <c r="AW25" s="1" t="e">
        <f t="shared" si="7"/>
        <v>#VALUE!</v>
      </c>
    </row>
    <row r="26" spans="1:49" x14ac:dyDescent="0.2">
      <c r="A26">
        <v>24</v>
      </c>
      <c r="B26" t="s">
        <v>1941</v>
      </c>
      <c r="F26" t="s">
        <v>1940</v>
      </c>
      <c r="G26" t="s">
        <v>4</v>
      </c>
      <c r="H26" t="s">
        <v>3</v>
      </c>
      <c r="I26" t="s">
        <v>1939</v>
      </c>
      <c r="N26">
        <v>2</v>
      </c>
      <c r="O26" t="s">
        <v>1938</v>
      </c>
      <c r="P26" t="s">
        <v>1937</v>
      </c>
      <c r="Q26" t="s">
        <v>19</v>
      </c>
      <c r="R26" s="7">
        <v>32112</v>
      </c>
      <c r="S26" s="8">
        <f t="shared" si="0"/>
        <v>1987</v>
      </c>
      <c r="T26" s="8">
        <v>1987</v>
      </c>
      <c r="U26" s="8">
        <f t="shared" si="1"/>
        <v>35</v>
      </c>
      <c r="V26" s="7">
        <v>1987</v>
      </c>
      <c r="W26" t="s">
        <v>53</v>
      </c>
      <c r="X26" s="2" t="s">
        <v>6</v>
      </c>
      <c r="Y26" s="6" t="e">
        <f t="shared" si="2"/>
        <v>#VALUE!</v>
      </c>
      <c r="AA26">
        <v>337870</v>
      </c>
      <c r="AB26">
        <v>32478</v>
      </c>
      <c r="AD26" t="s">
        <v>1</v>
      </c>
      <c r="AE26">
        <v>30</v>
      </c>
      <c r="AF26">
        <v>7</v>
      </c>
      <c r="AH26" s="9">
        <v>44507</v>
      </c>
      <c r="AI26" t="s">
        <v>1936</v>
      </c>
      <c r="AK26" t="s">
        <v>1935</v>
      </c>
      <c r="AL26">
        <v>0</v>
      </c>
      <c r="AM26" s="5">
        <f t="shared" si="3"/>
        <v>0</v>
      </c>
      <c r="AN26" s="4">
        <f t="shared" si="4"/>
        <v>0</v>
      </c>
      <c r="AO26" s="3"/>
      <c r="AP26">
        <v>0</v>
      </c>
      <c r="AR26" t="s">
        <v>0</v>
      </c>
      <c r="AT26" s="2" t="s">
        <v>6</v>
      </c>
      <c r="AU26" s="1" t="e">
        <f t="shared" si="5"/>
        <v>#VALUE!</v>
      </c>
      <c r="AV26" s="1" t="e">
        <f t="shared" si="6"/>
        <v>#VALUE!</v>
      </c>
      <c r="AW26" s="1" t="e">
        <f t="shared" si="7"/>
        <v>#VALUE!</v>
      </c>
    </row>
    <row r="27" spans="1:49" x14ac:dyDescent="0.2">
      <c r="A27">
        <v>25</v>
      </c>
      <c r="B27" t="s">
        <v>1934</v>
      </c>
      <c r="F27" t="s">
        <v>1933</v>
      </c>
      <c r="G27" t="s">
        <v>4</v>
      </c>
      <c r="H27" t="s">
        <v>3</v>
      </c>
      <c r="I27" t="s">
        <v>1932</v>
      </c>
      <c r="J27">
        <v>60083078</v>
      </c>
      <c r="K27" t="s">
        <v>1931</v>
      </c>
      <c r="L27" t="s">
        <v>1930</v>
      </c>
      <c r="M27" t="s">
        <v>73</v>
      </c>
      <c r="N27">
        <v>1</v>
      </c>
      <c r="O27" t="s">
        <v>1929</v>
      </c>
      <c r="P27">
        <v>6506259203</v>
      </c>
      <c r="Q27">
        <v>60083078</v>
      </c>
      <c r="R27" s="7">
        <v>32112</v>
      </c>
      <c r="S27" s="8">
        <f t="shared" si="0"/>
        <v>1987</v>
      </c>
      <c r="T27" s="8">
        <v>1987</v>
      </c>
      <c r="U27" s="8">
        <f t="shared" si="1"/>
        <v>35</v>
      </c>
      <c r="V27" s="7">
        <v>32112</v>
      </c>
      <c r="W27" t="s">
        <v>1928</v>
      </c>
      <c r="X27" s="2" t="s">
        <v>6</v>
      </c>
      <c r="Y27" s="6" t="e">
        <f t="shared" si="2"/>
        <v>#VALUE!</v>
      </c>
      <c r="AA27">
        <v>3084213</v>
      </c>
      <c r="AB27">
        <v>39048</v>
      </c>
      <c r="AD27" t="s">
        <v>1</v>
      </c>
      <c r="AE27">
        <v>14</v>
      </c>
      <c r="AF27">
        <v>1</v>
      </c>
      <c r="AH27" t="s">
        <v>1927</v>
      </c>
      <c r="AI27" t="s">
        <v>1926</v>
      </c>
      <c r="AK27" t="s">
        <v>1925</v>
      </c>
      <c r="AL27">
        <v>0</v>
      </c>
      <c r="AM27" s="5">
        <f t="shared" si="3"/>
        <v>0</v>
      </c>
      <c r="AN27" s="4">
        <f t="shared" si="4"/>
        <v>0</v>
      </c>
      <c r="AO27" s="3"/>
      <c r="AP27">
        <v>0</v>
      </c>
      <c r="AR27" t="s">
        <v>0</v>
      </c>
      <c r="AT27" s="2" t="s">
        <v>6</v>
      </c>
      <c r="AU27" s="1" t="e">
        <f t="shared" si="5"/>
        <v>#VALUE!</v>
      </c>
      <c r="AV27" s="1" t="e">
        <f t="shared" si="6"/>
        <v>#VALUE!</v>
      </c>
      <c r="AW27" s="1" t="e">
        <f t="shared" si="7"/>
        <v>#VALUE!</v>
      </c>
    </row>
    <row r="28" spans="1:49" x14ac:dyDescent="0.2">
      <c r="A28">
        <v>26</v>
      </c>
      <c r="B28" t="s">
        <v>1924</v>
      </c>
      <c r="F28" t="s">
        <v>1923</v>
      </c>
      <c r="G28" t="s">
        <v>4</v>
      </c>
      <c r="H28" t="s">
        <v>3</v>
      </c>
      <c r="I28" t="s">
        <v>1922</v>
      </c>
      <c r="N28">
        <v>2</v>
      </c>
      <c r="O28" t="s">
        <v>1921</v>
      </c>
      <c r="P28" t="s">
        <v>1920</v>
      </c>
      <c r="Q28" t="s">
        <v>19</v>
      </c>
      <c r="R28" s="7">
        <v>32112</v>
      </c>
      <c r="S28" s="8">
        <f t="shared" si="0"/>
        <v>1987</v>
      </c>
      <c r="T28" s="8">
        <v>1987</v>
      </c>
      <c r="U28" s="8">
        <f t="shared" si="1"/>
        <v>35</v>
      </c>
      <c r="V28" s="7">
        <v>1987</v>
      </c>
      <c r="W28" t="s">
        <v>53</v>
      </c>
      <c r="X28" s="2" t="s">
        <v>6</v>
      </c>
      <c r="Y28" s="6" t="e">
        <f t="shared" si="2"/>
        <v>#VALUE!</v>
      </c>
      <c r="AA28">
        <v>337870</v>
      </c>
      <c r="AB28">
        <v>32478</v>
      </c>
      <c r="AD28" t="s">
        <v>1</v>
      </c>
      <c r="AE28">
        <v>30</v>
      </c>
      <c r="AF28">
        <v>2</v>
      </c>
      <c r="AH28" s="9">
        <v>44502</v>
      </c>
      <c r="AI28" t="s">
        <v>1919</v>
      </c>
      <c r="AK28" t="s">
        <v>1918</v>
      </c>
      <c r="AL28">
        <v>0</v>
      </c>
      <c r="AM28" s="5">
        <f t="shared" si="3"/>
        <v>0</v>
      </c>
      <c r="AN28" s="4">
        <f t="shared" si="4"/>
        <v>0</v>
      </c>
      <c r="AO28" s="3"/>
      <c r="AP28">
        <v>0</v>
      </c>
      <c r="AR28" t="s">
        <v>0</v>
      </c>
      <c r="AT28" s="2" t="s">
        <v>6</v>
      </c>
      <c r="AU28" s="1" t="e">
        <f t="shared" si="5"/>
        <v>#VALUE!</v>
      </c>
      <c r="AV28" s="1" t="e">
        <f t="shared" si="6"/>
        <v>#VALUE!</v>
      </c>
      <c r="AW28" s="1" t="e">
        <f t="shared" si="7"/>
        <v>#VALUE!</v>
      </c>
    </row>
    <row r="29" spans="1:49" x14ac:dyDescent="0.2">
      <c r="A29">
        <v>27</v>
      </c>
      <c r="B29" t="s">
        <v>1917</v>
      </c>
      <c r="F29" t="s">
        <v>1916</v>
      </c>
      <c r="G29" t="s">
        <v>4</v>
      </c>
      <c r="H29" t="s">
        <v>3</v>
      </c>
      <c r="I29" t="s">
        <v>1915</v>
      </c>
      <c r="J29">
        <v>60028984</v>
      </c>
      <c r="K29" t="s">
        <v>1914</v>
      </c>
      <c r="L29" t="s">
        <v>1045</v>
      </c>
      <c r="M29" t="s">
        <v>73</v>
      </c>
      <c r="N29">
        <v>1</v>
      </c>
      <c r="O29" t="s">
        <v>1913</v>
      </c>
      <c r="P29">
        <v>7006921496</v>
      </c>
      <c r="Q29">
        <v>60028984</v>
      </c>
      <c r="R29" s="7">
        <v>32112</v>
      </c>
      <c r="S29" s="8">
        <f t="shared" si="0"/>
        <v>1987</v>
      </c>
      <c r="T29" s="8">
        <v>1987</v>
      </c>
      <c r="U29" s="8">
        <f t="shared" si="1"/>
        <v>35</v>
      </c>
      <c r="V29" s="7">
        <v>1987</v>
      </c>
      <c r="W29" t="s">
        <v>1912</v>
      </c>
      <c r="X29" s="2" t="s">
        <v>6</v>
      </c>
      <c r="Y29" s="6" t="e">
        <f t="shared" si="2"/>
        <v>#VALUE!</v>
      </c>
      <c r="AA29">
        <v>3759970</v>
      </c>
      <c r="AB29">
        <v>30544</v>
      </c>
      <c r="AD29" t="s">
        <v>1</v>
      </c>
      <c r="AE29">
        <v>31</v>
      </c>
      <c r="AF29">
        <v>2</v>
      </c>
      <c r="AH29" t="s">
        <v>1911</v>
      </c>
      <c r="AI29" t="s">
        <v>1910</v>
      </c>
      <c r="AK29" t="s">
        <v>1909</v>
      </c>
      <c r="AL29">
        <v>0</v>
      </c>
      <c r="AM29" s="5">
        <f t="shared" si="3"/>
        <v>0</v>
      </c>
      <c r="AN29" s="4">
        <f t="shared" si="4"/>
        <v>0</v>
      </c>
      <c r="AO29" s="3"/>
      <c r="AP29">
        <v>0</v>
      </c>
      <c r="AR29" t="s">
        <v>0</v>
      </c>
      <c r="AT29" s="2" t="s">
        <v>6</v>
      </c>
      <c r="AU29" s="1" t="e">
        <f t="shared" si="5"/>
        <v>#VALUE!</v>
      </c>
      <c r="AV29" s="1" t="e">
        <f t="shared" si="6"/>
        <v>#VALUE!</v>
      </c>
      <c r="AW29" s="1" t="e">
        <f t="shared" si="7"/>
        <v>#VALUE!</v>
      </c>
    </row>
    <row r="30" spans="1:49" x14ac:dyDescent="0.2">
      <c r="A30">
        <v>28</v>
      </c>
      <c r="B30" t="s">
        <v>1908</v>
      </c>
      <c r="F30" t="s">
        <v>1907</v>
      </c>
      <c r="G30" t="s">
        <v>4</v>
      </c>
      <c r="H30" t="s">
        <v>3</v>
      </c>
      <c r="I30" t="s">
        <v>1906</v>
      </c>
      <c r="N30">
        <v>1</v>
      </c>
      <c r="O30" t="s">
        <v>1905</v>
      </c>
      <c r="P30">
        <v>6602923776</v>
      </c>
      <c r="R30" s="7">
        <v>32112</v>
      </c>
      <c r="S30" s="8">
        <f t="shared" si="0"/>
        <v>1987</v>
      </c>
      <c r="T30" s="8">
        <v>1987</v>
      </c>
      <c r="U30" s="8">
        <f t="shared" si="1"/>
        <v>35</v>
      </c>
      <c r="V30" s="7">
        <v>1987</v>
      </c>
      <c r="W30" t="s">
        <v>53</v>
      </c>
      <c r="X30" s="2" t="s">
        <v>6</v>
      </c>
      <c r="Y30" s="6" t="e">
        <f t="shared" si="2"/>
        <v>#VALUE!</v>
      </c>
      <c r="AA30">
        <v>337870</v>
      </c>
      <c r="AB30">
        <v>32478</v>
      </c>
      <c r="AD30" t="s">
        <v>1</v>
      </c>
      <c r="AE30">
        <v>30</v>
      </c>
      <c r="AF30">
        <v>2</v>
      </c>
      <c r="AH30" t="s">
        <v>1904</v>
      </c>
      <c r="AI30" t="s">
        <v>1903</v>
      </c>
      <c r="AK30" t="s">
        <v>1902</v>
      </c>
      <c r="AL30">
        <v>1</v>
      </c>
      <c r="AM30" s="5">
        <f t="shared" si="3"/>
        <v>2.8571428571428571E-2</v>
      </c>
      <c r="AN30" s="4">
        <f t="shared" si="4"/>
        <v>4.32736517552875E-5</v>
      </c>
      <c r="AO30" s="3"/>
      <c r="AP30">
        <v>0</v>
      </c>
      <c r="AR30" t="s">
        <v>0</v>
      </c>
      <c r="AT30" s="2" t="s">
        <v>6</v>
      </c>
      <c r="AU30" s="1" t="e">
        <f t="shared" si="5"/>
        <v>#VALUE!</v>
      </c>
      <c r="AV30" s="1" t="e">
        <f t="shared" si="6"/>
        <v>#VALUE!</v>
      </c>
      <c r="AW30" s="1" t="e">
        <f t="shared" si="7"/>
        <v>#VALUE!</v>
      </c>
    </row>
    <row r="31" spans="1:49" x14ac:dyDescent="0.2">
      <c r="A31">
        <v>29</v>
      </c>
      <c r="B31" t="s">
        <v>1901</v>
      </c>
      <c r="F31" t="s">
        <v>1900</v>
      </c>
      <c r="G31" t="s">
        <v>4</v>
      </c>
      <c r="H31" t="s">
        <v>3</v>
      </c>
      <c r="I31" t="s">
        <v>1899</v>
      </c>
      <c r="N31">
        <v>1</v>
      </c>
      <c r="O31" t="s">
        <v>1898</v>
      </c>
      <c r="P31">
        <v>6603363665</v>
      </c>
      <c r="R31" s="7">
        <v>32112</v>
      </c>
      <c r="S31" s="8">
        <f t="shared" si="0"/>
        <v>1987</v>
      </c>
      <c r="T31" s="8">
        <v>1987</v>
      </c>
      <c r="U31" s="8">
        <f t="shared" si="1"/>
        <v>35</v>
      </c>
      <c r="V31" s="7">
        <v>1987</v>
      </c>
      <c r="W31" t="s">
        <v>53</v>
      </c>
      <c r="X31" s="2" t="s">
        <v>6</v>
      </c>
      <c r="Y31" s="6" t="e">
        <f t="shared" si="2"/>
        <v>#VALUE!</v>
      </c>
      <c r="AA31">
        <v>337870</v>
      </c>
      <c r="AB31">
        <v>32478</v>
      </c>
      <c r="AD31" t="s">
        <v>1</v>
      </c>
      <c r="AE31">
        <v>30</v>
      </c>
      <c r="AF31">
        <v>9</v>
      </c>
      <c r="AH31" t="s">
        <v>1897</v>
      </c>
      <c r="AI31" t="s">
        <v>1896</v>
      </c>
      <c r="AK31" t="s">
        <v>1895</v>
      </c>
      <c r="AL31">
        <v>0</v>
      </c>
      <c r="AM31" s="5">
        <f t="shared" si="3"/>
        <v>0</v>
      </c>
      <c r="AN31" s="4">
        <f t="shared" si="4"/>
        <v>0</v>
      </c>
      <c r="AO31" s="3"/>
      <c r="AP31">
        <v>0</v>
      </c>
      <c r="AR31" t="s">
        <v>0</v>
      </c>
      <c r="AT31" s="2" t="s">
        <v>6</v>
      </c>
      <c r="AU31" s="1" t="e">
        <f t="shared" si="5"/>
        <v>#VALUE!</v>
      </c>
      <c r="AV31" s="1" t="e">
        <f t="shared" si="6"/>
        <v>#VALUE!</v>
      </c>
      <c r="AW31" s="1" t="e">
        <f t="shared" si="7"/>
        <v>#VALUE!</v>
      </c>
    </row>
    <row r="32" spans="1:49" x14ac:dyDescent="0.2">
      <c r="A32">
        <v>30</v>
      </c>
      <c r="B32" t="s">
        <v>1894</v>
      </c>
      <c r="F32" t="s">
        <v>1893</v>
      </c>
      <c r="G32" t="s">
        <v>4</v>
      </c>
      <c r="H32" t="s">
        <v>3</v>
      </c>
      <c r="I32" t="s">
        <v>1892</v>
      </c>
      <c r="J32">
        <v>60025709</v>
      </c>
      <c r="K32" t="s">
        <v>1516</v>
      </c>
      <c r="L32" t="s">
        <v>24</v>
      </c>
      <c r="M32" t="s">
        <v>7</v>
      </c>
      <c r="N32">
        <v>1</v>
      </c>
      <c r="O32" t="s">
        <v>1891</v>
      </c>
      <c r="P32">
        <v>57213792205</v>
      </c>
      <c r="Q32">
        <v>60025709</v>
      </c>
      <c r="R32" s="7">
        <v>32112</v>
      </c>
      <c r="S32" s="8">
        <f t="shared" si="0"/>
        <v>1987</v>
      </c>
      <c r="T32" s="8">
        <v>1987</v>
      </c>
      <c r="U32" s="8">
        <f t="shared" si="1"/>
        <v>35</v>
      </c>
      <c r="V32" s="7">
        <v>32112</v>
      </c>
      <c r="W32" t="s">
        <v>171</v>
      </c>
      <c r="X32" s="2">
        <v>0.14099999999999999</v>
      </c>
      <c r="Y32" s="6">
        <f t="shared" si="2"/>
        <v>3.7639144710498915E-3</v>
      </c>
      <c r="AA32">
        <v>7252986</v>
      </c>
      <c r="AB32">
        <v>18037</v>
      </c>
      <c r="AD32" t="s">
        <v>1</v>
      </c>
      <c r="AE32">
        <v>7</v>
      </c>
      <c r="AF32">
        <v>4</v>
      </c>
      <c r="AH32" t="s">
        <v>78</v>
      </c>
      <c r="AI32" t="s">
        <v>1890</v>
      </c>
      <c r="AK32" t="s">
        <v>1889</v>
      </c>
      <c r="AL32">
        <v>0</v>
      </c>
      <c r="AM32" s="5">
        <f t="shared" si="3"/>
        <v>0</v>
      </c>
      <c r="AN32" s="4">
        <f t="shared" si="4"/>
        <v>0</v>
      </c>
      <c r="AO32" s="3"/>
      <c r="AP32">
        <v>0</v>
      </c>
      <c r="AR32" t="s">
        <v>0</v>
      </c>
      <c r="AT32" s="2" t="s">
        <v>6</v>
      </c>
      <c r="AU32" s="1">
        <f t="shared" si="5"/>
        <v>0.26347401297349238</v>
      </c>
      <c r="AV32" s="1">
        <f t="shared" si="6"/>
        <v>0.18819572355249459</v>
      </c>
      <c r="AW32" s="1">
        <f t="shared" si="7"/>
        <v>0.11291743413149673</v>
      </c>
    </row>
    <row r="33" spans="1:49" x14ac:dyDescent="0.2">
      <c r="A33">
        <v>31</v>
      </c>
      <c r="B33" t="s">
        <v>1888</v>
      </c>
      <c r="F33" t="s">
        <v>1887</v>
      </c>
      <c r="G33" t="s">
        <v>4</v>
      </c>
      <c r="H33" t="s">
        <v>3</v>
      </c>
      <c r="I33" t="s">
        <v>1886</v>
      </c>
      <c r="N33">
        <v>2</v>
      </c>
      <c r="O33" t="s">
        <v>1885</v>
      </c>
      <c r="P33" t="s">
        <v>1884</v>
      </c>
      <c r="Q33" t="s">
        <v>19</v>
      </c>
      <c r="R33" s="7">
        <v>32112</v>
      </c>
      <c r="S33" s="8">
        <f t="shared" si="0"/>
        <v>1987</v>
      </c>
      <c r="T33" s="8">
        <v>1987</v>
      </c>
      <c r="U33" s="8">
        <f t="shared" si="1"/>
        <v>35</v>
      </c>
      <c r="V33" s="7">
        <v>1987</v>
      </c>
      <c r="W33" t="s">
        <v>1883</v>
      </c>
      <c r="X33" s="2" t="s">
        <v>6</v>
      </c>
      <c r="Y33" s="6" t="e">
        <f t="shared" si="2"/>
        <v>#VALUE!</v>
      </c>
      <c r="AA33">
        <v>1476858</v>
      </c>
      <c r="AB33">
        <v>30293</v>
      </c>
      <c r="AD33" t="s">
        <v>1</v>
      </c>
      <c r="AF33">
        <v>8</v>
      </c>
      <c r="AH33" t="s">
        <v>1882</v>
      </c>
      <c r="AI33" t="s">
        <v>1881</v>
      </c>
      <c r="AK33" t="s">
        <v>1880</v>
      </c>
      <c r="AL33">
        <v>1</v>
      </c>
      <c r="AM33" s="5">
        <f t="shared" si="3"/>
        <v>2.8571428571428571E-2</v>
      </c>
      <c r="AN33" s="4">
        <f t="shared" si="4"/>
        <v>4.32736517552875E-5</v>
      </c>
      <c r="AO33" s="3"/>
      <c r="AP33">
        <v>0</v>
      </c>
      <c r="AR33" t="s">
        <v>0</v>
      </c>
      <c r="AT33" s="2" t="s">
        <v>6</v>
      </c>
      <c r="AU33" s="1" t="e">
        <f t="shared" si="5"/>
        <v>#VALUE!</v>
      </c>
      <c r="AV33" s="1" t="e">
        <f t="shared" si="6"/>
        <v>#VALUE!</v>
      </c>
      <c r="AW33" s="1" t="e">
        <f t="shared" si="7"/>
        <v>#VALUE!</v>
      </c>
    </row>
    <row r="34" spans="1:49" x14ac:dyDescent="0.2">
      <c r="A34">
        <v>32</v>
      </c>
      <c r="B34" t="s">
        <v>1879</v>
      </c>
      <c r="F34" t="s">
        <v>1878</v>
      </c>
      <c r="G34" t="s">
        <v>4</v>
      </c>
      <c r="H34" t="s">
        <v>3</v>
      </c>
      <c r="I34" t="s">
        <v>1877</v>
      </c>
      <c r="J34">
        <v>100518899</v>
      </c>
      <c r="K34" t="s">
        <v>1876</v>
      </c>
      <c r="N34">
        <v>1</v>
      </c>
      <c r="O34" t="s">
        <v>1875</v>
      </c>
      <c r="P34">
        <v>7102508414</v>
      </c>
      <c r="Q34">
        <v>100518899</v>
      </c>
      <c r="R34" s="7">
        <v>32112</v>
      </c>
      <c r="S34" s="8">
        <f t="shared" si="0"/>
        <v>1987</v>
      </c>
      <c r="T34" s="8">
        <v>1987</v>
      </c>
      <c r="U34" s="8">
        <f t="shared" si="1"/>
        <v>35</v>
      </c>
      <c r="V34" s="7">
        <v>1987</v>
      </c>
      <c r="W34" t="s">
        <v>1874</v>
      </c>
      <c r="X34" s="2" t="s">
        <v>6</v>
      </c>
      <c r="Y34" s="6" t="e">
        <f t="shared" si="2"/>
        <v>#VALUE!</v>
      </c>
      <c r="AA34">
        <v>2679337</v>
      </c>
      <c r="AB34">
        <v>69667</v>
      </c>
      <c r="AD34" t="s">
        <v>1</v>
      </c>
      <c r="AE34">
        <v>3</v>
      </c>
      <c r="AF34">
        <v>2</v>
      </c>
      <c r="AH34" t="s">
        <v>1873</v>
      </c>
      <c r="AI34" t="s">
        <v>1872</v>
      </c>
      <c r="AK34" t="s">
        <v>1871</v>
      </c>
      <c r="AL34">
        <v>1</v>
      </c>
      <c r="AM34" s="5">
        <f t="shared" si="3"/>
        <v>2.8571428571428571E-2</v>
      </c>
      <c r="AN34" s="4">
        <f t="shared" si="4"/>
        <v>4.32736517552875E-5</v>
      </c>
      <c r="AO34" s="3"/>
      <c r="AP34">
        <v>0</v>
      </c>
      <c r="AR34" t="s">
        <v>0</v>
      </c>
      <c r="AT34" s="2" t="s">
        <v>6</v>
      </c>
      <c r="AU34" s="1" t="e">
        <f t="shared" si="5"/>
        <v>#VALUE!</v>
      </c>
      <c r="AV34" s="1" t="e">
        <f t="shared" si="6"/>
        <v>#VALUE!</v>
      </c>
      <c r="AW34" s="1" t="e">
        <f t="shared" si="7"/>
        <v>#VALUE!</v>
      </c>
    </row>
    <row r="35" spans="1:49" x14ac:dyDescent="0.2">
      <c r="A35">
        <v>33</v>
      </c>
      <c r="B35" t="s">
        <v>1870</v>
      </c>
      <c r="F35" t="s">
        <v>1869</v>
      </c>
      <c r="G35" t="s">
        <v>4</v>
      </c>
      <c r="H35" t="s">
        <v>3</v>
      </c>
      <c r="I35" t="s">
        <v>1868</v>
      </c>
      <c r="J35">
        <v>60015623</v>
      </c>
      <c r="K35" t="s">
        <v>44</v>
      </c>
      <c r="L35" t="s">
        <v>43</v>
      </c>
      <c r="M35" t="s">
        <v>2</v>
      </c>
      <c r="N35">
        <v>2</v>
      </c>
      <c r="O35" t="s">
        <v>1867</v>
      </c>
      <c r="P35" t="s">
        <v>1866</v>
      </c>
      <c r="Q35" t="s">
        <v>157</v>
      </c>
      <c r="R35" s="7">
        <v>32112</v>
      </c>
      <c r="S35" s="8">
        <f t="shared" si="0"/>
        <v>1987</v>
      </c>
      <c r="T35" s="8">
        <v>1987</v>
      </c>
      <c r="U35" s="8">
        <f t="shared" si="1"/>
        <v>35</v>
      </c>
      <c r="V35" s="7">
        <v>32112</v>
      </c>
      <c r="W35" t="s">
        <v>1865</v>
      </c>
      <c r="X35" s="2">
        <v>0.53700000000000003</v>
      </c>
      <c r="Y35" s="6">
        <f t="shared" si="2"/>
        <v>1.4334908304636823E-2</v>
      </c>
      <c r="AA35">
        <v>189499</v>
      </c>
      <c r="AB35">
        <v>17368</v>
      </c>
      <c r="AD35" t="s">
        <v>1</v>
      </c>
      <c r="AE35" t="s">
        <v>1864</v>
      </c>
      <c r="AF35">
        <v>6</v>
      </c>
      <c r="AI35" t="s">
        <v>1863</v>
      </c>
      <c r="AK35" t="s">
        <v>1862</v>
      </c>
      <c r="AL35">
        <v>0</v>
      </c>
      <c r="AM35" s="5">
        <f t="shared" si="3"/>
        <v>0</v>
      </c>
      <c r="AN35" s="4">
        <f t="shared" si="4"/>
        <v>0</v>
      </c>
      <c r="AO35" s="3"/>
      <c r="AP35">
        <v>0</v>
      </c>
      <c r="AR35" t="s">
        <v>0</v>
      </c>
      <c r="AT35" s="2">
        <v>1.679</v>
      </c>
      <c r="AU35" s="1">
        <f t="shared" si="5"/>
        <v>1.0034435813245777</v>
      </c>
      <c r="AV35" s="1">
        <f t="shared" si="6"/>
        <v>0.7167454152318411</v>
      </c>
      <c r="AW35" s="1">
        <f t="shared" si="7"/>
        <v>0.43004724913910464</v>
      </c>
    </row>
    <row r="36" spans="1:49" x14ac:dyDescent="0.2">
      <c r="A36">
        <v>34</v>
      </c>
      <c r="B36" t="s">
        <v>1861</v>
      </c>
      <c r="F36" t="s">
        <v>1860</v>
      </c>
      <c r="G36" t="s">
        <v>4</v>
      </c>
      <c r="H36" t="s">
        <v>3</v>
      </c>
      <c r="I36" t="s">
        <v>1859</v>
      </c>
      <c r="N36">
        <v>3</v>
      </c>
      <c r="O36" t="s">
        <v>1858</v>
      </c>
      <c r="P36" t="s">
        <v>1857</v>
      </c>
      <c r="Q36" t="s">
        <v>11</v>
      </c>
      <c r="R36" s="7">
        <v>32112</v>
      </c>
      <c r="S36" s="8">
        <f t="shared" si="0"/>
        <v>1987</v>
      </c>
      <c r="T36" s="8">
        <v>1987</v>
      </c>
      <c r="U36" s="8">
        <f t="shared" si="1"/>
        <v>35</v>
      </c>
      <c r="V36" s="7">
        <v>1987</v>
      </c>
      <c r="W36" t="s">
        <v>53</v>
      </c>
      <c r="X36" s="2" t="s">
        <v>6</v>
      </c>
      <c r="Y36" s="6" t="e">
        <f t="shared" si="2"/>
        <v>#VALUE!</v>
      </c>
      <c r="AA36">
        <v>337870</v>
      </c>
      <c r="AB36">
        <v>32478</v>
      </c>
      <c r="AD36" t="s">
        <v>1</v>
      </c>
      <c r="AE36">
        <v>30</v>
      </c>
      <c r="AF36">
        <v>2</v>
      </c>
      <c r="AH36" t="s">
        <v>1856</v>
      </c>
      <c r="AI36" t="s">
        <v>1855</v>
      </c>
      <c r="AK36" t="s">
        <v>1854</v>
      </c>
      <c r="AL36">
        <v>0</v>
      </c>
      <c r="AM36" s="5">
        <f t="shared" si="3"/>
        <v>0</v>
      </c>
      <c r="AN36" s="4">
        <f t="shared" si="4"/>
        <v>0</v>
      </c>
      <c r="AO36" s="3"/>
      <c r="AP36">
        <v>0</v>
      </c>
      <c r="AR36" t="s">
        <v>0</v>
      </c>
      <c r="AT36" s="2" t="s">
        <v>6</v>
      </c>
      <c r="AU36" s="1" t="e">
        <f t="shared" si="5"/>
        <v>#VALUE!</v>
      </c>
      <c r="AV36" s="1" t="e">
        <f t="shared" si="6"/>
        <v>#VALUE!</v>
      </c>
      <c r="AW36" s="1" t="e">
        <f t="shared" si="7"/>
        <v>#VALUE!</v>
      </c>
    </row>
    <row r="37" spans="1:49" x14ac:dyDescent="0.2">
      <c r="A37">
        <v>35</v>
      </c>
      <c r="B37" t="s">
        <v>1853</v>
      </c>
      <c r="C37" t="s">
        <v>1852</v>
      </c>
      <c r="F37" t="s">
        <v>1851</v>
      </c>
      <c r="G37" t="s">
        <v>4</v>
      </c>
      <c r="H37" t="s">
        <v>3</v>
      </c>
      <c r="I37" t="s">
        <v>1850</v>
      </c>
      <c r="J37">
        <v>60025534</v>
      </c>
      <c r="K37" t="s">
        <v>1849</v>
      </c>
      <c r="L37" t="s">
        <v>1848</v>
      </c>
      <c r="M37" t="s">
        <v>2</v>
      </c>
      <c r="N37">
        <v>2</v>
      </c>
      <c r="O37" t="s">
        <v>1847</v>
      </c>
      <c r="P37" t="s">
        <v>1846</v>
      </c>
      <c r="Q37" t="s">
        <v>1845</v>
      </c>
      <c r="R37" s="7">
        <v>32112</v>
      </c>
      <c r="S37" s="8">
        <f t="shared" si="0"/>
        <v>1987</v>
      </c>
      <c r="T37" s="8">
        <v>1987</v>
      </c>
      <c r="U37" s="8">
        <f t="shared" si="1"/>
        <v>35</v>
      </c>
      <c r="V37" s="7">
        <v>32112</v>
      </c>
      <c r="W37" t="s">
        <v>1844</v>
      </c>
      <c r="X37" s="2">
        <v>1.109</v>
      </c>
      <c r="Y37" s="6">
        <f t="shared" si="2"/>
        <v>2.9604121619817944E-2</v>
      </c>
      <c r="AA37">
        <v>223239</v>
      </c>
      <c r="AB37">
        <v>23966</v>
      </c>
      <c r="AC37">
        <v>15732878</v>
      </c>
      <c r="AD37" t="s">
        <v>1</v>
      </c>
      <c r="AE37">
        <v>55</v>
      </c>
      <c r="AF37">
        <v>3</v>
      </c>
      <c r="AH37" t="s">
        <v>1843</v>
      </c>
      <c r="AI37" t="s">
        <v>1842</v>
      </c>
      <c r="AJ37" t="s">
        <v>1841</v>
      </c>
      <c r="AK37" t="s">
        <v>1840</v>
      </c>
      <c r="AL37">
        <v>1</v>
      </c>
      <c r="AM37" s="5">
        <f t="shared" si="3"/>
        <v>2.8571428571428571E-2</v>
      </c>
      <c r="AN37" s="4">
        <f t="shared" si="4"/>
        <v>4.32736517552875E-5</v>
      </c>
      <c r="AO37" s="3"/>
      <c r="AP37">
        <v>0</v>
      </c>
      <c r="AR37" t="s">
        <v>0</v>
      </c>
      <c r="AT37" s="2" t="s">
        <v>6</v>
      </c>
      <c r="AU37" s="1">
        <f t="shared" si="5"/>
        <v>2.0735867229399143</v>
      </c>
      <c r="AV37" s="1">
        <f t="shared" si="6"/>
        <v>1.4823697635786617</v>
      </c>
      <c r="AW37" s="1">
        <f t="shared" si="7"/>
        <v>0.89115280421740861</v>
      </c>
    </row>
    <row r="38" spans="1:49" x14ac:dyDescent="0.2">
      <c r="A38">
        <v>36</v>
      </c>
      <c r="B38" t="s">
        <v>1839</v>
      </c>
      <c r="F38" t="s">
        <v>1838</v>
      </c>
      <c r="G38" t="s">
        <v>4</v>
      </c>
      <c r="H38" t="s">
        <v>3</v>
      </c>
      <c r="I38" t="s">
        <v>1837</v>
      </c>
      <c r="N38">
        <v>7</v>
      </c>
      <c r="O38" t="s">
        <v>1836</v>
      </c>
      <c r="P38" t="s">
        <v>1835</v>
      </c>
      <c r="Q38" t="s">
        <v>62</v>
      </c>
      <c r="R38" s="7">
        <v>32112</v>
      </c>
      <c r="S38" s="8">
        <f t="shared" si="0"/>
        <v>1987</v>
      </c>
      <c r="T38" s="8">
        <v>1987</v>
      </c>
      <c r="U38" s="8">
        <f t="shared" si="1"/>
        <v>35</v>
      </c>
      <c r="V38" s="7">
        <v>32112</v>
      </c>
      <c r="W38" t="s">
        <v>171</v>
      </c>
      <c r="X38" s="2">
        <v>0.14099999999999999</v>
      </c>
      <c r="Y38" s="6">
        <f t="shared" si="2"/>
        <v>3.7639144710498915E-3</v>
      </c>
      <c r="AA38">
        <v>7252986</v>
      </c>
      <c r="AB38">
        <v>18037</v>
      </c>
      <c r="AD38" t="s">
        <v>1</v>
      </c>
      <c r="AE38">
        <v>7</v>
      </c>
      <c r="AF38">
        <v>4</v>
      </c>
      <c r="AH38" t="s">
        <v>1834</v>
      </c>
      <c r="AI38" t="s">
        <v>1833</v>
      </c>
      <c r="AK38" t="s">
        <v>1832</v>
      </c>
      <c r="AL38">
        <v>0</v>
      </c>
      <c r="AM38" s="5">
        <f t="shared" si="3"/>
        <v>0</v>
      </c>
      <c r="AN38" s="4">
        <f t="shared" si="4"/>
        <v>0</v>
      </c>
      <c r="AO38" s="3"/>
      <c r="AP38">
        <v>0</v>
      </c>
      <c r="AR38" t="s">
        <v>0</v>
      </c>
      <c r="AT38" s="2" t="s">
        <v>6</v>
      </c>
      <c r="AU38" s="1">
        <f t="shared" si="5"/>
        <v>0.26347401297349238</v>
      </c>
      <c r="AV38" s="1">
        <f t="shared" si="6"/>
        <v>0.18819572355249459</v>
      </c>
      <c r="AW38" s="1">
        <f t="shared" si="7"/>
        <v>0.11291743413149673</v>
      </c>
    </row>
    <row r="39" spans="1:49" x14ac:dyDescent="0.2">
      <c r="A39">
        <v>37</v>
      </c>
      <c r="B39" t="s">
        <v>1831</v>
      </c>
      <c r="F39" t="s">
        <v>1830</v>
      </c>
      <c r="G39" t="s">
        <v>4</v>
      </c>
      <c r="H39" t="s">
        <v>3</v>
      </c>
      <c r="I39" t="s">
        <v>1829</v>
      </c>
      <c r="N39">
        <v>2</v>
      </c>
      <c r="O39" t="s">
        <v>1828</v>
      </c>
      <c r="P39" t="s">
        <v>1827</v>
      </c>
      <c r="Q39" t="s">
        <v>19</v>
      </c>
      <c r="R39" s="7">
        <v>32112</v>
      </c>
      <c r="S39" s="8">
        <f t="shared" si="0"/>
        <v>1987</v>
      </c>
      <c r="T39" s="8">
        <v>1987</v>
      </c>
      <c r="U39" s="8">
        <f t="shared" si="1"/>
        <v>35</v>
      </c>
      <c r="V39" s="7">
        <v>1987</v>
      </c>
      <c r="W39" t="s">
        <v>53</v>
      </c>
      <c r="X39" s="2" t="s">
        <v>6</v>
      </c>
      <c r="Y39" s="6" t="e">
        <f t="shared" si="2"/>
        <v>#VALUE!</v>
      </c>
      <c r="AA39">
        <v>337870</v>
      </c>
      <c r="AB39">
        <v>32478</v>
      </c>
      <c r="AD39" t="s">
        <v>1</v>
      </c>
      <c r="AE39">
        <v>30</v>
      </c>
      <c r="AF39">
        <v>2</v>
      </c>
      <c r="AH39" t="s">
        <v>170</v>
      </c>
      <c r="AI39" t="s">
        <v>1826</v>
      </c>
      <c r="AK39" t="s">
        <v>1825</v>
      </c>
      <c r="AL39">
        <v>0</v>
      </c>
      <c r="AM39" s="5">
        <f t="shared" si="3"/>
        <v>0</v>
      </c>
      <c r="AN39" s="4">
        <f t="shared" si="4"/>
        <v>0</v>
      </c>
      <c r="AO39" s="3"/>
      <c r="AP39">
        <v>0</v>
      </c>
      <c r="AR39" t="s">
        <v>0</v>
      </c>
      <c r="AT39" s="2" t="s">
        <v>6</v>
      </c>
      <c r="AU39" s="1" t="e">
        <f t="shared" si="5"/>
        <v>#VALUE!</v>
      </c>
      <c r="AV39" s="1" t="e">
        <f t="shared" si="6"/>
        <v>#VALUE!</v>
      </c>
      <c r="AW39" s="1" t="e">
        <f t="shared" si="7"/>
        <v>#VALUE!</v>
      </c>
    </row>
    <row r="40" spans="1:49" x14ac:dyDescent="0.2">
      <c r="A40">
        <v>38</v>
      </c>
      <c r="B40" t="s">
        <v>1824</v>
      </c>
      <c r="F40" t="s">
        <v>1823</v>
      </c>
      <c r="G40" t="s">
        <v>4</v>
      </c>
      <c r="H40" t="s">
        <v>3</v>
      </c>
      <c r="I40" t="s">
        <v>1822</v>
      </c>
      <c r="J40">
        <v>60021199</v>
      </c>
      <c r="K40" t="s">
        <v>175</v>
      </c>
      <c r="L40" t="s">
        <v>116</v>
      </c>
      <c r="M40" t="s">
        <v>96</v>
      </c>
      <c r="N40">
        <v>1</v>
      </c>
      <c r="O40" t="s">
        <v>1821</v>
      </c>
      <c r="P40">
        <v>35587034600</v>
      </c>
      <c r="Q40">
        <v>60021199</v>
      </c>
      <c r="R40" s="7">
        <v>32112</v>
      </c>
      <c r="S40" s="8">
        <f t="shared" si="0"/>
        <v>1987</v>
      </c>
      <c r="T40" s="8">
        <v>1987</v>
      </c>
      <c r="U40" s="8">
        <f t="shared" si="1"/>
        <v>35</v>
      </c>
      <c r="V40" s="7">
        <v>32112</v>
      </c>
      <c r="W40" t="s">
        <v>174</v>
      </c>
      <c r="X40" s="2">
        <v>0.125</v>
      </c>
      <c r="Y40" s="6">
        <f t="shared" si="2"/>
        <v>3.3368036090867838E-3</v>
      </c>
      <c r="AA40">
        <v>26557</v>
      </c>
      <c r="AB40">
        <v>40401</v>
      </c>
      <c r="AD40" t="s">
        <v>1</v>
      </c>
      <c r="AE40">
        <v>56</v>
      </c>
      <c r="AF40">
        <v>10</v>
      </c>
      <c r="AI40" t="s">
        <v>1820</v>
      </c>
      <c r="AK40" t="s">
        <v>1819</v>
      </c>
      <c r="AL40">
        <v>1</v>
      </c>
      <c r="AM40" s="5">
        <f t="shared" si="3"/>
        <v>2.8571428571428571E-2</v>
      </c>
      <c r="AN40" s="4">
        <f t="shared" si="4"/>
        <v>4.32736517552875E-5</v>
      </c>
      <c r="AO40" s="3"/>
      <c r="AP40">
        <v>0</v>
      </c>
      <c r="AR40" t="s">
        <v>0</v>
      </c>
      <c r="AT40" s="2" t="s">
        <v>6</v>
      </c>
      <c r="AU40" s="1">
        <f t="shared" si="5"/>
        <v>0.23487446218873345</v>
      </c>
      <c r="AV40" s="1">
        <f t="shared" si="6"/>
        <v>0.16900386304210357</v>
      </c>
      <c r="AW40" s="1">
        <f t="shared" si="7"/>
        <v>0.10313326389547364</v>
      </c>
    </row>
    <row r="41" spans="1:49" x14ac:dyDescent="0.2">
      <c r="A41">
        <v>39</v>
      </c>
      <c r="B41" t="s">
        <v>1818</v>
      </c>
      <c r="C41" t="s">
        <v>1817</v>
      </c>
      <c r="F41" t="s">
        <v>1816</v>
      </c>
      <c r="G41" t="s">
        <v>4</v>
      </c>
      <c r="H41" t="s">
        <v>3</v>
      </c>
      <c r="I41" t="s">
        <v>1815</v>
      </c>
      <c r="J41">
        <v>60001754</v>
      </c>
      <c r="K41" t="s">
        <v>1814</v>
      </c>
      <c r="L41" t="s">
        <v>1813</v>
      </c>
      <c r="M41" t="s">
        <v>9</v>
      </c>
      <c r="N41">
        <v>6</v>
      </c>
      <c r="O41" t="s">
        <v>1812</v>
      </c>
      <c r="P41" t="s">
        <v>1811</v>
      </c>
      <c r="Q41" t="s">
        <v>1810</v>
      </c>
      <c r="R41" s="7">
        <v>32112</v>
      </c>
      <c r="S41" s="8">
        <f t="shared" si="0"/>
        <v>1987</v>
      </c>
      <c r="T41" s="8">
        <v>1987</v>
      </c>
      <c r="U41" s="8">
        <f t="shared" si="1"/>
        <v>35</v>
      </c>
      <c r="V41" s="7">
        <v>32112</v>
      </c>
      <c r="W41" t="s">
        <v>100</v>
      </c>
      <c r="X41" s="2">
        <v>0.61499999999999999</v>
      </c>
      <c r="Y41" s="6">
        <f t="shared" si="2"/>
        <v>1.6417073756706976E-2</v>
      </c>
      <c r="AA41">
        <v>1959271</v>
      </c>
      <c r="AB41">
        <v>12141</v>
      </c>
      <c r="AC41">
        <v>15729559</v>
      </c>
      <c r="AD41" t="s">
        <v>1</v>
      </c>
      <c r="AE41">
        <v>8</v>
      </c>
      <c r="AF41">
        <v>12</v>
      </c>
      <c r="AH41" t="s">
        <v>1809</v>
      </c>
      <c r="AI41" t="s">
        <v>1808</v>
      </c>
      <c r="AJ41" t="s">
        <v>1807</v>
      </c>
      <c r="AK41" t="s">
        <v>1806</v>
      </c>
      <c r="AL41">
        <v>9</v>
      </c>
      <c r="AM41" s="5">
        <f t="shared" si="3"/>
        <v>0.25714285714285712</v>
      </c>
      <c r="AN41" s="4">
        <f t="shared" si="4"/>
        <v>3.8946286579758747E-4</v>
      </c>
      <c r="AO41" s="3"/>
      <c r="AP41">
        <v>0</v>
      </c>
      <c r="AR41" t="s">
        <v>0</v>
      </c>
      <c r="AT41" s="2" t="s">
        <v>6</v>
      </c>
      <c r="AU41" s="1">
        <f t="shared" si="5"/>
        <v>1.1608790489434158</v>
      </c>
      <c r="AV41" s="1">
        <f t="shared" si="6"/>
        <v>0.8403268311252281</v>
      </c>
      <c r="AW41" s="1">
        <f t="shared" si="7"/>
        <v>0.51977461330704033</v>
      </c>
    </row>
    <row r="42" spans="1:49" x14ac:dyDescent="0.2">
      <c r="A42">
        <v>40</v>
      </c>
      <c r="B42" t="s">
        <v>1805</v>
      </c>
      <c r="F42" t="s">
        <v>1804</v>
      </c>
      <c r="G42" t="s">
        <v>4</v>
      </c>
      <c r="H42" t="s">
        <v>3</v>
      </c>
      <c r="I42" t="s">
        <v>1213</v>
      </c>
      <c r="J42">
        <v>60022134</v>
      </c>
      <c r="K42" t="s">
        <v>1803</v>
      </c>
      <c r="L42" t="s">
        <v>1802</v>
      </c>
      <c r="M42" t="s">
        <v>73</v>
      </c>
      <c r="N42">
        <v>1</v>
      </c>
      <c r="O42" t="s">
        <v>1801</v>
      </c>
      <c r="P42">
        <v>7403571081</v>
      </c>
      <c r="Q42">
        <v>60022134</v>
      </c>
      <c r="R42" s="7">
        <v>32112</v>
      </c>
      <c r="S42" s="8">
        <f t="shared" si="0"/>
        <v>1987</v>
      </c>
      <c r="T42" s="8">
        <v>1987</v>
      </c>
      <c r="U42" s="8">
        <f t="shared" si="1"/>
        <v>35</v>
      </c>
      <c r="V42" s="7">
        <v>32112</v>
      </c>
      <c r="W42" t="s">
        <v>174</v>
      </c>
      <c r="X42" s="2">
        <v>0.125</v>
      </c>
      <c r="Y42" s="6">
        <f t="shared" si="2"/>
        <v>3.3368036090867838E-3</v>
      </c>
      <c r="AA42">
        <v>26557</v>
      </c>
      <c r="AB42">
        <v>40401</v>
      </c>
      <c r="AD42" t="s">
        <v>1</v>
      </c>
      <c r="AE42">
        <v>56</v>
      </c>
      <c r="AF42">
        <v>10</v>
      </c>
      <c r="AI42" t="s">
        <v>1800</v>
      </c>
      <c r="AK42" t="s">
        <v>1799</v>
      </c>
      <c r="AL42">
        <v>0</v>
      </c>
      <c r="AM42" s="5">
        <f t="shared" si="3"/>
        <v>0</v>
      </c>
      <c r="AN42" s="4">
        <f t="shared" si="4"/>
        <v>0</v>
      </c>
      <c r="AO42" s="3"/>
      <c r="AP42">
        <v>0</v>
      </c>
      <c r="AR42" t="s">
        <v>0</v>
      </c>
      <c r="AT42" s="2" t="s">
        <v>6</v>
      </c>
      <c r="AU42" s="1">
        <f t="shared" si="5"/>
        <v>0.23357625263607484</v>
      </c>
      <c r="AV42" s="1">
        <f t="shared" si="6"/>
        <v>0.16684018045433918</v>
      </c>
      <c r="AW42" s="1">
        <f t="shared" si="7"/>
        <v>0.10010410827260351</v>
      </c>
    </row>
    <row r="43" spans="1:49" x14ac:dyDescent="0.2">
      <c r="A43">
        <v>41</v>
      </c>
      <c r="B43" t="s">
        <v>1798</v>
      </c>
      <c r="F43" t="s">
        <v>1797</v>
      </c>
      <c r="G43" t="s">
        <v>4</v>
      </c>
      <c r="H43" t="s">
        <v>3</v>
      </c>
      <c r="I43" t="s">
        <v>1796</v>
      </c>
      <c r="N43">
        <v>2</v>
      </c>
      <c r="O43" t="s">
        <v>1795</v>
      </c>
      <c r="P43" t="s">
        <v>1794</v>
      </c>
      <c r="Q43" t="s">
        <v>19</v>
      </c>
      <c r="R43" s="7">
        <v>32112</v>
      </c>
      <c r="S43" s="8">
        <f t="shared" si="0"/>
        <v>1987</v>
      </c>
      <c r="T43" s="8">
        <v>1987</v>
      </c>
      <c r="U43" s="8">
        <f t="shared" si="1"/>
        <v>35</v>
      </c>
      <c r="V43" s="7">
        <v>1987</v>
      </c>
      <c r="W43" t="s">
        <v>53</v>
      </c>
      <c r="X43" s="2" t="s">
        <v>6</v>
      </c>
      <c r="Y43" s="6" t="e">
        <f t="shared" si="2"/>
        <v>#VALUE!</v>
      </c>
      <c r="AA43">
        <v>337870</v>
      </c>
      <c r="AB43">
        <v>32478</v>
      </c>
      <c r="AD43" t="s">
        <v>1</v>
      </c>
      <c r="AE43">
        <v>30</v>
      </c>
      <c r="AF43">
        <v>5</v>
      </c>
      <c r="AH43" t="s">
        <v>1793</v>
      </c>
      <c r="AI43" t="s">
        <v>1792</v>
      </c>
      <c r="AK43" t="s">
        <v>1791</v>
      </c>
      <c r="AL43">
        <v>0</v>
      </c>
      <c r="AM43" s="5">
        <f t="shared" si="3"/>
        <v>0</v>
      </c>
      <c r="AN43" s="4">
        <f t="shared" si="4"/>
        <v>0</v>
      </c>
      <c r="AO43" s="3"/>
      <c r="AP43">
        <v>0</v>
      </c>
      <c r="AR43" t="s">
        <v>0</v>
      </c>
      <c r="AT43" s="2" t="s">
        <v>6</v>
      </c>
      <c r="AU43" s="1" t="e">
        <f t="shared" si="5"/>
        <v>#VALUE!</v>
      </c>
      <c r="AV43" s="1" t="e">
        <f t="shared" si="6"/>
        <v>#VALUE!</v>
      </c>
      <c r="AW43" s="1" t="e">
        <f t="shared" si="7"/>
        <v>#VALUE!</v>
      </c>
    </row>
    <row r="44" spans="1:49" x14ac:dyDescent="0.2">
      <c r="A44">
        <v>42</v>
      </c>
      <c r="B44" t="s">
        <v>1790</v>
      </c>
      <c r="F44" t="s">
        <v>1789</v>
      </c>
      <c r="G44" t="s">
        <v>4</v>
      </c>
      <c r="H44" t="s">
        <v>3</v>
      </c>
      <c r="I44" t="s">
        <v>1788</v>
      </c>
      <c r="J44">
        <v>100339215</v>
      </c>
      <c r="K44" t="s">
        <v>1787</v>
      </c>
      <c r="L44" t="s">
        <v>24</v>
      </c>
      <c r="M44" t="s">
        <v>7</v>
      </c>
      <c r="N44">
        <v>3</v>
      </c>
      <c r="O44" t="s">
        <v>1786</v>
      </c>
      <c r="P44" t="s">
        <v>1785</v>
      </c>
      <c r="Q44" t="s">
        <v>1784</v>
      </c>
      <c r="R44" s="7">
        <v>32112</v>
      </c>
      <c r="S44" s="8">
        <f t="shared" si="0"/>
        <v>1987</v>
      </c>
      <c r="T44" s="8">
        <v>1987</v>
      </c>
      <c r="U44" s="8">
        <f t="shared" si="1"/>
        <v>35</v>
      </c>
      <c r="V44" s="7">
        <v>32112</v>
      </c>
      <c r="W44" t="s">
        <v>171</v>
      </c>
      <c r="X44" s="2">
        <v>0.14099999999999999</v>
      </c>
      <c r="Y44" s="6">
        <f t="shared" si="2"/>
        <v>3.7639144710498915E-3</v>
      </c>
      <c r="AA44">
        <v>7252986</v>
      </c>
      <c r="AB44">
        <v>18037</v>
      </c>
      <c r="AD44" t="s">
        <v>1</v>
      </c>
      <c r="AE44">
        <v>7</v>
      </c>
      <c r="AF44">
        <v>4</v>
      </c>
      <c r="AH44" t="s">
        <v>1783</v>
      </c>
      <c r="AI44" t="s">
        <v>1782</v>
      </c>
      <c r="AK44" t="s">
        <v>1781</v>
      </c>
      <c r="AL44">
        <v>0</v>
      </c>
      <c r="AM44" s="5">
        <f t="shared" si="3"/>
        <v>0</v>
      </c>
      <c r="AN44" s="4">
        <f t="shared" si="4"/>
        <v>0</v>
      </c>
      <c r="AO44" s="3"/>
      <c r="AP44">
        <v>0</v>
      </c>
      <c r="AR44" t="s">
        <v>0</v>
      </c>
      <c r="AT44" s="2" t="s">
        <v>6</v>
      </c>
      <c r="AU44" s="1">
        <f t="shared" si="5"/>
        <v>0.26347401297349238</v>
      </c>
      <c r="AV44" s="1">
        <f t="shared" si="6"/>
        <v>0.18819572355249459</v>
      </c>
      <c r="AW44" s="1">
        <f t="shared" si="7"/>
        <v>0.11291743413149673</v>
      </c>
    </row>
    <row r="45" spans="1:49" x14ac:dyDescent="0.2">
      <c r="A45">
        <v>43</v>
      </c>
      <c r="B45" t="s">
        <v>1780</v>
      </c>
      <c r="F45" t="s">
        <v>1779</v>
      </c>
      <c r="G45" t="s">
        <v>4</v>
      </c>
      <c r="H45" t="s">
        <v>3</v>
      </c>
      <c r="I45" t="s">
        <v>1778</v>
      </c>
      <c r="J45">
        <v>60029470</v>
      </c>
      <c r="K45" t="s">
        <v>82</v>
      </c>
      <c r="L45" t="s">
        <v>81</v>
      </c>
      <c r="M45" t="s">
        <v>7</v>
      </c>
      <c r="N45">
        <v>1</v>
      </c>
      <c r="O45" t="s">
        <v>1777</v>
      </c>
      <c r="P45">
        <v>57197183661</v>
      </c>
      <c r="Q45">
        <v>60029470</v>
      </c>
      <c r="R45" s="7">
        <v>32112</v>
      </c>
      <c r="S45" s="8">
        <f t="shared" si="0"/>
        <v>1987</v>
      </c>
      <c r="T45" s="8">
        <v>1987</v>
      </c>
      <c r="U45" s="8">
        <f t="shared" si="1"/>
        <v>35</v>
      </c>
      <c r="V45" s="7">
        <v>32112</v>
      </c>
      <c r="W45" t="s">
        <v>171</v>
      </c>
      <c r="X45" s="2">
        <v>0.14099999999999999</v>
      </c>
      <c r="Y45" s="6">
        <f t="shared" si="2"/>
        <v>3.7639144710498915E-3</v>
      </c>
      <c r="AA45">
        <v>7252986</v>
      </c>
      <c r="AB45">
        <v>18037</v>
      </c>
      <c r="AD45" t="s">
        <v>1</v>
      </c>
      <c r="AE45">
        <v>7</v>
      </c>
      <c r="AF45">
        <v>4</v>
      </c>
      <c r="AH45" t="s">
        <v>1776</v>
      </c>
      <c r="AI45" t="s">
        <v>1775</v>
      </c>
      <c r="AK45" t="s">
        <v>1774</v>
      </c>
      <c r="AL45">
        <v>0</v>
      </c>
      <c r="AM45" s="5">
        <f t="shared" si="3"/>
        <v>0</v>
      </c>
      <c r="AN45" s="4">
        <f t="shared" si="4"/>
        <v>0</v>
      </c>
      <c r="AO45" s="3"/>
      <c r="AP45">
        <v>0</v>
      </c>
      <c r="AR45" t="s">
        <v>0</v>
      </c>
      <c r="AT45" s="2" t="s">
        <v>6</v>
      </c>
      <c r="AU45" s="1">
        <f t="shared" si="5"/>
        <v>0.26347401297349238</v>
      </c>
      <c r="AV45" s="1">
        <f t="shared" si="6"/>
        <v>0.18819572355249459</v>
      </c>
      <c r="AW45" s="1">
        <f t="shared" si="7"/>
        <v>0.11291743413149673</v>
      </c>
    </row>
    <row r="46" spans="1:49" x14ac:dyDescent="0.2">
      <c r="A46">
        <v>44</v>
      </c>
      <c r="B46" t="s">
        <v>1773</v>
      </c>
      <c r="F46" t="s">
        <v>1772</v>
      </c>
      <c r="G46" t="s">
        <v>4</v>
      </c>
      <c r="H46" t="s">
        <v>3</v>
      </c>
      <c r="I46" t="s">
        <v>1771</v>
      </c>
      <c r="N46">
        <v>3</v>
      </c>
      <c r="O46" t="s">
        <v>1770</v>
      </c>
      <c r="P46" t="s">
        <v>1769</v>
      </c>
      <c r="Q46" t="s">
        <v>11</v>
      </c>
      <c r="R46" s="7">
        <v>32112</v>
      </c>
      <c r="S46" s="8">
        <f t="shared" si="0"/>
        <v>1987</v>
      </c>
      <c r="T46" s="8">
        <v>1987</v>
      </c>
      <c r="U46" s="8">
        <f t="shared" si="1"/>
        <v>35</v>
      </c>
      <c r="V46" s="7">
        <v>1987</v>
      </c>
      <c r="W46" t="s">
        <v>1668</v>
      </c>
      <c r="X46" s="2" t="s">
        <v>6</v>
      </c>
      <c r="Y46" s="6" t="e">
        <f t="shared" si="2"/>
        <v>#VALUE!</v>
      </c>
      <c r="AA46">
        <v>271349</v>
      </c>
      <c r="AB46">
        <v>28721</v>
      </c>
      <c r="AD46" t="s">
        <v>1</v>
      </c>
      <c r="AE46">
        <v>42</v>
      </c>
      <c r="AF46">
        <v>5</v>
      </c>
      <c r="AH46" t="s">
        <v>1768</v>
      </c>
      <c r="AI46" t="s">
        <v>1767</v>
      </c>
      <c r="AK46" t="s">
        <v>1766</v>
      </c>
      <c r="AL46">
        <v>0</v>
      </c>
      <c r="AM46" s="5">
        <f t="shared" si="3"/>
        <v>0</v>
      </c>
      <c r="AN46" s="4">
        <f t="shared" si="4"/>
        <v>0</v>
      </c>
      <c r="AO46" s="3"/>
      <c r="AP46">
        <v>0</v>
      </c>
      <c r="AR46" t="s">
        <v>0</v>
      </c>
      <c r="AT46" s="2" t="s">
        <v>6</v>
      </c>
      <c r="AU46" s="1" t="e">
        <f t="shared" si="5"/>
        <v>#VALUE!</v>
      </c>
      <c r="AV46" s="1" t="e">
        <f t="shared" si="6"/>
        <v>#VALUE!</v>
      </c>
      <c r="AW46" s="1" t="e">
        <f t="shared" si="7"/>
        <v>#VALUE!</v>
      </c>
    </row>
    <row r="47" spans="1:49" x14ac:dyDescent="0.2">
      <c r="A47">
        <v>45</v>
      </c>
      <c r="B47" t="s">
        <v>1765</v>
      </c>
      <c r="F47" t="s">
        <v>1764</v>
      </c>
      <c r="G47" t="s">
        <v>4</v>
      </c>
      <c r="H47" t="s">
        <v>3</v>
      </c>
      <c r="I47" t="s">
        <v>1763</v>
      </c>
      <c r="N47">
        <v>3</v>
      </c>
      <c r="O47" t="s">
        <v>1762</v>
      </c>
      <c r="P47" t="s">
        <v>1761</v>
      </c>
      <c r="Q47" t="s">
        <v>11</v>
      </c>
      <c r="R47" s="7">
        <v>32112</v>
      </c>
      <c r="S47" s="8">
        <f t="shared" si="0"/>
        <v>1987</v>
      </c>
      <c r="T47" s="8">
        <v>1987</v>
      </c>
      <c r="U47" s="8">
        <f t="shared" si="1"/>
        <v>35</v>
      </c>
      <c r="V47" s="7">
        <v>1987</v>
      </c>
      <c r="W47" t="s">
        <v>53</v>
      </c>
      <c r="X47" s="2" t="s">
        <v>6</v>
      </c>
      <c r="Y47" s="6" t="e">
        <f t="shared" si="2"/>
        <v>#VALUE!</v>
      </c>
      <c r="AA47">
        <v>337870</v>
      </c>
      <c r="AB47">
        <v>32478</v>
      </c>
      <c r="AD47" t="s">
        <v>1</v>
      </c>
      <c r="AE47">
        <v>30</v>
      </c>
      <c r="AF47">
        <v>5</v>
      </c>
      <c r="AH47" t="s">
        <v>1760</v>
      </c>
      <c r="AI47" t="s">
        <v>1759</v>
      </c>
      <c r="AK47" t="s">
        <v>1758</v>
      </c>
      <c r="AL47">
        <v>0</v>
      </c>
      <c r="AM47" s="5">
        <f t="shared" si="3"/>
        <v>0</v>
      </c>
      <c r="AN47" s="4">
        <f t="shared" si="4"/>
        <v>0</v>
      </c>
      <c r="AO47" s="3"/>
      <c r="AP47">
        <v>0</v>
      </c>
      <c r="AR47" t="s">
        <v>0</v>
      </c>
      <c r="AT47" s="2" t="s">
        <v>6</v>
      </c>
      <c r="AU47" s="1" t="e">
        <f t="shared" si="5"/>
        <v>#VALUE!</v>
      </c>
      <c r="AV47" s="1" t="e">
        <f t="shared" si="6"/>
        <v>#VALUE!</v>
      </c>
      <c r="AW47" s="1" t="e">
        <f t="shared" si="7"/>
        <v>#VALUE!</v>
      </c>
    </row>
    <row r="48" spans="1:49" x14ac:dyDescent="0.2">
      <c r="A48">
        <v>46</v>
      </c>
      <c r="B48" t="s">
        <v>1757</v>
      </c>
      <c r="F48" t="s">
        <v>1756</v>
      </c>
      <c r="G48" t="s">
        <v>4</v>
      </c>
      <c r="H48" t="s">
        <v>3</v>
      </c>
      <c r="I48" t="s">
        <v>1755</v>
      </c>
      <c r="N48">
        <v>3</v>
      </c>
      <c r="O48" t="s">
        <v>1754</v>
      </c>
      <c r="P48" t="s">
        <v>1753</v>
      </c>
      <c r="Q48" t="s">
        <v>11</v>
      </c>
      <c r="R48" s="7">
        <v>32112</v>
      </c>
      <c r="S48" s="8">
        <f t="shared" si="0"/>
        <v>1987</v>
      </c>
      <c r="T48" s="8">
        <v>1987</v>
      </c>
      <c r="U48" s="8">
        <f t="shared" si="1"/>
        <v>35</v>
      </c>
      <c r="V48" s="7">
        <v>1987</v>
      </c>
      <c r="W48" t="s">
        <v>53</v>
      </c>
      <c r="X48" s="2" t="s">
        <v>6</v>
      </c>
      <c r="Y48" s="6" t="e">
        <f t="shared" si="2"/>
        <v>#VALUE!</v>
      </c>
      <c r="AA48">
        <v>337870</v>
      </c>
      <c r="AB48">
        <v>32478</v>
      </c>
      <c r="AD48" t="s">
        <v>1</v>
      </c>
      <c r="AE48">
        <v>30</v>
      </c>
      <c r="AF48">
        <v>2</v>
      </c>
      <c r="AH48" t="s">
        <v>1752</v>
      </c>
      <c r="AI48" t="s">
        <v>1751</v>
      </c>
      <c r="AK48" t="s">
        <v>1750</v>
      </c>
      <c r="AL48">
        <v>0</v>
      </c>
      <c r="AM48" s="5">
        <f t="shared" si="3"/>
        <v>0</v>
      </c>
      <c r="AN48" s="4">
        <f t="shared" si="4"/>
        <v>0</v>
      </c>
      <c r="AO48" s="3"/>
      <c r="AP48">
        <v>0</v>
      </c>
      <c r="AR48" t="s">
        <v>0</v>
      </c>
      <c r="AT48" s="2" t="s">
        <v>6</v>
      </c>
      <c r="AU48" s="1" t="e">
        <f t="shared" si="5"/>
        <v>#VALUE!</v>
      </c>
      <c r="AV48" s="1" t="e">
        <f t="shared" si="6"/>
        <v>#VALUE!</v>
      </c>
      <c r="AW48" s="1" t="e">
        <f t="shared" si="7"/>
        <v>#VALUE!</v>
      </c>
    </row>
    <row r="49" spans="1:49" x14ac:dyDescent="0.2">
      <c r="A49">
        <v>47</v>
      </c>
      <c r="B49" t="s">
        <v>1749</v>
      </c>
      <c r="F49" t="s">
        <v>1748</v>
      </c>
      <c r="G49" t="s">
        <v>4</v>
      </c>
      <c r="H49" t="s">
        <v>3</v>
      </c>
      <c r="I49" t="s">
        <v>1747</v>
      </c>
      <c r="J49">
        <v>122323461</v>
      </c>
      <c r="K49" t="s">
        <v>1746</v>
      </c>
      <c r="L49" t="s">
        <v>1745</v>
      </c>
      <c r="M49" t="s">
        <v>9</v>
      </c>
      <c r="N49">
        <v>2</v>
      </c>
      <c r="O49" t="s">
        <v>1744</v>
      </c>
      <c r="P49" t="s">
        <v>1743</v>
      </c>
      <c r="Q49" t="s">
        <v>1742</v>
      </c>
      <c r="R49" s="7">
        <v>32112</v>
      </c>
      <c r="S49" s="8">
        <f t="shared" si="0"/>
        <v>1987</v>
      </c>
      <c r="T49" s="8">
        <v>1987</v>
      </c>
      <c r="U49" s="8">
        <f t="shared" si="1"/>
        <v>35</v>
      </c>
      <c r="V49" s="7">
        <v>32112</v>
      </c>
      <c r="W49" t="s">
        <v>174</v>
      </c>
      <c r="X49" s="2">
        <v>0.125</v>
      </c>
      <c r="Y49" s="6">
        <f t="shared" si="2"/>
        <v>3.3368036090867838E-3</v>
      </c>
      <c r="AA49">
        <v>26557</v>
      </c>
      <c r="AB49">
        <v>40401</v>
      </c>
      <c r="AD49" t="s">
        <v>1</v>
      </c>
      <c r="AE49">
        <v>56</v>
      </c>
      <c r="AF49">
        <v>10</v>
      </c>
      <c r="AI49" t="s">
        <v>1741</v>
      </c>
      <c r="AK49" t="s">
        <v>1740</v>
      </c>
      <c r="AL49">
        <v>1</v>
      </c>
      <c r="AM49" s="5">
        <f t="shared" si="3"/>
        <v>2.8571428571428571E-2</v>
      </c>
      <c r="AN49" s="4">
        <f t="shared" si="4"/>
        <v>4.32736517552875E-5</v>
      </c>
      <c r="AO49" s="3"/>
      <c r="AP49">
        <v>0</v>
      </c>
      <c r="AR49" t="s">
        <v>0</v>
      </c>
      <c r="AT49" s="2" t="s">
        <v>6</v>
      </c>
      <c r="AU49" s="1">
        <f t="shared" si="5"/>
        <v>0.23487446218873345</v>
      </c>
      <c r="AV49" s="1">
        <f t="shared" si="6"/>
        <v>0.16900386304210357</v>
      </c>
      <c r="AW49" s="1">
        <f t="shared" si="7"/>
        <v>0.10313326389547364</v>
      </c>
    </row>
    <row r="50" spans="1:49" x14ac:dyDescent="0.2">
      <c r="A50">
        <v>48</v>
      </c>
      <c r="B50" t="s">
        <v>1739</v>
      </c>
      <c r="F50" t="s">
        <v>1738</v>
      </c>
      <c r="G50" t="s">
        <v>4</v>
      </c>
      <c r="H50" t="s">
        <v>3</v>
      </c>
      <c r="I50" t="s">
        <v>1737</v>
      </c>
      <c r="J50">
        <v>60021095</v>
      </c>
      <c r="K50" t="s">
        <v>1736</v>
      </c>
      <c r="M50" t="s">
        <v>7</v>
      </c>
      <c r="N50">
        <v>2</v>
      </c>
      <c r="O50" t="s">
        <v>1735</v>
      </c>
      <c r="P50" t="s">
        <v>1734</v>
      </c>
      <c r="Q50" t="s">
        <v>1733</v>
      </c>
      <c r="R50" s="7">
        <v>32112</v>
      </c>
      <c r="S50" s="8">
        <f t="shared" si="0"/>
        <v>1987</v>
      </c>
      <c r="T50" s="8">
        <v>1987</v>
      </c>
      <c r="U50" s="8">
        <f t="shared" si="1"/>
        <v>35</v>
      </c>
      <c r="V50" s="7">
        <v>32112</v>
      </c>
      <c r="W50" t="s">
        <v>171</v>
      </c>
      <c r="X50" s="2">
        <v>0.14099999999999999</v>
      </c>
      <c r="Y50" s="6">
        <f t="shared" si="2"/>
        <v>3.7639144710498915E-3</v>
      </c>
      <c r="AA50">
        <v>7252986</v>
      </c>
      <c r="AB50">
        <v>18037</v>
      </c>
      <c r="AD50" t="s">
        <v>1</v>
      </c>
      <c r="AE50">
        <v>7</v>
      </c>
      <c r="AF50">
        <v>4</v>
      </c>
      <c r="AH50" t="s">
        <v>1732</v>
      </c>
      <c r="AI50" t="s">
        <v>1731</v>
      </c>
      <c r="AK50" t="s">
        <v>1730</v>
      </c>
      <c r="AL50">
        <v>0</v>
      </c>
      <c r="AM50" s="5">
        <f t="shared" si="3"/>
        <v>0</v>
      </c>
      <c r="AN50" s="4">
        <f t="shared" si="4"/>
        <v>0</v>
      </c>
      <c r="AO50" s="3"/>
      <c r="AP50">
        <v>0</v>
      </c>
      <c r="AR50" t="s">
        <v>0</v>
      </c>
      <c r="AT50" s="2" t="s">
        <v>6</v>
      </c>
      <c r="AU50" s="1">
        <f t="shared" si="5"/>
        <v>0.26347401297349238</v>
      </c>
      <c r="AV50" s="1">
        <f t="shared" si="6"/>
        <v>0.18819572355249459</v>
      </c>
      <c r="AW50" s="1">
        <f t="shared" si="7"/>
        <v>0.11291743413149673</v>
      </c>
    </row>
    <row r="51" spans="1:49" x14ac:dyDescent="0.2">
      <c r="A51">
        <v>49</v>
      </c>
      <c r="B51" t="s">
        <v>1729</v>
      </c>
      <c r="F51" t="s">
        <v>1728</v>
      </c>
      <c r="G51" t="s">
        <v>4</v>
      </c>
      <c r="H51" t="s">
        <v>3</v>
      </c>
      <c r="I51" t="s">
        <v>1727</v>
      </c>
      <c r="N51">
        <v>1</v>
      </c>
      <c r="O51" t="s">
        <v>1726</v>
      </c>
      <c r="P51">
        <v>6701677551</v>
      </c>
      <c r="R51" s="7">
        <v>32112</v>
      </c>
      <c r="S51" s="8">
        <f t="shared" si="0"/>
        <v>1987</v>
      </c>
      <c r="T51" s="8">
        <v>1987</v>
      </c>
      <c r="U51" s="8">
        <f t="shared" si="1"/>
        <v>35</v>
      </c>
      <c r="V51" s="7">
        <v>32112</v>
      </c>
      <c r="W51" t="s">
        <v>1725</v>
      </c>
      <c r="X51" s="2">
        <v>0.498</v>
      </c>
      <c r="Y51" s="6">
        <f t="shared" si="2"/>
        <v>1.3293825578601747E-2</v>
      </c>
      <c r="AA51">
        <v>3043622</v>
      </c>
      <c r="AB51">
        <v>40853</v>
      </c>
      <c r="AD51" t="s">
        <v>1</v>
      </c>
      <c r="AE51">
        <v>27</v>
      </c>
      <c r="AF51" t="s">
        <v>1724</v>
      </c>
      <c r="AH51" s="9">
        <v>44537</v>
      </c>
      <c r="AI51" t="s">
        <v>1723</v>
      </c>
      <c r="AK51" t="s">
        <v>1722</v>
      </c>
      <c r="AL51">
        <v>2</v>
      </c>
      <c r="AM51" s="5">
        <f t="shared" si="3"/>
        <v>5.7142857142857141E-2</v>
      </c>
      <c r="AN51" s="4">
        <f t="shared" si="4"/>
        <v>8.6547303510575E-5</v>
      </c>
      <c r="AO51" s="3"/>
      <c r="AP51">
        <v>0</v>
      </c>
      <c r="AR51" t="s">
        <v>0</v>
      </c>
      <c r="AT51" s="2" t="s">
        <v>6</v>
      </c>
      <c r="AU51" s="1">
        <f t="shared" si="5"/>
        <v>0.93316420960743962</v>
      </c>
      <c r="AV51" s="1">
        <f t="shared" si="6"/>
        <v>0.66901864410561607</v>
      </c>
      <c r="AW51" s="1">
        <f t="shared" si="7"/>
        <v>0.40487307860379262</v>
      </c>
    </row>
    <row r="52" spans="1:49" x14ac:dyDescent="0.2">
      <c r="A52">
        <v>50</v>
      </c>
      <c r="B52" t="s">
        <v>1721</v>
      </c>
      <c r="F52" t="s">
        <v>1720</v>
      </c>
      <c r="G52" t="s">
        <v>4</v>
      </c>
      <c r="H52" t="s">
        <v>3</v>
      </c>
      <c r="I52" t="s">
        <v>1719</v>
      </c>
      <c r="J52">
        <v>60072218</v>
      </c>
      <c r="K52" t="s">
        <v>1718</v>
      </c>
      <c r="L52" t="s">
        <v>1717</v>
      </c>
      <c r="M52" t="s">
        <v>52</v>
      </c>
      <c r="N52">
        <v>3</v>
      </c>
      <c r="O52" t="s">
        <v>1716</v>
      </c>
      <c r="P52" t="s">
        <v>1715</v>
      </c>
      <c r="Q52" t="s">
        <v>1714</v>
      </c>
      <c r="R52" s="7">
        <v>32112</v>
      </c>
      <c r="S52" s="8">
        <f t="shared" si="0"/>
        <v>1987</v>
      </c>
      <c r="T52" s="8">
        <v>1987</v>
      </c>
      <c r="U52" s="8">
        <f t="shared" si="1"/>
        <v>35</v>
      </c>
      <c r="V52" s="7">
        <v>32112</v>
      </c>
      <c r="W52" t="s">
        <v>1713</v>
      </c>
      <c r="X52" s="2" t="s">
        <v>6</v>
      </c>
      <c r="Y52" s="6" t="e">
        <f t="shared" si="2"/>
        <v>#VALUE!</v>
      </c>
      <c r="AA52">
        <v>203386</v>
      </c>
      <c r="AB52">
        <v>17919</v>
      </c>
      <c r="AD52" t="s">
        <v>1</v>
      </c>
      <c r="AE52">
        <v>68</v>
      </c>
      <c r="AH52" t="s">
        <v>1712</v>
      </c>
      <c r="AI52" t="s">
        <v>1711</v>
      </c>
      <c r="AK52" t="s">
        <v>1710</v>
      </c>
      <c r="AL52">
        <v>0</v>
      </c>
      <c r="AM52" s="5">
        <f t="shared" si="3"/>
        <v>0</v>
      </c>
      <c r="AN52" s="4">
        <f t="shared" si="4"/>
        <v>0</v>
      </c>
      <c r="AO52" s="3"/>
      <c r="AP52">
        <v>0</v>
      </c>
      <c r="AR52" t="s">
        <v>0</v>
      </c>
      <c r="AT52" s="2" t="s">
        <v>6</v>
      </c>
      <c r="AU52" s="1" t="e">
        <f t="shared" si="5"/>
        <v>#VALUE!</v>
      </c>
      <c r="AV52" s="1" t="e">
        <f t="shared" si="6"/>
        <v>#VALUE!</v>
      </c>
      <c r="AW52" s="1" t="e">
        <f t="shared" si="7"/>
        <v>#VALUE!</v>
      </c>
    </row>
    <row r="53" spans="1:49" x14ac:dyDescent="0.2">
      <c r="A53">
        <v>51</v>
      </c>
      <c r="B53" t="s">
        <v>1709</v>
      </c>
      <c r="F53" t="s">
        <v>1708</v>
      </c>
      <c r="G53" t="s">
        <v>4</v>
      </c>
      <c r="H53" t="s">
        <v>3</v>
      </c>
      <c r="I53" t="s">
        <v>1707</v>
      </c>
      <c r="J53">
        <v>60026487</v>
      </c>
      <c r="K53" t="s">
        <v>1706</v>
      </c>
      <c r="L53" t="s">
        <v>1705</v>
      </c>
      <c r="M53" t="s">
        <v>28</v>
      </c>
      <c r="N53">
        <v>1</v>
      </c>
      <c r="O53" t="s">
        <v>1704</v>
      </c>
      <c r="P53">
        <v>36950801300</v>
      </c>
      <c r="Q53">
        <v>60026487</v>
      </c>
      <c r="R53" s="7">
        <v>32112</v>
      </c>
      <c r="S53" s="8">
        <f t="shared" si="0"/>
        <v>1987</v>
      </c>
      <c r="T53" s="8">
        <v>1987</v>
      </c>
      <c r="U53" s="8">
        <f t="shared" si="1"/>
        <v>35</v>
      </c>
      <c r="V53" s="7">
        <v>1987</v>
      </c>
      <c r="W53" t="s">
        <v>1703</v>
      </c>
      <c r="X53" s="2" t="s">
        <v>6</v>
      </c>
      <c r="Y53" s="6" t="e">
        <f t="shared" si="2"/>
        <v>#VALUE!</v>
      </c>
      <c r="AA53">
        <v>3760545</v>
      </c>
      <c r="AB53">
        <v>35276</v>
      </c>
      <c r="AD53" t="s">
        <v>1</v>
      </c>
      <c r="AE53">
        <v>21</v>
      </c>
      <c r="AH53" s="10">
        <v>42005</v>
      </c>
      <c r="AI53" t="s">
        <v>1702</v>
      </c>
      <c r="AK53" t="s">
        <v>1701</v>
      </c>
      <c r="AL53">
        <v>0</v>
      </c>
      <c r="AM53" s="5">
        <f t="shared" si="3"/>
        <v>0</v>
      </c>
      <c r="AN53" s="4">
        <f t="shared" si="4"/>
        <v>0</v>
      </c>
      <c r="AO53" s="3"/>
      <c r="AP53">
        <v>0</v>
      </c>
      <c r="AR53" t="s">
        <v>0</v>
      </c>
      <c r="AT53" s="2" t="s">
        <v>6</v>
      </c>
      <c r="AU53" s="1" t="e">
        <f t="shared" si="5"/>
        <v>#VALUE!</v>
      </c>
      <c r="AV53" s="1" t="e">
        <f t="shared" si="6"/>
        <v>#VALUE!</v>
      </c>
      <c r="AW53" s="1" t="e">
        <f t="shared" si="7"/>
        <v>#VALUE!</v>
      </c>
    </row>
    <row r="54" spans="1:49" x14ac:dyDescent="0.2">
      <c r="A54">
        <v>52</v>
      </c>
      <c r="B54" t="s">
        <v>1700</v>
      </c>
      <c r="F54" t="s">
        <v>1699</v>
      </c>
      <c r="G54" t="s">
        <v>4</v>
      </c>
      <c r="H54" t="s">
        <v>3</v>
      </c>
      <c r="I54" t="s">
        <v>1698</v>
      </c>
      <c r="J54">
        <v>60011664</v>
      </c>
      <c r="K54" t="s">
        <v>1697</v>
      </c>
      <c r="L54" t="s">
        <v>1696</v>
      </c>
      <c r="M54" t="s">
        <v>7</v>
      </c>
      <c r="N54">
        <v>1</v>
      </c>
      <c r="O54" t="s">
        <v>1695</v>
      </c>
      <c r="P54">
        <v>7402229975</v>
      </c>
      <c r="Q54">
        <v>60011664</v>
      </c>
      <c r="R54" s="7">
        <v>32112</v>
      </c>
      <c r="S54" s="8">
        <f t="shared" si="0"/>
        <v>1987</v>
      </c>
      <c r="T54" s="8">
        <v>1987</v>
      </c>
      <c r="U54" s="8">
        <f t="shared" si="1"/>
        <v>35</v>
      </c>
      <c r="V54" s="7">
        <v>32112</v>
      </c>
      <c r="W54" t="s">
        <v>171</v>
      </c>
      <c r="X54" s="2">
        <v>0.14099999999999999</v>
      </c>
      <c r="Y54" s="6">
        <f t="shared" si="2"/>
        <v>3.7639144710498915E-3</v>
      </c>
      <c r="AA54">
        <v>7252986</v>
      </c>
      <c r="AB54">
        <v>18037</v>
      </c>
      <c r="AD54" t="s">
        <v>1</v>
      </c>
      <c r="AE54">
        <v>7</v>
      </c>
      <c r="AF54">
        <v>4</v>
      </c>
      <c r="AH54" t="s">
        <v>1694</v>
      </c>
      <c r="AI54" t="s">
        <v>1693</v>
      </c>
      <c r="AK54" t="s">
        <v>1692</v>
      </c>
      <c r="AL54">
        <v>1</v>
      </c>
      <c r="AM54" s="5">
        <f t="shared" si="3"/>
        <v>2.8571428571428571E-2</v>
      </c>
      <c r="AN54" s="4">
        <f t="shared" si="4"/>
        <v>4.32736517552875E-5</v>
      </c>
      <c r="AO54" s="3"/>
      <c r="AP54">
        <v>0</v>
      </c>
      <c r="AR54" t="s">
        <v>0</v>
      </c>
      <c r="AT54" s="2" t="s">
        <v>6</v>
      </c>
      <c r="AU54" s="1">
        <f t="shared" si="5"/>
        <v>0.26477222252615101</v>
      </c>
      <c r="AV54" s="1">
        <f t="shared" si="6"/>
        <v>0.19035940614025895</v>
      </c>
      <c r="AW54" s="1">
        <f t="shared" si="7"/>
        <v>0.11594658975436686</v>
      </c>
    </row>
    <row r="55" spans="1:49" x14ac:dyDescent="0.2">
      <c r="A55">
        <v>53</v>
      </c>
      <c r="B55" t="s">
        <v>1691</v>
      </c>
      <c r="F55" t="s">
        <v>1690</v>
      </c>
      <c r="G55" t="s">
        <v>4</v>
      </c>
      <c r="H55" t="s">
        <v>3</v>
      </c>
      <c r="I55" t="s">
        <v>1689</v>
      </c>
      <c r="N55">
        <v>3</v>
      </c>
      <c r="O55" t="s">
        <v>1688</v>
      </c>
      <c r="P55" t="s">
        <v>1687</v>
      </c>
      <c r="Q55" t="s">
        <v>11</v>
      </c>
      <c r="R55" s="7">
        <v>32112</v>
      </c>
      <c r="S55" s="8">
        <f t="shared" si="0"/>
        <v>1987</v>
      </c>
      <c r="T55" s="8">
        <v>1987</v>
      </c>
      <c r="U55" s="8">
        <f t="shared" si="1"/>
        <v>35</v>
      </c>
      <c r="V55" s="7">
        <v>32112</v>
      </c>
      <c r="W55" t="s">
        <v>1534</v>
      </c>
      <c r="X55" s="2">
        <v>0.14399999999999999</v>
      </c>
      <c r="Y55" s="6">
        <f t="shared" si="2"/>
        <v>3.8439977576679744E-3</v>
      </c>
      <c r="AA55">
        <v>382221</v>
      </c>
      <c r="AB55">
        <v>19255</v>
      </c>
      <c r="AD55" t="s">
        <v>1</v>
      </c>
      <c r="AE55">
        <v>78</v>
      </c>
      <c r="AF55">
        <v>2</v>
      </c>
      <c r="AH55" t="s">
        <v>1686</v>
      </c>
      <c r="AI55" t="s">
        <v>1685</v>
      </c>
      <c r="AK55" t="s">
        <v>1684</v>
      </c>
      <c r="AL55">
        <v>1</v>
      </c>
      <c r="AM55" s="5">
        <f t="shared" si="3"/>
        <v>2.8571428571428571E-2</v>
      </c>
      <c r="AN55" s="4">
        <f t="shared" si="4"/>
        <v>4.32736517552875E-5</v>
      </c>
      <c r="AO55" s="3"/>
      <c r="AP55">
        <v>0</v>
      </c>
      <c r="AR55" t="s">
        <v>0</v>
      </c>
      <c r="AT55" s="2" t="s">
        <v>6</v>
      </c>
      <c r="AU55" s="1">
        <f t="shared" si="5"/>
        <v>0.27037805258941677</v>
      </c>
      <c r="AV55" s="1">
        <f t="shared" si="6"/>
        <v>0.19436357047116309</v>
      </c>
      <c r="AW55" s="1">
        <f t="shared" si="7"/>
        <v>0.11834908835290936</v>
      </c>
    </row>
    <row r="56" spans="1:49" x14ac:dyDescent="0.2">
      <c r="A56">
        <v>54</v>
      </c>
      <c r="B56" t="s">
        <v>1683</v>
      </c>
      <c r="F56" t="s">
        <v>1682</v>
      </c>
      <c r="G56" t="s">
        <v>4</v>
      </c>
      <c r="H56" t="s">
        <v>3</v>
      </c>
      <c r="I56" t="s">
        <v>1681</v>
      </c>
      <c r="J56">
        <v>100482831</v>
      </c>
      <c r="K56" t="s">
        <v>1680</v>
      </c>
      <c r="L56" t="s">
        <v>1679</v>
      </c>
      <c r="M56" t="s">
        <v>2</v>
      </c>
      <c r="N56">
        <v>3</v>
      </c>
      <c r="O56" t="s">
        <v>1678</v>
      </c>
      <c r="P56" t="s">
        <v>1677</v>
      </c>
      <c r="Q56" t="s">
        <v>1676</v>
      </c>
      <c r="R56" s="7">
        <v>32112</v>
      </c>
      <c r="S56" s="8">
        <f t="shared" si="0"/>
        <v>1987</v>
      </c>
      <c r="T56" s="8">
        <v>1987</v>
      </c>
      <c r="U56" s="8">
        <f t="shared" si="1"/>
        <v>35</v>
      </c>
      <c r="V56" s="7">
        <v>32112</v>
      </c>
      <c r="W56" t="s">
        <v>261</v>
      </c>
      <c r="X56" s="2" t="s">
        <v>6</v>
      </c>
      <c r="Y56" s="6" t="e">
        <f t="shared" si="2"/>
        <v>#VALUE!</v>
      </c>
      <c r="AA56">
        <v>320145</v>
      </c>
      <c r="AB56">
        <v>37846</v>
      </c>
      <c r="AD56" t="s">
        <v>1</v>
      </c>
      <c r="AE56">
        <v>67</v>
      </c>
      <c r="AF56">
        <v>6</v>
      </c>
      <c r="AH56" t="s">
        <v>1675</v>
      </c>
      <c r="AI56" t="s">
        <v>1674</v>
      </c>
      <c r="AK56" t="s">
        <v>1673</v>
      </c>
      <c r="AL56">
        <v>0</v>
      </c>
      <c r="AM56" s="5">
        <f t="shared" si="3"/>
        <v>0</v>
      </c>
      <c r="AN56" s="4">
        <f t="shared" si="4"/>
        <v>0</v>
      </c>
      <c r="AO56" s="3"/>
      <c r="AP56">
        <v>0</v>
      </c>
      <c r="AR56" t="s">
        <v>0</v>
      </c>
      <c r="AT56" s="2" t="s">
        <v>6</v>
      </c>
      <c r="AU56" s="1" t="e">
        <f t="shared" si="5"/>
        <v>#VALUE!</v>
      </c>
      <c r="AV56" s="1" t="e">
        <f t="shared" si="6"/>
        <v>#VALUE!</v>
      </c>
      <c r="AW56" s="1" t="e">
        <f t="shared" si="7"/>
        <v>#VALUE!</v>
      </c>
    </row>
    <row r="57" spans="1:49" x14ac:dyDescent="0.2">
      <c r="A57">
        <v>55</v>
      </c>
      <c r="B57" t="s">
        <v>1672</v>
      </c>
      <c r="F57" t="s">
        <v>1671</v>
      </c>
      <c r="G57" t="s">
        <v>4</v>
      </c>
      <c r="H57" t="s">
        <v>3</v>
      </c>
      <c r="I57" t="s">
        <v>156</v>
      </c>
      <c r="N57">
        <v>2</v>
      </c>
      <c r="O57" t="s">
        <v>1670</v>
      </c>
      <c r="P57" t="s">
        <v>1669</v>
      </c>
      <c r="Q57" t="s">
        <v>19</v>
      </c>
      <c r="R57" s="7">
        <v>32112</v>
      </c>
      <c r="S57" s="8">
        <f t="shared" si="0"/>
        <v>1987</v>
      </c>
      <c r="T57" s="8">
        <v>1987</v>
      </c>
      <c r="U57" s="8">
        <f t="shared" si="1"/>
        <v>35</v>
      </c>
      <c r="V57" s="7">
        <v>1987</v>
      </c>
      <c r="W57" t="s">
        <v>1668</v>
      </c>
      <c r="X57" s="2" t="s">
        <v>6</v>
      </c>
      <c r="Y57" s="6" t="e">
        <f t="shared" si="2"/>
        <v>#VALUE!</v>
      </c>
      <c r="AA57">
        <v>271349</v>
      </c>
      <c r="AB57">
        <v>28721</v>
      </c>
      <c r="AD57" t="s">
        <v>1</v>
      </c>
      <c r="AE57">
        <v>42</v>
      </c>
      <c r="AF57">
        <v>3</v>
      </c>
      <c r="AH57" t="s">
        <v>1667</v>
      </c>
      <c r="AI57" t="s">
        <v>1666</v>
      </c>
      <c r="AK57" t="s">
        <v>1665</v>
      </c>
      <c r="AL57">
        <v>0</v>
      </c>
      <c r="AM57" s="5">
        <f t="shared" si="3"/>
        <v>0</v>
      </c>
      <c r="AN57" s="4">
        <f t="shared" si="4"/>
        <v>0</v>
      </c>
      <c r="AO57" s="3"/>
      <c r="AP57">
        <v>0</v>
      </c>
      <c r="AR57" t="s">
        <v>0</v>
      </c>
      <c r="AT57" s="2" t="s">
        <v>6</v>
      </c>
      <c r="AU57" s="1" t="e">
        <f t="shared" si="5"/>
        <v>#VALUE!</v>
      </c>
      <c r="AV57" s="1" t="e">
        <f t="shared" si="6"/>
        <v>#VALUE!</v>
      </c>
      <c r="AW57" s="1" t="e">
        <f t="shared" si="7"/>
        <v>#VALUE!</v>
      </c>
    </row>
    <row r="58" spans="1:49" x14ac:dyDescent="0.2">
      <c r="A58">
        <v>56</v>
      </c>
      <c r="B58" t="s">
        <v>1664</v>
      </c>
      <c r="F58" t="s">
        <v>1663</v>
      </c>
      <c r="G58" t="s">
        <v>4</v>
      </c>
      <c r="H58" t="s">
        <v>3</v>
      </c>
      <c r="I58" t="s">
        <v>1662</v>
      </c>
      <c r="J58">
        <v>60015778</v>
      </c>
      <c r="K58" t="s">
        <v>1661</v>
      </c>
      <c r="L58" t="s">
        <v>1660</v>
      </c>
      <c r="M58" t="s">
        <v>1659</v>
      </c>
      <c r="N58">
        <v>1</v>
      </c>
      <c r="O58" t="s">
        <v>1658</v>
      </c>
      <c r="P58">
        <v>7101603015</v>
      </c>
      <c r="Q58">
        <v>60015778</v>
      </c>
      <c r="R58" s="7">
        <v>32112</v>
      </c>
      <c r="S58" s="8">
        <f t="shared" si="0"/>
        <v>1987</v>
      </c>
      <c r="T58" s="8">
        <v>1987</v>
      </c>
      <c r="U58" s="8">
        <f t="shared" si="1"/>
        <v>35</v>
      </c>
      <c r="V58" s="7">
        <v>1987</v>
      </c>
      <c r="W58" t="s">
        <v>1657</v>
      </c>
      <c r="X58" s="2" t="s">
        <v>6</v>
      </c>
      <c r="Y58" s="6" t="e">
        <f t="shared" si="2"/>
        <v>#VALUE!</v>
      </c>
      <c r="AA58">
        <v>401471</v>
      </c>
      <c r="AB58">
        <v>30539</v>
      </c>
      <c r="AD58" t="s">
        <v>1</v>
      </c>
      <c r="AE58">
        <v>65</v>
      </c>
      <c r="AF58" s="9">
        <v>44510</v>
      </c>
      <c r="AH58" t="s">
        <v>1656</v>
      </c>
      <c r="AI58" t="s">
        <v>1655</v>
      </c>
      <c r="AK58" t="s">
        <v>1654</v>
      </c>
      <c r="AL58">
        <v>0</v>
      </c>
      <c r="AM58" s="5">
        <f t="shared" si="3"/>
        <v>0</v>
      </c>
      <c r="AN58" s="4">
        <f t="shared" si="4"/>
        <v>0</v>
      </c>
      <c r="AO58" s="3"/>
      <c r="AP58">
        <v>0</v>
      </c>
      <c r="AR58" t="s">
        <v>0</v>
      </c>
      <c r="AT58" s="2" t="s">
        <v>6</v>
      </c>
      <c r="AU58" s="1" t="e">
        <f t="shared" si="5"/>
        <v>#VALUE!</v>
      </c>
      <c r="AV58" s="1" t="e">
        <f t="shared" si="6"/>
        <v>#VALUE!</v>
      </c>
      <c r="AW58" s="1" t="e">
        <f t="shared" si="7"/>
        <v>#VALUE!</v>
      </c>
    </row>
    <row r="59" spans="1:49" x14ac:dyDescent="0.2">
      <c r="A59">
        <v>57</v>
      </c>
      <c r="B59" t="s">
        <v>1653</v>
      </c>
      <c r="F59" t="s">
        <v>1652</v>
      </c>
      <c r="G59" t="s">
        <v>4</v>
      </c>
      <c r="H59" t="s">
        <v>3</v>
      </c>
      <c r="I59" t="s">
        <v>1651</v>
      </c>
      <c r="N59">
        <v>4</v>
      </c>
      <c r="O59" t="s">
        <v>1650</v>
      </c>
      <c r="P59" t="s">
        <v>1649</v>
      </c>
      <c r="Q59" t="s">
        <v>33</v>
      </c>
      <c r="R59" s="7">
        <v>32112</v>
      </c>
      <c r="S59" s="8">
        <f t="shared" si="0"/>
        <v>1987</v>
      </c>
      <c r="T59" s="8">
        <v>1987</v>
      </c>
      <c r="U59" s="8">
        <f t="shared" si="1"/>
        <v>35</v>
      </c>
      <c r="V59" s="7">
        <v>1987</v>
      </c>
      <c r="W59" t="s">
        <v>1648</v>
      </c>
      <c r="X59" s="2" t="s">
        <v>6</v>
      </c>
      <c r="Y59" s="6" t="e">
        <f t="shared" si="2"/>
        <v>#VALUE!</v>
      </c>
      <c r="AA59">
        <v>1464108</v>
      </c>
      <c r="AB59">
        <v>31399</v>
      </c>
      <c r="AD59" t="s">
        <v>1</v>
      </c>
      <c r="AF59">
        <v>2</v>
      </c>
      <c r="AH59" t="s">
        <v>1647</v>
      </c>
      <c r="AI59" t="s">
        <v>1646</v>
      </c>
      <c r="AK59" t="s">
        <v>1645</v>
      </c>
      <c r="AL59">
        <v>0</v>
      </c>
      <c r="AM59" s="5">
        <f t="shared" si="3"/>
        <v>0</v>
      </c>
      <c r="AN59" s="4">
        <f t="shared" si="4"/>
        <v>0</v>
      </c>
      <c r="AO59" s="3"/>
      <c r="AP59">
        <v>0</v>
      </c>
      <c r="AR59" t="s">
        <v>0</v>
      </c>
      <c r="AT59" s="2" t="s">
        <v>6</v>
      </c>
      <c r="AU59" s="1" t="e">
        <f t="shared" si="5"/>
        <v>#VALUE!</v>
      </c>
      <c r="AV59" s="1" t="e">
        <f t="shared" si="6"/>
        <v>#VALUE!</v>
      </c>
      <c r="AW59" s="1" t="e">
        <f t="shared" si="7"/>
        <v>#VALUE!</v>
      </c>
    </row>
    <row r="60" spans="1:49" x14ac:dyDescent="0.2">
      <c r="A60">
        <v>58</v>
      </c>
      <c r="B60" t="s">
        <v>1644</v>
      </c>
      <c r="F60" t="s">
        <v>1643</v>
      </c>
      <c r="G60" t="s">
        <v>4</v>
      </c>
      <c r="H60" t="s">
        <v>3</v>
      </c>
      <c r="I60" t="s">
        <v>1642</v>
      </c>
      <c r="N60">
        <v>2</v>
      </c>
      <c r="O60" t="s">
        <v>1641</v>
      </c>
      <c r="P60" t="s">
        <v>1640</v>
      </c>
      <c r="Q60" t="s">
        <v>19</v>
      </c>
      <c r="R60" s="7">
        <v>32112</v>
      </c>
      <c r="S60" s="8">
        <f t="shared" si="0"/>
        <v>1987</v>
      </c>
      <c r="T60" s="8">
        <v>1987</v>
      </c>
      <c r="U60" s="8">
        <f t="shared" si="1"/>
        <v>35</v>
      </c>
      <c r="V60" s="7">
        <v>1987</v>
      </c>
      <c r="W60" t="s">
        <v>53</v>
      </c>
      <c r="X60" s="2" t="s">
        <v>6</v>
      </c>
      <c r="Y60" s="6" t="e">
        <f t="shared" si="2"/>
        <v>#VALUE!</v>
      </c>
      <c r="AA60">
        <v>337870</v>
      </c>
      <c r="AB60">
        <v>32478</v>
      </c>
      <c r="AD60" t="s">
        <v>1</v>
      </c>
      <c r="AE60">
        <v>30</v>
      </c>
      <c r="AF60">
        <v>5</v>
      </c>
      <c r="AH60" t="s">
        <v>1639</v>
      </c>
      <c r="AI60" t="s">
        <v>1638</v>
      </c>
      <c r="AK60" t="s">
        <v>1637</v>
      </c>
      <c r="AL60">
        <v>0</v>
      </c>
      <c r="AM60" s="5">
        <f t="shared" si="3"/>
        <v>0</v>
      </c>
      <c r="AN60" s="4">
        <f t="shared" si="4"/>
        <v>0</v>
      </c>
      <c r="AO60" s="3"/>
      <c r="AP60">
        <v>0</v>
      </c>
      <c r="AR60" t="s">
        <v>0</v>
      </c>
      <c r="AT60" s="2" t="s">
        <v>6</v>
      </c>
      <c r="AU60" s="1" t="e">
        <f t="shared" si="5"/>
        <v>#VALUE!</v>
      </c>
      <c r="AV60" s="1" t="e">
        <f t="shared" si="6"/>
        <v>#VALUE!</v>
      </c>
      <c r="AW60" s="1" t="e">
        <f t="shared" si="7"/>
        <v>#VALUE!</v>
      </c>
    </row>
    <row r="61" spans="1:49" x14ac:dyDescent="0.2">
      <c r="A61">
        <v>59</v>
      </c>
      <c r="B61" t="s">
        <v>1636</v>
      </c>
      <c r="C61" t="s">
        <v>1635</v>
      </c>
      <c r="F61" t="s">
        <v>1634</v>
      </c>
      <c r="G61" t="s">
        <v>4</v>
      </c>
      <c r="H61" t="s">
        <v>3</v>
      </c>
      <c r="I61" t="s">
        <v>1633</v>
      </c>
      <c r="J61" t="s">
        <v>1632</v>
      </c>
      <c r="K61" t="s">
        <v>1631</v>
      </c>
      <c r="L61" t="s">
        <v>1630</v>
      </c>
      <c r="M61" t="s">
        <v>126</v>
      </c>
      <c r="N61">
        <v>3</v>
      </c>
      <c r="O61" t="s">
        <v>1629</v>
      </c>
      <c r="P61" t="s">
        <v>1628</v>
      </c>
      <c r="Q61" t="s">
        <v>1627</v>
      </c>
      <c r="R61" s="7">
        <v>32112</v>
      </c>
      <c r="S61" s="8">
        <f t="shared" si="0"/>
        <v>1987</v>
      </c>
      <c r="T61" s="8">
        <v>1987</v>
      </c>
      <c r="U61" s="8">
        <f t="shared" si="1"/>
        <v>35</v>
      </c>
      <c r="V61" s="7">
        <v>32112</v>
      </c>
      <c r="W61" t="s">
        <v>1626</v>
      </c>
      <c r="X61" s="2">
        <v>0.39</v>
      </c>
      <c r="Y61" s="6">
        <f t="shared" si="2"/>
        <v>1.0410827260350766E-2</v>
      </c>
      <c r="AA61" t="s">
        <v>1625</v>
      </c>
      <c r="AB61">
        <v>18780</v>
      </c>
      <c r="AC61">
        <v>15315878</v>
      </c>
      <c r="AD61" t="s">
        <v>1</v>
      </c>
      <c r="AE61">
        <v>6</v>
      </c>
      <c r="AF61">
        <v>4</v>
      </c>
      <c r="AH61" t="s">
        <v>1624</v>
      </c>
      <c r="AI61" t="s">
        <v>1623</v>
      </c>
      <c r="AK61" t="s">
        <v>1622</v>
      </c>
      <c r="AL61">
        <v>9</v>
      </c>
      <c r="AM61" s="5">
        <f t="shared" si="3"/>
        <v>0.25714285714285712</v>
      </c>
      <c r="AN61" s="4">
        <f t="shared" si="4"/>
        <v>3.8946286579758747E-4</v>
      </c>
      <c r="AO61" s="3"/>
      <c r="AP61">
        <v>0</v>
      </c>
      <c r="AR61" t="s">
        <v>0</v>
      </c>
      <c r="AT61" s="2" t="s">
        <v>6</v>
      </c>
      <c r="AU61" s="1">
        <f t="shared" si="5"/>
        <v>0.74044179419848122</v>
      </c>
      <c r="AV61" s="1">
        <f t="shared" si="6"/>
        <v>0.54001450630741776</v>
      </c>
      <c r="AW61" s="1">
        <f t="shared" si="7"/>
        <v>0.33958721841635409</v>
      </c>
    </row>
    <row r="62" spans="1:49" x14ac:dyDescent="0.2">
      <c r="A62">
        <v>60</v>
      </c>
      <c r="B62" t="s">
        <v>1621</v>
      </c>
      <c r="F62" t="s">
        <v>1620</v>
      </c>
      <c r="G62" t="s">
        <v>4</v>
      </c>
      <c r="H62" t="s">
        <v>3</v>
      </c>
      <c r="I62" t="s">
        <v>1619</v>
      </c>
      <c r="N62">
        <v>2</v>
      </c>
      <c r="O62" t="s">
        <v>1618</v>
      </c>
      <c r="P62" t="s">
        <v>1617</v>
      </c>
      <c r="Q62" t="s">
        <v>19</v>
      </c>
      <c r="R62" s="7">
        <v>32112</v>
      </c>
      <c r="S62" s="8">
        <f t="shared" si="0"/>
        <v>1987</v>
      </c>
      <c r="T62" s="8">
        <v>1987</v>
      </c>
      <c r="U62" s="8">
        <f t="shared" si="1"/>
        <v>35</v>
      </c>
      <c r="V62" s="7">
        <v>1987</v>
      </c>
      <c r="W62" t="s">
        <v>53</v>
      </c>
      <c r="X62" s="2" t="s">
        <v>6</v>
      </c>
      <c r="Y62" s="6" t="e">
        <f t="shared" si="2"/>
        <v>#VALUE!</v>
      </c>
      <c r="AA62">
        <v>337870</v>
      </c>
      <c r="AB62">
        <v>32478</v>
      </c>
      <c r="AD62" t="s">
        <v>1</v>
      </c>
      <c r="AE62">
        <v>30</v>
      </c>
      <c r="AF62">
        <v>3</v>
      </c>
      <c r="AH62" t="s">
        <v>1616</v>
      </c>
      <c r="AI62" t="s">
        <v>1615</v>
      </c>
      <c r="AK62" t="s">
        <v>1614</v>
      </c>
      <c r="AL62">
        <v>1</v>
      </c>
      <c r="AM62" s="5">
        <f t="shared" si="3"/>
        <v>2.8571428571428571E-2</v>
      </c>
      <c r="AN62" s="4">
        <f t="shared" si="4"/>
        <v>4.32736517552875E-5</v>
      </c>
      <c r="AO62" s="3"/>
      <c r="AP62">
        <v>0</v>
      </c>
      <c r="AR62" t="s">
        <v>0</v>
      </c>
      <c r="AT62" s="2" t="s">
        <v>6</v>
      </c>
      <c r="AU62" s="1" t="e">
        <f t="shared" si="5"/>
        <v>#VALUE!</v>
      </c>
      <c r="AV62" s="1" t="e">
        <f t="shared" si="6"/>
        <v>#VALUE!</v>
      </c>
      <c r="AW62" s="1" t="e">
        <f t="shared" si="7"/>
        <v>#VALUE!</v>
      </c>
    </row>
    <row r="63" spans="1:49" x14ac:dyDescent="0.2">
      <c r="A63">
        <v>61</v>
      </c>
      <c r="B63" t="s">
        <v>1613</v>
      </c>
      <c r="F63" t="s">
        <v>1612</v>
      </c>
      <c r="G63" t="s">
        <v>4</v>
      </c>
      <c r="H63" t="s">
        <v>3</v>
      </c>
      <c r="I63" t="s">
        <v>1611</v>
      </c>
      <c r="N63">
        <v>2</v>
      </c>
      <c r="O63" t="s">
        <v>1610</v>
      </c>
      <c r="P63" t="s">
        <v>1609</v>
      </c>
      <c r="Q63" t="s">
        <v>19</v>
      </c>
      <c r="R63" s="7">
        <v>32112</v>
      </c>
      <c r="S63" s="8">
        <f t="shared" si="0"/>
        <v>1987</v>
      </c>
      <c r="T63" s="8">
        <v>1987</v>
      </c>
      <c r="U63" s="8">
        <f t="shared" si="1"/>
        <v>35</v>
      </c>
      <c r="V63" s="7">
        <v>1987</v>
      </c>
      <c r="W63" t="s">
        <v>53</v>
      </c>
      <c r="X63" s="2" t="s">
        <v>6</v>
      </c>
      <c r="Y63" s="6" t="e">
        <f t="shared" si="2"/>
        <v>#VALUE!</v>
      </c>
      <c r="AA63">
        <v>337870</v>
      </c>
      <c r="AB63">
        <v>32478</v>
      </c>
      <c r="AD63" t="s">
        <v>1</v>
      </c>
      <c r="AE63">
        <v>30</v>
      </c>
      <c r="AF63">
        <v>3</v>
      </c>
      <c r="AH63" t="s">
        <v>79</v>
      </c>
      <c r="AI63" t="s">
        <v>1608</v>
      </c>
      <c r="AK63" t="s">
        <v>1607</v>
      </c>
      <c r="AL63">
        <v>1</v>
      </c>
      <c r="AM63" s="5">
        <f t="shared" si="3"/>
        <v>2.8571428571428571E-2</v>
      </c>
      <c r="AN63" s="4">
        <f t="shared" si="4"/>
        <v>4.32736517552875E-5</v>
      </c>
      <c r="AO63" s="3"/>
      <c r="AP63">
        <v>0</v>
      </c>
      <c r="AR63" t="s">
        <v>0</v>
      </c>
      <c r="AT63" s="2" t="s">
        <v>6</v>
      </c>
      <c r="AU63" s="1" t="e">
        <f t="shared" si="5"/>
        <v>#VALUE!</v>
      </c>
      <c r="AV63" s="1" t="e">
        <f t="shared" si="6"/>
        <v>#VALUE!</v>
      </c>
      <c r="AW63" s="1" t="e">
        <f t="shared" si="7"/>
        <v>#VALUE!</v>
      </c>
    </row>
    <row r="64" spans="1:49" x14ac:dyDescent="0.2">
      <c r="A64">
        <v>62</v>
      </c>
      <c r="B64" t="s">
        <v>1606</v>
      </c>
      <c r="F64" t="s">
        <v>1605</v>
      </c>
      <c r="G64" t="s">
        <v>4</v>
      </c>
      <c r="H64" t="s">
        <v>3</v>
      </c>
      <c r="I64" t="s">
        <v>1604</v>
      </c>
      <c r="J64">
        <v>60025709</v>
      </c>
      <c r="K64" t="s">
        <v>1516</v>
      </c>
      <c r="L64" t="s">
        <v>24</v>
      </c>
      <c r="M64" t="s">
        <v>7</v>
      </c>
      <c r="N64">
        <v>1</v>
      </c>
      <c r="O64" t="s">
        <v>1603</v>
      </c>
      <c r="P64">
        <v>57225249165</v>
      </c>
      <c r="Q64">
        <v>60025709</v>
      </c>
      <c r="R64" s="7">
        <v>32112</v>
      </c>
      <c r="S64" s="8">
        <f t="shared" si="0"/>
        <v>1987</v>
      </c>
      <c r="T64" s="8">
        <v>1987</v>
      </c>
      <c r="U64" s="8">
        <f t="shared" si="1"/>
        <v>35</v>
      </c>
      <c r="V64" s="7">
        <v>32112</v>
      </c>
      <c r="W64" t="s">
        <v>171</v>
      </c>
      <c r="X64" s="2">
        <v>0.14099999999999999</v>
      </c>
      <c r="Y64" s="6">
        <f t="shared" si="2"/>
        <v>3.7639144710498915E-3</v>
      </c>
      <c r="AA64">
        <v>7252986</v>
      </c>
      <c r="AB64">
        <v>18037</v>
      </c>
      <c r="AD64" t="s">
        <v>1</v>
      </c>
      <c r="AE64">
        <v>7</v>
      </c>
      <c r="AF64">
        <v>4</v>
      </c>
      <c r="AH64" t="s">
        <v>1602</v>
      </c>
      <c r="AI64" t="s">
        <v>1601</v>
      </c>
      <c r="AK64" t="s">
        <v>1600</v>
      </c>
      <c r="AL64">
        <v>0</v>
      </c>
      <c r="AM64" s="5">
        <f t="shared" si="3"/>
        <v>0</v>
      </c>
      <c r="AN64" s="4">
        <f t="shared" si="4"/>
        <v>0</v>
      </c>
      <c r="AO64" s="3"/>
      <c r="AP64">
        <v>0</v>
      </c>
      <c r="AR64" t="s">
        <v>0</v>
      </c>
      <c r="AT64" s="2" t="s">
        <v>6</v>
      </c>
      <c r="AU64" s="1">
        <f t="shared" si="5"/>
        <v>0.26347401297349238</v>
      </c>
      <c r="AV64" s="1">
        <f t="shared" si="6"/>
        <v>0.18819572355249459</v>
      </c>
      <c r="AW64" s="1">
        <f t="shared" si="7"/>
        <v>0.11291743413149673</v>
      </c>
    </row>
    <row r="65" spans="1:49" x14ac:dyDescent="0.2">
      <c r="A65">
        <v>63</v>
      </c>
      <c r="B65" t="s">
        <v>1599</v>
      </c>
      <c r="F65" t="s">
        <v>1598</v>
      </c>
      <c r="G65" t="s">
        <v>4</v>
      </c>
      <c r="H65" t="s">
        <v>3</v>
      </c>
      <c r="I65" t="s">
        <v>1597</v>
      </c>
      <c r="J65">
        <v>60032987</v>
      </c>
      <c r="K65" t="s">
        <v>1596</v>
      </c>
      <c r="L65" t="s">
        <v>68</v>
      </c>
      <c r="M65" t="s">
        <v>7</v>
      </c>
      <c r="N65">
        <v>2</v>
      </c>
      <c r="O65" t="s">
        <v>1595</v>
      </c>
      <c r="P65" t="s">
        <v>1594</v>
      </c>
      <c r="Q65" t="s">
        <v>1593</v>
      </c>
      <c r="R65" s="7">
        <v>32112</v>
      </c>
      <c r="S65" s="8">
        <f t="shared" si="0"/>
        <v>1987</v>
      </c>
      <c r="T65" s="8">
        <v>1987</v>
      </c>
      <c r="U65" s="8">
        <f t="shared" si="1"/>
        <v>35</v>
      </c>
      <c r="V65" s="7">
        <v>32112</v>
      </c>
      <c r="W65" t="s">
        <v>171</v>
      </c>
      <c r="X65" s="2">
        <v>0.14099999999999999</v>
      </c>
      <c r="Y65" s="6">
        <f t="shared" si="2"/>
        <v>3.7639144710498915E-3</v>
      </c>
      <c r="AA65">
        <v>7252986</v>
      </c>
      <c r="AB65">
        <v>18037</v>
      </c>
      <c r="AD65" t="s">
        <v>1</v>
      </c>
      <c r="AE65">
        <v>7</v>
      </c>
      <c r="AF65">
        <v>4</v>
      </c>
      <c r="AH65" t="s">
        <v>1592</v>
      </c>
      <c r="AI65" t="s">
        <v>1591</v>
      </c>
      <c r="AK65" t="s">
        <v>1590</v>
      </c>
      <c r="AL65">
        <v>0</v>
      </c>
      <c r="AM65" s="5">
        <f t="shared" si="3"/>
        <v>0</v>
      </c>
      <c r="AN65" s="4">
        <f t="shared" si="4"/>
        <v>0</v>
      </c>
      <c r="AO65" s="3"/>
      <c r="AP65">
        <v>0</v>
      </c>
      <c r="AR65" t="s">
        <v>0</v>
      </c>
      <c r="AT65" s="2" t="s">
        <v>6</v>
      </c>
      <c r="AU65" s="1">
        <f t="shared" si="5"/>
        <v>0.26347401297349238</v>
      </c>
      <c r="AV65" s="1">
        <f t="shared" si="6"/>
        <v>0.18819572355249459</v>
      </c>
      <c r="AW65" s="1">
        <f t="shared" si="7"/>
        <v>0.11291743413149673</v>
      </c>
    </row>
    <row r="66" spans="1:49" x14ac:dyDescent="0.2">
      <c r="A66">
        <v>64</v>
      </c>
      <c r="B66" t="s">
        <v>1589</v>
      </c>
      <c r="F66" t="s">
        <v>1588</v>
      </c>
      <c r="G66" t="s">
        <v>4</v>
      </c>
      <c r="H66" t="s">
        <v>3</v>
      </c>
      <c r="I66" t="s">
        <v>1587</v>
      </c>
      <c r="N66">
        <v>1</v>
      </c>
      <c r="O66" t="s">
        <v>1586</v>
      </c>
      <c r="P66">
        <v>6602707651</v>
      </c>
      <c r="R66" s="7">
        <v>32112</v>
      </c>
      <c r="S66" s="8">
        <f t="shared" ref="S66:S129" si="8">YEAR(R66)</f>
        <v>1987</v>
      </c>
      <c r="T66" s="8">
        <v>1987</v>
      </c>
      <c r="U66" s="8">
        <f t="shared" ref="U66:U129" si="9">2022-T66</f>
        <v>35</v>
      </c>
      <c r="V66" s="7">
        <v>1987</v>
      </c>
      <c r="W66" t="s">
        <v>53</v>
      </c>
      <c r="X66" s="2" t="s">
        <v>6</v>
      </c>
      <c r="Y66" s="6" t="e">
        <f t="shared" ref="Y66:Y129" si="10">(X66-$Z$4)/($Z$3-$Z$4)</f>
        <v>#VALUE!</v>
      </c>
      <c r="AA66">
        <v>337870</v>
      </c>
      <c r="AB66">
        <v>32478</v>
      </c>
      <c r="AD66" t="s">
        <v>1</v>
      </c>
      <c r="AE66">
        <v>30</v>
      </c>
      <c r="AF66">
        <v>9</v>
      </c>
      <c r="AH66" t="s">
        <v>152</v>
      </c>
      <c r="AI66" t="s">
        <v>1585</v>
      </c>
      <c r="AK66" t="s">
        <v>1584</v>
      </c>
      <c r="AL66">
        <v>0</v>
      </c>
      <c r="AM66" s="5">
        <f t="shared" ref="AM66:AM129" si="11">AL66/U66</f>
        <v>0</v>
      </c>
      <c r="AN66" s="4">
        <f t="shared" ref="AN66:AN129" si="12">(AM66-$AO$4)/($AO$3-$AO$4)</f>
        <v>0</v>
      </c>
      <c r="AO66" s="3"/>
      <c r="AP66">
        <v>0</v>
      </c>
      <c r="AR66" t="s">
        <v>0</v>
      </c>
      <c r="AT66" s="2" t="s">
        <v>6</v>
      </c>
      <c r="AU66" s="1" t="e">
        <f t="shared" ref="AU66:AU129" si="13">(Y66*0.7+AN66*0.3)*100</f>
        <v>#VALUE!</v>
      </c>
      <c r="AV66" s="1" t="e">
        <f t="shared" ref="AV66:AV129" si="14">(Y66*0.5+AN66*0.5)*100</f>
        <v>#VALUE!</v>
      </c>
      <c r="AW66" s="1" t="e">
        <f t="shared" ref="AW66:AW129" si="15">(Y66*0.3+AN66*0.7)*100</f>
        <v>#VALUE!</v>
      </c>
    </row>
    <row r="67" spans="1:49" x14ac:dyDescent="0.2">
      <c r="A67">
        <v>65</v>
      </c>
      <c r="B67" t="s">
        <v>1583</v>
      </c>
      <c r="F67" t="s">
        <v>1582</v>
      </c>
      <c r="G67" t="s">
        <v>4</v>
      </c>
      <c r="H67" t="s">
        <v>3</v>
      </c>
      <c r="I67" t="s">
        <v>1581</v>
      </c>
      <c r="N67">
        <v>2</v>
      </c>
      <c r="O67" t="s">
        <v>1580</v>
      </c>
      <c r="P67" t="s">
        <v>1579</v>
      </c>
      <c r="Q67" t="s">
        <v>19</v>
      </c>
      <c r="R67" s="7">
        <v>32112</v>
      </c>
      <c r="S67" s="8">
        <f t="shared" si="8"/>
        <v>1987</v>
      </c>
      <c r="T67" s="8">
        <v>1987</v>
      </c>
      <c r="U67" s="8">
        <f t="shared" si="9"/>
        <v>35</v>
      </c>
      <c r="V67" s="7">
        <v>32112</v>
      </c>
      <c r="W67" t="s">
        <v>1534</v>
      </c>
      <c r="X67" s="2">
        <v>0.14399999999999999</v>
      </c>
      <c r="Y67" s="6">
        <f t="shared" si="10"/>
        <v>3.8439977576679744E-3</v>
      </c>
      <c r="AA67">
        <v>382221</v>
      </c>
      <c r="AB67">
        <v>19255</v>
      </c>
      <c r="AD67" t="s">
        <v>1</v>
      </c>
      <c r="AE67">
        <v>78</v>
      </c>
      <c r="AF67">
        <v>2</v>
      </c>
      <c r="AH67" t="s">
        <v>1578</v>
      </c>
      <c r="AI67" t="s">
        <v>1577</v>
      </c>
      <c r="AK67" t="s">
        <v>1576</v>
      </c>
      <c r="AL67">
        <v>4</v>
      </c>
      <c r="AM67" s="5">
        <f t="shared" si="11"/>
        <v>0.11428571428571428</v>
      </c>
      <c r="AN67" s="4">
        <f t="shared" si="12"/>
        <v>1.7309460702115E-4</v>
      </c>
      <c r="AO67" s="3"/>
      <c r="AP67">
        <v>0</v>
      </c>
      <c r="AR67" t="s">
        <v>0</v>
      </c>
      <c r="AT67" s="2" t="s">
        <v>6</v>
      </c>
      <c r="AU67" s="1">
        <f t="shared" si="13"/>
        <v>0.27427268124739268</v>
      </c>
      <c r="AV67" s="1">
        <f t="shared" si="14"/>
        <v>0.20085461823445622</v>
      </c>
      <c r="AW67" s="1">
        <f t="shared" si="15"/>
        <v>0.12743655522151973</v>
      </c>
    </row>
    <row r="68" spans="1:49" x14ac:dyDescent="0.2">
      <c r="A68">
        <v>66</v>
      </c>
      <c r="B68" t="s">
        <v>1575</v>
      </c>
      <c r="F68" t="s">
        <v>1574</v>
      </c>
      <c r="G68" t="s">
        <v>4</v>
      </c>
      <c r="H68" t="s">
        <v>3</v>
      </c>
      <c r="I68" t="s">
        <v>1573</v>
      </c>
      <c r="N68">
        <v>2</v>
      </c>
      <c r="O68" t="s">
        <v>1572</v>
      </c>
      <c r="P68" t="s">
        <v>1571</v>
      </c>
      <c r="Q68" t="s">
        <v>19</v>
      </c>
      <c r="R68" s="7">
        <v>32112</v>
      </c>
      <c r="S68" s="8">
        <f t="shared" si="8"/>
        <v>1987</v>
      </c>
      <c r="T68" s="8">
        <v>1987</v>
      </c>
      <c r="U68" s="8">
        <f t="shared" si="9"/>
        <v>35</v>
      </c>
      <c r="V68" s="7">
        <v>32112</v>
      </c>
      <c r="W68" t="s">
        <v>1534</v>
      </c>
      <c r="X68" s="2">
        <v>0.14399999999999999</v>
      </c>
      <c r="Y68" s="6">
        <f t="shared" si="10"/>
        <v>3.8439977576679744E-3</v>
      </c>
      <c r="AA68">
        <v>382221</v>
      </c>
      <c r="AB68">
        <v>19255</v>
      </c>
      <c r="AD68" t="s">
        <v>1</v>
      </c>
      <c r="AE68">
        <v>78</v>
      </c>
      <c r="AF68">
        <v>2</v>
      </c>
      <c r="AH68" t="s">
        <v>1570</v>
      </c>
      <c r="AI68" t="s">
        <v>1569</v>
      </c>
      <c r="AK68" t="s">
        <v>1568</v>
      </c>
      <c r="AL68">
        <v>0</v>
      </c>
      <c r="AM68" s="5">
        <f t="shared" si="11"/>
        <v>0</v>
      </c>
      <c r="AN68" s="4">
        <f t="shared" si="12"/>
        <v>0</v>
      </c>
      <c r="AO68" s="3"/>
      <c r="AP68">
        <v>0</v>
      </c>
      <c r="AR68" t="s">
        <v>0</v>
      </c>
      <c r="AT68" s="2" t="s">
        <v>6</v>
      </c>
      <c r="AU68" s="1">
        <f t="shared" si="13"/>
        <v>0.26907984303675819</v>
      </c>
      <c r="AV68" s="1">
        <f t="shared" si="14"/>
        <v>0.19219988788339873</v>
      </c>
      <c r="AW68" s="1">
        <f t="shared" si="15"/>
        <v>0.11531993273003922</v>
      </c>
    </row>
    <row r="69" spans="1:49" x14ac:dyDescent="0.2">
      <c r="A69">
        <v>67</v>
      </c>
      <c r="B69" t="s">
        <v>1567</v>
      </c>
      <c r="F69" t="s">
        <v>1566</v>
      </c>
      <c r="G69" t="s">
        <v>4</v>
      </c>
      <c r="H69" t="s">
        <v>3</v>
      </c>
      <c r="I69" t="s">
        <v>1565</v>
      </c>
      <c r="N69">
        <v>1</v>
      </c>
      <c r="O69" t="s">
        <v>1564</v>
      </c>
      <c r="P69">
        <v>1</v>
      </c>
      <c r="R69" s="7">
        <v>32112</v>
      </c>
      <c r="S69" s="8">
        <f t="shared" si="8"/>
        <v>1987</v>
      </c>
      <c r="T69" s="8">
        <v>1987</v>
      </c>
      <c r="U69" s="8">
        <f t="shared" si="9"/>
        <v>35</v>
      </c>
      <c r="V69" s="7">
        <v>32112</v>
      </c>
      <c r="W69" t="s">
        <v>1563</v>
      </c>
      <c r="X69" s="2" t="s">
        <v>6</v>
      </c>
      <c r="Y69" s="6" t="e">
        <f t="shared" si="10"/>
        <v>#VALUE!</v>
      </c>
      <c r="AA69">
        <v>3854507</v>
      </c>
      <c r="AB69">
        <v>37257</v>
      </c>
      <c r="AD69" t="s">
        <v>1</v>
      </c>
      <c r="AE69">
        <v>24</v>
      </c>
      <c r="AF69">
        <v>252</v>
      </c>
      <c r="AH69" t="s">
        <v>1562</v>
      </c>
      <c r="AI69" t="s">
        <v>1561</v>
      </c>
      <c r="AK69" t="s">
        <v>1560</v>
      </c>
      <c r="AL69">
        <v>0</v>
      </c>
      <c r="AM69" s="5">
        <f t="shared" si="11"/>
        <v>0</v>
      </c>
      <c r="AN69" s="4">
        <f t="shared" si="12"/>
        <v>0</v>
      </c>
      <c r="AO69" s="3"/>
      <c r="AP69">
        <v>0</v>
      </c>
      <c r="AR69" t="s">
        <v>0</v>
      </c>
      <c r="AT69" s="2" t="s">
        <v>6</v>
      </c>
      <c r="AU69" s="1" t="e">
        <f t="shared" si="13"/>
        <v>#VALUE!</v>
      </c>
      <c r="AV69" s="1" t="e">
        <f t="shared" si="14"/>
        <v>#VALUE!</v>
      </c>
      <c r="AW69" s="1" t="e">
        <f t="shared" si="15"/>
        <v>#VALUE!</v>
      </c>
    </row>
    <row r="70" spans="1:49" x14ac:dyDescent="0.2">
      <c r="A70">
        <v>68</v>
      </c>
      <c r="B70" t="s">
        <v>1559</v>
      </c>
      <c r="F70" t="s">
        <v>1558</v>
      </c>
      <c r="G70" t="s">
        <v>4</v>
      </c>
      <c r="H70" t="s">
        <v>3</v>
      </c>
      <c r="I70" t="s">
        <v>95</v>
      </c>
      <c r="J70">
        <v>60029470</v>
      </c>
      <c r="K70" t="s">
        <v>82</v>
      </c>
      <c r="L70" t="s">
        <v>81</v>
      </c>
      <c r="M70" t="s">
        <v>7</v>
      </c>
      <c r="N70">
        <v>1</v>
      </c>
      <c r="O70" t="s">
        <v>94</v>
      </c>
      <c r="P70">
        <v>7101875340</v>
      </c>
      <c r="Q70">
        <v>60029470</v>
      </c>
      <c r="R70" s="7">
        <v>32112</v>
      </c>
      <c r="S70" s="8">
        <f t="shared" si="8"/>
        <v>1987</v>
      </c>
      <c r="T70" s="8">
        <v>1987</v>
      </c>
      <c r="U70" s="8">
        <f t="shared" si="9"/>
        <v>35</v>
      </c>
      <c r="V70" s="7">
        <v>32112</v>
      </c>
      <c r="W70" t="s">
        <v>171</v>
      </c>
      <c r="X70" s="2">
        <v>0.14099999999999999</v>
      </c>
      <c r="Y70" s="6">
        <f t="shared" si="10"/>
        <v>3.7639144710498915E-3</v>
      </c>
      <c r="AA70">
        <v>7252986</v>
      </c>
      <c r="AB70">
        <v>18037</v>
      </c>
      <c r="AD70" t="s">
        <v>1</v>
      </c>
      <c r="AE70">
        <v>7</v>
      </c>
      <c r="AF70">
        <v>4</v>
      </c>
      <c r="AH70" t="s">
        <v>1557</v>
      </c>
      <c r="AI70" t="s">
        <v>1556</v>
      </c>
      <c r="AK70" t="s">
        <v>1555</v>
      </c>
      <c r="AL70">
        <v>0</v>
      </c>
      <c r="AM70" s="5">
        <f t="shared" si="11"/>
        <v>0</v>
      </c>
      <c r="AN70" s="4">
        <f t="shared" si="12"/>
        <v>0</v>
      </c>
      <c r="AO70" s="3"/>
      <c r="AP70">
        <v>0</v>
      </c>
      <c r="AR70" t="s">
        <v>0</v>
      </c>
      <c r="AT70" s="2" t="s">
        <v>6</v>
      </c>
      <c r="AU70" s="1">
        <f t="shared" si="13"/>
        <v>0.26347401297349238</v>
      </c>
      <c r="AV70" s="1">
        <f t="shared" si="14"/>
        <v>0.18819572355249459</v>
      </c>
      <c r="AW70" s="1">
        <f t="shared" si="15"/>
        <v>0.11291743413149673</v>
      </c>
    </row>
    <row r="71" spans="1:49" x14ac:dyDescent="0.2">
      <c r="A71">
        <v>69</v>
      </c>
      <c r="B71" t="s">
        <v>1554</v>
      </c>
      <c r="F71" t="s">
        <v>1553</v>
      </c>
      <c r="G71" t="s">
        <v>4</v>
      </c>
      <c r="H71" t="s">
        <v>3</v>
      </c>
      <c r="I71" t="s">
        <v>1552</v>
      </c>
      <c r="N71">
        <v>3</v>
      </c>
      <c r="O71" t="s">
        <v>1551</v>
      </c>
      <c r="P71" t="s">
        <v>1550</v>
      </c>
      <c r="Q71" t="s">
        <v>11</v>
      </c>
      <c r="R71" s="7">
        <v>32112</v>
      </c>
      <c r="S71" s="8">
        <f t="shared" si="8"/>
        <v>1987</v>
      </c>
      <c r="T71" s="8">
        <v>1987</v>
      </c>
      <c r="U71" s="8">
        <f t="shared" si="9"/>
        <v>35</v>
      </c>
      <c r="V71" s="7">
        <v>32112</v>
      </c>
      <c r="W71" t="s">
        <v>1534</v>
      </c>
      <c r="X71" s="2">
        <v>0.14399999999999999</v>
      </c>
      <c r="Y71" s="6">
        <f t="shared" si="10"/>
        <v>3.8439977576679744E-3</v>
      </c>
      <c r="AA71">
        <v>382221</v>
      </c>
      <c r="AB71">
        <v>19255</v>
      </c>
      <c r="AD71" t="s">
        <v>1</v>
      </c>
      <c r="AE71">
        <v>78</v>
      </c>
      <c r="AF71">
        <v>2</v>
      </c>
      <c r="AH71" t="s">
        <v>1549</v>
      </c>
      <c r="AI71" t="s">
        <v>1548</v>
      </c>
      <c r="AK71" t="s">
        <v>1547</v>
      </c>
      <c r="AL71">
        <v>0</v>
      </c>
      <c r="AM71" s="5">
        <f t="shared" si="11"/>
        <v>0</v>
      </c>
      <c r="AN71" s="4">
        <f t="shared" si="12"/>
        <v>0</v>
      </c>
      <c r="AO71" s="3"/>
      <c r="AP71">
        <v>0</v>
      </c>
      <c r="AR71" t="s">
        <v>0</v>
      </c>
      <c r="AT71" s="2" t="s">
        <v>6</v>
      </c>
      <c r="AU71" s="1">
        <f t="shared" si="13"/>
        <v>0.26907984303675819</v>
      </c>
      <c r="AV71" s="1">
        <f t="shared" si="14"/>
        <v>0.19219988788339873</v>
      </c>
      <c r="AW71" s="1">
        <f t="shared" si="15"/>
        <v>0.11531993273003922</v>
      </c>
    </row>
    <row r="72" spans="1:49" x14ac:dyDescent="0.2">
      <c r="A72">
        <v>70</v>
      </c>
      <c r="B72" t="s">
        <v>1546</v>
      </c>
      <c r="F72" t="s">
        <v>1545</v>
      </c>
      <c r="G72" t="s">
        <v>4</v>
      </c>
      <c r="H72" t="s">
        <v>3</v>
      </c>
      <c r="I72" t="s">
        <v>1544</v>
      </c>
      <c r="J72">
        <v>60003480</v>
      </c>
      <c r="K72" t="s">
        <v>173</v>
      </c>
      <c r="L72" t="s">
        <v>89</v>
      </c>
      <c r="M72" t="s">
        <v>7</v>
      </c>
      <c r="N72">
        <v>1</v>
      </c>
      <c r="O72" t="s">
        <v>1543</v>
      </c>
      <c r="P72">
        <v>6603028441</v>
      </c>
      <c r="Q72">
        <v>60003480</v>
      </c>
      <c r="R72" s="7">
        <v>32112</v>
      </c>
      <c r="S72" s="8">
        <f t="shared" si="8"/>
        <v>1987</v>
      </c>
      <c r="T72" s="8">
        <v>1987</v>
      </c>
      <c r="U72" s="8">
        <f t="shared" si="9"/>
        <v>35</v>
      </c>
      <c r="V72" s="7">
        <v>32112</v>
      </c>
      <c r="W72" t="s">
        <v>171</v>
      </c>
      <c r="X72" s="2">
        <v>0.14099999999999999</v>
      </c>
      <c r="Y72" s="6">
        <f t="shared" si="10"/>
        <v>3.7639144710498915E-3</v>
      </c>
      <c r="AA72">
        <v>7252986</v>
      </c>
      <c r="AB72">
        <v>18037</v>
      </c>
      <c r="AD72" t="s">
        <v>1</v>
      </c>
      <c r="AE72">
        <v>7</v>
      </c>
      <c r="AF72">
        <v>4</v>
      </c>
      <c r="AH72" t="s">
        <v>1542</v>
      </c>
      <c r="AI72" t="s">
        <v>1541</v>
      </c>
      <c r="AK72" t="s">
        <v>1540</v>
      </c>
      <c r="AL72">
        <v>0</v>
      </c>
      <c r="AM72" s="5">
        <f t="shared" si="11"/>
        <v>0</v>
      </c>
      <c r="AN72" s="4">
        <f t="shared" si="12"/>
        <v>0</v>
      </c>
      <c r="AO72" s="3"/>
      <c r="AP72">
        <v>0</v>
      </c>
      <c r="AR72" t="s">
        <v>0</v>
      </c>
      <c r="AT72" s="2" t="s">
        <v>6</v>
      </c>
      <c r="AU72" s="1">
        <f t="shared" si="13"/>
        <v>0.26347401297349238</v>
      </c>
      <c r="AV72" s="1">
        <f t="shared" si="14"/>
        <v>0.18819572355249459</v>
      </c>
      <c r="AW72" s="1">
        <f t="shared" si="15"/>
        <v>0.11291743413149673</v>
      </c>
    </row>
    <row r="73" spans="1:49" x14ac:dyDescent="0.2">
      <c r="A73">
        <v>71</v>
      </c>
      <c r="B73" t="s">
        <v>1539</v>
      </c>
      <c r="F73" t="s">
        <v>1538</v>
      </c>
      <c r="G73" t="s">
        <v>4</v>
      </c>
      <c r="H73" t="s">
        <v>3</v>
      </c>
      <c r="I73" t="s">
        <v>1537</v>
      </c>
      <c r="N73">
        <v>2</v>
      </c>
      <c r="O73" t="s">
        <v>1536</v>
      </c>
      <c r="P73" t="s">
        <v>1535</v>
      </c>
      <c r="Q73" t="s">
        <v>19</v>
      </c>
      <c r="R73" s="7">
        <v>32112</v>
      </c>
      <c r="S73" s="8">
        <f t="shared" si="8"/>
        <v>1987</v>
      </c>
      <c r="T73" s="8">
        <v>1987</v>
      </c>
      <c r="U73" s="8">
        <f t="shared" si="9"/>
        <v>35</v>
      </c>
      <c r="V73" s="7">
        <v>32112</v>
      </c>
      <c r="W73" t="s">
        <v>1534</v>
      </c>
      <c r="X73" s="2">
        <v>0.14399999999999999</v>
      </c>
      <c r="Y73" s="6">
        <f t="shared" si="10"/>
        <v>3.8439977576679744E-3</v>
      </c>
      <c r="AA73">
        <v>382221</v>
      </c>
      <c r="AB73">
        <v>19255</v>
      </c>
      <c r="AD73" t="s">
        <v>1</v>
      </c>
      <c r="AE73">
        <v>78</v>
      </c>
      <c r="AF73">
        <v>2</v>
      </c>
      <c r="AH73" t="s">
        <v>159</v>
      </c>
      <c r="AI73" t="s">
        <v>1533</v>
      </c>
      <c r="AK73" t="s">
        <v>1532</v>
      </c>
      <c r="AL73">
        <v>1</v>
      </c>
      <c r="AM73" s="5">
        <f t="shared" si="11"/>
        <v>2.8571428571428571E-2</v>
      </c>
      <c r="AN73" s="4">
        <f t="shared" si="12"/>
        <v>4.32736517552875E-5</v>
      </c>
      <c r="AO73" s="3"/>
      <c r="AP73">
        <v>0</v>
      </c>
      <c r="AR73" t="s">
        <v>0</v>
      </c>
      <c r="AT73" s="2" t="s">
        <v>6</v>
      </c>
      <c r="AU73" s="1">
        <f t="shared" si="13"/>
        <v>0.27037805258941677</v>
      </c>
      <c r="AV73" s="1">
        <f t="shared" si="14"/>
        <v>0.19436357047116309</v>
      </c>
      <c r="AW73" s="1">
        <f t="shared" si="15"/>
        <v>0.11834908835290936</v>
      </c>
    </row>
    <row r="74" spans="1:49" x14ac:dyDescent="0.2">
      <c r="A74">
        <v>72</v>
      </c>
      <c r="B74" t="s">
        <v>1531</v>
      </c>
      <c r="F74" t="s">
        <v>1530</v>
      </c>
      <c r="G74" t="s">
        <v>4</v>
      </c>
      <c r="H74" t="s">
        <v>3</v>
      </c>
      <c r="I74" t="s">
        <v>1529</v>
      </c>
      <c r="N74">
        <v>4</v>
      </c>
      <c r="O74" t="s">
        <v>1528</v>
      </c>
      <c r="P74" t="s">
        <v>1527</v>
      </c>
      <c r="Q74" t="s">
        <v>33</v>
      </c>
      <c r="R74" s="7">
        <v>32112</v>
      </c>
      <c r="S74" s="8">
        <f t="shared" si="8"/>
        <v>1987</v>
      </c>
      <c r="T74" s="8">
        <v>1987</v>
      </c>
      <c r="U74" s="8">
        <f t="shared" si="9"/>
        <v>35</v>
      </c>
      <c r="V74" s="7">
        <v>1987</v>
      </c>
      <c r="W74" t="s">
        <v>53</v>
      </c>
      <c r="X74" s="2" t="s">
        <v>6</v>
      </c>
      <c r="Y74" s="6" t="e">
        <f t="shared" si="10"/>
        <v>#VALUE!</v>
      </c>
      <c r="AA74">
        <v>337870</v>
      </c>
      <c r="AB74">
        <v>32478</v>
      </c>
      <c r="AD74" t="s">
        <v>1</v>
      </c>
      <c r="AE74">
        <v>30</v>
      </c>
      <c r="AF74">
        <v>9</v>
      </c>
      <c r="AH74" s="9">
        <v>44445</v>
      </c>
      <c r="AI74" t="s">
        <v>1526</v>
      </c>
      <c r="AK74" t="s">
        <v>1525</v>
      </c>
      <c r="AL74">
        <v>0</v>
      </c>
      <c r="AM74" s="5">
        <f t="shared" si="11"/>
        <v>0</v>
      </c>
      <c r="AN74" s="4">
        <f t="shared" si="12"/>
        <v>0</v>
      </c>
      <c r="AO74" s="3"/>
      <c r="AP74">
        <v>0</v>
      </c>
      <c r="AR74" t="s">
        <v>0</v>
      </c>
      <c r="AT74" s="2" t="s">
        <v>6</v>
      </c>
      <c r="AU74" s="1" t="e">
        <f t="shared" si="13"/>
        <v>#VALUE!</v>
      </c>
      <c r="AV74" s="1" t="e">
        <f t="shared" si="14"/>
        <v>#VALUE!</v>
      </c>
      <c r="AW74" s="1" t="e">
        <f t="shared" si="15"/>
        <v>#VALUE!</v>
      </c>
    </row>
    <row r="75" spans="1:49" x14ac:dyDescent="0.2">
      <c r="A75">
        <v>73</v>
      </c>
      <c r="B75" t="s">
        <v>1524</v>
      </c>
      <c r="F75" t="s">
        <v>1523</v>
      </c>
      <c r="G75" t="s">
        <v>4</v>
      </c>
      <c r="H75" t="s">
        <v>3</v>
      </c>
      <c r="I75" t="s">
        <v>111</v>
      </c>
      <c r="J75">
        <v>60028333</v>
      </c>
      <c r="K75" t="s">
        <v>25</v>
      </c>
      <c r="L75" t="s">
        <v>24</v>
      </c>
      <c r="M75" t="s">
        <v>7</v>
      </c>
      <c r="N75">
        <v>2</v>
      </c>
      <c r="O75" t="s">
        <v>23</v>
      </c>
      <c r="P75" t="s">
        <v>22</v>
      </c>
      <c r="Q75" t="s">
        <v>21</v>
      </c>
      <c r="R75" s="7">
        <v>32112</v>
      </c>
      <c r="S75" s="8">
        <f t="shared" si="8"/>
        <v>1987</v>
      </c>
      <c r="T75" s="8">
        <v>1987</v>
      </c>
      <c r="U75" s="8">
        <f t="shared" si="9"/>
        <v>35</v>
      </c>
      <c r="V75" s="7">
        <v>32112</v>
      </c>
      <c r="W75" t="s">
        <v>171</v>
      </c>
      <c r="X75" s="2">
        <v>0.14099999999999999</v>
      </c>
      <c r="Y75" s="6">
        <f t="shared" si="10"/>
        <v>3.7639144710498915E-3</v>
      </c>
      <c r="AA75">
        <v>7252986</v>
      </c>
      <c r="AB75">
        <v>18037</v>
      </c>
      <c r="AD75" t="s">
        <v>1</v>
      </c>
      <c r="AE75">
        <v>7</v>
      </c>
      <c r="AF75">
        <v>4</v>
      </c>
      <c r="AH75" t="s">
        <v>1522</v>
      </c>
      <c r="AI75" t="s">
        <v>1521</v>
      </c>
      <c r="AK75" t="s">
        <v>1520</v>
      </c>
      <c r="AL75">
        <v>2</v>
      </c>
      <c r="AM75" s="5">
        <f t="shared" si="11"/>
        <v>5.7142857142857141E-2</v>
      </c>
      <c r="AN75" s="4">
        <f t="shared" si="12"/>
        <v>8.6547303510575E-5</v>
      </c>
      <c r="AO75" s="3"/>
      <c r="AP75">
        <v>0</v>
      </c>
      <c r="AR75" t="s">
        <v>0</v>
      </c>
      <c r="AT75" s="2" t="s">
        <v>6</v>
      </c>
      <c r="AU75" s="1">
        <f t="shared" si="13"/>
        <v>0.26607043207880965</v>
      </c>
      <c r="AV75" s="1">
        <f t="shared" si="14"/>
        <v>0.19252308872802332</v>
      </c>
      <c r="AW75" s="1">
        <f t="shared" si="15"/>
        <v>0.11897574537723697</v>
      </c>
    </row>
    <row r="76" spans="1:49" x14ac:dyDescent="0.2">
      <c r="A76">
        <v>74</v>
      </c>
      <c r="B76" t="s">
        <v>1519</v>
      </c>
      <c r="F76" t="s">
        <v>1518</v>
      </c>
      <c r="G76" t="s">
        <v>4</v>
      </c>
      <c r="H76" t="s">
        <v>3</v>
      </c>
      <c r="I76" t="s">
        <v>1517</v>
      </c>
      <c r="J76">
        <v>60025709</v>
      </c>
      <c r="K76" t="s">
        <v>1516</v>
      </c>
      <c r="L76" t="s">
        <v>24</v>
      </c>
      <c r="M76" t="s">
        <v>7</v>
      </c>
      <c r="N76">
        <v>1</v>
      </c>
      <c r="O76" t="s">
        <v>1515</v>
      </c>
      <c r="P76">
        <v>7102364143</v>
      </c>
      <c r="Q76">
        <v>60025709</v>
      </c>
      <c r="R76" s="7">
        <v>32112</v>
      </c>
      <c r="S76" s="8">
        <f t="shared" si="8"/>
        <v>1987</v>
      </c>
      <c r="T76" s="8">
        <v>1987</v>
      </c>
      <c r="U76" s="8">
        <f t="shared" si="9"/>
        <v>35</v>
      </c>
      <c r="V76" s="7">
        <v>32112</v>
      </c>
      <c r="W76" t="s">
        <v>171</v>
      </c>
      <c r="X76" s="2">
        <v>0.14099999999999999</v>
      </c>
      <c r="Y76" s="6">
        <f t="shared" si="10"/>
        <v>3.7639144710498915E-3</v>
      </c>
      <c r="AA76">
        <v>7252986</v>
      </c>
      <c r="AB76">
        <v>18037</v>
      </c>
      <c r="AD76" t="s">
        <v>1</v>
      </c>
      <c r="AE76">
        <v>7</v>
      </c>
      <c r="AF76">
        <v>4</v>
      </c>
      <c r="AH76" t="s">
        <v>1514</v>
      </c>
      <c r="AI76" t="s">
        <v>1513</v>
      </c>
      <c r="AK76" t="s">
        <v>1512</v>
      </c>
      <c r="AL76">
        <v>1</v>
      </c>
      <c r="AM76" s="5">
        <f t="shared" si="11"/>
        <v>2.8571428571428571E-2</v>
      </c>
      <c r="AN76" s="4">
        <f t="shared" si="12"/>
        <v>4.32736517552875E-5</v>
      </c>
      <c r="AO76" s="3"/>
      <c r="AP76">
        <v>0</v>
      </c>
      <c r="AR76" t="s">
        <v>0</v>
      </c>
      <c r="AT76" s="2" t="s">
        <v>6</v>
      </c>
      <c r="AU76" s="1">
        <f t="shared" si="13"/>
        <v>0.26477222252615101</v>
      </c>
      <c r="AV76" s="1">
        <f t="shared" si="14"/>
        <v>0.19035940614025895</v>
      </c>
      <c r="AW76" s="1">
        <f t="shared" si="15"/>
        <v>0.11594658975436686</v>
      </c>
    </row>
    <row r="77" spans="1:49" x14ac:dyDescent="0.2">
      <c r="A77">
        <v>75</v>
      </c>
      <c r="B77" t="s">
        <v>1511</v>
      </c>
      <c r="F77" t="s">
        <v>1510</v>
      </c>
      <c r="G77" t="s">
        <v>4</v>
      </c>
      <c r="H77" t="s">
        <v>3</v>
      </c>
      <c r="I77" t="s">
        <v>1509</v>
      </c>
      <c r="N77">
        <v>1</v>
      </c>
      <c r="O77" t="s">
        <v>1508</v>
      </c>
      <c r="P77">
        <v>57191987642</v>
      </c>
      <c r="R77" s="7">
        <v>32112</v>
      </c>
      <c r="S77" s="8">
        <f t="shared" si="8"/>
        <v>1987</v>
      </c>
      <c r="T77" s="8">
        <v>1987</v>
      </c>
      <c r="U77" s="8">
        <f t="shared" si="9"/>
        <v>35</v>
      </c>
      <c r="V77" s="7">
        <v>1987</v>
      </c>
      <c r="W77" t="s">
        <v>53</v>
      </c>
      <c r="X77" s="2" t="s">
        <v>6</v>
      </c>
      <c r="Y77" s="6" t="e">
        <f t="shared" si="10"/>
        <v>#VALUE!</v>
      </c>
      <c r="AA77">
        <v>337870</v>
      </c>
      <c r="AB77">
        <v>32478</v>
      </c>
      <c r="AD77" t="s">
        <v>1</v>
      </c>
      <c r="AE77">
        <v>30</v>
      </c>
      <c r="AF77">
        <v>2</v>
      </c>
      <c r="AH77" t="s">
        <v>1507</v>
      </c>
      <c r="AI77" t="s">
        <v>1506</v>
      </c>
      <c r="AK77" t="s">
        <v>1505</v>
      </c>
      <c r="AL77">
        <v>0</v>
      </c>
      <c r="AM77" s="5">
        <f t="shared" si="11"/>
        <v>0</v>
      </c>
      <c r="AN77" s="4">
        <f t="shared" si="12"/>
        <v>0</v>
      </c>
      <c r="AO77" s="3"/>
      <c r="AP77">
        <v>0</v>
      </c>
      <c r="AR77" t="s">
        <v>0</v>
      </c>
      <c r="AT77" s="2" t="s">
        <v>6</v>
      </c>
      <c r="AU77" s="1" t="e">
        <f t="shared" si="13"/>
        <v>#VALUE!</v>
      </c>
      <c r="AV77" s="1" t="e">
        <f t="shared" si="14"/>
        <v>#VALUE!</v>
      </c>
      <c r="AW77" s="1" t="e">
        <f t="shared" si="15"/>
        <v>#VALUE!</v>
      </c>
    </row>
    <row r="78" spans="1:49" x14ac:dyDescent="0.2">
      <c r="A78">
        <v>76</v>
      </c>
      <c r="B78" t="s">
        <v>1504</v>
      </c>
      <c r="F78" t="s">
        <v>1503</v>
      </c>
      <c r="G78" t="s">
        <v>4</v>
      </c>
      <c r="H78" t="s">
        <v>3</v>
      </c>
      <c r="I78" t="s">
        <v>125</v>
      </c>
      <c r="J78">
        <v>60020730</v>
      </c>
      <c r="K78" t="s">
        <v>124</v>
      </c>
      <c r="L78" t="s">
        <v>123</v>
      </c>
      <c r="M78" t="s">
        <v>30</v>
      </c>
      <c r="N78">
        <v>1</v>
      </c>
      <c r="O78" t="s">
        <v>122</v>
      </c>
      <c r="P78">
        <v>7401559260</v>
      </c>
      <c r="Q78">
        <v>60020730</v>
      </c>
      <c r="R78" s="7">
        <v>32112</v>
      </c>
      <c r="S78" s="8">
        <f t="shared" si="8"/>
        <v>1987</v>
      </c>
      <c r="T78" s="8">
        <v>1987</v>
      </c>
      <c r="U78" s="8">
        <f t="shared" si="9"/>
        <v>35</v>
      </c>
      <c r="V78" s="7">
        <v>32112</v>
      </c>
      <c r="W78" t="s">
        <v>1502</v>
      </c>
      <c r="X78" s="2" t="s">
        <v>6</v>
      </c>
      <c r="Y78" s="6" t="e">
        <f t="shared" si="10"/>
        <v>#VALUE!</v>
      </c>
      <c r="AA78">
        <v>7435797</v>
      </c>
      <c r="AB78">
        <v>86995</v>
      </c>
      <c r="AD78" t="s">
        <v>1</v>
      </c>
      <c r="AE78">
        <v>16</v>
      </c>
      <c r="AF78">
        <v>4</v>
      </c>
      <c r="AH78" t="s">
        <v>121</v>
      </c>
      <c r="AI78" t="s">
        <v>1501</v>
      </c>
      <c r="AK78" t="s">
        <v>1500</v>
      </c>
      <c r="AL78">
        <v>1</v>
      </c>
      <c r="AM78" s="5">
        <f t="shared" si="11"/>
        <v>2.8571428571428571E-2</v>
      </c>
      <c r="AN78" s="4">
        <f t="shared" si="12"/>
        <v>4.32736517552875E-5</v>
      </c>
      <c r="AO78" s="3"/>
      <c r="AP78">
        <v>0</v>
      </c>
      <c r="AR78" t="s">
        <v>0</v>
      </c>
      <c r="AT78" s="2" t="s">
        <v>6</v>
      </c>
      <c r="AU78" s="1" t="e">
        <f t="shared" si="13"/>
        <v>#VALUE!</v>
      </c>
      <c r="AV78" s="1" t="e">
        <f t="shared" si="14"/>
        <v>#VALUE!</v>
      </c>
      <c r="AW78" s="1" t="e">
        <f t="shared" si="15"/>
        <v>#VALUE!</v>
      </c>
    </row>
    <row r="79" spans="1:49" x14ac:dyDescent="0.2">
      <c r="A79">
        <v>77</v>
      </c>
      <c r="B79" t="s">
        <v>1499</v>
      </c>
      <c r="F79" t="s">
        <v>1498</v>
      </c>
      <c r="G79" t="s">
        <v>4</v>
      </c>
      <c r="H79" t="s">
        <v>3</v>
      </c>
      <c r="I79" t="s">
        <v>1497</v>
      </c>
      <c r="J79">
        <v>60003480</v>
      </c>
      <c r="K79" t="s">
        <v>173</v>
      </c>
      <c r="L79" t="s">
        <v>89</v>
      </c>
      <c r="M79" t="s">
        <v>7</v>
      </c>
      <c r="N79">
        <v>1</v>
      </c>
      <c r="O79" t="s">
        <v>1496</v>
      </c>
      <c r="P79">
        <v>7401810205</v>
      </c>
      <c r="Q79">
        <v>60003480</v>
      </c>
      <c r="R79" s="7">
        <v>32112</v>
      </c>
      <c r="S79" s="8">
        <f t="shared" si="8"/>
        <v>1987</v>
      </c>
      <c r="T79" s="8">
        <v>1987</v>
      </c>
      <c r="U79" s="8">
        <f t="shared" si="9"/>
        <v>35</v>
      </c>
      <c r="V79" s="7">
        <v>32112</v>
      </c>
      <c r="W79" t="s">
        <v>171</v>
      </c>
      <c r="X79" s="2">
        <v>0.14099999999999999</v>
      </c>
      <c r="Y79" s="6">
        <f t="shared" si="10"/>
        <v>3.7639144710498915E-3</v>
      </c>
      <c r="AA79">
        <v>7252986</v>
      </c>
      <c r="AB79">
        <v>18037</v>
      </c>
      <c r="AD79" t="s">
        <v>1</v>
      </c>
      <c r="AE79">
        <v>7</v>
      </c>
      <c r="AF79">
        <v>4</v>
      </c>
      <c r="AH79" t="s">
        <v>1495</v>
      </c>
      <c r="AI79" t="s">
        <v>1494</v>
      </c>
      <c r="AK79" t="s">
        <v>1493</v>
      </c>
      <c r="AL79">
        <v>1</v>
      </c>
      <c r="AM79" s="5">
        <f t="shared" si="11"/>
        <v>2.8571428571428571E-2</v>
      </c>
      <c r="AN79" s="4">
        <f t="shared" si="12"/>
        <v>4.32736517552875E-5</v>
      </c>
      <c r="AO79" s="3"/>
      <c r="AP79">
        <v>0</v>
      </c>
      <c r="AR79" t="s">
        <v>0</v>
      </c>
      <c r="AT79" s="2" t="s">
        <v>6</v>
      </c>
      <c r="AU79" s="1">
        <f t="shared" si="13"/>
        <v>0.26477222252615101</v>
      </c>
      <c r="AV79" s="1">
        <f t="shared" si="14"/>
        <v>0.19035940614025895</v>
      </c>
      <c r="AW79" s="1">
        <f t="shared" si="15"/>
        <v>0.11594658975436686</v>
      </c>
    </row>
    <row r="80" spans="1:49" x14ac:dyDescent="0.2">
      <c r="A80">
        <v>78</v>
      </c>
      <c r="B80" t="s">
        <v>1492</v>
      </c>
      <c r="F80" t="s">
        <v>1491</v>
      </c>
      <c r="G80" t="s">
        <v>4</v>
      </c>
      <c r="H80" t="s">
        <v>3</v>
      </c>
      <c r="I80" t="s">
        <v>1490</v>
      </c>
      <c r="J80">
        <v>60084299</v>
      </c>
      <c r="K80" t="s">
        <v>176</v>
      </c>
      <c r="L80" t="s">
        <v>116</v>
      </c>
      <c r="M80" t="s">
        <v>96</v>
      </c>
      <c r="N80">
        <v>1</v>
      </c>
      <c r="O80" t="s">
        <v>1489</v>
      </c>
      <c r="P80">
        <v>57213316495</v>
      </c>
      <c r="Q80">
        <v>60084299</v>
      </c>
      <c r="R80" s="7">
        <v>32112</v>
      </c>
      <c r="S80" s="8">
        <f t="shared" si="8"/>
        <v>1987</v>
      </c>
      <c r="T80" s="8">
        <v>1987</v>
      </c>
      <c r="U80" s="8">
        <f t="shared" si="9"/>
        <v>35</v>
      </c>
      <c r="V80" s="7">
        <v>32112</v>
      </c>
      <c r="W80" t="s">
        <v>174</v>
      </c>
      <c r="X80" s="2">
        <v>0.125</v>
      </c>
      <c r="Y80" s="6">
        <f t="shared" si="10"/>
        <v>3.3368036090867838E-3</v>
      </c>
      <c r="AA80">
        <v>26557</v>
      </c>
      <c r="AB80">
        <v>40401</v>
      </c>
      <c r="AD80" t="s">
        <v>1</v>
      </c>
      <c r="AE80">
        <v>56</v>
      </c>
      <c r="AF80">
        <v>10</v>
      </c>
      <c r="AI80" t="s">
        <v>1488</v>
      </c>
      <c r="AK80" t="s">
        <v>1487</v>
      </c>
      <c r="AL80">
        <v>0</v>
      </c>
      <c r="AM80" s="5">
        <f t="shared" si="11"/>
        <v>0</v>
      </c>
      <c r="AN80" s="4">
        <f t="shared" si="12"/>
        <v>0</v>
      </c>
      <c r="AO80" s="3"/>
      <c r="AP80">
        <v>0</v>
      </c>
      <c r="AR80" t="s">
        <v>0</v>
      </c>
      <c r="AT80" s="2" t="s">
        <v>6</v>
      </c>
      <c r="AU80" s="1">
        <f t="shared" si="13"/>
        <v>0.23357625263607484</v>
      </c>
      <c r="AV80" s="1">
        <f t="shared" si="14"/>
        <v>0.16684018045433918</v>
      </c>
      <c r="AW80" s="1">
        <f t="shared" si="15"/>
        <v>0.10010410827260351</v>
      </c>
    </row>
    <row r="81" spans="1:49" x14ac:dyDescent="0.2">
      <c r="A81">
        <v>79</v>
      </c>
      <c r="B81" t="s">
        <v>1486</v>
      </c>
      <c r="C81" t="s">
        <v>1485</v>
      </c>
      <c r="F81" t="s">
        <v>1484</v>
      </c>
      <c r="G81" t="s">
        <v>4</v>
      </c>
      <c r="H81" t="s">
        <v>3</v>
      </c>
      <c r="I81" t="s">
        <v>1483</v>
      </c>
      <c r="J81" t="s">
        <v>1482</v>
      </c>
      <c r="K81" t="s">
        <v>1481</v>
      </c>
      <c r="L81" t="s">
        <v>1480</v>
      </c>
      <c r="M81" t="s">
        <v>1479</v>
      </c>
      <c r="N81">
        <v>3</v>
      </c>
      <c r="O81" t="s">
        <v>1478</v>
      </c>
      <c r="P81" t="s">
        <v>1477</v>
      </c>
      <c r="Q81" t="s">
        <v>1476</v>
      </c>
      <c r="R81" s="7">
        <v>32112</v>
      </c>
      <c r="S81" s="8">
        <f t="shared" si="8"/>
        <v>1987</v>
      </c>
      <c r="T81" s="8">
        <v>1987</v>
      </c>
      <c r="U81" s="8">
        <f t="shared" si="9"/>
        <v>35</v>
      </c>
      <c r="V81" s="7">
        <v>1987</v>
      </c>
      <c r="W81" t="s">
        <v>1475</v>
      </c>
      <c r="X81" s="2">
        <v>0.63700000000000001</v>
      </c>
      <c r="Y81" s="6">
        <f t="shared" si="10"/>
        <v>1.7004351191906249E-2</v>
      </c>
      <c r="AA81">
        <v>261394</v>
      </c>
      <c r="AB81">
        <v>15443</v>
      </c>
      <c r="AD81" t="s">
        <v>1</v>
      </c>
      <c r="AE81">
        <v>24</v>
      </c>
      <c r="AF81">
        <v>4</v>
      </c>
      <c r="AG81">
        <v>5</v>
      </c>
      <c r="AH81" t="s">
        <v>1474</v>
      </c>
      <c r="AI81" t="s">
        <v>1473</v>
      </c>
      <c r="AK81" t="s">
        <v>1472</v>
      </c>
      <c r="AL81">
        <v>5</v>
      </c>
      <c r="AM81" s="5">
        <f t="shared" si="11"/>
        <v>0.14285714285714285</v>
      </c>
      <c r="AN81" s="4">
        <f t="shared" si="12"/>
        <v>2.1636825877643749E-4</v>
      </c>
      <c r="AO81" s="3"/>
      <c r="AP81">
        <v>0</v>
      </c>
      <c r="AR81" t="s">
        <v>0</v>
      </c>
      <c r="AT81" s="2">
        <v>3.157</v>
      </c>
      <c r="AU81" s="1">
        <f t="shared" si="13"/>
        <v>1.1967956311967305</v>
      </c>
      <c r="AV81" s="1">
        <f t="shared" si="14"/>
        <v>0.86103597253413422</v>
      </c>
      <c r="AW81" s="1">
        <f t="shared" si="15"/>
        <v>0.52527631387153806</v>
      </c>
    </row>
    <row r="82" spans="1:49" x14ac:dyDescent="0.2">
      <c r="A82">
        <v>80</v>
      </c>
      <c r="B82" t="s">
        <v>1471</v>
      </c>
      <c r="F82" t="s">
        <v>1470</v>
      </c>
      <c r="G82" t="s">
        <v>4</v>
      </c>
      <c r="H82" t="s">
        <v>3</v>
      </c>
      <c r="I82" t="s">
        <v>1469</v>
      </c>
      <c r="N82">
        <v>2</v>
      </c>
      <c r="O82" t="s">
        <v>1468</v>
      </c>
      <c r="P82" t="s">
        <v>1467</v>
      </c>
      <c r="Q82" t="s">
        <v>19</v>
      </c>
      <c r="R82" s="7">
        <v>32112</v>
      </c>
      <c r="S82" s="8">
        <f t="shared" si="8"/>
        <v>1987</v>
      </c>
      <c r="T82" s="8">
        <v>1987</v>
      </c>
      <c r="U82" s="8">
        <f t="shared" si="9"/>
        <v>35</v>
      </c>
      <c r="V82" s="7">
        <v>1987</v>
      </c>
      <c r="W82" t="s">
        <v>53</v>
      </c>
      <c r="X82" s="2" t="s">
        <v>6</v>
      </c>
      <c r="Y82" s="6" t="e">
        <f t="shared" si="10"/>
        <v>#VALUE!</v>
      </c>
      <c r="AA82">
        <v>337870</v>
      </c>
      <c r="AB82">
        <v>32478</v>
      </c>
      <c r="AD82" t="s">
        <v>1</v>
      </c>
      <c r="AE82">
        <v>30</v>
      </c>
      <c r="AF82">
        <v>2</v>
      </c>
      <c r="AH82" t="s">
        <v>1466</v>
      </c>
      <c r="AI82" t="s">
        <v>1465</v>
      </c>
      <c r="AK82" t="s">
        <v>1464</v>
      </c>
      <c r="AL82">
        <v>0</v>
      </c>
      <c r="AM82" s="5">
        <f t="shared" si="11"/>
        <v>0</v>
      </c>
      <c r="AN82" s="4">
        <f t="shared" si="12"/>
        <v>0</v>
      </c>
      <c r="AO82" s="3"/>
      <c r="AP82">
        <v>0</v>
      </c>
      <c r="AR82" t="s">
        <v>0</v>
      </c>
      <c r="AT82" s="2" t="s">
        <v>6</v>
      </c>
      <c r="AU82" s="1" t="e">
        <f t="shared" si="13"/>
        <v>#VALUE!</v>
      </c>
      <c r="AV82" s="1" t="e">
        <f t="shared" si="14"/>
        <v>#VALUE!</v>
      </c>
      <c r="AW82" s="1" t="e">
        <f t="shared" si="15"/>
        <v>#VALUE!</v>
      </c>
    </row>
    <row r="83" spans="1:49" x14ac:dyDescent="0.2">
      <c r="A83">
        <v>81</v>
      </c>
      <c r="B83" t="s">
        <v>1463</v>
      </c>
      <c r="F83" t="s">
        <v>1462</v>
      </c>
      <c r="G83" t="s">
        <v>4</v>
      </c>
      <c r="H83" t="s">
        <v>3</v>
      </c>
      <c r="I83" t="s">
        <v>1461</v>
      </c>
      <c r="N83">
        <v>2</v>
      </c>
      <c r="O83" t="s">
        <v>1460</v>
      </c>
      <c r="P83" t="s">
        <v>1459</v>
      </c>
      <c r="Q83" t="s">
        <v>19</v>
      </c>
      <c r="R83" s="7">
        <v>32112</v>
      </c>
      <c r="S83" s="8">
        <f t="shared" si="8"/>
        <v>1987</v>
      </c>
      <c r="T83" s="8">
        <v>1987</v>
      </c>
      <c r="U83" s="8">
        <f t="shared" si="9"/>
        <v>35</v>
      </c>
      <c r="V83" s="7">
        <v>1987</v>
      </c>
      <c r="W83" t="s">
        <v>53</v>
      </c>
      <c r="X83" s="2" t="s">
        <v>6</v>
      </c>
      <c r="Y83" s="6" t="e">
        <f t="shared" si="10"/>
        <v>#VALUE!</v>
      </c>
      <c r="AA83">
        <v>337870</v>
      </c>
      <c r="AB83">
        <v>32478</v>
      </c>
      <c r="AD83" t="s">
        <v>1</v>
      </c>
      <c r="AE83">
        <v>30</v>
      </c>
      <c r="AF83">
        <v>5</v>
      </c>
      <c r="AH83" t="s">
        <v>1354</v>
      </c>
      <c r="AI83" t="s">
        <v>1458</v>
      </c>
      <c r="AK83" t="s">
        <v>1457</v>
      </c>
      <c r="AL83">
        <v>0</v>
      </c>
      <c r="AM83" s="5">
        <f t="shared" si="11"/>
        <v>0</v>
      </c>
      <c r="AN83" s="4">
        <f t="shared" si="12"/>
        <v>0</v>
      </c>
      <c r="AO83" s="3"/>
      <c r="AP83">
        <v>0</v>
      </c>
      <c r="AR83" t="s">
        <v>0</v>
      </c>
      <c r="AT83" s="2" t="s">
        <v>6</v>
      </c>
      <c r="AU83" s="1" t="e">
        <f t="shared" si="13"/>
        <v>#VALUE!</v>
      </c>
      <c r="AV83" s="1" t="e">
        <f t="shared" si="14"/>
        <v>#VALUE!</v>
      </c>
      <c r="AW83" s="1" t="e">
        <f t="shared" si="15"/>
        <v>#VALUE!</v>
      </c>
    </row>
    <row r="84" spans="1:49" x14ac:dyDescent="0.2">
      <c r="A84">
        <v>82</v>
      </c>
      <c r="B84" t="s">
        <v>1456</v>
      </c>
      <c r="F84" t="s">
        <v>1455</v>
      </c>
      <c r="G84" t="s">
        <v>4</v>
      </c>
      <c r="H84" t="s">
        <v>3</v>
      </c>
      <c r="I84" t="s">
        <v>1454</v>
      </c>
      <c r="N84">
        <v>2</v>
      </c>
      <c r="O84" t="s">
        <v>1453</v>
      </c>
      <c r="P84" t="s">
        <v>1452</v>
      </c>
      <c r="Q84" t="s">
        <v>19</v>
      </c>
      <c r="R84" s="7">
        <v>32112</v>
      </c>
      <c r="S84" s="8">
        <f t="shared" si="8"/>
        <v>1987</v>
      </c>
      <c r="T84" s="8">
        <v>1987</v>
      </c>
      <c r="U84" s="8">
        <f t="shared" si="9"/>
        <v>35</v>
      </c>
      <c r="V84" s="7">
        <v>1987</v>
      </c>
      <c r="W84" t="s">
        <v>53</v>
      </c>
      <c r="X84" s="2" t="s">
        <v>6</v>
      </c>
      <c r="Y84" s="6" t="e">
        <f t="shared" si="10"/>
        <v>#VALUE!</v>
      </c>
      <c r="AA84">
        <v>337870</v>
      </c>
      <c r="AB84">
        <v>32478</v>
      </c>
      <c r="AD84" t="s">
        <v>1</v>
      </c>
      <c r="AE84">
        <v>30</v>
      </c>
      <c r="AF84">
        <v>5</v>
      </c>
      <c r="AH84" t="s">
        <v>67</v>
      </c>
      <c r="AI84" t="s">
        <v>1451</v>
      </c>
      <c r="AK84" t="s">
        <v>1450</v>
      </c>
      <c r="AL84">
        <v>0</v>
      </c>
      <c r="AM84" s="5">
        <f t="shared" si="11"/>
        <v>0</v>
      </c>
      <c r="AN84" s="4">
        <f t="shared" si="12"/>
        <v>0</v>
      </c>
      <c r="AO84" s="3"/>
      <c r="AP84">
        <v>0</v>
      </c>
      <c r="AR84" t="s">
        <v>0</v>
      </c>
      <c r="AT84" s="2" t="s">
        <v>6</v>
      </c>
      <c r="AU84" s="1" t="e">
        <f t="shared" si="13"/>
        <v>#VALUE!</v>
      </c>
      <c r="AV84" s="1" t="e">
        <f t="shared" si="14"/>
        <v>#VALUE!</v>
      </c>
      <c r="AW84" s="1" t="e">
        <f t="shared" si="15"/>
        <v>#VALUE!</v>
      </c>
    </row>
    <row r="85" spans="1:49" x14ac:dyDescent="0.2">
      <c r="A85">
        <v>83</v>
      </c>
      <c r="B85" t="s">
        <v>1449</v>
      </c>
      <c r="F85" t="s">
        <v>1448</v>
      </c>
      <c r="G85" t="s">
        <v>4</v>
      </c>
      <c r="H85" t="s">
        <v>3</v>
      </c>
      <c r="I85" t="s">
        <v>1447</v>
      </c>
      <c r="N85">
        <v>2</v>
      </c>
      <c r="O85" t="s">
        <v>1446</v>
      </c>
      <c r="P85" t="s">
        <v>1445</v>
      </c>
      <c r="Q85" t="s">
        <v>19</v>
      </c>
      <c r="R85" s="7">
        <v>32112</v>
      </c>
      <c r="S85" s="8">
        <f t="shared" si="8"/>
        <v>1987</v>
      </c>
      <c r="T85" s="8">
        <v>1987</v>
      </c>
      <c r="U85" s="8">
        <f t="shared" si="9"/>
        <v>35</v>
      </c>
      <c r="V85" s="7">
        <v>1987</v>
      </c>
      <c r="W85" t="s">
        <v>53</v>
      </c>
      <c r="X85" s="2" t="s">
        <v>6</v>
      </c>
      <c r="Y85" s="6" t="e">
        <f t="shared" si="10"/>
        <v>#VALUE!</v>
      </c>
      <c r="AA85">
        <v>337870</v>
      </c>
      <c r="AB85">
        <v>32478</v>
      </c>
      <c r="AD85" t="s">
        <v>1</v>
      </c>
      <c r="AE85">
        <v>30</v>
      </c>
      <c r="AF85">
        <v>2</v>
      </c>
      <c r="AH85" t="s">
        <v>1444</v>
      </c>
      <c r="AI85" t="s">
        <v>1443</v>
      </c>
      <c r="AK85" t="s">
        <v>1442</v>
      </c>
      <c r="AL85">
        <v>0</v>
      </c>
      <c r="AM85" s="5">
        <f t="shared" si="11"/>
        <v>0</v>
      </c>
      <c r="AN85" s="4">
        <f t="shared" si="12"/>
        <v>0</v>
      </c>
      <c r="AO85" s="3"/>
      <c r="AP85">
        <v>0</v>
      </c>
      <c r="AR85" t="s">
        <v>0</v>
      </c>
      <c r="AT85" s="2" t="s">
        <v>6</v>
      </c>
      <c r="AU85" s="1" t="e">
        <f t="shared" si="13"/>
        <v>#VALUE!</v>
      </c>
      <c r="AV85" s="1" t="e">
        <f t="shared" si="14"/>
        <v>#VALUE!</v>
      </c>
      <c r="AW85" s="1" t="e">
        <f t="shared" si="15"/>
        <v>#VALUE!</v>
      </c>
    </row>
    <row r="86" spans="1:49" x14ac:dyDescent="0.2">
      <c r="A86">
        <v>84</v>
      </c>
      <c r="B86" t="s">
        <v>1441</v>
      </c>
      <c r="F86" t="s">
        <v>1440</v>
      </c>
      <c r="G86" t="s">
        <v>4</v>
      </c>
      <c r="H86" t="s">
        <v>3</v>
      </c>
      <c r="I86" t="s">
        <v>845</v>
      </c>
      <c r="N86">
        <v>1</v>
      </c>
      <c r="O86" t="s">
        <v>1439</v>
      </c>
      <c r="P86">
        <v>6701772560</v>
      </c>
      <c r="R86" s="7">
        <v>32112</v>
      </c>
      <c r="S86" s="8">
        <f t="shared" si="8"/>
        <v>1987</v>
      </c>
      <c r="T86" s="8">
        <v>1987</v>
      </c>
      <c r="U86" s="8">
        <f t="shared" si="9"/>
        <v>35</v>
      </c>
      <c r="V86" s="7">
        <v>1987</v>
      </c>
      <c r="W86" t="s">
        <v>53</v>
      </c>
      <c r="X86" s="2" t="s">
        <v>6</v>
      </c>
      <c r="Y86" s="6" t="e">
        <f t="shared" si="10"/>
        <v>#VALUE!</v>
      </c>
      <c r="AA86">
        <v>337870</v>
      </c>
      <c r="AB86">
        <v>32478</v>
      </c>
      <c r="AD86" t="s">
        <v>1</v>
      </c>
      <c r="AE86">
        <v>30</v>
      </c>
      <c r="AF86">
        <v>7</v>
      </c>
      <c r="AH86" t="s">
        <v>54</v>
      </c>
      <c r="AI86" t="s">
        <v>1438</v>
      </c>
      <c r="AK86" t="s">
        <v>1437</v>
      </c>
      <c r="AL86">
        <v>0</v>
      </c>
      <c r="AM86" s="5">
        <f t="shared" si="11"/>
        <v>0</v>
      </c>
      <c r="AN86" s="4">
        <f t="shared" si="12"/>
        <v>0</v>
      </c>
      <c r="AO86" s="3"/>
      <c r="AP86">
        <v>0</v>
      </c>
      <c r="AR86" t="s">
        <v>0</v>
      </c>
      <c r="AT86" s="2" t="s">
        <v>6</v>
      </c>
      <c r="AU86" s="1" t="e">
        <f t="shared" si="13"/>
        <v>#VALUE!</v>
      </c>
      <c r="AV86" s="1" t="e">
        <f t="shared" si="14"/>
        <v>#VALUE!</v>
      </c>
      <c r="AW86" s="1" t="e">
        <f t="shared" si="15"/>
        <v>#VALUE!</v>
      </c>
    </row>
    <row r="87" spans="1:49" x14ac:dyDescent="0.2">
      <c r="A87">
        <v>85</v>
      </c>
      <c r="B87" t="s">
        <v>1436</v>
      </c>
      <c r="F87" t="s">
        <v>1435</v>
      </c>
      <c r="G87" t="s">
        <v>4</v>
      </c>
      <c r="H87" t="s">
        <v>3</v>
      </c>
      <c r="I87" t="s">
        <v>137</v>
      </c>
      <c r="J87">
        <v>60071577</v>
      </c>
      <c r="K87" t="s">
        <v>1434</v>
      </c>
      <c r="L87" t="s">
        <v>1433</v>
      </c>
      <c r="M87" t="s">
        <v>1432</v>
      </c>
      <c r="N87">
        <v>2</v>
      </c>
      <c r="O87" t="s">
        <v>1431</v>
      </c>
      <c r="P87" t="s">
        <v>1430</v>
      </c>
      <c r="Q87" t="s">
        <v>1429</v>
      </c>
      <c r="R87" s="7">
        <v>32112</v>
      </c>
      <c r="S87" s="8">
        <f t="shared" si="8"/>
        <v>1987</v>
      </c>
      <c r="T87" s="8">
        <v>1987</v>
      </c>
      <c r="U87" s="8">
        <f t="shared" si="9"/>
        <v>35</v>
      </c>
      <c r="V87" s="7">
        <v>1987</v>
      </c>
      <c r="W87" t="s">
        <v>1428</v>
      </c>
      <c r="X87" s="2" t="s">
        <v>6</v>
      </c>
      <c r="Y87" s="6" t="e">
        <f t="shared" si="10"/>
        <v>#VALUE!</v>
      </c>
      <c r="AA87">
        <v>7612508</v>
      </c>
      <c r="AB87">
        <v>28513</v>
      </c>
      <c r="AD87" t="s">
        <v>1</v>
      </c>
      <c r="AE87">
        <v>12</v>
      </c>
      <c r="AF87">
        <v>4</v>
      </c>
      <c r="AH87" t="s">
        <v>1427</v>
      </c>
      <c r="AI87" t="s">
        <v>1426</v>
      </c>
      <c r="AK87" t="s">
        <v>1425</v>
      </c>
      <c r="AL87">
        <v>0</v>
      </c>
      <c r="AM87" s="5">
        <f t="shared" si="11"/>
        <v>0</v>
      </c>
      <c r="AN87" s="4">
        <f t="shared" si="12"/>
        <v>0</v>
      </c>
      <c r="AO87" s="3"/>
      <c r="AP87">
        <v>0</v>
      </c>
      <c r="AR87" t="s">
        <v>0</v>
      </c>
      <c r="AT87" s="2" t="s">
        <v>6</v>
      </c>
      <c r="AU87" s="1" t="e">
        <f t="shared" si="13"/>
        <v>#VALUE!</v>
      </c>
      <c r="AV87" s="1" t="e">
        <f t="shared" si="14"/>
        <v>#VALUE!</v>
      </c>
      <c r="AW87" s="1" t="e">
        <f t="shared" si="15"/>
        <v>#VALUE!</v>
      </c>
    </row>
    <row r="88" spans="1:49" x14ac:dyDescent="0.2">
      <c r="A88">
        <v>86</v>
      </c>
      <c r="B88" t="s">
        <v>1424</v>
      </c>
      <c r="F88" t="s">
        <v>1423</v>
      </c>
      <c r="G88" t="s">
        <v>4</v>
      </c>
      <c r="H88" t="s">
        <v>3</v>
      </c>
      <c r="I88" t="s">
        <v>1422</v>
      </c>
      <c r="N88">
        <v>1</v>
      </c>
      <c r="O88" t="s">
        <v>1421</v>
      </c>
      <c r="P88">
        <v>6602430838</v>
      </c>
      <c r="R88" s="7">
        <v>32112</v>
      </c>
      <c r="S88" s="8">
        <f t="shared" si="8"/>
        <v>1987</v>
      </c>
      <c r="T88" s="8">
        <v>1987</v>
      </c>
      <c r="U88" s="8">
        <f t="shared" si="9"/>
        <v>35</v>
      </c>
      <c r="V88" s="7">
        <v>1987</v>
      </c>
      <c r="W88" t="s">
        <v>53</v>
      </c>
      <c r="X88" s="2" t="s">
        <v>6</v>
      </c>
      <c r="Y88" s="6" t="e">
        <f t="shared" si="10"/>
        <v>#VALUE!</v>
      </c>
      <c r="AA88">
        <v>337870</v>
      </c>
      <c r="AB88">
        <v>32478</v>
      </c>
      <c r="AD88" t="s">
        <v>1</v>
      </c>
      <c r="AE88">
        <v>30</v>
      </c>
      <c r="AF88">
        <v>2</v>
      </c>
      <c r="AH88" t="s">
        <v>1420</v>
      </c>
      <c r="AI88" t="s">
        <v>1419</v>
      </c>
      <c r="AK88" t="s">
        <v>1418</v>
      </c>
      <c r="AL88">
        <v>0</v>
      </c>
      <c r="AM88" s="5">
        <f t="shared" si="11"/>
        <v>0</v>
      </c>
      <c r="AN88" s="4">
        <f t="shared" si="12"/>
        <v>0</v>
      </c>
      <c r="AO88" s="3"/>
      <c r="AP88">
        <v>0</v>
      </c>
      <c r="AR88" t="s">
        <v>0</v>
      </c>
      <c r="AT88" s="2" t="s">
        <v>6</v>
      </c>
      <c r="AU88" s="1" t="e">
        <f t="shared" si="13"/>
        <v>#VALUE!</v>
      </c>
      <c r="AV88" s="1" t="e">
        <f t="shared" si="14"/>
        <v>#VALUE!</v>
      </c>
      <c r="AW88" s="1" t="e">
        <f t="shared" si="15"/>
        <v>#VALUE!</v>
      </c>
    </row>
    <row r="89" spans="1:49" x14ac:dyDescent="0.2">
      <c r="A89">
        <v>87</v>
      </c>
      <c r="B89" t="s">
        <v>1417</v>
      </c>
      <c r="F89" t="s">
        <v>1416</v>
      </c>
      <c r="G89" t="s">
        <v>4</v>
      </c>
      <c r="H89" t="s">
        <v>3</v>
      </c>
      <c r="I89" t="s">
        <v>1415</v>
      </c>
      <c r="N89">
        <v>3</v>
      </c>
      <c r="O89" t="s">
        <v>1414</v>
      </c>
      <c r="P89" t="s">
        <v>1413</v>
      </c>
      <c r="Q89" t="s">
        <v>11</v>
      </c>
      <c r="R89" s="7">
        <v>32112</v>
      </c>
      <c r="S89" s="8">
        <f t="shared" si="8"/>
        <v>1987</v>
      </c>
      <c r="T89" s="8">
        <v>1987</v>
      </c>
      <c r="U89" s="8">
        <f t="shared" si="9"/>
        <v>35</v>
      </c>
      <c r="V89" s="7">
        <v>1987</v>
      </c>
      <c r="W89" t="s">
        <v>53</v>
      </c>
      <c r="X89" s="2" t="s">
        <v>6</v>
      </c>
      <c r="Y89" s="6" t="e">
        <f t="shared" si="10"/>
        <v>#VALUE!</v>
      </c>
      <c r="AA89">
        <v>337870</v>
      </c>
      <c r="AB89">
        <v>32478</v>
      </c>
      <c r="AD89" t="s">
        <v>1</v>
      </c>
      <c r="AE89">
        <v>30</v>
      </c>
      <c r="AF89">
        <v>7</v>
      </c>
      <c r="AH89" s="9">
        <v>44348</v>
      </c>
      <c r="AI89" t="s">
        <v>1412</v>
      </c>
      <c r="AK89" t="s">
        <v>1411</v>
      </c>
      <c r="AL89">
        <v>0</v>
      </c>
      <c r="AM89" s="5">
        <f t="shared" si="11"/>
        <v>0</v>
      </c>
      <c r="AN89" s="4">
        <f t="shared" si="12"/>
        <v>0</v>
      </c>
      <c r="AO89" s="3"/>
      <c r="AP89">
        <v>0</v>
      </c>
      <c r="AR89" t="s">
        <v>0</v>
      </c>
      <c r="AT89" s="2" t="s">
        <v>6</v>
      </c>
      <c r="AU89" s="1" t="e">
        <f t="shared" si="13"/>
        <v>#VALUE!</v>
      </c>
      <c r="AV89" s="1" t="e">
        <f t="shared" si="14"/>
        <v>#VALUE!</v>
      </c>
      <c r="AW89" s="1" t="e">
        <f t="shared" si="15"/>
        <v>#VALUE!</v>
      </c>
    </row>
    <row r="90" spans="1:49" x14ac:dyDescent="0.2">
      <c r="A90">
        <v>88</v>
      </c>
      <c r="B90" t="s">
        <v>1410</v>
      </c>
      <c r="F90" t="s">
        <v>1409</v>
      </c>
      <c r="G90" t="s">
        <v>4</v>
      </c>
      <c r="H90" t="s">
        <v>3</v>
      </c>
      <c r="I90" t="s">
        <v>1408</v>
      </c>
      <c r="N90">
        <v>1</v>
      </c>
      <c r="O90" t="s">
        <v>1407</v>
      </c>
      <c r="P90">
        <v>7004169659</v>
      </c>
      <c r="R90" s="7">
        <v>32112</v>
      </c>
      <c r="S90" s="8">
        <f t="shared" si="8"/>
        <v>1987</v>
      </c>
      <c r="T90" s="8">
        <v>1987</v>
      </c>
      <c r="U90" s="8">
        <f t="shared" si="9"/>
        <v>35</v>
      </c>
      <c r="V90" s="7">
        <v>1987</v>
      </c>
      <c r="W90" t="s">
        <v>53</v>
      </c>
      <c r="X90" s="2" t="s">
        <v>6</v>
      </c>
      <c r="Y90" s="6" t="e">
        <f t="shared" si="10"/>
        <v>#VALUE!</v>
      </c>
      <c r="AA90">
        <v>337870</v>
      </c>
      <c r="AB90">
        <v>32478</v>
      </c>
      <c r="AD90" t="s">
        <v>1</v>
      </c>
      <c r="AE90">
        <v>30</v>
      </c>
      <c r="AF90">
        <v>7</v>
      </c>
      <c r="AH90" t="s">
        <v>1406</v>
      </c>
      <c r="AI90" t="s">
        <v>1405</v>
      </c>
      <c r="AK90" t="s">
        <v>1404</v>
      </c>
      <c r="AL90">
        <v>0</v>
      </c>
      <c r="AM90" s="5">
        <f t="shared" si="11"/>
        <v>0</v>
      </c>
      <c r="AN90" s="4">
        <f t="shared" si="12"/>
        <v>0</v>
      </c>
      <c r="AO90" s="3"/>
      <c r="AP90">
        <v>0</v>
      </c>
      <c r="AR90" t="s">
        <v>0</v>
      </c>
      <c r="AT90" s="2" t="s">
        <v>6</v>
      </c>
      <c r="AU90" s="1" t="e">
        <f t="shared" si="13"/>
        <v>#VALUE!</v>
      </c>
      <c r="AV90" s="1" t="e">
        <f t="shared" si="14"/>
        <v>#VALUE!</v>
      </c>
      <c r="AW90" s="1" t="e">
        <f t="shared" si="15"/>
        <v>#VALUE!</v>
      </c>
    </row>
    <row r="91" spans="1:49" x14ac:dyDescent="0.2">
      <c r="A91">
        <v>89</v>
      </c>
      <c r="B91" t="s">
        <v>1403</v>
      </c>
      <c r="F91" t="s">
        <v>1402</v>
      </c>
      <c r="G91" t="s">
        <v>4</v>
      </c>
      <c r="H91" t="s">
        <v>3</v>
      </c>
      <c r="I91" t="s">
        <v>1401</v>
      </c>
      <c r="N91">
        <v>6</v>
      </c>
      <c r="O91" t="s">
        <v>1400</v>
      </c>
      <c r="P91" t="s">
        <v>1399</v>
      </c>
      <c r="Q91" t="s">
        <v>1398</v>
      </c>
      <c r="R91" s="7">
        <v>32112</v>
      </c>
      <c r="S91" s="8">
        <f t="shared" si="8"/>
        <v>1987</v>
      </c>
      <c r="T91" s="8">
        <v>1987</v>
      </c>
      <c r="U91" s="8">
        <f t="shared" si="9"/>
        <v>35</v>
      </c>
      <c r="V91" s="7">
        <v>1987</v>
      </c>
      <c r="W91" t="s">
        <v>1397</v>
      </c>
      <c r="X91" s="2" t="s">
        <v>6</v>
      </c>
      <c r="Y91" s="6" t="e">
        <f t="shared" si="10"/>
        <v>#VALUE!</v>
      </c>
      <c r="AA91">
        <v>85103</v>
      </c>
      <c r="AB91">
        <v>39101</v>
      </c>
      <c r="AD91" t="s">
        <v>1</v>
      </c>
      <c r="AE91">
        <v>41</v>
      </c>
      <c r="AF91">
        <v>2</v>
      </c>
      <c r="AH91" t="s">
        <v>1396</v>
      </c>
      <c r="AI91" t="s">
        <v>1395</v>
      </c>
      <c r="AK91" t="s">
        <v>1394</v>
      </c>
      <c r="AL91">
        <v>5</v>
      </c>
      <c r="AM91" s="5">
        <f t="shared" si="11"/>
        <v>0.14285714285714285</v>
      </c>
      <c r="AN91" s="4">
        <f t="shared" si="12"/>
        <v>2.1636825877643749E-4</v>
      </c>
      <c r="AO91" s="3"/>
      <c r="AP91">
        <v>0</v>
      </c>
      <c r="AR91" t="s">
        <v>0</v>
      </c>
      <c r="AT91" s="2" t="s">
        <v>6</v>
      </c>
      <c r="AU91" s="1" t="e">
        <f t="shared" si="13"/>
        <v>#VALUE!</v>
      </c>
      <c r="AV91" s="1" t="e">
        <f t="shared" si="14"/>
        <v>#VALUE!</v>
      </c>
      <c r="AW91" s="1" t="e">
        <f t="shared" si="15"/>
        <v>#VALUE!</v>
      </c>
    </row>
    <row r="92" spans="1:49" x14ac:dyDescent="0.2">
      <c r="A92">
        <v>90</v>
      </c>
      <c r="B92" t="s">
        <v>1393</v>
      </c>
      <c r="F92" t="s">
        <v>1392</v>
      </c>
      <c r="G92" t="s">
        <v>4</v>
      </c>
      <c r="H92" t="s">
        <v>3</v>
      </c>
      <c r="I92" t="s">
        <v>1391</v>
      </c>
      <c r="N92">
        <v>1</v>
      </c>
      <c r="O92" t="s">
        <v>1390</v>
      </c>
      <c r="P92">
        <v>7004143659</v>
      </c>
      <c r="R92" s="7">
        <v>32112</v>
      </c>
      <c r="S92" s="8">
        <f t="shared" si="8"/>
        <v>1987</v>
      </c>
      <c r="T92" s="8">
        <v>1987</v>
      </c>
      <c r="U92" s="8">
        <f t="shared" si="9"/>
        <v>35</v>
      </c>
      <c r="V92" s="7">
        <v>1987</v>
      </c>
      <c r="W92" t="s">
        <v>1389</v>
      </c>
      <c r="X92" s="2" t="s">
        <v>6</v>
      </c>
      <c r="Y92" s="6" t="e">
        <f t="shared" si="10"/>
        <v>#VALUE!</v>
      </c>
      <c r="AA92">
        <v>16845</v>
      </c>
      <c r="AB92">
        <v>18672</v>
      </c>
      <c r="AD92" t="s">
        <v>1</v>
      </c>
      <c r="AI92" t="s">
        <v>1388</v>
      </c>
      <c r="AK92" t="s">
        <v>1387</v>
      </c>
      <c r="AL92">
        <v>1</v>
      </c>
      <c r="AM92" s="5">
        <f t="shared" si="11"/>
        <v>2.8571428571428571E-2</v>
      </c>
      <c r="AN92" s="4">
        <f t="shared" si="12"/>
        <v>4.32736517552875E-5</v>
      </c>
      <c r="AO92" s="3"/>
      <c r="AP92">
        <v>0</v>
      </c>
      <c r="AR92" t="s">
        <v>0</v>
      </c>
      <c r="AT92" s="2" t="s">
        <v>6</v>
      </c>
      <c r="AU92" s="1" t="e">
        <f t="shared" si="13"/>
        <v>#VALUE!</v>
      </c>
      <c r="AV92" s="1" t="e">
        <f t="shared" si="14"/>
        <v>#VALUE!</v>
      </c>
      <c r="AW92" s="1" t="e">
        <f t="shared" si="15"/>
        <v>#VALUE!</v>
      </c>
    </row>
    <row r="93" spans="1:49" x14ac:dyDescent="0.2">
      <c r="A93">
        <v>91</v>
      </c>
      <c r="B93" t="s">
        <v>1386</v>
      </c>
      <c r="F93" t="s">
        <v>1385</v>
      </c>
      <c r="G93" t="s">
        <v>4</v>
      </c>
      <c r="H93" t="s">
        <v>3</v>
      </c>
      <c r="I93" t="s">
        <v>1384</v>
      </c>
      <c r="N93">
        <v>2</v>
      </c>
      <c r="O93" t="s">
        <v>1383</v>
      </c>
      <c r="P93" t="s">
        <v>1382</v>
      </c>
      <c r="Q93" t="s">
        <v>19</v>
      </c>
      <c r="R93" s="7">
        <v>32112</v>
      </c>
      <c r="S93" s="8">
        <f t="shared" si="8"/>
        <v>1987</v>
      </c>
      <c r="T93" s="8">
        <v>1987</v>
      </c>
      <c r="U93" s="8">
        <f t="shared" si="9"/>
        <v>35</v>
      </c>
      <c r="V93" s="7">
        <v>32112</v>
      </c>
      <c r="W93" t="s">
        <v>48</v>
      </c>
      <c r="X93" s="2" t="s">
        <v>6</v>
      </c>
      <c r="Y93" s="6" t="e">
        <f t="shared" si="10"/>
        <v>#VALUE!</v>
      </c>
      <c r="AA93">
        <v>87566648</v>
      </c>
      <c r="AB93">
        <v>74127</v>
      </c>
      <c r="AD93" t="s">
        <v>1</v>
      </c>
      <c r="AE93">
        <v>32</v>
      </c>
      <c r="AF93">
        <v>12</v>
      </c>
      <c r="AH93" t="s">
        <v>1381</v>
      </c>
      <c r="AI93" t="s">
        <v>1380</v>
      </c>
      <c r="AK93" t="s">
        <v>1379</v>
      </c>
      <c r="AL93">
        <v>0</v>
      </c>
      <c r="AM93" s="5">
        <f t="shared" si="11"/>
        <v>0</v>
      </c>
      <c r="AN93" s="4">
        <f t="shared" si="12"/>
        <v>0</v>
      </c>
      <c r="AO93" s="3"/>
      <c r="AP93">
        <v>0</v>
      </c>
      <c r="AR93" t="s">
        <v>0</v>
      </c>
      <c r="AT93" s="2" t="s">
        <v>6</v>
      </c>
      <c r="AU93" s="1" t="e">
        <f t="shared" si="13"/>
        <v>#VALUE!</v>
      </c>
      <c r="AV93" s="1" t="e">
        <f t="shared" si="14"/>
        <v>#VALUE!</v>
      </c>
      <c r="AW93" s="1" t="e">
        <f t="shared" si="15"/>
        <v>#VALUE!</v>
      </c>
    </row>
    <row r="94" spans="1:49" x14ac:dyDescent="0.2">
      <c r="A94">
        <v>92</v>
      </c>
      <c r="B94" t="s">
        <v>1378</v>
      </c>
      <c r="F94" t="s">
        <v>1377</v>
      </c>
      <c r="G94" t="s">
        <v>4</v>
      </c>
      <c r="H94" t="s">
        <v>3</v>
      </c>
      <c r="I94" t="s">
        <v>1376</v>
      </c>
      <c r="N94">
        <v>1</v>
      </c>
      <c r="O94" t="s">
        <v>1375</v>
      </c>
      <c r="P94">
        <v>55415470900</v>
      </c>
      <c r="R94" s="7">
        <v>32112</v>
      </c>
      <c r="S94" s="8">
        <f t="shared" si="8"/>
        <v>1987</v>
      </c>
      <c r="T94" s="8">
        <v>1987</v>
      </c>
      <c r="U94" s="8">
        <f t="shared" si="9"/>
        <v>35</v>
      </c>
      <c r="V94" s="7">
        <v>1987</v>
      </c>
      <c r="W94" t="s">
        <v>1326</v>
      </c>
      <c r="X94" s="2" t="s">
        <v>6</v>
      </c>
      <c r="Y94" s="6" t="e">
        <f t="shared" si="10"/>
        <v>#VALUE!</v>
      </c>
      <c r="AA94">
        <v>337870</v>
      </c>
      <c r="AB94">
        <v>32478</v>
      </c>
      <c r="AD94" t="s">
        <v>1</v>
      </c>
      <c r="AE94">
        <v>30</v>
      </c>
      <c r="AF94">
        <v>11</v>
      </c>
      <c r="AH94" s="9">
        <v>44474</v>
      </c>
      <c r="AI94" t="s">
        <v>1374</v>
      </c>
      <c r="AK94" t="s">
        <v>1373</v>
      </c>
      <c r="AL94">
        <v>3</v>
      </c>
      <c r="AM94" s="5">
        <f t="shared" si="11"/>
        <v>8.5714285714285715E-2</v>
      </c>
      <c r="AN94" s="4">
        <f t="shared" si="12"/>
        <v>1.2982095526586251E-4</v>
      </c>
      <c r="AO94" s="3"/>
      <c r="AP94">
        <v>0</v>
      </c>
      <c r="AR94" t="s">
        <v>0</v>
      </c>
      <c r="AT94" s="2" t="s">
        <v>6</v>
      </c>
      <c r="AU94" s="1" t="e">
        <f t="shared" si="13"/>
        <v>#VALUE!</v>
      </c>
      <c r="AV94" s="1" t="e">
        <f t="shared" si="14"/>
        <v>#VALUE!</v>
      </c>
      <c r="AW94" s="1" t="e">
        <f t="shared" si="15"/>
        <v>#VALUE!</v>
      </c>
    </row>
    <row r="95" spans="1:49" x14ac:dyDescent="0.2">
      <c r="A95">
        <v>93</v>
      </c>
      <c r="B95" t="s">
        <v>1372</v>
      </c>
      <c r="F95" t="s">
        <v>1371</v>
      </c>
      <c r="G95" t="s">
        <v>4</v>
      </c>
      <c r="H95" t="s">
        <v>3</v>
      </c>
      <c r="I95" t="s">
        <v>156</v>
      </c>
      <c r="N95">
        <v>3</v>
      </c>
      <c r="O95" t="s">
        <v>1370</v>
      </c>
      <c r="P95" t="s">
        <v>1369</v>
      </c>
      <c r="Q95" t="s">
        <v>11</v>
      </c>
      <c r="R95" s="7">
        <v>32112</v>
      </c>
      <c r="S95" s="8">
        <f t="shared" si="8"/>
        <v>1987</v>
      </c>
      <c r="T95" s="8">
        <v>1987</v>
      </c>
      <c r="U95" s="8">
        <f t="shared" si="9"/>
        <v>35</v>
      </c>
      <c r="V95" s="7">
        <v>32112</v>
      </c>
      <c r="W95" t="s">
        <v>481</v>
      </c>
      <c r="X95" s="2">
        <v>0.14099999999999999</v>
      </c>
      <c r="Y95" s="6">
        <f t="shared" si="10"/>
        <v>3.7639144710498915E-3</v>
      </c>
      <c r="AA95">
        <v>402508</v>
      </c>
      <c r="AB95">
        <v>20868</v>
      </c>
      <c r="AD95" t="s">
        <v>1</v>
      </c>
      <c r="AE95" t="s">
        <v>480</v>
      </c>
      <c r="AF95">
        <v>12</v>
      </c>
      <c r="AH95" t="s">
        <v>1368</v>
      </c>
      <c r="AI95" t="s">
        <v>1367</v>
      </c>
      <c r="AK95" t="s">
        <v>1366</v>
      </c>
      <c r="AL95">
        <v>0</v>
      </c>
      <c r="AM95" s="5">
        <f t="shared" si="11"/>
        <v>0</v>
      </c>
      <c r="AN95" s="4">
        <f t="shared" si="12"/>
        <v>0</v>
      </c>
      <c r="AO95" s="3"/>
      <c r="AP95">
        <v>0</v>
      </c>
      <c r="AR95" t="s">
        <v>0</v>
      </c>
      <c r="AT95" s="2" t="s">
        <v>6</v>
      </c>
      <c r="AU95" s="1">
        <f t="shared" si="13"/>
        <v>0.26347401297349238</v>
      </c>
      <c r="AV95" s="1">
        <f t="shared" si="14"/>
        <v>0.18819572355249459</v>
      </c>
      <c r="AW95" s="1">
        <f t="shared" si="15"/>
        <v>0.11291743413149673</v>
      </c>
    </row>
    <row r="96" spans="1:49" x14ac:dyDescent="0.2">
      <c r="A96">
        <v>94</v>
      </c>
      <c r="B96" t="s">
        <v>1365</v>
      </c>
      <c r="F96" t="s">
        <v>1364</v>
      </c>
      <c r="G96" t="s">
        <v>4</v>
      </c>
      <c r="H96" t="s">
        <v>3</v>
      </c>
      <c r="I96" t="s">
        <v>1363</v>
      </c>
      <c r="N96">
        <v>3</v>
      </c>
      <c r="O96" t="s">
        <v>1362</v>
      </c>
      <c r="P96" t="s">
        <v>1361</v>
      </c>
      <c r="Q96" t="s">
        <v>11</v>
      </c>
      <c r="R96" s="7">
        <v>32112</v>
      </c>
      <c r="S96" s="8">
        <f t="shared" si="8"/>
        <v>1987</v>
      </c>
      <c r="T96" s="8">
        <v>1987</v>
      </c>
      <c r="U96" s="8">
        <f t="shared" si="9"/>
        <v>35</v>
      </c>
      <c r="V96" s="7">
        <v>32112</v>
      </c>
      <c r="W96" t="s">
        <v>481</v>
      </c>
      <c r="X96" s="2">
        <v>0.14099999999999999</v>
      </c>
      <c r="Y96" s="6">
        <f t="shared" si="10"/>
        <v>3.7639144710498915E-3</v>
      </c>
      <c r="AA96">
        <v>402508</v>
      </c>
      <c r="AB96">
        <v>20868</v>
      </c>
      <c r="AD96" t="s">
        <v>1</v>
      </c>
      <c r="AE96" t="s">
        <v>480</v>
      </c>
      <c r="AF96">
        <v>12</v>
      </c>
      <c r="AH96" t="s">
        <v>99</v>
      </c>
      <c r="AI96" t="s">
        <v>1360</v>
      </c>
      <c r="AK96" t="s">
        <v>1359</v>
      </c>
      <c r="AL96">
        <v>0</v>
      </c>
      <c r="AM96" s="5">
        <f t="shared" si="11"/>
        <v>0</v>
      </c>
      <c r="AN96" s="4">
        <f t="shared" si="12"/>
        <v>0</v>
      </c>
      <c r="AO96" s="3"/>
      <c r="AP96">
        <v>0</v>
      </c>
      <c r="AR96" t="s">
        <v>0</v>
      </c>
      <c r="AT96" s="2" t="s">
        <v>6</v>
      </c>
      <c r="AU96" s="1">
        <f t="shared" si="13"/>
        <v>0.26347401297349238</v>
      </c>
      <c r="AV96" s="1">
        <f t="shared" si="14"/>
        <v>0.18819572355249459</v>
      </c>
      <c r="AW96" s="1">
        <f t="shared" si="15"/>
        <v>0.11291743413149673</v>
      </c>
    </row>
    <row r="97" spans="1:49" x14ac:dyDescent="0.2">
      <c r="A97">
        <v>95</v>
      </c>
      <c r="B97" t="s">
        <v>1358</v>
      </c>
      <c r="F97" t="s">
        <v>1357</v>
      </c>
      <c r="G97" t="s">
        <v>4</v>
      </c>
      <c r="H97" t="s">
        <v>3</v>
      </c>
      <c r="I97" t="s">
        <v>1356</v>
      </c>
      <c r="N97">
        <v>1</v>
      </c>
      <c r="O97" t="s">
        <v>1355</v>
      </c>
      <c r="P97">
        <v>7101778101</v>
      </c>
      <c r="R97" s="7">
        <v>32112</v>
      </c>
      <c r="S97" s="8">
        <f t="shared" si="8"/>
        <v>1987</v>
      </c>
      <c r="T97" s="8">
        <v>1987</v>
      </c>
      <c r="U97" s="8">
        <f t="shared" si="9"/>
        <v>35</v>
      </c>
      <c r="V97" s="7">
        <v>32112</v>
      </c>
      <c r="W97" t="s">
        <v>48</v>
      </c>
      <c r="X97" s="2" t="s">
        <v>6</v>
      </c>
      <c r="Y97" s="6" t="e">
        <f t="shared" si="10"/>
        <v>#VALUE!</v>
      </c>
      <c r="AA97">
        <v>87566648</v>
      </c>
      <c r="AB97">
        <v>74127</v>
      </c>
      <c r="AD97" t="s">
        <v>1</v>
      </c>
      <c r="AE97">
        <v>32</v>
      </c>
      <c r="AF97">
        <v>12</v>
      </c>
      <c r="AH97" t="s">
        <v>1354</v>
      </c>
      <c r="AI97" t="s">
        <v>1353</v>
      </c>
      <c r="AK97" t="s">
        <v>1352</v>
      </c>
      <c r="AL97">
        <v>0</v>
      </c>
      <c r="AM97" s="5">
        <f t="shared" si="11"/>
        <v>0</v>
      </c>
      <c r="AN97" s="4">
        <f t="shared" si="12"/>
        <v>0</v>
      </c>
      <c r="AO97" s="3"/>
      <c r="AP97">
        <v>0</v>
      </c>
      <c r="AR97" t="s">
        <v>0</v>
      </c>
      <c r="AT97" s="2" t="s">
        <v>6</v>
      </c>
      <c r="AU97" s="1" t="e">
        <f t="shared" si="13"/>
        <v>#VALUE!</v>
      </c>
      <c r="AV97" s="1" t="e">
        <f t="shared" si="14"/>
        <v>#VALUE!</v>
      </c>
      <c r="AW97" s="1" t="e">
        <f t="shared" si="15"/>
        <v>#VALUE!</v>
      </c>
    </row>
    <row r="98" spans="1:49" x14ac:dyDescent="0.2">
      <c r="A98">
        <v>96</v>
      </c>
      <c r="B98" t="s">
        <v>1351</v>
      </c>
      <c r="F98" t="s">
        <v>1350</v>
      </c>
      <c r="G98" t="s">
        <v>4</v>
      </c>
      <c r="H98" t="s">
        <v>3</v>
      </c>
      <c r="I98" t="s">
        <v>1349</v>
      </c>
      <c r="N98">
        <v>4</v>
      </c>
      <c r="O98" t="s">
        <v>1348</v>
      </c>
      <c r="P98" t="s">
        <v>1347</v>
      </c>
      <c r="Q98" t="s">
        <v>33</v>
      </c>
      <c r="R98" s="7">
        <v>32112</v>
      </c>
      <c r="S98" s="8">
        <f t="shared" si="8"/>
        <v>1987</v>
      </c>
      <c r="T98" s="8">
        <v>1987</v>
      </c>
      <c r="U98" s="8">
        <f t="shared" si="9"/>
        <v>35</v>
      </c>
      <c r="V98" s="7">
        <v>32112</v>
      </c>
      <c r="W98" t="s">
        <v>48</v>
      </c>
      <c r="X98" s="2" t="s">
        <v>6</v>
      </c>
      <c r="Y98" s="6" t="e">
        <f t="shared" si="10"/>
        <v>#VALUE!</v>
      </c>
      <c r="AA98">
        <v>87566648</v>
      </c>
      <c r="AB98">
        <v>74127</v>
      </c>
      <c r="AD98" t="s">
        <v>1</v>
      </c>
      <c r="AE98">
        <v>32</v>
      </c>
      <c r="AF98">
        <v>12</v>
      </c>
      <c r="AH98" t="s">
        <v>1346</v>
      </c>
      <c r="AI98" t="s">
        <v>1345</v>
      </c>
      <c r="AK98" t="s">
        <v>1344</v>
      </c>
      <c r="AL98">
        <v>0</v>
      </c>
      <c r="AM98" s="5">
        <f t="shared" si="11"/>
        <v>0</v>
      </c>
      <c r="AN98" s="4">
        <f t="shared" si="12"/>
        <v>0</v>
      </c>
      <c r="AO98" s="3"/>
      <c r="AP98">
        <v>0</v>
      </c>
      <c r="AR98" t="s">
        <v>0</v>
      </c>
      <c r="AT98" s="2" t="s">
        <v>6</v>
      </c>
      <c r="AU98" s="1" t="e">
        <f t="shared" si="13"/>
        <v>#VALUE!</v>
      </c>
      <c r="AV98" s="1" t="e">
        <f t="shared" si="14"/>
        <v>#VALUE!</v>
      </c>
      <c r="AW98" s="1" t="e">
        <f t="shared" si="15"/>
        <v>#VALUE!</v>
      </c>
    </row>
    <row r="99" spans="1:49" x14ac:dyDescent="0.2">
      <c r="A99">
        <v>97</v>
      </c>
      <c r="B99" t="s">
        <v>1343</v>
      </c>
      <c r="F99" t="s">
        <v>1342</v>
      </c>
      <c r="G99" t="s">
        <v>4</v>
      </c>
      <c r="H99" t="s">
        <v>3</v>
      </c>
      <c r="I99" t="s">
        <v>155</v>
      </c>
      <c r="N99">
        <v>2</v>
      </c>
      <c r="O99" t="s">
        <v>154</v>
      </c>
      <c r="P99" t="s">
        <v>153</v>
      </c>
      <c r="Q99" t="s">
        <v>19</v>
      </c>
      <c r="R99" s="7">
        <v>32112</v>
      </c>
      <c r="S99" s="8">
        <f t="shared" si="8"/>
        <v>1987</v>
      </c>
      <c r="T99" s="8">
        <v>1987</v>
      </c>
      <c r="U99" s="8">
        <f t="shared" si="9"/>
        <v>35</v>
      </c>
      <c r="V99" s="7">
        <v>32112</v>
      </c>
      <c r="W99" t="s">
        <v>48</v>
      </c>
      <c r="X99" s="2" t="s">
        <v>6</v>
      </c>
      <c r="Y99" s="6" t="e">
        <f t="shared" si="10"/>
        <v>#VALUE!</v>
      </c>
      <c r="AA99">
        <v>87566648</v>
      </c>
      <c r="AB99">
        <v>74127</v>
      </c>
      <c r="AD99" t="s">
        <v>1</v>
      </c>
      <c r="AE99">
        <v>32</v>
      </c>
      <c r="AF99">
        <v>12</v>
      </c>
      <c r="AH99" t="s">
        <v>1341</v>
      </c>
      <c r="AI99" t="s">
        <v>1340</v>
      </c>
      <c r="AK99" t="s">
        <v>1339</v>
      </c>
      <c r="AL99">
        <v>0</v>
      </c>
      <c r="AM99" s="5">
        <f t="shared" si="11"/>
        <v>0</v>
      </c>
      <c r="AN99" s="4">
        <f t="shared" si="12"/>
        <v>0</v>
      </c>
      <c r="AO99" s="3"/>
      <c r="AP99">
        <v>0</v>
      </c>
      <c r="AR99" t="s">
        <v>0</v>
      </c>
      <c r="AT99" s="2" t="s">
        <v>6</v>
      </c>
      <c r="AU99" s="1" t="e">
        <f t="shared" si="13"/>
        <v>#VALUE!</v>
      </c>
      <c r="AV99" s="1" t="e">
        <f t="shared" si="14"/>
        <v>#VALUE!</v>
      </c>
      <c r="AW99" s="1" t="e">
        <f t="shared" si="15"/>
        <v>#VALUE!</v>
      </c>
    </row>
    <row r="100" spans="1:49" x14ac:dyDescent="0.2">
      <c r="A100">
        <v>98</v>
      </c>
      <c r="B100" t="s">
        <v>1338</v>
      </c>
      <c r="F100" t="s">
        <v>1337</v>
      </c>
      <c r="G100" t="s">
        <v>4</v>
      </c>
      <c r="H100" t="s">
        <v>3</v>
      </c>
      <c r="I100" t="s">
        <v>1336</v>
      </c>
      <c r="N100">
        <v>2</v>
      </c>
      <c r="O100" t="s">
        <v>1335</v>
      </c>
      <c r="P100" t="s">
        <v>1334</v>
      </c>
      <c r="Q100" t="s">
        <v>19</v>
      </c>
      <c r="R100" s="7">
        <v>32112</v>
      </c>
      <c r="S100" s="8">
        <f t="shared" si="8"/>
        <v>1987</v>
      </c>
      <c r="T100" s="8">
        <v>1987</v>
      </c>
      <c r="U100" s="8">
        <f t="shared" si="9"/>
        <v>35</v>
      </c>
      <c r="V100" s="7">
        <v>32112</v>
      </c>
      <c r="W100" t="s">
        <v>481</v>
      </c>
      <c r="X100" s="2">
        <v>0.14099999999999999</v>
      </c>
      <c r="Y100" s="6">
        <f t="shared" si="10"/>
        <v>3.7639144710498915E-3</v>
      </c>
      <c r="AA100">
        <v>402508</v>
      </c>
      <c r="AB100">
        <v>20868</v>
      </c>
      <c r="AD100" t="s">
        <v>1</v>
      </c>
      <c r="AE100" t="s">
        <v>480</v>
      </c>
      <c r="AF100">
        <v>12</v>
      </c>
      <c r="AH100" t="s">
        <v>1333</v>
      </c>
      <c r="AI100" t="s">
        <v>1332</v>
      </c>
      <c r="AK100" t="s">
        <v>1331</v>
      </c>
      <c r="AL100">
        <v>0</v>
      </c>
      <c r="AM100" s="5">
        <f t="shared" si="11"/>
        <v>0</v>
      </c>
      <c r="AN100" s="4">
        <f t="shared" si="12"/>
        <v>0</v>
      </c>
      <c r="AO100" s="3"/>
      <c r="AP100">
        <v>0</v>
      </c>
      <c r="AR100" t="s">
        <v>0</v>
      </c>
      <c r="AT100" s="2" t="s">
        <v>6</v>
      </c>
      <c r="AU100" s="1">
        <f t="shared" si="13"/>
        <v>0.26347401297349238</v>
      </c>
      <c r="AV100" s="1">
        <f t="shared" si="14"/>
        <v>0.18819572355249459</v>
      </c>
      <c r="AW100" s="1">
        <f t="shared" si="15"/>
        <v>0.11291743413149673</v>
      </c>
    </row>
    <row r="101" spans="1:49" x14ac:dyDescent="0.2">
      <c r="A101">
        <v>99</v>
      </c>
      <c r="B101" t="s">
        <v>1330</v>
      </c>
      <c r="F101" t="s">
        <v>1329</v>
      </c>
      <c r="G101" t="s">
        <v>4</v>
      </c>
      <c r="H101" t="s">
        <v>3</v>
      </c>
      <c r="I101" t="s">
        <v>1328</v>
      </c>
      <c r="N101">
        <v>1</v>
      </c>
      <c r="O101" t="s">
        <v>1327</v>
      </c>
      <c r="P101">
        <v>6508160506</v>
      </c>
      <c r="R101" s="7">
        <v>32112</v>
      </c>
      <c r="S101" s="8">
        <f t="shared" si="8"/>
        <v>1987</v>
      </c>
      <c r="T101" s="8">
        <v>1987</v>
      </c>
      <c r="U101" s="8">
        <f t="shared" si="9"/>
        <v>35</v>
      </c>
      <c r="V101" s="7">
        <v>1987</v>
      </c>
      <c r="W101" t="s">
        <v>1326</v>
      </c>
      <c r="X101" s="2" t="s">
        <v>6</v>
      </c>
      <c r="Y101" s="6" t="e">
        <f t="shared" si="10"/>
        <v>#VALUE!</v>
      </c>
      <c r="AA101">
        <v>337870</v>
      </c>
      <c r="AB101">
        <v>32478</v>
      </c>
      <c r="AD101" t="s">
        <v>1</v>
      </c>
      <c r="AE101">
        <v>30</v>
      </c>
      <c r="AF101">
        <v>11</v>
      </c>
      <c r="AH101" s="9">
        <v>44287</v>
      </c>
      <c r="AI101" t="s">
        <v>1325</v>
      </c>
      <c r="AK101" t="s">
        <v>1324</v>
      </c>
      <c r="AL101">
        <v>0</v>
      </c>
      <c r="AM101" s="5">
        <f t="shared" si="11"/>
        <v>0</v>
      </c>
      <c r="AN101" s="4">
        <f t="shared" si="12"/>
        <v>0</v>
      </c>
      <c r="AO101" s="3"/>
      <c r="AP101">
        <v>0</v>
      </c>
      <c r="AR101" t="s">
        <v>0</v>
      </c>
      <c r="AT101" s="2" t="s">
        <v>6</v>
      </c>
      <c r="AU101" s="1" t="e">
        <f t="shared" si="13"/>
        <v>#VALUE!</v>
      </c>
      <c r="AV101" s="1" t="e">
        <f t="shared" si="14"/>
        <v>#VALUE!</v>
      </c>
      <c r="AW101" s="1" t="e">
        <f t="shared" si="15"/>
        <v>#VALUE!</v>
      </c>
    </row>
    <row r="102" spans="1:49" x14ac:dyDescent="0.2">
      <c r="A102">
        <v>100</v>
      </c>
      <c r="B102" t="s">
        <v>1323</v>
      </c>
      <c r="C102" t="s">
        <v>1322</v>
      </c>
      <c r="F102" t="s">
        <v>1321</v>
      </c>
      <c r="G102" t="s">
        <v>4</v>
      </c>
      <c r="H102" t="s">
        <v>3</v>
      </c>
      <c r="I102" t="s">
        <v>1320</v>
      </c>
      <c r="J102">
        <v>60003480</v>
      </c>
      <c r="K102" t="s">
        <v>173</v>
      </c>
      <c r="L102" t="s">
        <v>89</v>
      </c>
      <c r="M102" t="s">
        <v>7</v>
      </c>
      <c r="N102">
        <v>1</v>
      </c>
      <c r="O102" t="s">
        <v>1319</v>
      </c>
      <c r="P102">
        <v>57203590769</v>
      </c>
      <c r="Q102">
        <v>60003480</v>
      </c>
      <c r="R102" s="7">
        <v>32112</v>
      </c>
      <c r="S102" s="8">
        <f t="shared" si="8"/>
        <v>1987</v>
      </c>
      <c r="T102" s="8">
        <v>1987</v>
      </c>
      <c r="U102" s="8">
        <f t="shared" si="9"/>
        <v>35</v>
      </c>
      <c r="V102" s="7">
        <v>1987</v>
      </c>
      <c r="W102" t="s">
        <v>85</v>
      </c>
      <c r="X102" s="2" t="s">
        <v>6</v>
      </c>
      <c r="Y102" s="6" t="e">
        <f t="shared" si="10"/>
        <v>#VALUE!</v>
      </c>
      <c r="AA102">
        <v>223735</v>
      </c>
      <c r="AB102">
        <v>32471</v>
      </c>
      <c r="AD102" t="s">
        <v>1</v>
      </c>
      <c r="AE102">
        <v>20</v>
      </c>
      <c r="AF102">
        <v>2</v>
      </c>
      <c r="AG102">
        <v>8</v>
      </c>
      <c r="AH102" t="s">
        <v>1318</v>
      </c>
      <c r="AI102" t="s">
        <v>1317</v>
      </c>
      <c r="AK102" t="s">
        <v>1316</v>
      </c>
      <c r="AL102">
        <v>2</v>
      </c>
      <c r="AM102" s="5">
        <f t="shared" si="11"/>
        <v>5.7142857142857141E-2</v>
      </c>
      <c r="AN102" s="4">
        <f t="shared" si="12"/>
        <v>8.6547303510575E-5</v>
      </c>
      <c r="AO102" s="3"/>
      <c r="AP102">
        <v>0</v>
      </c>
      <c r="AR102" t="s">
        <v>0</v>
      </c>
      <c r="AT102" s="2" t="s">
        <v>6</v>
      </c>
      <c r="AU102" s="1" t="e">
        <f t="shared" si="13"/>
        <v>#VALUE!</v>
      </c>
      <c r="AV102" s="1" t="e">
        <f t="shared" si="14"/>
        <v>#VALUE!</v>
      </c>
      <c r="AW102" s="1" t="e">
        <f t="shared" si="15"/>
        <v>#VALUE!</v>
      </c>
    </row>
    <row r="103" spans="1:49" x14ac:dyDescent="0.2">
      <c r="A103">
        <v>101</v>
      </c>
      <c r="B103" t="s">
        <v>1315</v>
      </c>
      <c r="C103" t="s">
        <v>1314</v>
      </c>
      <c r="F103" t="s">
        <v>1313</v>
      </c>
      <c r="G103" t="s">
        <v>4</v>
      </c>
      <c r="H103" t="s">
        <v>3</v>
      </c>
      <c r="I103" t="s">
        <v>1312</v>
      </c>
      <c r="J103">
        <v>60028186</v>
      </c>
      <c r="K103" t="s">
        <v>118</v>
      </c>
      <c r="L103" t="s">
        <v>117</v>
      </c>
      <c r="M103" t="s">
        <v>39</v>
      </c>
      <c r="N103">
        <v>4</v>
      </c>
      <c r="O103" t="s">
        <v>1311</v>
      </c>
      <c r="P103" t="s">
        <v>1310</v>
      </c>
      <c r="Q103" t="s">
        <v>1309</v>
      </c>
      <c r="R103" s="7">
        <v>32112</v>
      </c>
      <c r="S103" s="8">
        <f t="shared" si="8"/>
        <v>1987</v>
      </c>
      <c r="T103" s="8">
        <v>1987</v>
      </c>
      <c r="U103" s="8">
        <f t="shared" si="9"/>
        <v>35</v>
      </c>
      <c r="V103" s="7">
        <v>1987</v>
      </c>
      <c r="W103" t="s">
        <v>1308</v>
      </c>
      <c r="X103" s="2">
        <v>1.3280000000000001</v>
      </c>
      <c r="Y103" s="6">
        <f t="shared" si="10"/>
        <v>3.5450201542937994E-2</v>
      </c>
      <c r="AA103">
        <v>7413335</v>
      </c>
      <c r="AB103">
        <v>29251</v>
      </c>
      <c r="AD103" t="s">
        <v>1</v>
      </c>
      <c r="AE103">
        <v>29</v>
      </c>
      <c r="AF103">
        <v>3</v>
      </c>
      <c r="AG103">
        <v>4</v>
      </c>
      <c r="AH103" t="s">
        <v>1307</v>
      </c>
      <c r="AI103" t="s">
        <v>1306</v>
      </c>
      <c r="AK103" t="s">
        <v>1305</v>
      </c>
      <c r="AL103">
        <v>17</v>
      </c>
      <c r="AM103" s="5">
        <f t="shared" si="11"/>
        <v>0.48571428571428571</v>
      </c>
      <c r="AN103" s="4">
        <f t="shared" si="12"/>
        <v>7.3565207983988746E-4</v>
      </c>
      <c r="AO103" s="3"/>
      <c r="AP103">
        <v>0</v>
      </c>
      <c r="AR103" t="s">
        <v>0</v>
      </c>
      <c r="AT103" s="2">
        <v>2.4580000000000002</v>
      </c>
      <c r="AU103" s="1">
        <f t="shared" si="13"/>
        <v>2.5035836704008561</v>
      </c>
      <c r="AV103" s="1">
        <f t="shared" si="14"/>
        <v>1.8092926811388941</v>
      </c>
      <c r="AW103" s="1">
        <f t="shared" si="15"/>
        <v>1.1150016918769319</v>
      </c>
    </row>
    <row r="104" spans="1:49" x14ac:dyDescent="0.2">
      <c r="A104">
        <v>102</v>
      </c>
      <c r="B104" t="s">
        <v>1304</v>
      </c>
      <c r="C104" t="s">
        <v>1303</v>
      </c>
      <c r="F104" t="s">
        <v>1302</v>
      </c>
      <c r="G104" t="s">
        <v>4</v>
      </c>
      <c r="H104" t="s">
        <v>3</v>
      </c>
      <c r="I104" t="s">
        <v>1301</v>
      </c>
      <c r="J104">
        <v>60028717</v>
      </c>
      <c r="K104" t="s">
        <v>149</v>
      </c>
      <c r="L104" t="s">
        <v>57</v>
      </c>
      <c r="M104" t="s">
        <v>9</v>
      </c>
      <c r="N104">
        <v>2</v>
      </c>
      <c r="O104" t="s">
        <v>1300</v>
      </c>
      <c r="P104" t="s">
        <v>1299</v>
      </c>
      <c r="Q104" t="s">
        <v>1298</v>
      </c>
      <c r="R104" s="7">
        <v>32112</v>
      </c>
      <c r="S104" s="8">
        <f t="shared" si="8"/>
        <v>1987</v>
      </c>
      <c r="T104" s="8">
        <v>1987</v>
      </c>
      <c r="U104" s="8">
        <f t="shared" si="9"/>
        <v>35</v>
      </c>
      <c r="V104" s="7">
        <v>32112</v>
      </c>
      <c r="W104" t="s">
        <v>143</v>
      </c>
      <c r="X104" s="2">
        <v>0.51700000000000002</v>
      </c>
      <c r="Y104" s="6">
        <f t="shared" si="10"/>
        <v>1.3801019727182938E-2</v>
      </c>
      <c r="AA104" t="s">
        <v>142</v>
      </c>
      <c r="AB104">
        <v>14981</v>
      </c>
      <c r="AC104" t="s">
        <v>141</v>
      </c>
      <c r="AD104" t="s">
        <v>1</v>
      </c>
      <c r="AE104">
        <v>107</v>
      </c>
      <c r="AF104">
        <v>5</v>
      </c>
      <c r="AH104" t="s">
        <v>1297</v>
      </c>
      <c r="AI104" t="s">
        <v>1296</v>
      </c>
      <c r="AK104" t="s">
        <v>1295</v>
      </c>
      <c r="AL104">
        <v>24</v>
      </c>
      <c r="AM104" s="5">
        <f t="shared" si="11"/>
        <v>0.68571428571428572</v>
      </c>
      <c r="AN104" s="4">
        <f t="shared" si="12"/>
        <v>1.0385676421269001E-3</v>
      </c>
      <c r="AO104" s="3"/>
      <c r="AP104">
        <v>0</v>
      </c>
      <c r="AR104" t="s">
        <v>0</v>
      </c>
      <c r="AT104" s="2">
        <v>1.3260000000000001</v>
      </c>
      <c r="AU104" s="1">
        <f t="shared" si="13"/>
        <v>0.99722841016661268</v>
      </c>
      <c r="AV104" s="1">
        <f t="shared" si="14"/>
        <v>0.74197936846549184</v>
      </c>
      <c r="AW104" s="1">
        <f t="shared" si="15"/>
        <v>0.48673032676437117</v>
      </c>
    </row>
    <row r="105" spans="1:49" x14ac:dyDescent="0.2">
      <c r="A105">
        <v>103</v>
      </c>
      <c r="B105" t="s">
        <v>1294</v>
      </c>
      <c r="C105" t="s">
        <v>1293</v>
      </c>
      <c r="F105" t="s">
        <v>1292</v>
      </c>
      <c r="G105" t="s">
        <v>4</v>
      </c>
      <c r="H105" t="s">
        <v>3</v>
      </c>
      <c r="I105" t="s">
        <v>1291</v>
      </c>
      <c r="J105">
        <v>60014313</v>
      </c>
      <c r="K105" t="s">
        <v>72</v>
      </c>
      <c r="L105" t="s">
        <v>71</v>
      </c>
      <c r="M105" t="s">
        <v>2</v>
      </c>
      <c r="N105">
        <v>3</v>
      </c>
      <c r="O105" t="s">
        <v>1290</v>
      </c>
      <c r="P105" t="s">
        <v>1289</v>
      </c>
      <c r="Q105" t="s">
        <v>1288</v>
      </c>
      <c r="R105" s="7">
        <v>32112</v>
      </c>
      <c r="S105" s="8">
        <f t="shared" si="8"/>
        <v>1987</v>
      </c>
      <c r="T105" s="8">
        <v>1987</v>
      </c>
      <c r="U105" s="8">
        <f t="shared" si="9"/>
        <v>35</v>
      </c>
      <c r="V105" s="7">
        <v>1987</v>
      </c>
      <c r="W105" t="s">
        <v>1287</v>
      </c>
      <c r="X105" s="2">
        <v>1.1819999999999999</v>
      </c>
      <c r="Y105" s="6">
        <f t="shared" si="10"/>
        <v>3.1552814927524625E-2</v>
      </c>
      <c r="AA105">
        <v>36951</v>
      </c>
      <c r="AB105">
        <v>27030</v>
      </c>
      <c r="AD105" t="s">
        <v>1</v>
      </c>
      <c r="AE105">
        <v>50</v>
      </c>
      <c r="AF105">
        <v>17</v>
      </c>
      <c r="AH105" t="s">
        <v>1286</v>
      </c>
      <c r="AI105" t="s">
        <v>1285</v>
      </c>
      <c r="AK105" t="s">
        <v>1284</v>
      </c>
      <c r="AL105">
        <v>47</v>
      </c>
      <c r="AM105" s="5">
        <f t="shared" si="11"/>
        <v>1.3428571428571427</v>
      </c>
      <c r="AN105" s="4">
        <f t="shared" si="12"/>
        <v>2.0338616324985124E-3</v>
      </c>
      <c r="AO105" s="3"/>
      <c r="AP105">
        <v>0</v>
      </c>
      <c r="AR105" t="s">
        <v>0</v>
      </c>
      <c r="AT105" s="2">
        <v>3.7909999999999999</v>
      </c>
      <c r="AU105" s="1">
        <f t="shared" si="13"/>
        <v>2.2697128939016786</v>
      </c>
      <c r="AV105" s="1">
        <f t="shared" si="14"/>
        <v>1.6793338280011567</v>
      </c>
      <c r="AW105" s="1">
        <f t="shared" si="15"/>
        <v>1.0889547621006346</v>
      </c>
    </row>
    <row r="106" spans="1:49" x14ac:dyDescent="0.2">
      <c r="A106">
        <v>104</v>
      </c>
      <c r="B106" t="s">
        <v>1283</v>
      </c>
      <c r="F106" t="s">
        <v>1282</v>
      </c>
      <c r="G106" t="s">
        <v>4</v>
      </c>
      <c r="H106" t="s">
        <v>3</v>
      </c>
      <c r="I106" t="s">
        <v>1281</v>
      </c>
      <c r="J106">
        <v>60028586</v>
      </c>
      <c r="K106" t="s">
        <v>691</v>
      </c>
      <c r="L106" t="s">
        <v>690</v>
      </c>
      <c r="M106" t="s">
        <v>28</v>
      </c>
      <c r="N106">
        <v>2</v>
      </c>
      <c r="O106" t="s">
        <v>1280</v>
      </c>
      <c r="P106" t="s">
        <v>1279</v>
      </c>
      <c r="Q106" t="s">
        <v>1278</v>
      </c>
      <c r="R106" s="7">
        <v>32112</v>
      </c>
      <c r="S106" s="8">
        <f t="shared" si="8"/>
        <v>1987</v>
      </c>
      <c r="T106" s="8">
        <v>1987</v>
      </c>
      <c r="U106" s="8">
        <f t="shared" si="9"/>
        <v>35</v>
      </c>
      <c r="V106" s="7">
        <v>32112</v>
      </c>
      <c r="W106" t="s">
        <v>12</v>
      </c>
      <c r="X106" s="2">
        <v>1.9750000000000001</v>
      </c>
      <c r="Y106" s="6">
        <f t="shared" si="10"/>
        <v>5.2721497023571186E-2</v>
      </c>
      <c r="AA106">
        <v>320781</v>
      </c>
      <c r="AB106">
        <v>19019</v>
      </c>
      <c r="AD106" t="s">
        <v>1</v>
      </c>
      <c r="AE106">
        <v>28</v>
      </c>
      <c r="AF106">
        <v>8</v>
      </c>
      <c r="AH106" t="s">
        <v>1277</v>
      </c>
      <c r="AI106" t="s">
        <v>1276</v>
      </c>
      <c r="AJ106" t="s">
        <v>1275</v>
      </c>
      <c r="AK106" t="s">
        <v>1274</v>
      </c>
      <c r="AL106">
        <v>83</v>
      </c>
      <c r="AM106" s="5">
        <f t="shared" si="11"/>
        <v>2.3714285714285714</v>
      </c>
      <c r="AN106" s="4">
        <f t="shared" si="12"/>
        <v>3.5917130956888625E-3</v>
      </c>
      <c r="AO106" s="3"/>
      <c r="AP106">
        <v>0</v>
      </c>
      <c r="AQ106" t="s">
        <v>924</v>
      </c>
      <c r="AR106" t="s">
        <v>0</v>
      </c>
      <c r="AS106" t="s">
        <v>923</v>
      </c>
      <c r="AT106" s="2">
        <v>4.9269999999999996</v>
      </c>
      <c r="AU106" s="1">
        <f t="shared" si="13"/>
        <v>3.7982561845206488</v>
      </c>
      <c r="AV106" s="1">
        <f t="shared" si="14"/>
        <v>2.8156605059630024</v>
      </c>
      <c r="AW106" s="1">
        <f t="shared" si="15"/>
        <v>1.8330648274053558</v>
      </c>
    </row>
    <row r="107" spans="1:49" x14ac:dyDescent="0.2">
      <c r="A107">
        <v>105</v>
      </c>
      <c r="B107" t="s">
        <v>1273</v>
      </c>
      <c r="C107" t="s">
        <v>1272</v>
      </c>
      <c r="F107" t="s">
        <v>1271</v>
      </c>
      <c r="G107" t="s">
        <v>4</v>
      </c>
      <c r="H107" t="s">
        <v>3</v>
      </c>
      <c r="I107" t="s">
        <v>1270</v>
      </c>
      <c r="J107" t="s">
        <v>1269</v>
      </c>
      <c r="K107" t="s">
        <v>1268</v>
      </c>
      <c r="L107" t="s">
        <v>1267</v>
      </c>
      <c r="M107" t="s">
        <v>8</v>
      </c>
      <c r="N107">
        <v>2</v>
      </c>
      <c r="O107" t="s">
        <v>1266</v>
      </c>
      <c r="P107" t="s">
        <v>1265</v>
      </c>
      <c r="Q107" t="s">
        <v>1264</v>
      </c>
      <c r="R107" s="7">
        <v>32112</v>
      </c>
      <c r="S107" s="8">
        <f t="shared" si="8"/>
        <v>1987</v>
      </c>
      <c r="T107" s="8">
        <v>1987</v>
      </c>
      <c r="U107" s="8">
        <f t="shared" si="9"/>
        <v>35</v>
      </c>
      <c r="V107" s="7">
        <v>1987</v>
      </c>
      <c r="W107" t="s">
        <v>1263</v>
      </c>
      <c r="X107" s="2">
        <v>0.54200000000000004</v>
      </c>
      <c r="Y107" s="6">
        <f t="shared" si="10"/>
        <v>1.4468380449000295E-2</v>
      </c>
      <c r="AA107">
        <v>14778599</v>
      </c>
      <c r="AB107">
        <v>24578</v>
      </c>
      <c r="AD107" t="s">
        <v>1</v>
      </c>
      <c r="AE107">
        <v>4</v>
      </c>
      <c r="AF107">
        <v>3</v>
      </c>
      <c r="AH107" t="s">
        <v>1262</v>
      </c>
      <c r="AI107" t="s">
        <v>1261</v>
      </c>
      <c r="AJ107" t="s">
        <v>1260</v>
      </c>
      <c r="AK107" t="s">
        <v>1259</v>
      </c>
      <c r="AL107">
        <v>50</v>
      </c>
      <c r="AM107" s="5">
        <f t="shared" si="11"/>
        <v>1.4285714285714286</v>
      </c>
      <c r="AN107" s="4">
        <f t="shared" si="12"/>
        <v>2.163682587764375E-3</v>
      </c>
      <c r="AO107" s="3"/>
      <c r="AP107">
        <v>0</v>
      </c>
      <c r="AQ107" t="s">
        <v>41</v>
      </c>
      <c r="AR107">
        <v>-8510834</v>
      </c>
      <c r="AS107" t="s">
        <v>40</v>
      </c>
      <c r="AT107" s="2" t="s">
        <v>6</v>
      </c>
      <c r="AU107" s="1">
        <f t="shared" si="13"/>
        <v>1.0776971090629517</v>
      </c>
      <c r="AV107" s="1">
        <f t="shared" si="14"/>
        <v>0.83160315183823352</v>
      </c>
      <c r="AW107" s="1">
        <f t="shared" si="15"/>
        <v>0.58550919461351514</v>
      </c>
    </row>
    <row r="108" spans="1:49" x14ac:dyDescent="0.2">
      <c r="A108">
        <v>106</v>
      </c>
      <c r="B108" t="s">
        <v>1258</v>
      </c>
      <c r="C108" t="s">
        <v>1257</v>
      </c>
      <c r="F108" t="s">
        <v>1256</v>
      </c>
      <c r="G108" t="s">
        <v>4</v>
      </c>
      <c r="H108" t="s">
        <v>3</v>
      </c>
      <c r="I108" t="s">
        <v>1255</v>
      </c>
      <c r="J108">
        <v>60003554</v>
      </c>
      <c r="K108" t="s">
        <v>1254</v>
      </c>
      <c r="L108" t="s">
        <v>110</v>
      </c>
      <c r="M108" t="s">
        <v>66</v>
      </c>
      <c r="N108">
        <v>2</v>
      </c>
      <c r="O108" t="s">
        <v>1253</v>
      </c>
      <c r="P108" t="s">
        <v>1252</v>
      </c>
      <c r="Q108" t="s">
        <v>1251</v>
      </c>
      <c r="R108" s="7">
        <v>32112</v>
      </c>
      <c r="S108" s="8">
        <f t="shared" si="8"/>
        <v>1987</v>
      </c>
      <c r="T108" s="8">
        <v>1987</v>
      </c>
      <c r="U108" s="8">
        <f t="shared" si="9"/>
        <v>35</v>
      </c>
      <c r="V108" s="7">
        <v>1987</v>
      </c>
      <c r="W108" t="s">
        <v>1250</v>
      </c>
      <c r="X108" s="2" t="s">
        <v>6</v>
      </c>
      <c r="Y108" s="6" t="e">
        <f t="shared" si="10"/>
        <v>#VALUE!</v>
      </c>
      <c r="AA108">
        <v>2665611</v>
      </c>
      <c r="AB108">
        <v>28497</v>
      </c>
      <c r="AD108" t="s">
        <v>1</v>
      </c>
      <c r="AE108">
        <v>3</v>
      </c>
      <c r="AF108">
        <v>1</v>
      </c>
      <c r="AG108">
        <v>13</v>
      </c>
      <c r="AH108" t="s">
        <v>84</v>
      </c>
      <c r="AI108" t="s">
        <v>1249</v>
      </c>
      <c r="AK108" t="s">
        <v>1248</v>
      </c>
      <c r="AL108">
        <v>96</v>
      </c>
      <c r="AM108" s="5">
        <f t="shared" si="11"/>
        <v>2.7428571428571429</v>
      </c>
      <c r="AN108" s="4">
        <f t="shared" si="12"/>
        <v>4.1542705685076002E-3</v>
      </c>
      <c r="AO108" s="3"/>
      <c r="AP108">
        <v>0</v>
      </c>
      <c r="AR108" t="s">
        <v>0</v>
      </c>
      <c r="AT108" s="2" t="s">
        <v>6</v>
      </c>
      <c r="AU108" s="1" t="e">
        <f t="shared" si="13"/>
        <v>#VALUE!</v>
      </c>
      <c r="AV108" s="1" t="e">
        <f t="shared" si="14"/>
        <v>#VALUE!</v>
      </c>
      <c r="AW108" s="1" t="e">
        <f t="shared" si="15"/>
        <v>#VALUE!</v>
      </c>
    </row>
    <row r="109" spans="1:49" x14ac:dyDescent="0.2">
      <c r="A109">
        <v>107</v>
      </c>
      <c r="B109" t="s">
        <v>1247</v>
      </c>
      <c r="C109" t="s">
        <v>1246</v>
      </c>
      <c r="D109">
        <v>5272887902015</v>
      </c>
      <c r="F109" t="s">
        <v>1245</v>
      </c>
      <c r="G109" t="s">
        <v>4</v>
      </c>
      <c r="H109" t="s">
        <v>3</v>
      </c>
      <c r="I109" t="s">
        <v>1244</v>
      </c>
      <c r="J109" t="s">
        <v>1243</v>
      </c>
      <c r="K109" t="s">
        <v>1242</v>
      </c>
      <c r="L109" t="s">
        <v>1241</v>
      </c>
      <c r="M109" t="s">
        <v>1240</v>
      </c>
      <c r="N109">
        <v>4</v>
      </c>
      <c r="O109" t="s">
        <v>1239</v>
      </c>
      <c r="P109" t="s">
        <v>1238</v>
      </c>
      <c r="Q109" t="s">
        <v>1237</v>
      </c>
      <c r="R109" s="7">
        <v>32100</v>
      </c>
      <c r="S109" s="8">
        <f t="shared" si="8"/>
        <v>1987</v>
      </c>
      <c r="T109" s="8">
        <v>1987</v>
      </c>
      <c r="U109" s="8">
        <f t="shared" si="9"/>
        <v>35</v>
      </c>
      <c r="V109" s="7">
        <v>32100</v>
      </c>
      <c r="W109" t="s">
        <v>151</v>
      </c>
      <c r="X109" s="2">
        <v>1.59</v>
      </c>
      <c r="Y109" s="6">
        <f t="shared" si="10"/>
        <v>4.2444141907583888E-2</v>
      </c>
      <c r="AA109">
        <v>52728</v>
      </c>
      <c r="AB109">
        <v>16791</v>
      </c>
      <c r="AD109" t="s">
        <v>1</v>
      </c>
      <c r="AE109">
        <v>894</v>
      </c>
      <c r="AF109">
        <v>2</v>
      </c>
      <c r="AH109" t="s">
        <v>1236</v>
      </c>
      <c r="AI109" t="s">
        <v>1235</v>
      </c>
      <c r="AJ109" t="s">
        <v>1234</v>
      </c>
      <c r="AK109" t="s">
        <v>1233</v>
      </c>
      <c r="AL109">
        <v>82</v>
      </c>
      <c r="AM109" s="5">
        <f t="shared" si="11"/>
        <v>2.342857142857143</v>
      </c>
      <c r="AN109" s="4">
        <f t="shared" si="12"/>
        <v>3.5484394439335753E-3</v>
      </c>
      <c r="AO109" s="3"/>
      <c r="AP109">
        <v>0</v>
      </c>
      <c r="AQ109" t="s">
        <v>1002</v>
      </c>
      <c r="AR109" t="s">
        <v>0</v>
      </c>
      <c r="AS109" t="s">
        <v>1015</v>
      </c>
      <c r="AT109" s="2" t="s">
        <v>6</v>
      </c>
      <c r="AU109" s="1">
        <f t="shared" si="13"/>
        <v>3.0775431168488794</v>
      </c>
      <c r="AV109" s="1">
        <f t="shared" si="14"/>
        <v>2.2996290675758733</v>
      </c>
      <c r="AW109" s="1">
        <f t="shared" si="15"/>
        <v>1.5217150183028667</v>
      </c>
    </row>
    <row r="110" spans="1:49" x14ac:dyDescent="0.2">
      <c r="A110">
        <v>108</v>
      </c>
      <c r="B110" t="s">
        <v>1232</v>
      </c>
      <c r="C110" t="s">
        <v>1231</v>
      </c>
      <c r="D110">
        <v>5273687903786</v>
      </c>
      <c r="F110" t="s">
        <v>1230</v>
      </c>
      <c r="G110" t="s">
        <v>4</v>
      </c>
      <c r="H110" t="s">
        <v>3</v>
      </c>
      <c r="I110" t="s">
        <v>1229</v>
      </c>
      <c r="J110" t="s">
        <v>1228</v>
      </c>
      <c r="K110" t="s">
        <v>1227</v>
      </c>
      <c r="L110" t="s">
        <v>1226</v>
      </c>
      <c r="M110" t="s">
        <v>1225</v>
      </c>
      <c r="N110">
        <v>4</v>
      </c>
      <c r="O110" t="s">
        <v>1224</v>
      </c>
      <c r="P110" t="s">
        <v>1223</v>
      </c>
      <c r="Q110" t="s">
        <v>1222</v>
      </c>
      <c r="R110" s="7">
        <v>32094</v>
      </c>
      <c r="S110" s="8">
        <f t="shared" si="8"/>
        <v>1987</v>
      </c>
      <c r="T110" s="8">
        <v>1987</v>
      </c>
      <c r="U110" s="8">
        <f t="shared" si="9"/>
        <v>35</v>
      </c>
      <c r="V110" s="7">
        <v>32094</v>
      </c>
      <c r="W110" t="s">
        <v>1221</v>
      </c>
      <c r="X110" s="2">
        <v>1.59</v>
      </c>
      <c r="Y110" s="6">
        <f t="shared" si="10"/>
        <v>4.2444141907583888E-2</v>
      </c>
      <c r="AA110">
        <v>52736</v>
      </c>
      <c r="AB110">
        <v>18406</v>
      </c>
      <c r="AD110" t="s">
        <v>1</v>
      </c>
      <c r="AE110">
        <v>904</v>
      </c>
      <c r="AF110">
        <v>2</v>
      </c>
      <c r="AH110" t="s">
        <v>1220</v>
      </c>
      <c r="AI110" t="s">
        <v>1219</v>
      </c>
      <c r="AJ110" t="s">
        <v>1218</v>
      </c>
      <c r="AK110" t="s">
        <v>1217</v>
      </c>
      <c r="AL110">
        <v>6</v>
      </c>
      <c r="AM110" s="5">
        <f t="shared" si="11"/>
        <v>0.17142857142857143</v>
      </c>
      <c r="AN110" s="4">
        <f t="shared" si="12"/>
        <v>2.5964191053172501E-4</v>
      </c>
      <c r="AO110" s="3"/>
      <c r="AP110">
        <v>0</v>
      </c>
      <c r="AR110" t="s">
        <v>0</v>
      </c>
      <c r="AT110" s="2" t="s">
        <v>6</v>
      </c>
      <c r="AU110" s="1">
        <f t="shared" si="13"/>
        <v>2.9788791908468237</v>
      </c>
      <c r="AV110" s="1">
        <f t="shared" si="14"/>
        <v>2.1351891909057805</v>
      </c>
      <c r="AW110" s="1">
        <f t="shared" si="15"/>
        <v>1.2914991909647373</v>
      </c>
    </row>
    <row r="111" spans="1:49" x14ac:dyDescent="0.2">
      <c r="A111">
        <v>109</v>
      </c>
      <c r="B111" t="s">
        <v>1216</v>
      </c>
      <c r="C111" t="s">
        <v>1215</v>
      </c>
      <c r="F111" t="s">
        <v>1214</v>
      </c>
      <c r="G111" t="s">
        <v>4</v>
      </c>
      <c r="H111" t="s">
        <v>3</v>
      </c>
      <c r="I111" t="s">
        <v>1213</v>
      </c>
      <c r="J111">
        <v>60027678</v>
      </c>
      <c r="K111" t="s">
        <v>1212</v>
      </c>
      <c r="L111" t="s">
        <v>1211</v>
      </c>
      <c r="M111" t="s">
        <v>2</v>
      </c>
      <c r="N111">
        <v>3</v>
      </c>
      <c r="O111" t="s">
        <v>1210</v>
      </c>
      <c r="P111" t="s">
        <v>1209</v>
      </c>
      <c r="Q111" t="s">
        <v>1208</v>
      </c>
      <c r="R111" s="7">
        <v>32082</v>
      </c>
      <c r="S111" s="8">
        <f t="shared" si="8"/>
        <v>1987</v>
      </c>
      <c r="T111" s="8">
        <v>1987</v>
      </c>
      <c r="U111" s="8">
        <f t="shared" si="9"/>
        <v>35</v>
      </c>
      <c r="V111" s="7">
        <v>32082</v>
      </c>
      <c r="W111" t="s">
        <v>5</v>
      </c>
      <c r="X111" s="2">
        <v>0.85499999999999998</v>
      </c>
      <c r="Y111" s="6">
        <f t="shared" si="10"/>
        <v>2.28237366861536E-2</v>
      </c>
      <c r="AA111">
        <v>980331</v>
      </c>
      <c r="AB111">
        <v>23342</v>
      </c>
      <c r="AC111">
        <v>15731561</v>
      </c>
      <c r="AD111" t="s">
        <v>1</v>
      </c>
      <c r="AE111">
        <v>13</v>
      </c>
      <c r="AF111">
        <v>11</v>
      </c>
      <c r="AH111" t="s">
        <v>1207</v>
      </c>
      <c r="AI111" t="s">
        <v>1206</v>
      </c>
      <c r="AJ111" t="s">
        <v>1205</v>
      </c>
      <c r="AK111" t="s">
        <v>1204</v>
      </c>
      <c r="AL111">
        <v>5</v>
      </c>
      <c r="AM111" s="5">
        <f t="shared" si="11"/>
        <v>0.14285714285714285</v>
      </c>
      <c r="AN111" s="4">
        <f t="shared" si="12"/>
        <v>2.1636825877643749E-4</v>
      </c>
      <c r="AO111" s="3"/>
      <c r="AP111">
        <v>0</v>
      </c>
      <c r="AR111" t="s">
        <v>0</v>
      </c>
      <c r="AT111" s="2">
        <v>2.6259999999999999</v>
      </c>
      <c r="AU111" s="1">
        <f t="shared" si="13"/>
        <v>1.6041526157940449</v>
      </c>
      <c r="AV111" s="1">
        <f t="shared" si="14"/>
        <v>1.1520052472465019</v>
      </c>
      <c r="AW111" s="1">
        <f t="shared" si="15"/>
        <v>0.69985787869895866</v>
      </c>
    </row>
    <row r="112" spans="1:49" x14ac:dyDescent="0.2">
      <c r="A112">
        <v>110</v>
      </c>
      <c r="B112" t="s">
        <v>1203</v>
      </c>
      <c r="C112" t="s">
        <v>1202</v>
      </c>
      <c r="F112" t="s">
        <v>1201</v>
      </c>
      <c r="G112" t="s">
        <v>4</v>
      </c>
      <c r="H112" t="s">
        <v>3</v>
      </c>
      <c r="I112" t="s">
        <v>1200</v>
      </c>
      <c r="J112">
        <v>60007363</v>
      </c>
      <c r="K112" t="s">
        <v>1199</v>
      </c>
      <c r="L112" t="s">
        <v>1198</v>
      </c>
      <c r="M112" t="s">
        <v>2</v>
      </c>
      <c r="N112">
        <v>4</v>
      </c>
      <c r="O112" t="s">
        <v>1197</v>
      </c>
      <c r="P112" t="s">
        <v>1196</v>
      </c>
      <c r="Q112" t="s">
        <v>1195</v>
      </c>
      <c r="R112" s="7">
        <v>32082</v>
      </c>
      <c r="S112" s="8">
        <f t="shared" si="8"/>
        <v>1987</v>
      </c>
      <c r="T112" s="8">
        <v>1987</v>
      </c>
      <c r="U112" s="8">
        <f t="shared" si="9"/>
        <v>35</v>
      </c>
      <c r="V112" s="7">
        <v>32082</v>
      </c>
      <c r="W112" t="s">
        <v>1194</v>
      </c>
      <c r="X112" s="2">
        <v>7.1150000000000002</v>
      </c>
      <c r="Y112" s="6">
        <f t="shared" si="10"/>
        <v>0.18993086142921972</v>
      </c>
      <c r="AA112">
        <v>27863</v>
      </c>
      <c r="AB112">
        <v>22680</v>
      </c>
      <c r="AC112">
        <v>15205126</v>
      </c>
      <c r="AD112" t="s">
        <v>1</v>
      </c>
      <c r="AE112">
        <v>109</v>
      </c>
      <c r="AF112">
        <v>24</v>
      </c>
      <c r="AH112" t="s">
        <v>1193</v>
      </c>
      <c r="AL112">
        <v>22</v>
      </c>
      <c r="AM112" s="5">
        <f t="shared" si="11"/>
        <v>0.62857142857142856</v>
      </c>
      <c r="AN112" s="4">
        <f t="shared" si="12"/>
        <v>9.5202033861632501E-4</v>
      </c>
      <c r="AO112" s="3"/>
      <c r="AP112">
        <v>0</v>
      </c>
      <c r="AR112" t="s">
        <v>0</v>
      </c>
      <c r="AT112" s="2" t="s">
        <v>6</v>
      </c>
      <c r="AU112" s="1">
        <f t="shared" si="13"/>
        <v>13.323720910203871</v>
      </c>
      <c r="AV112" s="1">
        <f t="shared" si="14"/>
        <v>9.5441440883918016</v>
      </c>
      <c r="AW112" s="1">
        <f t="shared" si="15"/>
        <v>5.7645672665797338</v>
      </c>
    </row>
    <row r="113" spans="1:49" x14ac:dyDescent="0.2">
      <c r="A113">
        <v>111</v>
      </c>
      <c r="B113" t="s">
        <v>1192</v>
      </c>
      <c r="F113" t="s">
        <v>1191</v>
      </c>
      <c r="G113" t="s">
        <v>4</v>
      </c>
      <c r="H113" t="s">
        <v>3</v>
      </c>
      <c r="I113" t="s">
        <v>1190</v>
      </c>
      <c r="J113">
        <v>106679179</v>
      </c>
      <c r="K113" t="s">
        <v>1189</v>
      </c>
      <c r="L113" t="s">
        <v>1188</v>
      </c>
      <c r="M113" t="s">
        <v>52</v>
      </c>
      <c r="N113">
        <v>2</v>
      </c>
      <c r="O113" t="s">
        <v>1187</v>
      </c>
      <c r="P113" t="s">
        <v>1186</v>
      </c>
      <c r="Q113" t="s">
        <v>1185</v>
      </c>
      <c r="R113" s="7">
        <v>32082</v>
      </c>
      <c r="S113" s="8">
        <f t="shared" si="8"/>
        <v>1987</v>
      </c>
      <c r="T113" s="8">
        <v>1987</v>
      </c>
      <c r="U113" s="8">
        <f t="shared" si="9"/>
        <v>35</v>
      </c>
      <c r="V113" s="7">
        <v>32082</v>
      </c>
      <c r="W113" t="s">
        <v>158</v>
      </c>
      <c r="X113" s="2" t="s">
        <v>6</v>
      </c>
      <c r="Y113" s="6" t="e">
        <f t="shared" si="10"/>
        <v>#VALUE!</v>
      </c>
      <c r="AA113">
        <v>2511096</v>
      </c>
      <c r="AB113">
        <v>26110</v>
      </c>
      <c r="AD113" t="s">
        <v>1</v>
      </c>
      <c r="AE113">
        <v>67</v>
      </c>
      <c r="AH113" t="s">
        <v>120</v>
      </c>
      <c r="AI113" t="s">
        <v>1184</v>
      </c>
      <c r="AK113" t="s">
        <v>1183</v>
      </c>
      <c r="AL113">
        <v>0</v>
      </c>
      <c r="AM113" s="5">
        <f t="shared" si="11"/>
        <v>0</v>
      </c>
      <c r="AN113" s="4">
        <f t="shared" si="12"/>
        <v>0</v>
      </c>
      <c r="AO113" s="3"/>
      <c r="AP113">
        <v>0</v>
      </c>
      <c r="AR113" t="s">
        <v>0</v>
      </c>
      <c r="AT113" s="2" t="s">
        <v>6</v>
      </c>
      <c r="AU113" s="1" t="e">
        <f t="shared" si="13"/>
        <v>#VALUE!</v>
      </c>
      <c r="AV113" s="1" t="e">
        <f t="shared" si="14"/>
        <v>#VALUE!</v>
      </c>
      <c r="AW113" s="1" t="e">
        <f t="shared" si="15"/>
        <v>#VALUE!</v>
      </c>
    </row>
    <row r="114" spans="1:49" x14ac:dyDescent="0.2">
      <c r="A114">
        <v>112</v>
      </c>
      <c r="B114" t="s">
        <v>1182</v>
      </c>
      <c r="F114" t="s">
        <v>1181</v>
      </c>
      <c r="G114" t="s">
        <v>4</v>
      </c>
      <c r="H114" t="s">
        <v>3</v>
      </c>
      <c r="I114" t="s">
        <v>1180</v>
      </c>
      <c r="N114">
        <v>4</v>
      </c>
      <c r="O114" t="s">
        <v>1179</v>
      </c>
      <c r="P114" t="s">
        <v>1178</v>
      </c>
      <c r="Q114" t="s">
        <v>33</v>
      </c>
      <c r="R114" s="7">
        <v>32082</v>
      </c>
      <c r="S114" s="8">
        <f t="shared" si="8"/>
        <v>1987</v>
      </c>
      <c r="T114" s="8">
        <v>1987</v>
      </c>
      <c r="U114" s="8">
        <f t="shared" si="9"/>
        <v>35</v>
      </c>
      <c r="V114" s="7">
        <v>32082</v>
      </c>
      <c r="W114" t="s">
        <v>230</v>
      </c>
      <c r="X114" s="2" t="s">
        <v>6</v>
      </c>
      <c r="Y114" s="6" t="e">
        <f t="shared" si="10"/>
        <v>#VALUE!</v>
      </c>
      <c r="AA114">
        <v>338001</v>
      </c>
      <c r="AB114">
        <v>32587</v>
      </c>
      <c r="AD114" t="s">
        <v>1</v>
      </c>
      <c r="AE114">
        <v>34</v>
      </c>
      <c r="AF114">
        <v>143</v>
      </c>
      <c r="AH114" t="s">
        <v>1177</v>
      </c>
      <c r="AI114" t="s">
        <v>1176</v>
      </c>
      <c r="AK114" t="s">
        <v>1175</v>
      </c>
      <c r="AL114">
        <v>1</v>
      </c>
      <c r="AM114" s="5">
        <f t="shared" si="11"/>
        <v>2.8571428571428571E-2</v>
      </c>
      <c r="AN114" s="4">
        <f t="shared" si="12"/>
        <v>4.32736517552875E-5</v>
      </c>
      <c r="AO114" s="3"/>
      <c r="AP114">
        <v>0</v>
      </c>
      <c r="AR114" t="s">
        <v>0</v>
      </c>
      <c r="AT114" s="2" t="s">
        <v>6</v>
      </c>
      <c r="AU114" s="1" t="e">
        <f t="shared" si="13"/>
        <v>#VALUE!</v>
      </c>
      <c r="AV114" s="1" t="e">
        <f t="shared" si="14"/>
        <v>#VALUE!</v>
      </c>
      <c r="AW114" s="1" t="e">
        <f t="shared" si="15"/>
        <v>#VALUE!</v>
      </c>
    </row>
    <row r="115" spans="1:49" x14ac:dyDescent="0.2">
      <c r="A115">
        <v>113</v>
      </c>
      <c r="B115" t="s">
        <v>1174</v>
      </c>
      <c r="F115" t="s">
        <v>1173</v>
      </c>
      <c r="G115" t="s">
        <v>4</v>
      </c>
      <c r="H115" t="s">
        <v>3</v>
      </c>
      <c r="I115" t="s">
        <v>1172</v>
      </c>
      <c r="J115">
        <v>101036460</v>
      </c>
      <c r="K115" t="s">
        <v>1171</v>
      </c>
      <c r="N115">
        <v>1</v>
      </c>
      <c r="O115" t="s">
        <v>1170</v>
      </c>
      <c r="P115">
        <v>6508333868</v>
      </c>
      <c r="Q115">
        <v>101036460</v>
      </c>
      <c r="R115" s="7">
        <v>32082</v>
      </c>
      <c r="S115" s="8">
        <f t="shared" si="8"/>
        <v>1987</v>
      </c>
      <c r="T115" s="8">
        <v>1987</v>
      </c>
      <c r="U115" s="8">
        <f t="shared" si="9"/>
        <v>35</v>
      </c>
      <c r="V115" s="7">
        <v>32082</v>
      </c>
      <c r="W115" t="s">
        <v>512</v>
      </c>
      <c r="X115" s="2" t="s">
        <v>6</v>
      </c>
      <c r="Y115" s="6" t="e">
        <f t="shared" si="10"/>
        <v>#VALUE!</v>
      </c>
      <c r="AA115" t="s">
        <v>511</v>
      </c>
      <c r="AB115">
        <v>33832</v>
      </c>
      <c r="AD115" t="s">
        <v>1</v>
      </c>
      <c r="AE115">
        <v>21</v>
      </c>
      <c r="AF115">
        <v>10</v>
      </c>
      <c r="AH115" t="s">
        <v>1169</v>
      </c>
      <c r="AI115" t="s">
        <v>1168</v>
      </c>
      <c r="AK115" t="s">
        <v>1167</v>
      </c>
      <c r="AL115">
        <v>0</v>
      </c>
      <c r="AM115" s="5">
        <f t="shared" si="11"/>
        <v>0</v>
      </c>
      <c r="AN115" s="4">
        <f t="shared" si="12"/>
        <v>0</v>
      </c>
      <c r="AO115" s="3"/>
      <c r="AP115">
        <v>0</v>
      </c>
      <c r="AR115" t="s">
        <v>0</v>
      </c>
      <c r="AT115" s="2" t="s">
        <v>6</v>
      </c>
      <c r="AU115" s="1" t="e">
        <f t="shared" si="13"/>
        <v>#VALUE!</v>
      </c>
      <c r="AV115" s="1" t="e">
        <f t="shared" si="14"/>
        <v>#VALUE!</v>
      </c>
      <c r="AW115" s="1" t="e">
        <f t="shared" si="15"/>
        <v>#VALUE!</v>
      </c>
    </row>
    <row r="116" spans="1:49" x14ac:dyDescent="0.2">
      <c r="A116">
        <v>114</v>
      </c>
      <c r="B116" t="s">
        <v>1166</v>
      </c>
      <c r="F116" t="s">
        <v>1165</v>
      </c>
      <c r="G116" t="s">
        <v>4</v>
      </c>
      <c r="H116" t="s">
        <v>3</v>
      </c>
      <c r="I116" t="s">
        <v>1164</v>
      </c>
      <c r="J116">
        <v>101387906</v>
      </c>
      <c r="K116" t="s">
        <v>1163</v>
      </c>
      <c r="M116" t="s">
        <v>52</v>
      </c>
      <c r="N116">
        <v>2</v>
      </c>
      <c r="O116" t="s">
        <v>1162</v>
      </c>
      <c r="P116" t="s">
        <v>1161</v>
      </c>
      <c r="Q116" t="s">
        <v>1160</v>
      </c>
      <c r="R116" s="7">
        <v>32082</v>
      </c>
      <c r="S116" s="8">
        <f t="shared" si="8"/>
        <v>1987</v>
      </c>
      <c r="T116" s="8">
        <v>1987</v>
      </c>
      <c r="U116" s="8">
        <f t="shared" si="9"/>
        <v>35</v>
      </c>
      <c r="V116" s="7">
        <v>32082</v>
      </c>
      <c r="W116" t="s">
        <v>45</v>
      </c>
      <c r="X116" s="2">
        <v>0.54700000000000004</v>
      </c>
      <c r="Y116" s="6">
        <f t="shared" si="10"/>
        <v>1.4601852593363766E-2</v>
      </c>
      <c r="AA116">
        <v>11096</v>
      </c>
      <c r="AB116">
        <v>31211</v>
      </c>
      <c r="AD116" t="s">
        <v>1</v>
      </c>
      <c r="AE116">
        <v>41</v>
      </c>
      <c r="AF116">
        <v>6</v>
      </c>
      <c r="AH116" t="s">
        <v>1159</v>
      </c>
      <c r="AI116" t="s">
        <v>1158</v>
      </c>
      <c r="AK116" t="s">
        <v>1157</v>
      </c>
      <c r="AL116">
        <v>0</v>
      </c>
      <c r="AM116" s="5">
        <f t="shared" si="11"/>
        <v>0</v>
      </c>
      <c r="AN116" s="4">
        <f t="shared" si="12"/>
        <v>0</v>
      </c>
      <c r="AO116" s="3"/>
      <c r="AP116">
        <v>0</v>
      </c>
      <c r="AR116" t="s">
        <v>0</v>
      </c>
      <c r="AT116" s="2" t="s">
        <v>6</v>
      </c>
      <c r="AU116" s="1">
        <f t="shared" si="13"/>
        <v>1.0221296815354637</v>
      </c>
      <c r="AV116" s="1">
        <f t="shared" si="14"/>
        <v>0.73009262966818833</v>
      </c>
      <c r="AW116" s="1">
        <f t="shared" si="15"/>
        <v>0.43805557780091298</v>
      </c>
    </row>
    <row r="117" spans="1:49" x14ac:dyDescent="0.2">
      <c r="A117">
        <v>115</v>
      </c>
      <c r="B117" t="s">
        <v>1156</v>
      </c>
      <c r="F117" t="s">
        <v>1155</v>
      </c>
      <c r="G117" t="s">
        <v>4</v>
      </c>
      <c r="H117" t="s">
        <v>3</v>
      </c>
      <c r="I117" t="s">
        <v>1154</v>
      </c>
      <c r="J117">
        <v>60009108</v>
      </c>
      <c r="K117" t="s">
        <v>1153</v>
      </c>
      <c r="L117" t="s">
        <v>91</v>
      </c>
      <c r="M117" t="s">
        <v>28</v>
      </c>
      <c r="N117">
        <v>3</v>
      </c>
      <c r="O117" t="s">
        <v>1152</v>
      </c>
      <c r="P117" t="s">
        <v>1151</v>
      </c>
      <c r="Q117" t="s">
        <v>1150</v>
      </c>
      <c r="R117" s="7">
        <v>32082</v>
      </c>
      <c r="S117" s="8">
        <f t="shared" si="8"/>
        <v>1987</v>
      </c>
      <c r="T117" s="8">
        <v>1987</v>
      </c>
      <c r="U117" s="8">
        <f t="shared" si="9"/>
        <v>35</v>
      </c>
      <c r="V117" s="7">
        <v>32082</v>
      </c>
      <c r="W117" t="s">
        <v>136</v>
      </c>
      <c r="X117" s="2" t="s">
        <v>6</v>
      </c>
      <c r="Y117" s="6" t="e">
        <f t="shared" si="10"/>
        <v>#VALUE!</v>
      </c>
      <c r="AB117">
        <v>55073</v>
      </c>
      <c r="AD117" t="s">
        <v>1</v>
      </c>
      <c r="AE117" t="s">
        <v>135</v>
      </c>
      <c r="AF117">
        <v>11</v>
      </c>
      <c r="AH117" t="s">
        <v>1149</v>
      </c>
      <c r="AI117" t="s">
        <v>1148</v>
      </c>
      <c r="AK117" t="s">
        <v>1147</v>
      </c>
      <c r="AL117">
        <v>0</v>
      </c>
      <c r="AM117" s="5">
        <f t="shared" si="11"/>
        <v>0</v>
      </c>
      <c r="AN117" s="4">
        <f t="shared" si="12"/>
        <v>0</v>
      </c>
      <c r="AO117" s="3"/>
      <c r="AP117">
        <v>0</v>
      </c>
      <c r="AR117" t="s">
        <v>0</v>
      </c>
      <c r="AT117" s="2" t="s">
        <v>6</v>
      </c>
      <c r="AU117" s="1" t="e">
        <f t="shared" si="13"/>
        <v>#VALUE!</v>
      </c>
      <c r="AV117" s="1" t="e">
        <f t="shared" si="14"/>
        <v>#VALUE!</v>
      </c>
      <c r="AW117" s="1" t="e">
        <f t="shared" si="15"/>
        <v>#VALUE!</v>
      </c>
    </row>
    <row r="118" spans="1:49" x14ac:dyDescent="0.2">
      <c r="A118">
        <v>116</v>
      </c>
      <c r="B118" t="s">
        <v>1146</v>
      </c>
      <c r="F118" t="s">
        <v>1145</v>
      </c>
      <c r="G118" t="s">
        <v>4</v>
      </c>
      <c r="H118" t="s">
        <v>3</v>
      </c>
      <c r="I118" t="s">
        <v>1144</v>
      </c>
      <c r="N118">
        <v>1</v>
      </c>
      <c r="O118" t="s">
        <v>1143</v>
      </c>
      <c r="P118">
        <v>6507207200</v>
      </c>
      <c r="R118" s="7">
        <v>32082</v>
      </c>
      <c r="S118" s="8">
        <f t="shared" si="8"/>
        <v>1987</v>
      </c>
      <c r="T118" s="8">
        <v>1987</v>
      </c>
      <c r="U118" s="8">
        <f t="shared" si="9"/>
        <v>35</v>
      </c>
      <c r="V118" s="7">
        <v>32082</v>
      </c>
      <c r="W118" t="s">
        <v>48</v>
      </c>
      <c r="X118" s="2" t="s">
        <v>6</v>
      </c>
      <c r="Y118" s="6" t="e">
        <f t="shared" si="10"/>
        <v>#VALUE!</v>
      </c>
      <c r="AA118">
        <v>87566648</v>
      </c>
      <c r="AB118">
        <v>74127</v>
      </c>
      <c r="AD118" t="s">
        <v>1</v>
      </c>
      <c r="AE118">
        <v>32</v>
      </c>
      <c r="AF118">
        <v>11</v>
      </c>
      <c r="AH118" t="s">
        <v>1142</v>
      </c>
      <c r="AI118" t="s">
        <v>1141</v>
      </c>
      <c r="AK118" t="s">
        <v>1140</v>
      </c>
      <c r="AL118">
        <v>0</v>
      </c>
      <c r="AM118" s="5">
        <f t="shared" si="11"/>
        <v>0</v>
      </c>
      <c r="AN118" s="4">
        <f t="shared" si="12"/>
        <v>0</v>
      </c>
      <c r="AO118" s="3"/>
      <c r="AP118">
        <v>0</v>
      </c>
      <c r="AR118" t="s">
        <v>0</v>
      </c>
      <c r="AT118" s="2" t="s">
        <v>6</v>
      </c>
      <c r="AU118" s="1" t="e">
        <f t="shared" si="13"/>
        <v>#VALUE!</v>
      </c>
      <c r="AV118" s="1" t="e">
        <f t="shared" si="14"/>
        <v>#VALUE!</v>
      </c>
      <c r="AW118" s="1" t="e">
        <f t="shared" si="15"/>
        <v>#VALUE!</v>
      </c>
    </row>
    <row r="119" spans="1:49" x14ac:dyDescent="0.2">
      <c r="A119">
        <v>117</v>
      </c>
      <c r="B119" t="s">
        <v>1139</v>
      </c>
      <c r="F119" t="s">
        <v>1138</v>
      </c>
      <c r="G119" t="s">
        <v>4</v>
      </c>
      <c r="H119" t="s">
        <v>3</v>
      </c>
      <c r="I119" t="s">
        <v>1137</v>
      </c>
      <c r="N119">
        <v>3</v>
      </c>
      <c r="O119" t="s">
        <v>1136</v>
      </c>
      <c r="P119" t="s">
        <v>1135</v>
      </c>
      <c r="Q119" t="s">
        <v>11</v>
      </c>
      <c r="R119" s="7">
        <v>32082</v>
      </c>
      <c r="S119" s="8">
        <f t="shared" si="8"/>
        <v>1987</v>
      </c>
      <c r="T119" s="8">
        <v>1987</v>
      </c>
      <c r="U119" s="8">
        <f t="shared" si="9"/>
        <v>35</v>
      </c>
      <c r="V119" s="7">
        <v>32082</v>
      </c>
      <c r="W119" t="s">
        <v>481</v>
      </c>
      <c r="X119" s="2">
        <v>0.14099999999999999</v>
      </c>
      <c r="Y119" s="6">
        <f t="shared" si="10"/>
        <v>3.7639144710498915E-3</v>
      </c>
      <c r="AA119">
        <v>402508</v>
      </c>
      <c r="AB119">
        <v>20868</v>
      </c>
      <c r="AD119" t="s">
        <v>1</v>
      </c>
      <c r="AE119" t="s">
        <v>480</v>
      </c>
      <c r="AF119">
        <v>11</v>
      </c>
      <c r="AH119" t="s">
        <v>1134</v>
      </c>
      <c r="AI119" t="s">
        <v>1133</v>
      </c>
      <c r="AK119" t="s">
        <v>1132</v>
      </c>
      <c r="AL119">
        <v>0</v>
      </c>
      <c r="AM119" s="5">
        <f t="shared" si="11"/>
        <v>0</v>
      </c>
      <c r="AN119" s="4">
        <f t="shared" si="12"/>
        <v>0</v>
      </c>
      <c r="AO119" s="3"/>
      <c r="AP119">
        <v>0</v>
      </c>
      <c r="AR119" t="s">
        <v>0</v>
      </c>
      <c r="AT119" s="2" t="s">
        <v>6</v>
      </c>
      <c r="AU119" s="1">
        <f t="shared" si="13"/>
        <v>0.26347401297349238</v>
      </c>
      <c r="AV119" s="1">
        <f t="shared" si="14"/>
        <v>0.18819572355249459</v>
      </c>
      <c r="AW119" s="1">
        <f t="shared" si="15"/>
        <v>0.11291743413149673</v>
      </c>
    </row>
    <row r="120" spans="1:49" x14ac:dyDescent="0.2">
      <c r="A120">
        <v>118</v>
      </c>
      <c r="B120" t="s">
        <v>1131</v>
      </c>
      <c r="F120" t="s">
        <v>1130</v>
      </c>
      <c r="G120" t="s">
        <v>4</v>
      </c>
      <c r="H120" t="s">
        <v>3</v>
      </c>
      <c r="I120" t="s">
        <v>156</v>
      </c>
      <c r="N120">
        <v>2</v>
      </c>
      <c r="O120" t="s">
        <v>1129</v>
      </c>
      <c r="P120" t="s">
        <v>1128</v>
      </c>
      <c r="Q120" t="s">
        <v>19</v>
      </c>
      <c r="R120" s="7">
        <v>32082</v>
      </c>
      <c r="S120" s="8">
        <f t="shared" si="8"/>
        <v>1987</v>
      </c>
      <c r="T120" s="8">
        <v>1987</v>
      </c>
      <c r="U120" s="8">
        <f t="shared" si="9"/>
        <v>35</v>
      </c>
      <c r="V120" s="7">
        <v>32082</v>
      </c>
      <c r="W120" t="s">
        <v>48</v>
      </c>
      <c r="X120" s="2" t="s">
        <v>6</v>
      </c>
      <c r="Y120" s="6" t="e">
        <f t="shared" si="10"/>
        <v>#VALUE!</v>
      </c>
      <c r="AA120">
        <v>87566648</v>
      </c>
      <c r="AB120">
        <v>74127</v>
      </c>
      <c r="AD120" t="s">
        <v>1</v>
      </c>
      <c r="AE120">
        <v>32</v>
      </c>
      <c r="AF120">
        <v>11</v>
      </c>
      <c r="AH120" t="s">
        <v>1127</v>
      </c>
      <c r="AI120" t="s">
        <v>1126</v>
      </c>
      <c r="AK120" t="s">
        <v>1125</v>
      </c>
      <c r="AL120">
        <v>0</v>
      </c>
      <c r="AM120" s="5">
        <f t="shared" si="11"/>
        <v>0</v>
      </c>
      <c r="AN120" s="4">
        <f t="shared" si="12"/>
        <v>0</v>
      </c>
      <c r="AO120" s="3"/>
      <c r="AP120">
        <v>0</v>
      </c>
      <c r="AR120" t="s">
        <v>0</v>
      </c>
      <c r="AT120" s="2" t="s">
        <v>6</v>
      </c>
      <c r="AU120" s="1" t="e">
        <f t="shared" si="13"/>
        <v>#VALUE!</v>
      </c>
      <c r="AV120" s="1" t="e">
        <f t="shared" si="14"/>
        <v>#VALUE!</v>
      </c>
      <c r="AW120" s="1" t="e">
        <f t="shared" si="15"/>
        <v>#VALUE!</v>
      </c>
    </row>
    <row r="121" spans="1:49" x14ac:dyDescent="0.2">
      <c r="A121">
        <v>119</v>
      </c>
      <c r="B121" t="s">
        <v>1124</v>
      </c>
      <c r="F121" t="s">
        <v>1123</v>
      </c>
      <c r="G121" t="s">
        <v>4</v>
      </c>
      <c r="H121" t="s">
        <v>3</v>
      </c>
      <c r="I121" t="s">
        <v>1122</v>
      </c>
      <c r="N121">
        <v>3</v>
      </c>
      <c r="O121" t="s">
        <v>1121</v>
      </c>
      <c r="P121" t="s">
        <v>1120</v>
      </c>
      <c r="Q121" t="s">
        <v>11</v>
      </c>
      <c r="R121" s="7">
        <v>32082</v>
      </c>
      <c r="S121" s="8">
        <f t="shared" si="8"/>
        <v>1987</v>
      </c>
      <c r="T121" s="8">
        <v>1987</v>
      </c>
      <c r="U121" s="8">
        <f t="shared" si="9"/>
        <v>35</v>
      </c>
      <c r="V121" s="7">
        <v>32082</v>
      </c>
      <c r="W121" t="s">
        <v>481</v>
      </c>
      <c r="X121" s="2">
        <v>0.14099999999999999</v>
      </c>
      <c r="Y121" s="6">
        <f t="shared" si="10"/>
        <v>3.7639144710498915E-3</v>
      </c>
      <c r="AA121">
        <v>402508</v>
      </c>
      <c r="AB121">
        <v>20868</v>
      </c>
      <c r="AD121" t="s">
        <v>1</v>
      </c>
      <c r="AE121" t="s">
        <v>480</v>
      </c>
      <c r="AF121">
        <v>11</v>
      </c>
      <c r="AH121" s="9">
        <v>44317</v>
      </c>
      <c r="AI121" t="s">
        <v>1119</v>
      </c>
      <c r="AK121" t="s">
        <v>1118</v>
      </c>
      <c r="AL121">
        <v>0</v>
      </c>
      <c r="AM121" s="5">
        <f t="shared" si="11"/>
        <v>0</v>
      </c>
      <c r="AN121" s="4">
        <f t="shared" si="12"/>
        <v>0</v>
      </c>
      <c r="AO121" s="3"/>
      <c r="AP121">
        <v>0</v>
      </c>
      <c r="AR121" t="s">
        <v>0</v>
      </c>
      <c r="AT121" s="2" t="s">
        <v>6</v>
      </c>
      <c r="AU121" s="1">
        <f t="shared" si="13"/>
        <v>0.26347401297349238</v>
      </c>
      <c r="AV121" s="1">
        <f t="shared" si="14"/>
        <v>0.18819572355249459</v>
      </c>
      <c r="AW121" s="1">
        <f t="shared" si="15"/>
        <v>0.11291743413149673</v>
      </c>
    </row>
    <row r="122" spans="1:49" x14ac:dyDescent="0.2">
      <c r="A122">
        <v>120</v>
      </c>
      <c r="B122" t="s">
        <v>1117</v>
      </c>
      <c r="F122" t="s">
        <v>1116</v>
      </c>
      <c r="G122" t="s">
        <v>4</v>
      </c>
      <c r="H122" t="s">
        <v>3</v>
      </c>
      <c r="I122" t="s">
        <v>1115</v>
      </c>
      <c r="N122">
        <v>2</v>
      </c>
      <c r="O122" t="s">
        <v>1114</v>
      </c>
      <c r="P122" t="s">
        <v>1113</v>
      </c>
      <c r="Q122" t="s">
        <v>19</v>
      </c>
      <c r="R122" s="7">
        <v>32082</v>
      </c>
      <c r="S122" s="8">
        <f t="shared" si="8"/>
        <v>1987</v>
      </c>
      <c r="T122" s="8">
        <v>1987</v>
      </c>
      <c r="U122" s="8">
        <f t="shared" si="9"/>
        <v>35</v>
      </c>
      <c r="V122" s="7">
        <v>32082</v>
      </c>
      <c r="W122" t="s">
        <v>48</v>
      </c>
      <c r="X122" s="2" t="s">
        <v>6</v>
      </c>
      <c r="Y122" s="6" t="e">
        <f t="shared" si="10"/>
        <v>#VALUE!</v>
      </c>
      <c r="AA122">
        <v>87566648</v>
      </c>
      <c r="AB122">
        <v>74127</v>
      </c>
      <c r="AD122" t="s">
        <v>1</v>
      </c>
      <c r="AE122">
        <v>32</v>
      </c>
      <c r="AF122">
        <v>11</v>
      </c>
      <c r="AH122" t="s">
        <v>1112</v>
      </c>
      <c r="AI122" t="s">
        <v>1111</v>
      </c>
      <c r="AK122" t="s">
        <v>1110</v>
      </c>
      <c r="AL122">
        <v>0</v>
      </c>
      <c r="AM122" s="5">
        <f t="shared" si="11"/>
        <v>0</v>
      </c>
      <c r="AN122" s="4">
        <f t="shared" si="12"/>
        <v>0</v>
      </c>
      <c r="AO122" s="3"/>
      <c r="AP122">
        <v>0</v>
      </c>
      <c r="AR122" t="s">
        <v>0</v>
      </c>
      <c r="AT122" s="2" t="s">
        <v>6</v>
      </c>
      <c r="AU122" s="1" t="e">
        <f t="shared" si="13"/>
        <v>#VALUE!</v>
      </c>
      <c r="AV122" s="1" t="e">
        <f t="shared" si="14"/>
        <v>#VALUE!</v>
      </c>
      <c r="AW122" s="1" t="e">
        <f t="shared" si="15"/>
        <v>#VALUE!</v>
      </c>
    </row>
    <row r="123" spans="1:49" x14ac:dyDescent="0.2">
      <c r="A123">
        <v>121</v>
      </c>
      <c r="B123" t="s">
        <v>1109</v>
      </c>
      <c r="F123" t="s">
        <v>1108</v>
      </c>
      <c r="G123" t="s">
        <v>4</v>
      </c>
      <c r="H123" t="s">
        <v>3</v>
      </c>
      <c r="I123" t="s">
        <v>1107</v>
      </c>
      <c r="N123">
        <v>2</v>
      </c>
      <c r="O123" t="s">
        <v>1106</v>
      </c>
      <c r="P123" t="s">
        <v>1105</v>
      </c>
      <c r="Q123" t="s">
        <v>19</v>
      </c>
      <c r="R123" s="7">
        <v>32082</v>
      </c>
      <c r="S123" s="8">
        <f t="shared" si="8"/>
        <v>1987</v>
      </c>
      <c r="T123" s="8">
        <v>1987</v>
      </c>
      <c r="U123" s="8">
        <f t="shared" si="9"/>
        <v>35</v>
      </c>
      <c r="V123" s="7">
        <v>32082</v>
      </c>
      <c r="W123" t="s">
        <v>481</v>
      </c>
      <c r="X123" s="2">
        <v>0.14099999999999999</v>
      </c>
      <c r="Y123" s="6">
        <f t="shared" si="10"/>
        <v>3.7639144710498915E-3</v>
      </c>
      <c r="AA123">
        <v>402508</v>
      </c>
      <c r="AB123">
        <v>20868</v>
      </c>
      <c r="AD123" t="s">
        <v>1</v>
      </c>
      <c r="AE123" t="s">
        <v>480</v>
      </c>
      <c r="AF123">
        <v>11</v>
      </c>
      <c r="AH123" t="s">
        <v>202</v>
      </c>
      <c r="AI123" t="s">
        <v>1104</v>
      </c>
      <c r="AK123" t="s">
        <v>1103</v>
      </c>
      <c r="AL123">
        <v>0</v>
      </c>
      <c r="AM123" s="5">
        <f t="shared" si="11"/>
        <v>0</v>
      </c>
      <c r="AN123" s="4">
        <f t="shared" si="12"/>
        <v>0</v>
      </c>
      <c r="AO123" s="3"/>
      <c r="AP123">
        <v>0</v>
      </c>
      <c r="AR123" t="s">
        <v>0</v>
      </c>
      <c r="AT123" s="2" t="s">
        <v>6</v>
      </c>
      <c r="AU123" s="1">
        <f t="shared" si="13"/>
        <v>0.26347401297349238</v>
      </c>
      <c r="AV123" s="1">
        <f t="shared" si="14"/>
        <v>0.18819572355249459</v>
      </c>
      <c r="AW123" s="1">
        <f t="shared" si="15"/>
        <v>0.11291743413149673</v>
      </c>
    </row>
    <row r="124" spans="1:49" x14ac:dyDescent="0.2">
      <c r="A124">
        <v>122</v>
      </c>
      <c r="B124" t="s">
        <v>1102</v>
      </c>
      <c r="F124" t="s">
        <v>1101</v>
      </c>
      <c r="G124" t="s">
        <v>4</v>
      </c>
      <c r="H124" t="s">
        <v>3</v>
      </c>
      <c r="I124" t="s">
        <v>1100</v>
      </c>
      <c r="N124">
        <v>5</v>
      </c>
      <c r="O124" t="s">
        <v>1099</v>
      </c>
      <c r="P124" t="s">
        <v>1098</v>
      </c>
      <c r="Q124" t="s">
        <v>1097</v>
      </c>
      <c r="R124" s="7">
        <v>32082</v>
      </c>
      <c r="S124" s="8">
        <f t="shared" si="8"/>
        <v>1987</v>
      </c>
      <c r="T124" s="8">
        <v>1987</v>
      </c>
      <c r="U124" s="8">
        <f t="shared" si="9"/>
        <v>35</v>
      </c>
      <c r="V124" s="7">
        <v>32082</v>
      </c>
      <c r="W124" t="s">
        <v>481</v>
      </c>
      <c r="X124" s="2">
        <v>0.14099999999999999</v>
      </c>
      <c r="Y124" s="6">
        <f t="shared" si="10"/>
        <v>3.7639144710498915E-3</v>
      </c>
      <c r="AA124">
        <v>402508</v>
      </c>
      <c r="AB124">
        <v>20868</v>
      </c>
      <c r="AD124" t="s">
        <v>1</v>
      </c>
      <c r="AE124" t="s">
        <v>480</v>
      </c>
      <c r="AF124">
        <v>11</v>
      </c>
      <c r="AH124" t="s">
        <v>1096</v>
      </c>
      <c r="AI124" t="s">
        <v>1095</v>
      </c>
      <c r="AK124" t="s">
        <v>1094</v>
      </c>
      <c r="AL124">
        <v>0</v>
      </c>
      <c r="AM124" s="5">
        <f t="shared" si="11"/>
        <v>0</v>
      </c>
      <c r="AN124" s="4">
        <f t="shared" si="12"/>
        <v>0</v>
      </c>
      <c r="AO124" s="3"/>
      <c r="AP124">
        <v>0</v>
      </c>
      <c r="AR124" t="s">
        <v>0</v>
      </c>
      <c r="AT124" s="2" t="s">
        <v>6</v>
      </c>
      <c r="AU124" s="1">
        <f t="shared" si="13"/>
        <v>0.26347401297349238</v>
      </c>
      <c r="AV124" s="1">
        <f t="shared" si="14"/>
        <v>0.18819572355249459</v>
      </c>
      <c r="AW124" s="1">
        <f t="shared" si="15"/>
        <v>0.11291743413149673</v>
      </c>
    </row>
    <row r="125" spans="1:49" x14ac:dyDescent="0.2">
      <c r="A125">
        <v>123</v>
      </c>
      <c r="B125" t="s">
        <v>1093</v>
      </c>
      <c r="F125" t="s">
        <v>1092</v>
      </c>
      <c r="G125" t="s">
        <v>4</v>
      </c>
      <c r="H125" t="s">
        <v>3</v>
      </c>
      <c r="I125" t="s">
        <v>1091</v>
      </c>
      <c r="N125">
        <v>1</v>
      </c>
      <c r="O125" t="s">
        <v>1090</v>
      </c>
      <c r="P125">
        <v>7006140438</v>
      </c>
      <c r="R125" s="7">
        <v>32082</v>
      </c>
      <c r="S125" s="8">
        <f t="shared" si="8"/>
        <v>1987</v>
      </c>
      <c r="T125" s="8">
        <v>1987</v>
      </c>
      <c r="U125" s="8">
        <f t="shared" si="9"/>
        <v>35</v>
      </c>
      <c r="V125" s="7">
        <v>32082</v>
      </c>
      <c r="W125" t="s">
        <v>48</v>
      </c>
      <c r="X125" s="2" t="s">
        <v>6</v>
      </c>
      <c r="Y125" s="6" t="e">
        <f t="shared" si="10"/>
        <v>#VALUE!</v>
      </c>
      <c r="AA125">
        <v>87566648</v>
      </c>
      <c r="AB125">
        <v>74127</v>
      </c>
      <c r="AD125" t="s">
        <v>1</v>
      </c>
      <c r="AE125">
        <v>32</v>
      </c>
      <c r="AF125">
        <v>11</v>
      </c>
      <c r="AH125" t="s">
        <v>1089</v>
      </c>
      <c r="AI125" t="s">
        <v>1088</v>
      </c>
      <c r="AK125" t="s">
        <v>1087</v>
      </c>
      <c r="AL125">
        <v>0</v>
      </c>
      <c r="AM125" s="5">
        <f t="shared" si="11"/>
        <v>0</v>
      </c>
      <c r="AN125" s="4">
        <f t="shared" si="12"/>
        <v>0</v>
      </c>
      <c r="AO125" s="3"/>
      <c r="AP125">
        <v>0</v>
      </c>
      <c r="AR125" t="s">
        <v>0</v>
      </c>
      <c r="AT125" s="2" t="s">
        <v>6</v>
      </c>
      <c r="AU125" s="1" t="e">
        <f t="shared" si="13"/>
        <v>#VALUE!</v>
      </c>
      <c r="AV125" s="1" t="e">
        <f t="shared" si="14"/>
        <v>#VALUE!</v>
      </c>
      <c r="AW125" s="1" t="e">
        <f t="shared" si="15"/>
        <v>#VALUE!</v>
      </c>
    </row>
    <row r="126" spans="1:49" x14ac:dyDescent="0.2">
      <c r="A126">
        <v>124</v>
      </c>
      <c r="B126" t="s">
        <v>1086</v>
      </c>
      <c r="F126" t="s">
        <v>1085</v>
      </c>
      <c r="G126" t="s">
        <v>4</v>
      </c>
      <c r="H126" t="s">
        <v>3</v>
      </c>
      <c r="I126" t="s">
        <v>1084</v>
      </c>
      <c r="N126">
        <v>1</v>
      </c>
      <c r="O126" t="s">
        <v>1083</v>
      </c>
      <c r="P126">
        <v>6603410490</v>
      </c>
      <c r="R126" s="7">
        <v>32082</v>
      </c>
      <c r="S126" s="8">
        <f t="shared" si="8"/>
        <v>1987</v>
      </c>
      <c r="T126" s="8">
        <v>1987</v>
      </c>
      <c r="U126" s="8">
        <f t="shared" si="9"/>
        <v>35</v>
      </c>
      <c r="V126" s="7">
        <v>32082</v>
      </c>
      <c r="W126" t="s">
        <v>481</v>
      </c>
      <c r="X126" s="2">
        <v>0.14099999999999999</v>
      </c>
      <c r="Y126" s="6">
        <f t="shared" si="10"/>
        <v>3.7639144710498915E-3</v>
      </c>
      <c r="AA126">
        <v>402508</v>
      </c>
      <c r="AB126">
        <v>20868</v>
      </c>
      <c r="AD126" t="s">
        <v>1</v>
      </c>
      <c r="AE126" t="s">
        <v>480</v>
      </c>
      <c r="AF126">
        <v>11</v>
      </c>
      <c r="AH126" t="s">
        <v>1082</v>
      </c>
      <c r="AI126" t="s">
        <v>1081</v>
      </c>
      <c r="AK126" t="s">
        <v>1080</v>
      </c>
      <c r="AL126">
        <v>0</v>
      </c>
      <c r="AM126" s="5">
        <f t="shared" si="11"/>
        <v>0</v>
      </c>
      <c r="AN126" s="4">
        <f t="shared" si="12"/>
        <v>0</v>
      </c>
      <c r="AO126" s="3"/>
      <c r="AP126">
        <v>0</v>
      </c>
      <c r="AR126" t="s">
        <v>0</v>
      </c>
      <c r="AT126" s="2" t="s">
        <v>6</v>
      </c>
      <c r="AU126" s="1">
        <f t="shared" si="13"/>
        <v>0.26347401297349238</v>
      </c>
      <c r="AV126" s="1">
        <f t="shared" si="14"/>
        <v>0.18819572355249459</v>
      </c>
      <c r="AW126" s="1">
        <f t="shared" si="15"/>
        <v>0.11291743413149673</v>
      </c>
    </row>
    <row r="127" spans="1:49" x14ac:dyDescent="0.2">
      <c r="A127">
        <v>125</v>
      </c>
      <c r="B127" t="s">
        <v>1079</v>
      </c>
      <c r="F127" t="s">
        <v>1078</v>
      </c>
      <c r="G127" t="s">
        <v>4</v>
      </c>
      <c r="H127" t="s">
        <v>3</v>
      </c>
      <c r="I127" t="s">
        <v>1077</v>
      </c>
      <c r="N127">
        <v>1</v>
      </c>
      <c r="O127" t="s">
        <v>1076</v>
      </c>
      <c r="P127">
        <v>6506644712</v>
      </c>
      <c r="R127" s="7">
        <v>32082</v>
      </c>
      <c r="S127" s="8">
        <f t="shared" si="8"/>
        <v>1987</v>
      </c>
      <c r="T127" s="8">
        <v>1987</v>
      </c>
      <c r="U127" s="8">
        <f t="shared" si="9"/>
        <v>35</v>
      </c>
      <c r="V127" s="7">
        <v>32082</v>
      </c>
      <c r="W127" t="s">
        <v>48</v>
      </c>
      <c r="X127" s="2" t="s">
        <v>6</v>
      </c>
      <c r="Y127" s="6" t="e">
        <f t="shared" si="10"/>
        <v>#VALUE!</v>
      </c>
      <c r="AA127">
        <v>87566648</v>
      </c>
      <c r="AB127">
        <v>74127</v>
      </c>
      <c r="AD127" t="s">
        <v>1</v>
      </c>
      <c r="AE127">
        <v>32</v>
      </c>
      <c r="AF127">
        <v>11</v>
      </c>
      <c r="AH127" t="s">
        <v>1075</v>
      </c>
      <c r="AI127" t="s">
        <v>1074</v>
      </c>
      <c r="AK127" t="s">
        <v>1073</v>
      </c>
      <c r="AL127">
        <v>0</v>
      </c>
      <c r="AM127" s="5">
        <f t="shared" si="11"/>
        <v>0</v>
      </c>
      <c r="AN127" s="4">
        <f t="shared" si="12"/>
        <v>0</v>
      </c>
      <c r="AO127" s="3"/>
      <c r="AP127">
        <v>0</v>
      </c>
      <c r="AR127" t="s">
        <v>0</v>
      </c>
      <c r="AT127" s="2" t="s">
        <v>6</v>
      </c>
      <c r="AU127" s="1" t="e">
        <f t="shared" si="13"/>
        <v>#VALUE!</v>
      </c>
      <c r="AV127" s="1" t="e">
        <f t="shared" si="14"/>
        <v>#VALUE!</v>
      </c>
      <c r="AW127" s="1" t="e">
        <f t="shared" si="15"/>
        <v>#VALUE!</v>
      </c>
    </row>
    <row r="128" spans="1:49" x14ac:dyDescent="0.2">
      <c r="A128">
        <v>126</v>
      </c>
      <c r="B128" t="s">
        <v>1072</v>
      </c>
      <c r="F128" t="s">
        <v>1071</v>
      </c>
      <c r="G128" t="s">
        <v>4</v>
      </c>
      <c r="H128" t="s">
        <v>3</v>
      </c>
      <c r="I128" t="s">
        <v>1070</v>
      </c>
      <c r="N128">
        <v>2</v>
      </c>
      <c r="O128" t="s">
        <v>1069</v>
      </c>
      <c r="P128" t="s">
        <v>1068</v>
      </c>
      <c r="Q128" t="s">
        <v>19</v>
      </c>
      <c r="R128" s="7">
        <v>32082</v>
      </c>
      <c r="S128" s="8">
        <f t="shared" si="8"/>
        <v>1987</v>
      </c>
      <c r="T128" s="8">
        <v>1987</v>
      </c>
      <c r="U128" s="8">
        <f t="shared" si="9"/>
        <v>35</v>
      </c>
      <c r="V128" s="7">
        <v>32082</v>
      </c>
      <c r="W128" t="s">
        <v>481</v>
      </c>
      <c r="X128" s="2">
        <v>0.14099999999999999</v>
      </c>
      <c r="Y128" s="6">
        <f t="shared" si="10"/>
        <v>3.7639144710498915E-3</v>
      </c>
      <c r="AA128">
        <v>402508</v>
      </c>
      <c r="AB128">
        <v>20868</v>
      </c>
      <c r="AD128" t="s">
        <v>1</v>
      </c>
      <c r="AE128" t="s">
        <v>480</v>
      </c>
      <c r="AF128">
        <v>11</v>
      </c>
      <c r="AH128" t="s">
        <v>1067</v>
      </c>
      <c r="AI128" t="s">
        <v>1066</v>
      </c>
      <c r="AK128" t="s">
        <v>1065</v>
      </c>
      <c r="AL128">
        <v>0</v>
      </c>
      <c r="AM128" s="5">
        <f t="shared" si="11"/>
        <v>0</v>
      </c>
      <c r="AN128" s="4">
        <f t="shared" si="12"/>
        <v>0</v>
      </c>
      <c r="AO128" s="3"/>
      <c r="AP128">
        <v>0</v>
      </c>
      <c r="AR128" t="s">
        <v>0</v>
      </c>
      <c r="AT128" s="2" t="s">
        <v>6</v>
      </c>
      <c r="AU128" s="1">
        <f t="shared" si="13"/>
        <v>0.26347401297349238</v>
      </c>
      <c r="AV128" s="1">
        <f t="shared" si="14"/>
        <v>0.18819572355249459</v>
      </c>
      <c r="AW128" s="1">
        <f t="shared" si="15"/>
        <v>0.11291743413149673</v>
      </c>
    </row>
    <row r="129" spans="1:49" x14ac:dyDescent="0.2">
      <c r="A129">
        <v>127</v>
      </c>
      <c r="B129" t="s">
        <v>1064</v>
      </c>
      <c r="F129" t="s">
        <v>1063</v>
      </c>
      <c r="G129" t="s">
        <v>4</v>
      </c>
      <c r="H129" t="s">
        <v>3</v>
      </c>
      <c r="I129" t="s">
        <v>1062</v>
      </c>
      <c r="N129">
        <v>2</v>
      </c>
      <c r="O129" t="s">
        <v>1061</v>
      </c>
      <c r="P129" t="s">
        <v>1060</v>
      </c>
      <c r="Q129" t="s">
        <v>19</v>
      </c>
      <c r="R129" s="7">
        <v>32082</v>
      </c>
      <c r="S129" s="8">
        <f t="shared" si="8"/>
        <v>1987</v>
      </c>
      <c r="T129" s="8">
        <v>1987</v>
      </c>
      <c r="U129" s="8">
        <f t="shared" si="9"/>
        <v>35</v>
      </c>
      <c r="V129" s="7">
        <v>32082</v>
      </c>
      <c r="W129" t="s">
        <v>481</v>
      </c>
      <c r="X129" s="2">
        <v>0.14099999999999999</v>
      </c>
      <c r="Y129" s="6">
        <f t="shared" si="10"/>
        <v>3.7639144710498915E-3</v>
      </c>
      <c r="AA129">
        <v>402508</v>
      </c>
      <c r="AB129">
        <v>20868</v>
      </c>
      <c r="AD129" t="s">
        <v>1</v>
      </c>
      <c r="AE129" t="s">
        <v>480</v>
      </c>
      <c r="AF129">
        <v>11</v>
      </c>
      <c r="AH129" s="10">
        <v>42309</v>
      </c>
      <c r="AI129" t="s">
        <v>1059</v>
      </c>
      <c r="AK129" t="s">
        <v>1058</v>
      </c>
      <c r="AL129">
        <v>0</v>
      </c>
      <c r="AM129" s="5">
        <f t="shared" si="11"/>
        <v>0</v>
      </c>
      <c r="AN129" s="4">
        <f t="shared" si="12"/>
        <v>0</v>
      </c>
      <c r="AO129" s="3"/>
      <c r="AP129">
        <v>0</v>
      </c>
      <c r="AR129" t="s">
        <v>0</v>
      </c>
      <c r="AT129" s="2" t="s">
        <v>6</v>
      </c>
      <c r="AU129" s="1">
        <f t="shared" si="13"/>
        <v>0.26347401297349238</v>
      </c>
      <c r="AV129" s="1">
        <f t="shared" si="14"/>
        <v>0.18819572355249459</v>
      </c>
      <c r="AW129" s="1">
        <f t="shared" si="15"/>
        <v>0.11291743413149673</v>
      </c>
    </row>
    <row r="130" spans="1:49" x14ac:dyDescent="0.2">
      <c r="A130">
        <v>128</v>
      </c>
      <c r="B130" t="s">
        <v>1057</v>
      </c>
      <c r="F130" t="s">
        <v>1056</v>
      </c>
      <c r="G130" t="s">
        <v>4</v>
      </c>
      <c r="H130" t="s">
        <v>3</v>
      </c>
      <c r="I130" t="s">
        <v>1055</v>
      </c>
      <c r="N130">
        <v>2</v>
      </c>
      <c r="O130" t="s">
        <v>1054</v>
      </c>
      <c r="P130" t="s">
        <v>1053</v>
      </c>
      <c r="Q130" t="s">
        <v>19</v>
      </c>
      <c r="R130" s="7">
        <v>32082</v>
      </c>
      <c r="S130" s="8">
        <f t="shared" ref="S130:S193" si="16">YEAR(R130)</f>
        <v>1987</v>
      </c>
      <c r="T130" s="8">
        <v>1987</v>
      </c>
      <c r="U130" s="8">
        <f t="shared" ref="U130:U193" si="17">2022-T130</f>
        <v>35</v>
      </c>
      <c r="V130" s="7">
        <v>32082</v>
      </c>
      <c r="W130" t="s">
        <v>481</v>
      </c>
      <c r="X130" s="2">
        <v>0.14099999999999999</v>
      </c>
      <c r="Y130" s="6">
        <f t="shared" ref="Y130:Y193" si="18">(X130-$Z$4)/($Z$3-$Z$4)</f>
        <v>3.7639144710498915E-3</v>
      </c>
      <c r="AA130">
        <v>402508</v>
      </c>
      <c r="AB130">
        <v>20868</v>
      </c>
      <c r="AD130" t="s">
        <v>1</v>
      </c>
      <c r="AE130" t="s">
        <v>480</v>
      </c>
      <c r="AF130">
        <v>11</v>
      </c>
      <c r="AH130" t="s">
        <v>87</v>
      </c>
      <c r="AI130" t="s">
        <v>1052</v>
      </c>
      <c r="AK130" t="s">
        <v>1051</v>
      </c>
      <c r="AL130">
        <v>0</v>
      </c>
      <c r="AM130" s="5">
        <f t="shared" ref="AM130:AM193" si="19">AL130/U130</f>
        <v>0</v>
      </c>
      <c r="AN130" s="4">
        <f t="shared" ref="AN130:AN193" si="20">(AM130-$AO$4)/($AO$3-$AO$4)</f>
        <v>0</v>
      </c>
      <c r="AO130" s="3"/>
      <c r="AP130">
        <v>0</v>
      </c>
      <c r="AR130" t="s">
        <v>0</v>
      </c>
      <c r="AT130" s="2" t="s">
        <v>6</v>
      </c>
      <c r="AU130" s="1">
        <f t="shared" ref="AU130:AU193" si="21">(Y130*0.7+AN130*0.3)*100</f>
        <v>0.26347401297349238</v>
      </c>
      <c r="AV130" s="1">
        <f t="shared" ref="AV130:AV193" si="22">(Y130*0.5+AN130*0.5)*100</f>
        <v>0.18819572355249459</v>
      </c>
      <c r="AW130" s="1">
        <f t="shared" ref="AW130:AW193" si="23">(Y130*0.3+AN130*0.7)*100</f>
        <v>0.11291743413149673</v>
      </c>
    </row>
    <row r="131" spans="1:49" x14ac:dyDescent="0.2">
      <c r="A131">
        <v>129</v>
      </c>
      <c r="B131" t="s">
        <v>1050</v>
      </c>
      <c r="C131" t="s">
        <v>1049</v>
      </c>
      <c r="F131" t="s">
        <v>1048</v>
      </c>
      <c r="G131" t="s">
        <v>4</v>
      </c>
      <c r="H131" t="s">
        <v>3</v>
      </c>
      <c r="I131" t="s">
        <v>1047</v>
      </c>
      <c r="J131">
        <v>60019782</v>
      </c>
      <c r="K131" t="s">
        <v>1046</v>
      </c>
      <c r="L131" t="s">
        <v>1045</v>
      </c>
      <c r="M131" t="s">
        <v>73</v>
      </c>
      <c r="N131">
        <v>3</v>
      </c>
      <c r="O131" t="s">
        <v>1044</v>
      </c>
      <c r="P131" t="s">
        <v>1043</v>
      </c>
      <c r="Q131" t="s">
        <v>1042</v>
      </c>
      <c r="R131" s="7">
        <v>32082</v>
      </c>
      <c r="S131" s="8">
        <f t="shared" si="16"/>
        <v>1987</v>
      </c>
      <c r="T131" s="8">
        <v>1987</v>
      </c>
      <c r="U131" s="8">
        <f t="shared" si="17"/>
        <v>35</v>
      </c>
      <c r="V131" s="7">
        <v>32082</v>
      </c>
      <c r="W131" t="s">
        <v>1041</v>
      </c>
      <c r="X131" s="2" t="s">
        <v>6</v>
      </c>
      <c r="Y131" s="6" t="e">
        <f t="shared" si="18"/>
        <v>#VALUE!</v>
      </c>
      <c r="AA131">
        <v>1051938</v>
      </c>
      <c r="AB131">
        <v>76824</v>
      </c>
      <c r="AD131" t="s">
        <v>1</v>
      </c>
      <c r="AE131">
        <v>52</v>
      </c>
      <c r="AF131">
        <v>6</v>
      </c>
      <c r="AH131" t="s">
        <v>1040</v>
      </c>
      <c r="AI131" t="s">
        <v>1039</v>
      </c>
      <c r="AJ131" t="s">
        <v>1038</v>
      </c>
      <c r="AK131" t="s">
        <v>1037</v>
      </c>
      <c r="AL131">
        <v>20</v>
      </c>
      <c r="AM131" s="5">
        <f t="shared" si="19"/>
        <v>0.5714285714285714</v>
      </c>
      <c r="AN131" s="4">
        <f t="shared" si="20"/>
        <v>8.6547303510574997E-4</v>
      </c>
      <c r="AO131" s="3"/>
      <c r="AP131">
        <v>1</v>
      </c>
      <c r="AR131" t="s">
        <v>0</v>
      </c>
      <c r="AT131" s="2" t="s">
        <v>6</v>
      </c>
      <c r="AU131" s="1" t="e">
        <f t="shared" si="21"/>
        <v>#VALUE!</v>
      </c>
      <c r="AV131" s="1" t="e">
        <f t="shared" si="22"/>
        <v>#VALUE!</v>
      </c>
      <c r="AW131" s="1" t="e">
        <f t="shared" si="23"/>
        <v>#VALUE!</v>
      </c>
    </row>
    <row r="132" spans="1:49" x14ac:dyDescent="0.2">
      <c r="A132">
        <v>130</v>
      </c>
      <c r="B132" t="s">
        <v>1036</v>
      </c>
      <c r="C132" t="s">
        <v>1035</v>
      </c>
      <c r="D132">
        <v>5272887902143</v>
      </c>
      <c r="F132" t="s">
        <v>1034</v>
      </c>
      <c r="G132" t="s">
        <v>4</v>
      </c>
      <c r="H132" t="s">
        <v>3</v>
      </c>
      <c r="I132" t="s">
        <v>1033</v>
      </c>
      <c r="J132">
        <v>60000179</v>
      </c>
      <c r="K132" t="s">
        <v>1032</v>
      </c>
      <c r="L132" t="s">
        <v>15</v>
      </c>
      <c r="M132" t="s">
        <v>14</v>
      </c>
      <c r="N132">
        <v>3</v>
      </c>
      <c r="O132" t="s">
        <v>1031</v>
      </c>
      <c r="P132" t="s">
        <v>1030</v>
      </c>
      <c r="Q132" t="s">
        <v>1029</v>
      </c>
      <c r="R132" s="7">
        <v>32079</v>
      </c>
      <c r="S132" s="8">
        <f t="shared" si="16"/>
        <v>1987</v>
      </c>
      <c r="T132" s="8">
        <v>1987</v>
      </c>
      <c r="U132" s="8">
        <f t="shared" si="17"/>
        <v>35</v>
      </c>
      <c r="V132" s="7">
        <v>32079</v>
      </c>
      <c r="W132" t="s">
        <v>151</v>
      </c>
      <c r="X132" s="2">
        <v>1.59</v>
      </c>
      <c r="Y132" s="6">
        <f t="shared" si="18"/>
        <v>4.2444141907583888E-2</v>
      </c>
      <c r="AA132">
        <v>52728</v>
      </c>
      <c r="AB132">
        <v>16791</v>
      </c>
      <c r="AD132" t="s">
        <v>1</v>
      </c>
      <c r="AE132">
        <v>894</v>
      </c>
      <c r="AF132">
        <v>1</v>
      </c>
      <c r="AH132" t="s">
        <v>1028</v>
      </c>
      <c r="AI132" t="s">
        <v>1027</v>
      </c>
      <c r="AJ132" t="s">
        <v>1026</v>
      </c>
      <c r="AK132" t="s">
        <v>1025</v>
      </c>
      <c r="AL132">
        <v>37</v>
      </c>
      <c r="AM132" s="5">
        <f t="shared" si="19"/>
        <v>1.0571428571428572</v>
      </c>
      <c r="AN132" s="4">
        <f t="shared" si="20"/>
        <v>1.6011251149456375E-3</v>
      </c>
      <c r="AO132" s="3"/>
      <c r="AP132">
        <v>0</v>
      </c>
      <c r="AR132" t="s">
        <v>0</v>
      </c>
      <c r="AT132" s="2" t="s">
        <v>6</v>
      </c>
      <c r="AU132" s="1">
        <f t="shared" si="21"/>
        <v>3.0191236869792411</v>
      </c>
      <c r="AV132" s="1">
        <f t="shared" si="22"/>
        <v>2.2022633511264762</v>
      </c>
      <c r="AW132" s="1">
        <f t="shared" si="23"/>
        <v>1.3854030152737111</v>
      </c>
    </row>
    <row r="133" spans="1:49" x14ac:dyDescent="0.2">
      <c r="A133">
        <v>131</v>
      </c>
      <c r="B133" t="s">
        <v>1024</v>
      </c>
      <c r="C133" t="s">
        <v>1023</v>
      </c>
      <c r="D133">
        <v>5272887902131</v>
      </c>
      <c r="F133" t="s">
        <v>1022</v>
      </c>
      <c r="G133" t="s">
        <v>4</v>
      </c>
      <c r="H133" t="s">
        <v>3</v>
      </c>
      <c r="I133" t="s">
        <v>1010</v>
      </c>
      <c r="J133" t="s">
        <v>162</v>
      </c>
      <c r="K133" t="s">
        <v>161</v>
      </c>
      <c r="L133" t="s">
        <v>160</v>
      </c>
      <c r="M133" t="s">
        <v>127</v>
      </c>
      <c r="N133">
        <v>3</v>
      </c>
      <c r="O133" t="s">
        <v>1021</v>
      </c>
      <c r="P133" t="s">
        <v>1020</v>
      </c>
      <c r="Q133" t="s">
        <v>1007</v>
      </c>
      <c r="R133" s="7">
        <v>32079</v>
      </c>
      <c r="S133" s="8">
        <f t="shared" si="16"/>
        <v>1987</v>
      </c>
      <c r="T133" s="8">
        <v>1987</v>
      </c>
      <c r="U133" s="8">
        <f t="shared" si="17"/>
        <v>35</v>
      </c>
      <c r="V133" s="7">
        <v>32079</v>
      </c>
      <c r="W133" t="s">
        <v>151</v>
      </c>
      <c r="X133" s="2">
        <v>1.59</v>
      </c>
      <c r="Y133" s="6">
        <f t="shared" si="18"/>
        <v>4.2444141907583888E-2</v>
      </c>
      <c r="AA133">
        <v>52728</v>
      </c>
      <c r="AB133">
        <v>16791</v>
      </c>
      <c r="AD133" t="s">
        <v>1</v>
      </c>
      <c r="AE133">
        <v>894</v>
      </c>
      <c r="AF133">
        <v>1</v>
      </c>
      <c r="AH133" t="s">
        <v>1019</v>
      </c>
      <c r="AI133" t="s">
        <v>1018</v>
      </c>
      <c r="AJ133" t="s">
        <v>1017</v>
      </c>
      <c r="AK133" t="s">
        <v>1016</v>
      </c>
      <c r="AL133">
        <v>67</v>
      </c>
      <c r="AM133" s="5">
        <f t="shared" si="19"/>
        <v>1.9142857142857144</v>
      </c>
      <c r="AN133" s="4">
        <f t="shared" si="20"/>
        <v>2.8993346676042626E-3</v>
      </c>
      <c r="AO133" s="3"/>
      <c r="AP133">
        <v>0</v>
      </c>
      <c r="AQ133" t="s">
        <v>1002</v>
      </c>
      <c r="AR133" t="s">
        <v>0</v>
      </c>
      <c r="AS133" t="s">
        <v>1015</v>
      </c>
      <c r="AT133" s="2" t="s">
        <v>6</v>
      </c>
      <c r="AU133" s="1">
        <f t="shared" si="21"/>
        <v>3.0580699735589998</v>
      </c>
      <c r="AV133" s="1">
        <f t="shared" si="22"/>
        <v>2.2671738287594074</v>
      </c>
      <c r="AW133" s="1">
        <f t="shared" si="23"/>
        <v>1.4762776839598151</v>
      </c>
    </row>
    <row r="134" spans="1:49" x14ac:dyDescent="0.2">
      <c r="A134">
        <v>132</v>
      </c>
      <c r="B134" t="s">
        <v>1014</v>
      </c>
      <c r="C134" t="s">
        <v>1013</v>
      </c>
      <c r="D134" t="s">
        <v>1012</v>
      </c>
      <c r="F134" t="s">
        <v>1011</v>
      </c>
      <c r="G134" t="s">
        <v>4</v>
      </c>
      <c r="H134" t="s">
        <v>3</v>
      </c>
      <c r="I134" t="s">
        <v>1010</v>
      </c>
      <c r="J134" t="s">
        <v>162</v>
      </c>
      <c r="K134" t="s">
        <v>161</v>
      </c>
      <c r="L134" t="s">
        <v>160</v>
      </c>
      <c r="M134" t="s">
        <v>127</v>
      </c>
      <c r="N134">
        <v>3</v>
      </c>
      <c r="O134" t="s">
        <v>1009</v>
      </c>
      <c r="P134" t="s">
        <v>1008</v>
      </c>
      <c r="Q134" t="s">
        <v>1007</v>
      </c>
      <c r="R134" s="7">
        <v>32079</v>
      </c>
      <c r="S134" s="8">
        <f t="shared" si="16"/>
        <v>1987</v>
      </c>
      <c r="T134" s="8">
        <v>1987</v>
      </c>
      <c r="U134" s="8">
        <f t="shared" si="17"/>
        <v>35</v>
      </c>
      <c r="V134" s="7">
        <v>32079</v>
      </c>
      <c r="W134" t="s">
        <v>151</v>
      </c>
      <c r="X134" s="2">
        <v>1.59</v>
      </c>
      <c r="Y134" s="6">
        <f t="shared" si="18"/>
        <v>4.2444141907583888E-2</v>
      </c>
      <c r="AA134">
        <v>52728</v>
      </c>
      <c r="AB134">
        <v>16791</v>
      </c>
      <c r="AD134" t="s">
        <v>1</v>
      </c>
      <c r="AE134">
        <v>894</v>
      </c>
      <c r="AF134">
        <v>1</v>
      </c>
      <c r="AH134" t="s">
        <v>1006</v>
      </c>
      <c r="AI134" t="s">
        <v>1005</v>
      </c>
      <c r="AJ134" t="s">
        <v>1004</v>
      </c>
      <c r="AK134" t="s">
        <v>1003</v>
      </c>
      <c r="AL134">
        <v>76</v>
      </c>
      <c r="AM134" s="5">
        <f t="shared" si="19"/>
        <v>2.1714285714285713</v>
      </c>
      <c r="AN134" s="4">
        <f t="shared" si="20"/>
        <v>3.2887975334018496E-3</v>
      </c>
      <c r="AO134" s="3"/>
      <c r="AP134">
        <v>0</v>
      </c>
      <c r="AQ134" t="s">
        <v>1002</v>
      </c>
      <c r="AR134" t="s">
        <v>0</v>
      </c>
      <c r="AS134" t="s">
        <v>1001</v>
      </c>
      <c r="AT134" s="2" t="s">
        <v>6</v>
      </c>
      <c r="AU134" s="1">
        <f t="shared" si="21"/>
        <v>3.0697538595329275</v>
      </c>
      <c r="AV134" s="1">
        <f t="shared" si="22"/>
        <v>2.2866469720492866</v>
      </c>
      <c r="AW134" s="1">
        <f t="shared" si="23"/>
        <v>1.5035400845656459</v>
      </c>
    </row>
    <row r="135" spans="1:49" x14ac:dyDescent="0.2">
      <c r="A135">
        <v>133</v>
      </c>
      <c r="B135" t="s">
        <v>1000</v>
      </c>
      <c r="C135" t="s">
        <v>999</v>
      </c>
      <c r="D135">
        <v>14579387805331</v>
      </c>
      <c r="F135" t="s">
        <v>998</v>
      </c>
      <c r="G135" t="s">
        <v>4</v>
      </c>
      <c r="H135" t="s">
        <v>3</v>
      </c>
      <c r="I135" t="s">
        <v>997</v>
      </c>
      <c r="J135">
        <v>60007457</v>
      </c>
      <c r="K135" t="s">
        <v>986</v>
      </c>
      <c r="L135" t="s">
        <v>129</v>
      </c>
      <c r="M135" t="s">
        <v>128</v>
      </c>
      <c r="N135">
        <v>2</v>
      </c>
      <c r="O135" t="s">
        <v>996</v>
      </c>
      <c r="P135" t="s">
        <v>995</v>
      </c>
      <c r="Q135" t="s">
        <v>994</v>
      </c>
      <c r="R135" s="7">
        <v>32069</v>
      </c>
      <c r="S135" s="8">
        <f t="shared" si="16"/>
        <v>1987</v>
      </c>
      <c r="T135" s="8">
        <v>1987</v>
      </c>
      <c r="U135" s="8">
        <f t="shared" si="17"/>
        <v>35</v>
      </c>
      <c r="V135" s="7">
        <v>32069</v>
      </c>
      <c r="W135" t="s">
        <v>130</v>
      </c>
      <c r="X135" s="2">
        <v>1.593</v>
      </c>
      <c r="Y135" s="6">
        <f t="shared" si="18"/>
        <v>4.2524225194201973E-2</v>
      </c>
      <c r="AA135">
        <v>145793</v>
      </c>
      <c r="AB135">
        <v>17481</v>
      </c>
      <c r="AD135" t="s">
        <v>1</v>
      </c>
      <c r="AE135">
        <v>223</v>
      </c>
      <c r="AF135">
        <v>1</v>
      </c>
      <c r="AH135" t="s">
        <v>86</v>
      </c>
      <c r="AI135" t="s">
        <v>993</v>
      </c>
      <c r="AJ135" t="s">
        <v>992</v>
      </c>
      <c r="AK135" t="s">
        <v>991</v>
      </c>
      <c r="AL135">
        <v>2</v>
      </c>
      <c r="AM135" s="5">
        <f t="shared" si="19"/>
        <v>5.7142857142857141E-2</v>
      </c>
      <c r="AN135" s="4">
        <f t="shared" si="20"/>
        <v>8.6547303510575E-5</v>
      </c>
      <c r="AO135" s="3"/>
      <c r="AP135">
        <v>1</v>
      </c>
      <c r="AR135" t="s">
        <v>0</v>
      </c>
      <c r="AT135" s="2">
        <v>4.1239999999999997</v>
      </c>
      <c r="AU135" s="1">
        <f t="shared" si="21"/>
        <v>2.9792921826994552</v>
      </c>
      <c r="AV135" s="1">
        <f t="shared" si="22"/>
        <v>2.1305386248856273</v>
      </c>
      <c r="AW135" s="1">
        <f t="shared" si="23"/>
        <v>1.2817850670717994</v>
      </c>
    </row>
    <row r="136" spans="1:49" x14ac:dyDescent="0.2">
      <c r="A136">
        <v>134</v>
      </c>
      <c r="B136" t="s">
        <v>990</v>
      </c>
      <c r="C136" t="s">
        <v>989</v>
      </c>
      <c r="D136">
        <v>14579387805288</v>
      </c>
      <c r="F136" t="s">
        <v>988</v>
      </c>
      <c r="G136" t="s">
        <v>4</v>
      </c>
      <c r="H136" t="s">
        <v>3</v>
      </c>
      <c r="I136" t="s">
        <v>987</v>
      </c>
      <c r="J136">
        <v>60007457</v>
      </c>
      <c r="K136" t="s">
        <v>986</v>
      </c>
      <c r="L136" t="s">
        <v>129</v>
      </c>
      <c r="M136" t="s">
        <v>128</v>
      </c>
      <c r="N136">
        <v>3</v>
      </c>
      <c r="O136" t="s">
        <v>985</v>
      </c>
      <c r="P136" t="s">
        <v>984</v>
      </c>
      <c r="Q136" t="s">
        <v>983</v>
      </c>
      <c r="R136" s="7">
        <v>32069</v>
      </c>
      <c r="S136" s="8">
        <f t="shared" si="16"/>
        <v>1987</v>
      </c>
      <c r="T136" s="8">
        <v>1987</v>
      </c>
      <c r="U136" s="8">
        <f t="shared" si="17"/>
        <v>35</v>
      </c>
      <c r="V136" s="7">
        <v>32069</v>
      </c>
      <c r="W136" t="s">
        <v>130</v>
      </c>
      <c r="X136" s="2">
        <v>1.593</v>
      </c>
      <c r="Y136" s="6">
        <f t="shared" si="18"/>
        <v>4.2524225194201973E-2</v>
      </c>
      <c r="AA136">
        <v>145793</v>
      </c>
      <c r="AB136">
        <v>17481</v>
      </c>
      <c r="AD136" t="s">
        <v>1</v>
      </c>
      <c r="AE136">
        <v>223</v>
      </c>
      <c r="AF136">
        <v>1</v>
      </c>
      <c r="AH136" t="s">
        <v>982</v>
      </c>
      <c r="AI136" t="s">
        <v>981</v>
      </c>
      <c r="AJ136" t="s">
        <v>980</v>
      </c>
      <c r="AK136" t="s">
        <v>979</v>
      </c>
      <c r="AL136">
        <v>7</v>
      </c>
      <c r="AM136" s="5">
        <f t="shared" si="19"/>
        <v>0.2</v>
      </c>
      <c r="AN136" s="4">
        <f t="shared" si="20"/>
        <v>3.0291556228701253E-4</v>
      </c>
      <c r="AO136" s="3"/>
      <c r="AP136">
        <v>0</v>
      </c>
      <c r="AR136" t="s">
        <v>0</v>
      </c>
      <c r="AT136" s="2">
        <v>4.1239999999999997</v>
      </c>
      <c r="AU136" s="1">
        <f t="shared" si="21"/>
        <v>2.9857832304627485</v>
      </c>
      <c r="AV136" s="1">
        <f t="shared" si="22"/>
        <v>2.1413570378244491</v>
      </c>
      <c r="AW136" s="1">
        <f t="shared" si="23"/>
        <v>1.2969308451861501</v>
      </c>
    </row>
    <row r="137" spans="1:49" x14ac:dyDescent="0.2">
      <c r="A137">
        <v>135</v>
      </c>
      <c r="B137" t="s">
        <v>978</v>
      </c>
      <c r="C137" t="s">
        <v>977</v>
      </c>
      <c r="D137">
        <v>168900287901227</v>
      </c>
      <c r="F137" t="s">
        <v>976</v>
      </c>
      <c r="G137" t="s">
        <v>4</v>
      </c>
      <c r="H137" t="s">
        <v>3</v>
      </c>
      <c r="I137" t="s">
        <v>975</v>
      </c>
      <c r="J137" t="s">
        <v>974</v>
      </c>
      <c r="K137" t="s">
        <v>973</v>
      </c>
      <c r="L137" t="s">
        <v>56</v>
      </c>
      <c r="M137" t="s">
        <v>55</v>
      </c>
      <c r="N137">
        <v>1</v>
      </c>
      <c r="O137" t="s">
        <v>972</v>
      </c>
      <c r="P137">
        <v>7103269533</v>
      </c>
      <c r="Q137" t="s">
        <v>971</v>
      </c>
      <c r="R137" s="7">
        <v>32065</v>
      </c>
      <c r="S137" s="8">
        <f t="shared" si="16"/>
        <v>1987</v>
      </c>
      <c r="T137" s="8">
        <v>1987</v>
      </c>
      <c r="U137" s="8">
        <f t="shared" si="17"/>
        <v>35</v>
      </c>
      <c r="V137" s="7">
        <v>32065</v>
      </c>
      <c r="W137" t="s">
        <v>970</v>
      </c>
      <c r="X137" s="2" t="s">
        <v>6</v>
      </c>
      <c r="Y137" s="6" t="e">
        <f t="shared" si="18"/>
        <v>#VALUE!</v>
      </c>
      <c r="AA137">
        <v>1689002</v>
      </c>
      <c r="AB137">
        <v>29067</v>
      </c>
      <c r="AD137" t="s">
        <v>1</v>
      </c>
      <c r="AE137">
        <v>260</v>
      </c>
      <c r="AF137" s="9">
        <v>44257</v>
      </c>
      <c r="AH137" t="s">
        <v>969</v>
      </c>
      <c r="AI137" t="s">
        <v>968</v>
      </c>
      <c r="AK137" t="s">
        <v>967</v>
      </c>
      <c r="AL137">
        <v>16</v>
      </c>
      <c r="AM137" s="5">
        <f t="shared" si="19"/>
        <v>0.45714285714285713</v>
      </c>
      <c r="AN137" s="4">
        <f t="shared" si="20"/>
        <v>6.923784280846E-4</v>
      </c>
      <c r="AO137" s="3"/>
      <c r="AP137">
        <v>0</v>
      </c>
      <c r="AR137" t="s">
        <v>0</v>
      </c>
      <c r="AT137" s="2" t="s">
        <v>6</v>
      </c>
      <c r="AU137" s="1" t="e">
        <f t="shared" si="21"/>
        <v>#VALUE!</v>
      </c>
      <c r="AV137" s="1" t="e">
        <f t="shared" si="22"/>
        <v>#VALUE!</v>
      </c>
      <c r="AW137" s="1" t="e">
        <f t="shared" si="23"/>
        <v>#VALUE!</v>
      </c>
    </row>
    <row r="138" spans="1:49" x14ac:dyDescent="0.2">
      <c r="A138">
        <v>136</v>
      </c>
      <c r="B138" t="s">
        <v>966</v>
      </c>
      <c r="C138" t="s">
        <v>965</v>
      </c>
      <c r="D138">
        <v>5272887901022</v>
      </c>
      <c r="F138" t="s">
        <v>964</v>
      </c>
      <c r="G138" t="s">
        <v>4</v>
      </c>
      <c r="H138" t="s">
        <v>3</v>
      </c>
      <c r="I138" t="s">
        <v>963</v>
      </c>
      <c r="J138" t="s">
        <v>934</v>
      </c>
      <c r="K138" t="s">
        <v>933</v>
      </c>
      <c r="L138" t="s">
        <v>932</v>
      </c>
      <c r="M138" t="s">
        <v>20</v>
      </c>
      <c r="N138">
        <v>3</v>
      </c>
      <c r="O138" t="s">
        <v>962</v>
      </c>
      <c r="P138" t="s">
        <v>961</v>
      </c>
      <c r="Q138" t="s">
        <v>960</v>
      </c>
      <c r="R138" s="7">
        <v>32057</v>
      </c>
      <c r="S138" s="8">
        <f t="shared" si="16"/>
        <v>1987</v>
      </c>
      <c r="T138" s="8">
        <v>1987</v>
      </c>
      <c r="U138" s="8">
        <f t="shared" si="17"/>
        <v>35</v>
      </c>
      <c r="V138" s="7">
        <v>32057</v>
      </c>
      <c r="W138" t="s">
        <v>151</v>
      </c>
      <c r="X138" s="2">
        <v>1.59</v>
      </c>
      <c r="Y138" s="6">
        <f t="shared" si="18"/>
        <v>4.2444141907583888E-2</v>
      </c>
      <c r="AA138">
        <v>52728</v>
      </c>
      <c r="AB138">
        <v>16791</v>
      </c>
      <c r="AD138" t="s">
        <v>1</v>
      </c>
      <c r="AE138">
        <v>893</v>
      </c>
      <c r="AF138">
        <v>3</v>
      </c>
      <c r="AH138" t="s">
        <v>959</v>
      </c>
      <c r="AI138" t="s">
        <v>958</v>
      </c>
      <c r="AJ138" t="s">
        <v>957</v>
      </c>
      <c r="AK138" t="s">
        <v>956</v>
      </c>
      <c r="AL138">
        <v>76</v>
      </c>
      <c r="AM138" s="5">
        <f t="shared" si="19"/>
        <v>2.1714285714285713</v>
      </c>
      <c r="AN138" s="4">
        <f t="shared" si="20"/>
        <v>3.2887975334018496E-3</v>
      </c>
      <c r="AO138" s="3"/>
      <c r="AP138">
        <v>0</v>
      </c>
      <c r="AQ138" t="s">
        <v>924</v>
      </c>
      <c r="AR138" t="s">
        <v>955</v>
      </c>
      <c r="AS138" t="s">
        <v>923</v>
      </c>
      <c r="AT138" s="2" t="s">
        <v>6</v>
      </c>
      <c r="AU138" s="1">
        <f t="shared" si="21"/>
        <v>3.0697538595329275</v>
      </c>
      <c r="AV138" s="1">
        <f t="shared" si="22"/>
        <v>2.2866469720492866</v>
      </c>
      <c r="AW138" s="1">
        <f t="shared" si="23"/>
        <v>1.5035400845656459</v>
      </c>
    </row>
    <row r="139" spans="1:49" x14ac:dyDescent="0.2">
      <c r="A139">
        <v>137</v>
      </c>
      <c r="B139" t="s">
        <v>954</v>
      </c>
      <c r="C139" t="s">
        <v>953</v>
      </c>
      <c r="D139" t="s">
        <v>952</v>
      </c>
      <c r="F139" t="s">
        <v>951</v>
      </c>
      <c r="G139" t="s">
        <v>4</v>
      </c>
      <c r="H139" t="s">
        <v>3</v>
      </c>
      <c r="I139" t="s">
        <v>950</v>
      </c>
      <c r="J139" t="s">
        <v>949</v>
      </c>
      <c r="K139" t="s">
        <v>948</v>
      </c>
      <c r="L139" t="s">
        <v>947</v>
      </c>
      <c r="M139" t="s">
        <v>63</v>
      </c>
      <c r="N139">
        <v>4</v>
      </c>
      <c r="O139" t="s">
        <v>946</v>
      </c>
      <c r="P139" t="s">
        <v>945</v>
      </c>
      <c r="Q139" t="s">
        <v>944</v>
      </c>
      <c r="R139" s="7">
        <v>32057</v>
      </c>
      <c r="S139" s="8">
        <f t="shared" si="16"/>
        <v>1987</v>
      </c>
      <c r="T139" s="8">
        <v>1987</v>
      </c>
      <c r="U139" s="8">
        <f t="shared" si="17"/>
        <v>35</v>
      </c>
      <c r="V139" s="7">
        <v>32057</v>
      </c>
      <c r="W139" t="s">
        <v>151</v>
      </c>
      <c r="X139" s="2">
        <v>1.59</v>
      </c>
      <c r="Y139" s="6">
        <f t="shared" si="18"/>
        <v>4.2444141907583888E-2</v>
      </c>
      <c r="AA139">
        <v>52728</v>
      </c>
      <c r="AB139">
        <v>16791</v>
      </c>
      <c r="AD139" t="s">
        <v>1</v>
      </c>
      <c r="AE139">
        <v>893</v>
      </c>
      <c r="AF139">
        <v>3</v>
      </c>
      <c r="AH139" t="s">
        <v>943</v>
      </c>
      <c r="AI139" t="s">
        <v>942</v>
      </c>
      <c r="AJ139" t="s">
        <v>941</v>
      </c>
      <c r="AK139" t="s">
        <v>940</v>
      </c>
      <c r="AL139">
        <v>57</v>
      </c>
      <c r="AM139" s="5">
        <f t="shared" si="19"/>
        <v>1.6285714285714286</v>
      </c>
      <c r="AN139" s="4">
        <f t="shared" si="20"/>
        <v>2.4665981500513875E-3</v>
      </c>
      <c r="AO139" s="3"/>
      <c r="AP139">
        <v>0</v>
      </c>
      <c r="AQ139" t="s">
        <v>41</v>
      </c>
      <c r="AR139" t="s">
        <v>939</v>
      </c>
      <c r="AS139" t="s">
        <v>40</v>
      </c>
      <c r="AT139" s="2" t="s">
        <v>6</v>
      </c>
      <c r="AU139" s="1">
        <f t="shared" si="21"/>
        <v>3.0450878780324135</v>
      </c>
      <c r="AV139" s="1">
        <f t="shared" si="22"/>
        <v>2.2455370028817638</v>
      </c>
      <c r="AW139" s="1">
        <f t="shared" si="23"/>
        <v>1.4459861277311137</v>
      </c>
    </row>
    <row r="140" spans="1:49" x14ac:dyDescent="0.2">
      <c r="A140">
        <v>138</v>
      </c>
      <c r="B140" t="s">
        <v>938</v>
      </c>
      <c r="C140" t="s">
        <v>937</v>
      </c>
      <c r="D140">
        <v>5272887901034</v>
      </c>
      <c r="F140" t="s">
        <v>936</v>
      </c>
      <c r="G140" t="s">
        <v>4</v>
      </c>
      <c r="H140" t="s">
        <v>3</v>
      </c>
      <c r="I140" t="s">
        <v>935</v>
      </c>
      <c r="J140" t="s">
        <v>934</v>
      </c>
      <c r="K140" t="s">
        <v>933</v>
      </c>
      <c r="L140" t="s">
        <v>932</v>
      </c>
      <c r="M140" t="s">
        <v>20</v>
      </c>
      <c r="N140">
        <v>2</v>
      </c>
      <c r="O140" t="s">
        <v>931</v>
      </c>
      <c r="P140" t="s">
        <v>930</v>
      </c>
      <c r="Q140" t="s">
        <v>929</v>
      </c>
      <c r="R140" s="7">
        <v>32057</v>
      </c>
      <c r="S140" s="8">
        <f t="shared" si="16"/>
        <v>1987</v>
      </c>
      <c r="T140" s="8">
        <v>1987</v>
      </c>
      <c r="U140" s="8">
        <f t="shared" si="17"/>
        <v>35</v>
      </c>
      <c r="V140" s="7">
        <v>32057</v>
      </c>
      <c r="W140" t="s">
        <v>151</v>
      </c>
      <c r="X140" s="2">
        <v>1.59</v>
      </c>
      <c r="Y140" s="6">
        <f t="shared" si="18"/>
        <v>4.2444141907583888E-2</v>
      </c>
      <c r="AA140">
        <v>52728</v>
      </c>
      <c r="AB140">
        <v>16791</v>
      </c>
      <c r="AD140" t="s">
        <v>1</v>
      </c>
      <c r="AE140">
        <v>893</v>
      </c>
      <c r="AF140">
        <v>3</v>
      </c>
      <c r="AH140" t="s">
        <v>928</v>
      </c>
      <c r="AI140" t="s">
        <v>927</v>
      </c>
      <c r="AJ140" t="s">
        <v>926</v>
      </c>
      <c r="AK140" t="s">
        <v>925</v>
      </c>
      <c r="AL140">
        <v>17</v>
      </c>
      <c r="AM140" s="5">
        <f t="shared" si="19"/>
        <v>0.48571428571428571</v>
      </c>
      <c r="AN140" s="4">
        <f t="shared" si="20"/>
        <v>7.3565207983988746E-4</v>
      </c>
      <c r="AO140" s="3"/>
      <c r="AP140">
        <v>0</v>
      </c>
      <c r="AQ140" t="s">
        <v>924</v>
      </c>
      <c r="AR140" t="s">
        <v>0</v>
      </c>
      <c r="AS140" t="s">
        <v>923</v>
      </c>
      <c r="AT140" s="2" t="s">
        <v>6</v>
      </c>
      <c r="AU140" s="1">
        <f t="shared" si="21"/>
        <v>2.9931594959260686</v>
      </c>
      <c r="AV140" s="1">
        <f t="shared" si="22"/>
        <v>2.1589896993711886</v>
      </c>
      <c r="AW140" s="1">
        <f t="shared" si="23"/>
        <v>1.3248199028163088</v>
      </c>
    </row>
    <row r="141" spans="1:49" x14ac:dyDescent="0.2">
      <c r="A141">
        <v>139</v>
      </c>
      <c r="B141" t="s">
        <v>922</v>
      </c>
      <c r="C141" t="s">
        <v>921</v>
      </c>
      <c r="D141" t="s">
        <v>920</v>
      </c>
      <c r="E141">
        <v>3653406</v>
      </c>
      <c r="F141" t="s">
        <v>919</v>
      </c>
      <c r="G141" t="s">
        <v>4</v>
      </c>
      <c r="H141" t="s">
        <v>3</v>
      </c>
      <c r="I141" t="s">
        <v>918</v>
      </c>
      <c r="J141">
        <v>60071027</v>
      </c>
      <c r="K141" t="s">
        <v>917</v>
      </c>
      <c r="L141" t="s">
        <v>112</v>
      </c>
      <c r="M141" t="s">
        <v>36</v>
      </c>
      <c r="N141">
        <v>2</v>
      </c>
      <c r="O141" t="s">
        <v>916</v>
      </c>
      <c r="P141" t="s">
        <v>915</v>
      </c>
      <c r="Q141" t="s">
        <v>914</v>
      </c>
      <c r="R141" s="7">
        <v>32055</v>
      </c>
      <c r="S141" s="8">
        <f t="shared" si="16"/>
        <v>1987</v>
      </c>
      <c r="T141" s="8">
        <v>1987</v>
      </c>
      <c r="U141" s="8">
        <f t="shared" si="17"/>
        <v>35</v>
      </c>
      <c r="V141" s="7">
        <v>32055</v>
      </c>
      <c r="W141" t="s">
        <v>130</v>
      </c>
      <c r="X141" s="2">
        <v>1.593</v>
      </c>
      <c r="Y141" s="6">
        <f t="shared" si="18"/>
        <v>4.2524225194201973E-2</v>
      </c>
      <c r="AA141">
        <v>145793</v>
      </c>
      <c r="AB141">
        <v>17481</v>
      </c>
      <c r="AD141" t="s">
        <v>1</v>
      </c>
      <c r="AE141">
        <v>222</v>
      </c>
      <c r="AF141">
        <v>2</v>
      </c>
      <c r="AH141" t="s">
        <v>913</v>
      </c>
      <c r="AI141" t="s">
        <v>912</v>
      </c>
      <c r="AJ141" t="s">
        <v>911</v>
      </c>
      <c r="AK141" t="s">
        <v>910</v>
      </c>
      <c r="AL141">
        <v>1</v>
      </c>
      <c r="AM141" s="5">
        <f t="shared" si="19"/>
        <v>2.8571428571428571E-2</v>
      </c>
      <c r="AN141" s="4">
        <f t="shared" si="20"/>
        <v>4.32736517552875E-5</v>
      </c>
      <c r="AO141" s="3"/>
      <c r="AP141">
        <v>1</v>
      </c>
      <c r="AQ141" t="s">
        <v>38</v>
      </c>
      <c r="AR141" t="s">
        <v>0</v>
      </c>
      <c r="AS141" t="s">
        <v>37</v>
      </c>
      <c r="AT141" s="2">
        <v>4.1239999999999997</v>
      </c>
      <c r="AU141" s="1">
        <f t="shared" si="21"/>
        <v>2.9779939731467966</v>
      </c>
      <c r="AV141" s="1">
        <f t="shared" si="22"/>
        <v>2.1283749422978628</v>
      </c>
      <c r="AW141" s="1">
        <f t="shared" si="23"/>
        <v>1.2787559114489293</v>
      </c>
    </row>
    <row r="142" spans="1:49" x14ac:dyDescent="0.2">
      <c r="A142">
        <v>140</v>
      </c>
      <c r="B142" t="s">
        <v>909</v>
      </c>
      <c r="C142" t="s">
        <v>908</v>
      </c>
      <c r="F142" t="s">
        <v>907</v>
      </c>
      <c r="G142" t="s">
        <v>4</v>
      </c>
      <c r="H142" t="s">
        <v>3</v>
      </c>
      <c r="I142" t="s">
        <v>906</v>
      </c>
      <c r="N142">
        <v>2</v>
      </c>
      <c r="O142" t="s">
        <v>905</v>
      </c>
      <c r="P142" t="s">
        <v>904</v>
      </c>
      <c r="Q142" t="s">
        <v>19</v>
      </c>
      <c r="R142" s="7">
        <v>32051</v>
      </c>
      <c r="S142" s="8">
        <f t="shared" si="16"/>
        <v>1987</v>
      </c>
      <c r="T142" s="8">
        <v>1987</v>
      </c>
      <c r="U142" s="8">
        <f t="shared" si="17"/>
        <v>35</v>
      </c>
      <c r="V142" s="7">
        <v>32051</v>
      </c>
      <c r="W142" t="s">
        <v>148</v>
      </c>
      <c r="X142" s="2">
        <v>0.318</v>
      </c>
      <c r="Y142" s="6">
        <f t="shared" si="18"/>
        <v>8.4888283815167786E-3</v>
      </c>
      <c r="AA142">
        <v>338443</v>
      </c>
      <c r="AB142">
        <v>27160</v>
      </c>
      <c r="AC142">
        <v>15739120</v>
      </c>
      <c r="AD142" t="s">
        <v>1</v>
      </c>
      <c r="AE142">
        <v>30</v>
      </c>
      <c r="AF142">
        <v>10</v>
      </c>
      <c r="AH142" t="s">
        <v>903</v>
      </c>
      <c r="AL142">
        <v>0</v>
      </c>
      <c r="AM142" s="5">
        <f t="shared" si="19"/>
        <v>0</v>
      </c>
      <c r="AN142" s="4">
        <f t="shared" si="20"/>
        <v>0</v>
      </c>
      <c r="AO142" s="3"/>
      <c r="AP142">
        <v>0</v>
      </c>
      <c r="AR142" t="s">
        <v>0</v>
      </c>
      <c r="AT142" s="2">
        <v>0.77</v>
      </c>
      <c r="AU142" s="1">
        <f t="shared" si="21"/>
        <v>0.59421798670617454</v>
      </c>
      <c r="AV142" s="1">
        <f t="shared" si="22"/>
        <v>0.42444141907583893</v>
      </c>
      <c r="AW142" s="1">
        <f t="shared" si="23"/>
        <v>0.25466485144550338</v>
      </c>
    </row>
    <row r="143" spans="1:49" x14ac:dyDescent="0.2">
      <c r="A143">
        <v>141</v>
      </c>
      <c r="B143" t="s">
        <v>902</v>
      </c>
      <c r="C143" t="s">
        <v>901</v>
      </c>
      <c r="F143" t="s">
        <v>900</v>
      </c>
      <c r="G143" t="s">
        <v>4</v>
      </c>
      <c r="H143" t="s">
        <v>3</v>
      </c>
      <c r="I143" t="s">
        <v>899</v>
      </c>
      <c r="N143">
        <v>2</v>
      </c>
      <c r="O143" t="s">
        <v>898</v>
      </c>
      <c r="P143" t="s">
        <v>897</v>
      </c>
      <c r="Q143" t="s">
        <v>19</v>
      </c>
      <c r="R143" s="7">
        <v>32051</v>
      </c>
      <c r="S143" s="8">
        <f t="shared" si="16"/>
        <v>1987</v>
      </c>
      <c r="T143" s="8">
        <v>1987</v>
      </c>
      <c r="U143" s="8">
        <f t="shared" si="17"/>
        <v>35</v>
      </c>
      <c r="V143" s="7">
        <v>32051</v>
      </c>
      <c r="W143" t="s">
        <v>896</v>
      </c>
      <c r="X143" s="2">
        <v>0.14899999999999999</v>
      </c>
      <c r="Y143" s="6">
        <f t="shared" si="18"/>
        <v>3.977469902031446E-3</v>
      </c>
      <c r="AA143">
        <v>5431972</v>
      </c>
      <c r="AB143">
        <v>15425</v>
      </c>
      <c r="AC143">
        <v>15738906</v>
      </c>
      <c r="AD143" t="s">
        <v>1</v>
      </c>
      <c r="AE143">
        <v>30</v>
      </c>
      <c r="AF143">
        <v>10</v>
      </c>
      <c r="AH143" t="s">
        <v>895</v>
      </c>
      <c r="AL143">
        <v>2</v>
      </c>
      <c r="AM143" s="5">
        <f t="shared" si="19"/>
        <v>5.7142857142857141E-2</v>
      </c>
      <c r="AN143" s="4">
        <f t="shared" si="20"/>
        <v>8.6547303510575E-5</v>
      </c>
      <c r="AO143" s="3"/>
      <c r="AP143">
        <v>0</v>
      </c>
      <c r="AR143" t="s">
        <v>0</v>
      </c>
      <c r="AT143" s="2" t="s">
        <v>6</v>
      </c>
      <c r="AU143" s="1">
        <f t="shared" si="21"/>
        <v>0.28101931224751847</v>
      </c>
      <c r="AV143" s="1">
        <f t="shared" si="22"/>
        <v>0.20320086027710108</v>
      </c>
      <c r="AW143" s="1">
        <f t="shared" si="23"/>
        <v>0.12538240830668362</v>
      </c>
    </row>
    <row r="144" spans="1:49" x14ac:dyDescent="0.2">
      <c r="A144">
        <v>142</v>
      </c>
      <c r="B144" t="s">
        <v>894</v>
      </c>
      <c r="F144" t="s">
        <v>893</v>
      </c>
      <c r="G144" t="s">
        <v>4</v>
      </c>
      <c r="H144" t="s">
        <v>3</v>
      </c>
      <c r="I144" t="s">
        <v>892</v>
      </c>
      <c r="N144">
        <v>1</v>
      </c>
      <c r="O144" t="s">
        <v>891</v>
      </c>
      <c r="P144">
        <v>6507416028</v>
      </c>
      <c r="R144" s="7">
        <v>32051</v>
      </c>
      <c r="S144" s="8">
        <f t="shared" si="16"/>
        <v>1987</v>
      </c>
      <c r="T144" s="8">
        <v>1987</v>
      </c>
      <c r="U144" s="8">
        <f t="shared" si="17"/>
        <v>35</v>
      </c>
      <c r="V144" s="7">
        <v>32051</v>
      </c>
      <c r="W144" t="s">
        <v>48</v>
      </c>
      <c r="X144" s="2" t="s">
        <v>6</v>
      </c>
      <c r="Y144" s="6" t="e">
        <f t="shared" si="18"/>
        <v>#VALUE!</v>
      </c>
      <c r="AA144">
        <v>87566648</v>
      </c>
      <c r="AB144">
        <v>74127</v>
      </c>
      <c r="AD144" t="s">
        <v>1</v>
      </c>
      <c r="AE144">
        <v>32</v>
      </c>
      <c r="AF144">
        <v>10</v>
      </c>
      <c r="AH144" t="s">
        <v>76</v>
      </c>
      <c r="AI144" t="s">
        <v>890</v>
      </c>
      <c r="AK144" t="s">
        <v>889</v>
      </c>
      <c r="AL144">
        <v>1</v>
      </c>
      <c r="AM144" s="5">
        <f t="shared" si="19"/>
        <v>2.8571428571428571E-2</v>
      </c>
      <c r="AN144" s="4">
        <f t="shared" si="20"/>
        <v>4.32736517552875E-5</v>
      </c>
      <c r="AO144" s="3"/>
      <c r="AP144">
        <v>0</v>
      </c>
      <c r="AR144" t="s">
        <v>0</v>
      </c>
      <c r="AT144" s="2" t="s">
        <v>6</v>
      </c>
      <c r="AU144" s="1" t="e">
        <f t="shared" si="21"/>
        <v>#VALUE!</v>
      </c>
      <c r="AV144" s="1" t="e">
        <f t="shared" si="22"/>
        <v>#VALUE!</v>
      </c>
      <c r="AW144" s="1" t="e">
        <f t="shared" si="23"/>
        <v>#VALUE!</v>
      </c>
    </row>
    <row r="145" spans="1:49" x14ac:dyDescent="0.2">
      <c r="A145">
        <v>143</v>
      </c>
      <c r="B145" t="s">
        <v>888</v>
      </c>
      <c r="F145" t="s">
        <v>887</v>
      </c>
      <c r="G145" t="s">
        <v>4</v>
      </c>
      <c r="H145" t="s">
        <v>3</v>
      </c>
      <c r="I145" t="s">
        <v>886</v>
      </c>
      <c r="N145">
        <v>2</v>
      </c>
      <c r="O145" t="s">
        <v>885</v>
      </c>
      <c r="P145" t="s">
        <v>884</v>
      </c>
      <c r="Q145" t="s">
        <v>19</v>
      </c>
      <c r="R145" s="7">
        <v>32051</v>
      </c>
      <c r="S145" s="8">
        <f t="shared" si="16"/>
        <v>1987</v>
      </c>
      <c r="T145" s="8">
        <v>1987</v>
      </c>
      <c r="U145" s="8">
        <f t="shared" si="17"/>
        <v>35</v>
      </c>
      <c r="V145" s="7">
        <v>32051</v>
      </c>
      <c r="W145" t="s">
        <v>48</v>
      </c>
      <c r="X145" s="2" t="s">
        <v>6</v>
      </c>
      <c r="Y145" s="6" t="e">
        <f t="shared" si="18"/>
        <v>#VALUE!</v>
      </c>
      <c r="AA145">
        <v>87566648</v>
      </c>
      <c r="AB145">
        <v>74127</v>
      </c>
      <c r="AD145" t="s">
        <v>1</v>
      </c>
      <c r="AE145">
        <v>32</v>
      </c>
      <c r="AF145">
        <v>10</v>
      </c>
      <c r="AH145" t="s">
        <v>883</v>
      </c>
      <c r="AI145" t="s">
        <v>882</v>
      </c>
      <c r="AK145" t="s">
        <v>881</v>
      </c>
      <c r="AL145">
        <v>0</v>
      </c>
      <c r="AM145" s="5">
        <f t="shared" si="19"/>
        <v>0</v>
      </c>
      <c r="AN145" s="4">
        <f t="shared" si="20"/>
        <v>0</v>
      </c>
      <c r="AO145" s="3"/>
      <c r="AP145">
        <v>0</v>
      </c>
      <c r="AR145" t="s">
        <v>0</v>
      </c>
      <c r="AT145" s="2" t="s">
        <v>6</v>
      </c>
      <c r="AU145" s="1" t="e">
        <f t="shared" si="21"/>
        <v>#VALUE!</v>
      </c>
      <c r="AV145" s="1" t="e">
        <f t="shared" si="22"/>
        <v>#VALUE!</v>
      </c>
      <c r="AW145" s="1" t="e">
        <f t="shared" si="23"/>
        <v>#VALUE!</v>
      </c>
    </row>
    <row r="146" spans="1:49" x14ac:dyDescent="0.2">
      <c r="A146">
        <v>144</v>
      </c>
      <c r="B146" t="s">
        <v>880</v>
      </c>
      <c r="C146" t="s">
        <v>879</v>
      </c>
      <c r="F146" t="s">
        <v>878</v>
      </c>
      <c r="G146" t="s">
        <v>4</v>
      </c>
      <c r="H146" t="s">
        <v>3</v>
      </c>
      <c r="I146" t="s">
        <v>877</v>
      </c>
      <c r="J146">
        <v>60031581</v>
      </c>
      <c r="K146" t="s">
        <v>69</v>
      </c>
      <c r="L146" t="s">
        <v>32</v>
      </c>
      <c r="M146" t="s">
        <v>2</v>
      </c>
      <c r="N146">
        <v>1</v>
      </c>
      <c r="O146" t="s">
        <v>876</v>
      </c>
      <c r="P146">
        <v>56034208100</v>
      </c>
      <c r="Q146">
        <v>60031581</v>
      </c>
      <c r="R146" s="7">
        <v>32051</v>
      </c>
      <c r="S146" s="8">
        <f t="shared" si="16"/>
        <v>1987</v>
      </c>
      <c r="T146" s="8">
        <v>1987</v>
      </c>
      <c r="U146" s="8">
        <f t="shared" si="17"/>
        <v>35</v>
      </c>
      <c r="V146" s="7">
        <v>32051</v>
      </c>
      <c r="W146" t="s">
        <v>100</v>
      </c>
      <c r="X146" s="2">
        <v>0.61499999999999999</v>
      </c>
      <c r="Y146" s="6">
        <f t="shared" si="18"/>
        <v>1.6417073756706976E-2</v>
      </c>
      <c r="AA146">
        <v>1959271</v>
      </c>
      <c r="AB146">
        <v>12141</v>
      </c>
      <c r="AC146">
        <v>15729559</v>
      </c>
      <c r="AD146" t="s">
        <v>1</v>
      </c>
      <c r="AE146">
        <v>8</v>
      </c>
      <c r="AF146">
        <v>10</v>
      </c>
      <c r="AH146" t="s">
        <v>875</v>
      </c>
      <c r="AI146" t="s">
        <v>874</v>
      </c>
      <c r="AK146" t="s">
        <v>873</v>
      </c>
      <c r="AL146">
        <v>5</v>
      </c>
      <c r="AM146" s="5">
        <f t="shared" si="19"/>
        <v>0.14285714285714285</v>
      </c>
      <c r="AN146" s="4">
        <f t="shared" si="20"/>
        <v>2.1636825877643749E-4</v>
      </c>
      <c r="AO146" s="3"/>
      <c r="AP146">
        <v>0</v>
      </c>
      <c r="AR146" t="s">
        <v>0</v>
      </c>
      <c r="AT146" s="2" t="s">
        <v>6</v>
      </c>
      <c r="AU146" s="1">
        <f t="shared" si="21"/>
        <v>1.1556862107327812</v>
      </c>
      <c r="AV146" s="1">
        <f t="shared" si="22"/>
        <v>0.83167210077417053</v>
      </c>
      <c r="AW146" s="1">
        <f t="shared" si="23"/>
        <v>0.50765799081555985</v>
      </c>
    </row>
    <row r="147" spans="1:49" x14ac:dyDescent="0.2">
      <c r="A147">
        <v>145</v>
      </c>
      <c r="B147" t="s">
        <v>872</v>
      </c>
      <c r="C147" t="s">
        <v>871</v>
      </c>
      <c r="F147" t="s">
        <v>870</v>
      </c>
      <c r="G147" t="s">
        <v>4</v>
      </c>
      <c r="H147" t="s">
        <v>3</v>
      </c>
      <c r="I147" t="s">
        <v>869</v>
      </c>
      <c r="J147" t="s">
        <v>868</v>
      </c>
      <c r="K147" t="s">
        <v>867</v>
      </c>
      <c r="L147" t="s">
        <v>866</v>
      </c>
      <c r="M147" t="s">
        <v>8</v>
      </c>
      <c r="N147">
        <v>5</v>
      </c>
      <c r="O147" t="s">
        <v>865</v>
      </c>
      <c r="P147" t="s">
        <v>864</v>
      </c>
      <c r="Q147" t="s">
        <v>863</v>
      </c>
      <c r="R147" s="7">
        <v>32051</v>
      </c>
      <c r="S147" s="8">
        <f t="shared" si="16"/>
        <v>1987</v>
      </c>
      <c r="T147" s="8">
        <v>1987</v>
      </c>
      <c r="U147" s="8">
        <f t="shared" si="17"/>
        <v>35</v>
      </c>
      <c r="V147" s="7">
        <v>32051</v>
      </c>
      <c r="W147" t="s">
        <v>100</v>
      </c>
      <c r="X147" s="2">
        <v>0.61499999999999999</v>
      </c>
      <c r="Y147" s="6">
        <f t="shared" si="18"/>
        <v>1.6417073756706976E-2</v>
      </c>
      <c r="AA147">
        <v>1959271</v>
      </c>
      <c r="AB147">
        <v>12141</v>
      </c>
      <c r="AC147">
        <v>15729559</v>
      </c>
      <c r="AD147" t="s">
        <v>1</v>
      </c>
      <c r="AE147">
        <v>8</v>
      </c>
      <c r="AF147">
        <v>10</v>
      </c>
      <c r="AH147" t="s">
        <v>862</v>
      </c>
      <c r="AI147" t="s">
        <v>861</v>
      </c>
      <c r="AK147" t="s">
        <v>860</v>
      </c>
      <c r="AL147">
        <v>36</v>
      </c>
      <c r="AM147" s="5">
        <f t="shared" si="19"/>
        <v>1.0285714285714285</v>
      </c>
      <c r="AN147" s="4">
        <f t="shared" si="20"/>
        <v>1.5578514631903499E-3</v>
      </c>
      <c r="AO147" s="3"/>
      <c r="AP147">
        <v>0</v>
      </c>
      <c r="AR147" t="s">
        <v>0</v>
      </c>
      <c r="AT147" s="2" t="s">
        <v>6</v>
      </c>
      <c r="AU147" s="1">
        <f t="shared" si="21"/>
        <v>1.1959307068651985</v>
      </c>
      <c r="AV147" s="1">
        <f t="shared" si="22"/>
        <v>0.89874626099486621</v>
      </c>
      <c r="AW147" s="1">
        <f t="shared" si="23"/>
        <v>0.60156181512453366</v>
      </c>
    </row>
    <row r="148" spans="1:49" x14ac:dyDescent="0.2">
      <c r="A148">
        <v>146</v>
      </c>
      <c r="B148" t="s">
        <v>859</v>
      </c>
      <c r="F148" t="s">
        <v>858</v>
      </c>
      <c r="G148" t="s">
        <v>4</v>
      </c>
      <c r="H148" t="s">
        <v>3</v>
      </c>
      <c r="I148" t="s">
        <v>857</v>
      </c>
      <c r="J148">
        <v>60003977</v>
      </c>
      <c r="K148" t="s">
        <v>793</v>
      </c>
      <c r="L148" t="s">
        <v>792</v>
      </c>
      <c r="M148" t="s">
        <v>64</v>
      </c>
      <c r="N148">
        <v>1</v>
      </c>
      <c r="O148" t="s">
        <v>856</v>
      </c>
      <c r="P148">
        <v>7404701578</v>
      </c>
      <c r="Q148">
        <v>60003977</v>
      </c>
      <c r="R148" s="7">
        <v>32051</v>
      </c>
      <c r="S148" s="8">
        <f t="shared" si="16"/>
        <v>1987</v>
      </c>
      <c r="T148" s="8">
        <v>1987</v>
      </c>
      <c r="U148" s="8">
        <f t="shared" si="17"/>
        <v>35</v>
      </c>
      <c r="V148" s="7">
        <v>32051</v>
      </c>
      <c r="W148" t="s">
        <v>788</v>
      </c>
      <c r="X148" s="2">
        <v>0.158</v>
      </c>
      <c r="Y148" s="6">
        <f t="shared" si="18"/>
        <v>4.2177197618856943E-3</v>
      </c>
      <c r="AA148">
        <v>10002758</v>
      </c>
      <c r="AB148">
        <v>15242</v>
      </c>
      <c r="AD148" t="s">
        <v>1</v>
      </c>
      <c r="AE148">
        <v>5</v>
      </c>
      <c r="AF148" t="s">
        <v>787</v>
      </c>
      <c r="AH148" s="9">
        <v>44440</v>
      </c>
      <c r="AI148" t="s">
        <v>855</v>
      </c>
      <c r="AK148" t="s">
        <v>854</v>
      </c>
      <c r="AL148">
        <v>0</v>
      </c>
      <c r="AM148" s="5">
        <f t="shared" si="19"/>
        <v>0</v>
      </c>
      <c r="AN148" s="4">
        <f t="shared" si="20"/>
        <v>0</v>
      </c>
      <c r="AO148" s="3"/>
      <c r="AP148">
        <v>0</v>
      </c>
      <c r="AR148" t="s">
        <v>0</v>
      </c>
      <c r="AT148" s="2" t="s">
        <v>6</v>
      </c>
      <c r="AU148" s="1">
        <f t="shared" si="21"/>
        <v>0.29524038333199859</v>
      </c>
      <c r="AV148" s="1">
        <f t="shared" si="22"/>
        <v>0.21088598809428472</v>
      </c>
      <c r="AW148" s="1">
        <f t="shared" si="23"/>
        <v>0.12653159285657081</v>
      </c>
    </row>
    <row r="149" spans="1:49" x14ac:dyDescent="0.2">
      <c r="A149">
        <v>147</v>
      </c>
      <c r="B149" t="s">
        <v>853</v>
      </c>
      <c r="F149" t="s">
        <v>852</v>
      </c>
      <c r="G149" t="s">
        <v>4</v>
      </c>
      <c r="H149" t="s">
        <v>3</v>
      </c>
      <c r="I149" t="s">
        <v>851</v>
      </c>
      <c r="N149">
        <v>1</v>
      </c>
      <c r="O149" t="s">
        <v>850</v>
      </c>
      <c r="P149">
        <v>7003805994</v>
      </c>
      <c r="R149" s="7">
        <v>32051</v>
      </c>
      <c r="S149" s="8">
        <f t="shared" si="16"/>
        <v>1987</v>
      </c>
      <c r="T149" s="8">
        <v>1987</v>
      </c>
      <c r="U149" s="8">
        <f t="shared" si="17"/>
        <v>35</v>
      </c>
      <c r="V149" s="7">
        <v>32051</v>
      </c>
      <c r="W149" t="s">
        <v>48</v>
      </c>
      <c r="X149" s="2" t="s">
        <v>6</v>
      </c>
      <c r="Y149" s="6" t="e">
        <f t="shared" si="18"/>
        <v>#VALUE!</v>
      </c>
      <c r="AA149">
        <v>87566648</v>
      </c>
      <c r="AB149">
        <v>74127</v>
      </c>
      <c r="AD149" t="s">
        <v>1</v>
      </c>
      <c r="AE149">
        <v>32</v>
      </c>
      <c r="AF149">
        <v>10</v>
      </c>
      <c r="AH149" s="10">
        <v>41487</v>
      </c>
      <c r="AI149" t="s">
        <v>849</v>
      </c>
      <c r="AK149" t="s">
        <v>848</v>
      </c>
      <c r="AL149">
        <v>0</v>
      </c>
      <c r="AM149" s="5">
        <f t="shared" si="19"/>
        <v>0</v>
      </c>
      <c r="AN149" s="4">
        <f t="shared" si="20"/>
        <v>0</v>
      </c>
      <c r="AO149" s="3"/>
      <c r="AP149">
        <v>0</v>
      </c>
      <c r="AR149" t="s">
        <v>0</v>
      </c>
      <c r="AT149" s="2" t="s">
        <v>6</v>
      </c>
      <c r="AU149" s="1" t="e">
        <f t="shared" si="21"/>
        <v>#VALUE!</v>
      </c>
      <c r="AV149" s="1" t="e">
        <f t="shared" si="22"/>
        <v>#VALUE!</v>
      </c>
      <c r="AW149" s="1" t="e">
        <f t="shared" si="23"/>
        <v>#VALUE!</v>
      </c>
    </row>
    <row r="150" spans="1:49" x14ac:dyDescent="0.2">
      <c r="A150">
        <v>148</v>
      </c>
      <c r="B150" t="s">
        <v>847</v>
      </c>
      <c r="F150" t="s">
        <v>846</v>
      </c>
      <c r="G150" t="s">
        <v>4</v>
      </c>
      <c r="H150" t="s">
        <v>3</v>
      </c>
      <c r="I150" t="s">
        <v>845</v>
      </c>
      <c r="N150">
        <v>3</v>
      </c>
      <c r="O150" t="s">
        <v>844</v>
      </c>
      <c r="P150" t="s">
        <v>843</v>
      </c>
      <c r="Q150" t="s">
        <v>11</v>
      </c>
      <c r="R150" s="7">
        <v>32051</v>
      </c>
      <c r="S150" s="8">
        <f t="shared" si="16"/>
        <v>1987</v>
      </c>
      <c r="T150" s="8">
        <v>1987</v>
      </c>
      <c r="U150" s="8">
        <f t="shared" si="17"/>
        <v>35</v>
      </c>
      <c r="V150" s="7">
        <v>32051</v>
      </c>
      <c r="W150" t="s">
        <v>48</v>
      </c>
      <c r="X150" s="2" t="s">
        <v>6</v>
      </c>
      <c r="Y150" s="6" t="e">
        <f t="shared" si="18"/>
        <v>#VALUE!</v>
      </c>
      <c r="AA150">
        <v>87566648</v>
      </c>
      <c r="AB150">
        <v>74127</v>
      </c>
      <c r="AD150" t="s">
        <v>1</v>
      </c>
      <c r="AE150">
        <v>32</v>
      </c>
      <c r="AF150">
        <v>10</v>
      </c>
      <c r="AH150" t="s">
        <v>842</v>
      </c>
      <c r="AI150" t="s">
        <v>841</v>
      </c>
      <c r="AK150" t="s">
        <v>840</v>
      </c>
      <c r="AL150">
        <v>0</v>
      </c>
      <c r="AM150" s="5">
        <f t="shared" si="19"/>
        <v>0</v>
      </c>
      <c r="AN150" s="4">
        <f t="shared" si="20"/>
        <v>0</v>
      </c>
      <c r="AO150" s="3"/>
      <c r="AP150">
        <v>0</v>
      </c>
      <c r="AR150" t="s">
        <v>0</v>
      </c>
      <c r="AT150" s="2" t="s">
        <v>6</v>
      </c>
      <c r="AU150" s="1" t="e">
        <f t="shared" si="21"/>
        <v>#VALUE!</v>
      </c>
      <c r="AV150" s="1" t="e">
        <f t="shared" si="22"/>
        <v>#VALUE!</v>
      </c>
      <c r="AW150" s="1" t="e">
        <f t="shared" si="23"/>
        <v>#VALUE!</v>
      </c>
    </row>
    <row r="151" spans="1:49" x14ac:dyDescent="0.2">
      <c r="A151">
        <v>149</v>
      </c>
      <c r="B151" t="s">
        <v>839</v>
      </c>
      <c r="F151" t="s">
        <v>838</v>
      </c>
      <c r="G151" t="s">
        <v>4</v>
      </c>
      <c r="H151" t="s">
        <v>3</v>
      </c>
      <c r="I151" t="s">
        <v>837</v>
      </c>
      <c r="J151">
        <v>100371959</v>
      </c>
      <c r="K151" t="s">
        <v>836</v>
      </c>
      <c r="L151" t="s">
        <v>835</v>
      </c>
      <c r="M151" t="s">
        <v>834</v>
      </c>
      <c r="N151">
        <v>1</v>
      </c>
      <c r="O151" t="s">
        <v>833</v>
      </c>
      <c r="P151">
        <v>7007056834</v>
      </c>
      <c r="Q151">
        <v>100371959</v>
      </c>
      <c r="R151" s="7">
        <v>32051</v>
      </c>
      <c r="S151" s="8">
        <f t="shared" si="16"/>
        <v>1987</v>
      </c>
      <c r="T151" s="8">
        <v>1987</v>
      </c>
      <c r="U151" s="8">
        <f t="shared" si="17"/>
        <v>35</v>
      </c>
      <c r="V151" s="7">
        <v>32051</v>
      </c>
      <c r="W151" t="s">
        <v>832</v>
      </c>
      <c r="X151" s="2" t="s">
        <v>6</v>
      </c>
      <c r="Y151" s="6" t="e">
        <f t="shared" si="18"/>
        <v>#VALUE!</v>
      </c>
      <c r="AA151">
        <v>354066</v>
      </c>
      <c r="AB151">
        <v>19161</v>
      </c>
      <c r="AD151" t="s">
        <v>1</v>
      </c>
      <c r="AE151">
        <v>32</v>
      </c>
      <c r="AF151">
        <v>4</v>
      </c>
      <c r="AH151" t="s">
        <v>104</v>
      </c>
      <c r="AI151" t="s">
        <v>831</v>
      </c>
      <c r="AK151" t="s">
        <v>830</v>
      </c>
      <c r="AL151">
        <v>0</v>
      </c>
      <c r="AM151" s="5">
        <f t="shared" si="19"/>
        <v>0</v>
      </c>
      <c r="AN151" s="4">
        <f t="shared" si="20"/>
        <v>0</v>
      </c>
      <c r="AO151" s="3"/>
      <c r="AP151">
        <v>0</v>
      </c>
      <c r="AR151" t="s">
        <v>0</v>
      </c>
      <c r="AT151" s="2" t="s">
        <v>6</v>
      </c>
      <c r="AU151" s="1" t="e">
        <f t="shared" si="21"/>
        <v>#VALUE!</v>
      </c>
      <c r="AV151" s="1" t="e">
        <f t="shared" si="22"/>
        <v>#VALUE!</v>
      </c>
      <c r="AW151" s="1" t="e">
        <f t="shared" si="23"/>
        <v>#VALUE!</v>
      </c>
    </row>
    <row r="152" spans="1:49" x14ac:dyDescent="0.2">
      <c r="A152">
        <v>150</v>
      </c>
      <c r="B152" t="s">
        <v>829</v>
      </c>
      <c r="F152" t="s">
        <v>828</v>
      </c>
      <c r="G152" t="s">
        <v>4</v>
      </c>
      <c r="H152" t="s">
        <v>3</v>
      </c>
      <c r="I152" t="s">
        <v>827</v>
      </c>
      <c r="J152">
        <v>60030784</v>
      </c>
      <c r="K152" t="s">
        <v>804</v>
      </c>
      <c r="L152" t="s">
        <v>31</v>
      </c>
      <c r="M152" t="s">
        <v>30</v>
      </c>
      <c r="N152">
        <v>1</v>
      </c>
      <c r="O152" t="s">
        <v>826</v>
      </c>
      <c r="P152">
        <v>7003564415</v>
      </c>
      <c r="Q152">
        <v>60030784</v>
      </c>
      <c r="R152" s="7">
        <v>32051</v>
      </c>
      <c r="S152" s="8">
        <f t="shared" si="16"/>
        <v>1987</v>
      </c>
      <c r="T152" s="8">
        <v>1987</v>
      </c>
      <c r="U152" s="8">
        <f t="shared" si="17"/>
        <v>35</v>
      </c>
      <c r="V152" s="7">
        <v>32051</v>
      </c>
      <c r="W152" t="s">
        <v>802</v>
      </c>
      <c r="X152" s="2" t="s">
        <v>6</v>
      </c>
      <c r="Y152" s="6" t="e">
        <f t="shared" si="18"/>
        <v>#VALUE!</v>
      </c>
      <c r="AA152" t="s">
        <v>801</v>
      </c>
      <c r="AB152">
        <v>77883</v>
      </c>
      <c r="AD152" t="s">
        <v>1</v>
      </c>
      <c r="AE152">
        <v>6</v>
      </c>
      <c r="AF152" t="s">
        <v>800</v>
      </c>
      <c r="AH152" t="s">
        <v>825</v>
      </c>
      <c r="AI152" t="s">
        <v>824</v>
      </c>
      <c r="AK152" t="s">
        <v>823</v>
      </c>
      <c r="AL152">
        <v>1</v>
      </c>
      <c r="AM152" s="5">
        <f t="shared" si="19"/>
        <v>2.8571428571428571E-2</v>
      </c>
      <c r="AN152" s="4">
        <f t="shared" si="20"/>
        <v>4.32736517552875E-5</v>
      </c>
      <c r="AO152" s="3"/>
      <c r="AP152">
        <v>0</v>
      </c>
      <c r="AR152" t="s">
        <v>0</v>
      </c>
      <c r="AT152" s="2" t="s">
        <v>6</v>
      </c>
      <c r="AU152" s="1" t="e">
        <f t="shared" si="21"/>
        <v>#VALUE!</v>
      </c>
      <c r="AV152" s="1" t="e">
        <f t="shared" si="22"/>
        <v>#VALUE!</v>
      </c>
      <c r="AW152" s="1" t="e">
        <f t="shared" si="23"/>
        <v>#VALUE!</v>
      </c>
    </row>
    <row r="153" spans="1:49" x14ac:dyDescent="0.2">
      <c r="A153">
        <v>151</v>
      </c>
      <c r="B153" t="s">
        <v>822</v>
      </c>
      <c r="F153" t="s">
        <v>821</v>
      </c>
      <c r="G153" t="s">
        <v>4</v>
      </c>
      <c r="H153" t="s">
        <v>3</v>
      </c>
      <c r="I153" t="s">
        <v>820</v>
      </c>
      <c r="N153">
        <v>3</v>
      </c>
      <c r="O153" t="s">
        <v>819</v>
      </c>
      <c r="P153" t="s">
        <v>818</v>
      </c>
      <c r="Q153" t="s">
        <v>11</v>
      </c>
      <c r="R153" s="7">
        <v>32051</v>
      </c>
      <c r="S153" s="8">
        <f t="shared" si="16"/>
        <v>1987</v>
      </c>
      <c r="T153" s="8">
        <v>1987</v>
      </c>
      <c r="U153" s="8">
        <f t="shared" si="17"/>
        <v>35</v>
      </c>
      <c r="V153" s="7">
        <v>32051</v>
      </c>
      <c r="W153" t="s">
        <v>34</v>
      </c>
      <c r="X153" s="2" t="s">
        <v>6</v>
      </c>
      <c r="Y153" s="6" t="e">
        <f t="shared" si="18"/>
        <v>#VALUE!</v>
      </c>
      <c r="AA153">
        <v>262897</v>
      </c>
      <c r="AB153">
        <v>18580</v>
      </c>
      <c r="AD153" t="s">
        <v>1</v>
      </c>
      <c r="AE153">
        <v>30</v>
      </c>
      <c r="AF153">
        <v>10</v>
      </c>
      <c r="AH153" t="s">
        <v>817</v>
      </c>
      <c r="AI153" t="s">
        <v>816</v>
      </c>
      <c r="AK153" t="s">
        <v>815</v>
      </c>
      <c r="AL153">
        <v>3</v>
      </c>
      <c r="AM153" s="5">
        <f t="shared" si="19"/>
        <v>8.5714285714285715E-2</v>
      </c>
      <c r="AN153" s="4">
        <f t="shared" si="20"/>
        <v>1.2982095526586251E-4</v>
      </c>
      <c r="AO153" s="3"/>
      <c r="AP153">
        <v>0</v>
      </c>
      <c r="AR153" t="s">
        <v>0</v>
      </c>
      <c r="AT153" s="2">
        <v>0.30599999999999999</v>
      </c>
      <c r="AU153" s="1" t="e">
        <f t="shared" si="21"/>
        <v>#VALUE!</v>
      </c>
      <c r="AV153" s="1" t="e">
        <f t="shared" si="22"/>
        <v>#VALUE!</v>
      </c>
      <c r="AW153" s="1" t="e">
        <f t="shared" si="23"/>
        <v>#VALUE!</v>
      </c>
    </row>
    <row r="154" spans="1:49" x14ac:dyDescent="0.2">
      <c r="A154">
        <v>152</v>
      </c>
      <c r="B154" t="s">
        <v>814</v>
      </c>
      <c r="F154" t="s">
        <v>813</v>
      </c>
      <c r="G154" t="s">
        <v>4</v>
      </c>
      <c r="H154" t="s">
        <v>3</v>
      </c>
      <c r="I154" t="s">
        <v>812</v>
      </c>
      <c r="N154">
        <v>1</v>
      </c>
      <c r="O154" t="s">
        <v>811</v>
      </c>
      <c r="P154">
        <v>6507339412</v>
      </c>
      <c r="R154" s="7">
        <v>32051</v>
      </c>
      <c r="S154" s="8">
        <f t="shared" si="16"/>
        <v>1987</v>
      </c>
      <c r="T154" s="8">
        <v>1987</v>
      </c>
      <c r="U154" s="8">
        <f t="shared" si="17"/>
        <v>35</v>
      </c>
      <c r="V154" s="7">
        <v>32051</v>
      </c>
      <c r="W154" t="s">
        <v>48</v>
      </c>
      <c r="X154" s="2" t="s">
        <v>6</v>
      </c>
      <c r="Y154" s="6" t="e">
        <f t="shared" si="18"/>
        <v>#VALUE!</v>
      </c>
      <c r="AA154">
        <v>87566648</v>
      </c>
      <c r="AB154">
        <v>74127</v>
      </c>
      <c r="AD154" t="s">
        <v>1</v>
      </c>
      <c r="AE154">
        <v>32</v>
      </c>
      <c r="AF154">
        <v>10</v>
      </c>
      <c r="AH154" t="s">
        <v>810</v>
      </c>
      <c r="AI154" t="s">
        <v>809</v>
      </c>
      <c r="AK154" t="s">
        <v>808</v>
      </c>
      <c r="AL154">
        <v>0</v>
      </c>
      <c r="AM154" s="5">
        <f t="shared" si="19"/>
        <v>0</v>
      </c>
      <c r="AN154" s="4">
        <f t="shared" si="20"/>
        <v>0</v>
      </c>
      <c r="AO154" s="3"/>
      <c r="AP154">
        <v>0</v>
      </c>
      <c r="AR154" t="s">
        <v>0</v>
      </c>
      <c r="AT154" s="2" t="s">
        <v>6</v>
      </c>
      <c r="AU154" s="1" t="e">
        <f t="shared" si="21"/>
        <v>#VALUE!</v>
      </c>
      <c r="AV154" s="1" t="e">
        <f t="shared" si="22"/>
        <v>#VALUE!</v>
      </c>
      <c r="AW154" s="1" t="e">
        <f t="shared" si="23"/>
        <v>#VALUE!</v>
      </c>
    </row>
    <row r="155" spans="1:49" x14ac:dyDescent="0.2">
      <c r="A155">
        <v>153</v>
      </c>
      <c r="B155" t="s">
        <v>807</v>
      </c>
      <c r="F155" t="s">
        <v>806</v>
      </c>
      <c r="G155" t="s">
        <v>4</v>
      </c>
      <c r="H155" t="s">
        <v>3</v>
      </c>
      <c r="I155" t="s">
        <v>805</v>
      </c>
      <c r="J155">
        <v>60030784</v>
      </c>
      <c r="K155" t="s">
        <v>804</v>
      </c>
      <c r="L155" t="s">
        <v>31</v>
      </c>
      <c r="M155" t="s">
        <v>30</v>
      </c>
      <c r="N155">
        <v>1</v>
      </c>
      <c r="O155" t="s">
        <v>803</v>
      </c>
      <c r="P155">
        <v>7402257941</v>
      </c>
      <c r="Q155">
        <v>60030784</v>
      </c>
      <c r="R155" s="7">
        <v>32051</v>
      </c>
      <c r="S155" s="8">
        <f t="shared" si="16"/>
        <v>1987</v>
      </c>
      <c r="T155" s="8">
        <v>1987</v>
      </c>
      <c r="U155" s="8">
        <f t="shared" si="17"/>
        <v>35</v>
      </c>
      <c r="V155" s="7">
        <v>32051</v>
      </c>
      <c r="W155" t="s">
        <v>802</v>
      </c>
      <c r="X155" s="2" t="s">
        <v>6</v>
      </c>
      <c r="Y155" s="6" t="e">
        <f t="shared" si="18"/>
        <v>#VALUE!</v>
      </c>
      <c r="AA155" t="s">
        <v>801</v>
      </c>
      <c r="AB155">
        <v>77883</v>
      </c>
      <c r="AD155" t="s">
        <v>1</v>
      </c>
      <c r="AE155">
        <v>6</v>
      </c>
      <c r="AF155" t="s">
        <v>800</v>
      </c>
      <c r="AH155" t="s">
        <v>799</v>
      </c>
      <c r="AI155" t="s">
        <v>798</v>
      </c>
      <c r="AK155" t="s">
        <v>797</v>
      </c>
      <c r="AL155">
        <v>2</v>
      </c>
      <c r="AM155" s="5">
        <f t="shared" si="19"/>
        <v>5.7142857142857141E-2</v>
      </c>
      <c r="AN155" s="4">
        <f t="shared" si="20"/>
        <v>8.6547303510575E-5</v>
      </c>
      <c r="AO155" s="3"/>
      <c r="AP155">
        <v>0</v>
      </c>
      <c r="AR155" t="s">
        <v>0</v>
      </c>
      <c r="AT155" s="2" t="s">
        <v>6</v>
      </c>
      <c r="AU155" s="1" t="e">
        <f t="shared" si="21"/>
        <v>#VALUE!</v>
      </c>
      <c r="AV155" s="1" t="e">
        <f t="shared" si="22"/>
        <v>#VALUE!</v>
      </c>
      <c r="AW155" s="1" t="e">
        <f t="shared" si="23"/>
        <v>#VALUE!</v>
      </c>
    </row>
    <row r="156" spans="1:49" x14ac:dyDescent="0.2">
      <c r="A156">
        <v>154</v>
      </c>
      <c r="B156" t="s">
        <v>796</v>
      </c>
      <c r="F156" t="s">
        <v>795</v>
      </c>
      <c r="G156" t="s">
        <v>4</v>
      </c>
      <c r="H156" t="s">
        <v>3</v>
      </c>
      <c r="I156" t="s">
        <v>794</v>
      </c>
      <c r="J156">
        <v>60003977</v>
      </c>
      <c r="K156" t="s">
        <v>793</v>
      </c>
      <c r="L156" t="s">
        <v>792</v>
      </c>
      <c r="M156" t="s">
        <v>64</v>
      </c>
      <c r="N156">
        <v>2</v>
      </c>
      <c r="O156" t="s">
        <v>791</v>
      </c>
      <c r="P156" t="s">
        <v>790</v>
      </c>
      <c r="Q156" t="s">
        <v>789</v>
      </c>
      <c r="R156" s="7">
        <v>32051</v>
      </c>
      <c r="S156" s="8">
        <f t="shared" si="16"/>
        <v>1987</v>
      </c>
      <c r="T156" s="8">
        <v>1987</v>
      </c>
      <c r="U156" s="8">
        <f t="shared" si="17"/>
        <v>35</v>
      </c>
      <c r="V156" s="7">
        <v>32051</v>
      </c>
      <c r="W156" t="s">
        <v>788</v>
      </c>
      <c r="X156" s="2">
        <v>0.158</v>
      </c>
      <c r="Y156" s="6">
        <f t="shared" si="18"/>
        <v>4.2177197618856943E-3</v>
      </c>
      <c r="AA156">
        <v>10002758</v>
      </c>
      <c r="AB156">
        <v>15242</v>
      </c>
      <c r="AD156" t="s">
        <v>1</v>
      </c>
      <c r="AE156">
        <v>5</v>
      </c>
      <c r="AF156" t="s">
        <v>787</v>
      </c>
      <c r="AH156" s="10">
        <v>42675</v>
      </c>
      <c r="AI156" t="s">
        <v>786</v>
      </c>
      <c r="AK156" t="s">
        <v>785</v>
      </c>
      <c r="AL156">
        <v>0</v>
      </c>
      <c r="AM156" s="5">
        <f t="shared" si="19"/>
        <v>0</v>
      </c>
      <c r="AN156" s="4">
        <f t="shared" si="20"/>
        <v>0</v>
      </c>
      <c r="AO156" s="3"/>
      <c r="AP156">
        <v>0</v>
      </c>
      <c r="AR156" t="s">
        <v>0</v>
      </c>
      <c r="AT156" s="2" t="s">
        <v>6</v>
      </c>
      <c r="AU156" s="1">
        <f t="shared" si="21"/>
        <v>0.29524038333199859</v>
      </c>
      <c r="AV156" s="1">
        <f t="shared" si="22"/>
        <v>0.21088598809428472</v>
      </c>
      <c r="AW156" s="1">
        <f t="shared" si="23"/>
        <v>0.12653159285657081</v>
      </c>
    </row>
    <row r="157" spans="1:49" x14ac:dyDescent="0.2">
      <c r="A157">
        <v>155</v>
      </c>
      <c r="B157" t="s">
        <v>784</v>
      </c>
      <c r="F157" t="s">
        <v>783</v>
      </c>
      <c r="G157" t="s">
        <v>4</v>
      </c>
      <c r="H157" t="s">
        <v>3</v>
      </c>
      <c r="I157" t="s">
        <v>782</v>
      </c>
      <c r="N157">
        <v>4</v>
      </c>
      <c r="O157" t="s">
        <v>781</v>
      </c>
      <c r="P157" t="s">
        <v>780</v>
      </c>
      <c r="Q157" t="s">
        <v>33</v>
      </c>
      <c r="R157" s="7">
        <v>32051</v>
      </c>
      <c r="S157" s="8">
        <f t="shared" si="16"/>
        <v>1987</v>
      </c>
      <c r="T157" s="8">
        <v>1987</v>
      </c>
      <c r="U157" s="8">
        <f t="shared" si="17"/>
        <v>35</v>
      </c>
      <c r="V157" s="7">
        <v>32051</v>
      </c>
      <c r="W157" t="s">
        <v>34</v>
      </c>
      <c r="X157" s="2" t="s">
        <v>6</v>
      </c>
      <c r="Y157" s="6" t="e">
        <f t="shared" si="18"/>
        <v>#VALUE!</v>
      </c>
      <c r="AA157">
        <v>262897</v>
      </c>
      <c r="AB157">
        <v>18580</v>
      </c>
      <c r="AD157" t="s">
        <v>1</v>
      </c>
      <c r="AE157">
        <v>30</v>
      </c>
      <c r="AF157">
        <v>10</v>
      </c>
      <c r="AI157" t="s">
        <v>779</v>
      </c>
      <c r="AK157" t="s">
        <v>778</v>
      </c>
      <c r="AL157">
        <v>3</v>
      </c>
      <c r="AM157" s="5">
        <f t="shared" si="19"/>
        <v>8.5714285714285715E-2</v>
      </c>
      <c r="AN157" s="4">
        <f t="shared" si="20"/>
        <v>1.2982095526586251E-4</v>
      </c>
      <c r="AO157" s="3"/>
      <c r="AP157">
        <v>0</v>
      </c>
      <c r="AR157" t="s">
        <v>0</v>
      </c>
      <c r="AT157" s="2">
        <v>0.30599999999999999</v>
      </c>
      <c r="AU157" s="1" t="e">
        <f t="shared" si="21"/>
        <v>#VALUE!</v>
      </c>
      <c r="AV157" s="1" t="e">
        <f t="shared" si="22"/>
        <v>#VALUE!</v>
      </c>
      <c r="AW157" s="1" t="e">
        <f t="shared" si="23"/>
        <v>#VALUE!</v>
      </c>
    </row>
    <row r="158" spans="1:49" x14ac:dyDescent="0.2">
      <c r="A158">
        <v>156</v>
      </c>
      <c r="B158" t="s">
        <v>777</v>
      </c>
      <c r="F158" t="s">
        <v>776</v>
      </c>
      <c r="G158" t="s">
        <v>4</v>
      </c>
      <c r="H158" t="s">
        <v>3</v>
      </c>
      <c r="I158" t="s">
        <v>775</v>
      </c>
      <c r="N158">
        <v>2</v>
      </c>
      <c r="O158" t="s">
        <v>774</v>
      </c>
      <c r="P158" t="s">
        <v>773</v>
      </c>
      <c r="Q158" t="s">
        <v>19</v>
      </c>
      <c r="R158" s="7">
        <v>32051</v>
      </c>
      <c r="S158" s="8">
        <f t="shared" si="16"/>
        <v>1987</v>
      </c>
      <c r="T158" s="8">
        <v>1987</v>
      </c>
      <c r="U158" s="8">
        <f t="shared" si="17"/>
        <v>35</v>
      </c>
      <c r="V158" s="7">
        <v>32051</v>
      </c>
      <c r="W158" t="s">
        <v>772</v>
      </c>
      <c r="X158" s="2" t="s">
        <v>6</v>
      </c>
      <c r="Y158" s="6" t="e">
        <f t="shared" si="18"/>
        <v>#VALUE!</v>
      </c>
      <c r="AA158">
        <v>3796787</v>
      </c>
      <c r="AB158">
        <v>53110</v>
      </c>
      <c r="AD158" t="s">
        <v>1</v>
      </c>
      <c r="AE158">
        <v>8</v>
      </c>
      <c r="AF158">
        <v>4</v>
      </c>
      <c r="AH158" t="s">
        <v>771</v>
      </c>
      <c r="AI158" t="s">
        <v>770</v>
      </c>
      <c r="AK158" t="s">
        <v>769</v>
      </c>
      <c r="AL158">
        <v>20</v>
      </c>
      <c r="AM158" s="5">
        <f t="shared" si="19"/>
        <v>0.5714285714285714</v>
      </c>
      <c r="AN158" s="4">
        <f t="shared" si="20"/>
        <v>8.6547303510574997E-4</v>
      </c>
      <c r="AO158" s="3"/>
      <c r="AP158">
        <v>0</v>
      </c>
      <c r="AR158" t="s">
        <v>0</v>
      </c>
      <c r="AT158" s="2" t="s">
        <v>6</v>
      </c>
      <c r="AU158" s="1" t="e">
        <f t="shared" si="21"/>
        <v>#VALUE!</v>
      </c>
      <c r="AV158" s="1" t="e">
        <f t="shared" si="22"/>
        <v>#VALUE!</v>
      </c>
      <c r="AW158" s="1" t="e">
        <f t="shared" si="23"/>
        <v>#VALUE!</v>
      </c>
    </row>
    <row r="159" spans="1:49" x14ac:dyDescent="0.2">
      <c r="A159">
        <v>157</v>
      </c>
      <c r="B159" t="s">
        <v>768</v>
      </c>
      <c r="F159" t="s">
        <v>767</v>
      </c>
      <c r="G159" t="s">
        <v>4</v>
      </c>
      <c r="H159" t="s">
        <v>3</v>
      </c>
      <c r="I159" t="s">
        <v>766</v>
      </c>
      <c r="N159">
        <v>2</v>
      </c>
      <c r="O159" t="s">
        <v>765</v>
      </c>
      <c r="P159" t="s">
        <v>764</v>
      </c>
      <c r="Q159" t="s">
        <v>19</v>
      </c>
      <c r="R159" s="7">
        <v>32051</v>
      </c>
      <c r="S159" s="8">
        <f t="shared" si="16"/>
        <v>1987</v>
      </c>
      <c r="T159" s="8">
        <v>1987</v>
      </c>
      <c r="U159" s="8">
        <f t="shared" si="17"/>
        <v>35</v>
      </c>
      <c r="V159" s="7">
        <v>32051</v>
      </c>
      <c r="W159" t="s">
        <v>48</v>
      </c>
      <c r="X159" s="2" t="s">
        <v>6</v>
      </c>
      <c r="Y159" s="6" t="e">
        <f t="shared" si="18"/>
        <v>#VALUE!</v>
      </c>
      <c r="AA159">
        <v>87566648</v>
      </c>
      <c r="AB159">
        <v>74127</v>
      </c>
      <c r="AD159" t="s">
        <v>1</v>
      </c>
      <c r="AE159">
        <v>32</v>
      </c>
      <c r="AF159">
        <v>10</v>
      </c>
      <c r="AH159" t="s">
        <v>763</v>
      </c>
      <c r="AI159" t="s">
        <v>762</v>
      </c>
      <c r="AK159" t="s">
        <v>761</v>
      </c>
      <c r="AL159">
        <v>0</v>
      </c>
      <c r="AM159" s="5">
        <f t="shared" si="19"/>
        <v>0</v>
      </c>
      <c r="AN159" s="4">
        <f t="shared" si="20"/>
        <v>0</v>
      </c>
      <c r="AO159" s="3"/>
      <c r="AP159">
        <v>0</v>
      </c>
      <c r="AR159" t="s">
        <v>0</v>
      </c>
      <c r="AT159" s="2" t="s">
        <v>6</v>
      </c>
      <c r="AU159" s="1" t="e">
        <f t="shared" si="21"/>
        <v>#VALUE!</v>
      </c>
      <c r="AV159" s="1" t="e">
        <f t="shared" si="22"/>
        <v>#VALUE!</v>
      </c>
      <c r="AW159" s="1" t="e">
        <f t="shared" si="23"/>
        <v>#VALUE!</v>
      </c>
    </row>
    <row r="160" spans="1:49" x14ac:dyDescent="0.2">
      <c r="A160">
        <v>158</v>
      </c>
      <c r="B160" t="s">
        <v>760</v>
      </c>
      <c r="F160" t="s">
        <v>759</v>
      </c>
      <c r="G160" t="s">
        <v>4</v>
      </c>
      <c r="H160" t="s">
        <v>3</v>
      </c>
      <c r="I160" t="s">
        <v>758</v>
      </c>
      <c r="N160">
        <v>1</v>
      </c>
      <c r="O160" t="s">
        <v>757</v>
      </c>
      <c r="P160">
        <v>6603239843</v>
      </c>
      <c r="R160" s="7">
        <v>32051</v>
      </c>
      <c r="S160" s="8">
        <f t="shared" si="16"/>
        <v>1987</v>
      </c>
      <c r="T160" s="8">
        <v>1987</v>
      </c>
      <c r="U160" s="8">
        <f t="shared" si="17"/>
        <v>35</v>
      </c>
      <c r="V160" s="7">
        <v>32051</v>
      </c>
      <c r="W160" t="s">
        <v>481</v>
      </c>
      <c r="X160" s="2">
        <v>0.14099999999999999</v>
      </c>
      <c r="Y160" s="6">
        <f t="shared" si="18"/>
        <v>3.7639144710498915E-3</v>
      </c>
      <c r="AA160">
        <v>402508</v>
      </c>
      <c r="AB160">
        <v>20868</v>
      </c>
      <c r="AD160" t="s">
        <v>1</v>
      </c>
      <c r="AE160" t="s">
        <v>480</v>
      </c>
      <c r="AF160">
        <v>10</v>
      </c>
      <c r="AH160" t="s">
        <v>756</v>
      </c>
      <c r="AI160" t="s">
        <v>755</v>
      </c>
      <c r="AK160" t="s">
        <v>754</v>
      </c>
      <c r="AL160">
        <v>0</v>
      </c>
      <c r="AM160" s="5">
        <f t="shared" si="19"/>
        <v>0</v>
      </c>
      <c r="AN160" s="4">
        <f t="shared" si="20"/>
        <v>0</v>
      </c>
      <c r="AO160" s="3"/>
      <c r="AP160">
        <v>0</v>
      </c>
      <c r="AR160" t="s">
        <v>0</v>
      </c>
      <c r="AT160" s="2" t="s">
        <v>6</v>
      </c>
      <c r="AU160" s="1">
        <f t="shared" si="21"/>
        <v>0.26347401297349238</v>
      </c>
      <c r="AV160" s="1">
        <f t="shared" si="22"/>
        <v>0.18819572355249459</v>
      </c>
      <c r="AW160" s="1">
        <f t="shared" si="23"/>
        <v>0.11291743413149673</v>
      </c>
    </row>
    <row r="161" spans="1:49" x14ac:dyDescent="0.2">
      <c r="A161">
        <v>159</v>
      </c>
      <c r="B161" t="s">
        <v>753</v>
      </c>
      <c r="F161" t="s">
        <v>752</v>
      </c>
      <c r="G161" t="s">
        <v>4</v>
      </c>
      <c r="H161" t="s">
        <v>3</v>
      </c>
      <c r="I161" t="s">
        <v>751</v>
      </c>
      <c r="N161">
        <v>2</v>
      </c>
      <c r="O161" t="s">
        <v>750</v>
      </c>
      <c r="P161" t="s">
        <v>749</v>
      </c>
      <c r="Q161" t="s">
        <v>19</v>
      </c>
      <c r="R161" s="7">
        <v>32051</v>
      </c>
      <c r="S161" s="8">
        <f t="shared" si="16"/>
        <v>1987</v>
      </c>
      <c r="T161" s="8">
        <v>1987</v>
      </c>
      <c r="U161" s="8">
        <f t="shared" si="17"/>
        <v>35</v>
      </c>
      <c r="V161" s="7">
        <v>32051</v>
      </c>
      <c r="W161" t="s">
        <v>481</v>
      </c>
      <c r="X161" s="2">
        <v>0.14099999999999999</v>
      </c>
      <c r="Y161" s="6">
        <f t="shared" si="18"/>
        <v>3.7639144710498915E-3</v>
      </c>
      <c r="AA161">
        <v>402508</v>
      </c>
      <c r="AB161">
        <v>20868</v>
      </c>
      <c r="AD161" t="s">
        <v>1</v>
      </c>
      <c r="AE161" t="s">
        <v>480</v>
      </c>
      <c r="AF161">
        <v>10</v>
      </c>
      <c r="AH161" t="s">
        <v>748</v>
      </c>
      <c r="AI161" t="s">
        <v>747</v>
      </c>
      <c r="AK161" t="s">
        <v>746</v>
      </c>
      <c r="AL161">
        <v>0</v>
      </c>
      <c r="AM161" s="5">
        <f t="shared" si="19"/>
        <v>0</v>
      </c>
      <c r="AN161" s="4">
        <f t="shared" si="20"/>
        <v>0</v>
      </c>
      <c r="AO161" s="3"/>
      <c r="AP161">
        <v>0</v>
      </c>
      <c r="AR161" t="s">
        <v>0</v>
      </c>
      <c r="AT161" s="2" t="s">
        <v>6</v>
      </c>
      <c r="AU161" s="1">
        <f t="shared" si="21"/>
        <v>0.26347401297349238</v>
      </c>
      <c r="AV161" s="1">
        <f t="shared" si="22"/>
        <v>0.18819572355249459</v>
      </c>
      <c r="AW161" s="1">
        <f t="shared" si="23"/>
        <v>0.11291743413149673</v>
      </c>
    </row>
    <row r="162" spans="1:49" x14ac:dyDescent="0.2">
      <c r="A162">
        <v>160</v>
      </c>
      <c r="B162" t="s">
        <v>745</v>
      </c>
      <c r="F162" t="s">
        <v>744</v>
      </c>
      <c r="G162" t="s">
        <v>4</v>
      </c>
      <c r="H162" t="s">
        <v>3</v>
      </c>
      <c r="I162" t="s">
        <v>743</v>
      </c>
      <c r="N162">
        <v>1</v>
      </c>
      <c r="O162" t="s">
        <v>742</v>
      </c>
      <c r="P162">
        <v>6701715041</v>
      </c>
      <c r="R162" s="7">
        <v>32051</v>
      </c>
      <c r="S162" s="8">
        <f t="shared" si="16"/>
        <v>1987</v>
      </c>
      <c r="T162" s="8">
        <v>1987</v>
      </c>
      <c r="U162" s="8">
        <f t="shared" si="17"/>
        <v>35</v>
      </c>
      <c r="V162" s="7">
        <v>32051</v>
      </c>
      <c r="W162" t="s">
        <v>481</v>
      </c>
      <c r="X162" s="2">
        <v>0.14099999999999999</v>
      </c>
      <c r="Y162" s="6">
        <f t="shared" si="18"/>
        <v>3.7639144710498915E-3</v>
      </c>
      <c r="AA162">
        <v>402508</v>
      </c>
      <c r="AB162">
        <v>20868</v>
      </c>
      <c r="AD162" t="s">
        <v>1</v>
      </c>
      <c r="AE162" t="s">
        <v>480</v>
      </c>
      <c r="AF162">
        <v>10</v>
      </c>
      <c r="AH162" t="s">
        <v>741</v>
      </c>
      <c r="AI162" t="s">
        <v>740</v>
      </c>
      <c r="AK162" t="s">
        <v>739</v>
      </c>
      <c r="AL162">
        <v>0</v>
      </c>
      <c r="AM162" s="5">
        <f t="shared" si="19"/>
        <v>0</v>
      </c>
      <c r="AN162" s="4">
        <f t="shared" si="20"/>
        <v>0</v>
      </c>
      <c r="AO162" s="3"/>
      <c r="AP162">
        <v>0</v>
      </c>
      <c r="AR162" t="s">
        <v>0</v>
      </c>
      <c r="AT162" s="2" t="s">
        <v>6</v>
      </c>
      <c r="AU162" s="1">
        <f t="shared" si="21"/>
        <v>0.26347401297349238</v>
      </c>
      <c r="AV162" s="1">
        <f t="shared" si="22"/>
        <v>0.18819572355249459</v>
      </c>
      <c r="AW162" s="1">
        <f t="shared" si="23"/>
        <v>0.11291743413149673</v>
      </c>
    </row>
    <row r="163" spans="1:49" x14ac:dyDescent="0.2">
      <c r="A163">
        <v>161</v>
      </c>
      <c r="B163" t="s">
        <v>738</v>
      </c>
      <c r="F163" t="s">
        <v>737</v>
      </c>
      <c r="G163" t="s">
        <v>4</v>
      </c>
      <c r="H163" t="s">
        <v>3</v>
      </c>
      <c r="I163" t="s">
        <v>736</v>
      </c>
      <c r="N163">
        <v>1</v>
      </c>
      <c r="O163" t="s">
        <v>735</v>
      </c>
      <c r="P163">
        <v>6602792060</v>
      </c>
      <c r="R163" s="7">
        <v>32051</v>
      </c>
      <c r="S163" s="8">
        <f t="shared" si="16"/>
        <v>1987</v>
      </c>
      <c r="T163" s="8">
        <v>1987</v>
      </c>
      <c r="U163" s="8">
        <f t="shared" si="17"/>
        <v>35</v>
      </c>
      <c r="V163" s="7">
        <v>32051</v>
      </c>
      <c r="W163" t="s">
        <v>481</v>
      </c>
      <c r="X163" s="2">
        <v>0.14099999999999999</v>
      </c>
      <c r="Y163" s="6">
        <f t="shared" si="18"/>
        <v>3.7639144710498915E-3</v>
      </c>
      <c r="AA163">
        <v>402508</v>
      </c>
      <c r="AB163">
        <v>20868</v>
      </c>
      <c r="AD163" t="s">
        <v>1</v>
      </c>
      <c r="AE163" t="s">
        <v>480</v>
      </c>
      <c r="AF163">
        <v>10</v>
      </c>
      <c r="AH163" t="s">
        <v>734</v>
      </c>
      <c r="AI163" t="s">
        <v>733</v>
      </c>
      <c r="AK163" t="s">
        <v>732</v>
      </c>
      <c r="AL163">
        <v>0</v>
      </c>
      <c r="AM163" s="5">
        <f t="shared" si="19"/>
        <v>0</v>
      </c>
      <c r="AN163" s="4">
        <f t="shared" si="20"/>
        <v>0</v>
      </c>
      <c r="AO163" s="3"/>
      <c r="AP163">
        <v>0</v>
      </c>
      <c r="AR163" t="s">
        <v>0</v>
      </c>
      <c r="AT163" s="2" t="s">
        <v>6</v>
      </c>
      <c r="AU163" s="1">
        <f t="shared" si="21"/>
        <v>0.26347401297349238</v>
      </c>
      <c r="AV163" s="1">
        <f t="shared" si="22"/>
        <v>0.18819572355249459</v>
      </c>
      <c r="AW163" s="1">
        <f t="shared" si="23"/>
        <v>0.11291743413149673</v>
      </c>
    </row>
    <row r="164" spans="1:49" x14ac:dyDescent="0.2">
      <c r="A164">
        <v>162</v>
      </c>
      <c r="B164" t="s">
        <v>731</v>
      </c>
      <c r="F164" t="s">
        <v>730</v>
      </c>
      <c r="G164" t="s">
        <v>4</v>
      </c>
      <c r="H164" t="s">
        <v>3</v>
      </c>
      <c r="I164" t="s">
        <v>729</v>
      </c>
      <c r="N164">
        <v>2</v>
      </c>
      <c r="O164" t="s">
        <v>728</v>
      </c>
      <c r="P164" t="s">
        <v>727</v>
      </c>
      <c r="Q164" t="s">
        <v>19</v>
      </c>
      <c r="R164" s="7">
        <v>32051</v>
      </c>
      <c r="S164" s="8">
        <f t="shared" si="16"/>
        <v>1987</v>
      </c>
      <c r="T164" s="8">
        <v>1987</v>
      </c>
      <c r="U164" s="8">
        <f t="shared" si="17"/>
        <v>35</v>
      </c>
      <c r="V164" s="7">
        <v>32051</v>
      </c>
      <c r="W164" t="s">
        <v>481</v>
      </c>
      <c r="X164" s="2">
        <v>0.14099999999999999</v>
      </c>
      <c r="Y164" s="6">
        <f t="shared" si="18"/>
        <v>3.7639144710498915E-3</v>
      </c>
      <c r="AA164">
        <v>402508</v>
      </c>
      <c r="AB164">
        <v>20868</v>
      </c>
      <c r="AD164" t="s">
        <v>1</v>
      </c>
      <c r="AE164" t="s">
        <v>480</v>
      </c>
      <c r="AF164">
        <v>10</v>
      </c>
      <c r="AH164" t="s">
        <v>726</v>
      </c>
      <c r="AI164" t="s">
        <v>725</v>
      </c>
      <c r="AK164" t="s">
        <v>724</v>
      </c>
      <c r="AL164">
        <v>0</v>
      </c>
      <c r="AM164" s="5">
        <f t="shared" si="19"/>
        <v>0</v>
      </c>
      <c r="AN164" s="4">
        <f t="shared" si="20"/>
        <v>0</v>
      </c>
      <c r="AO164" s="3"/>
      <c r="AP164">
        <v>0</v>
      </c>
      <c r="AR164" t="s">
        <v>0</v>
      </c>
      <c r="AT164" s="2" t="s">
        <v>6</v>
      </c>
      <c r="AU164" s="1">
        <f t="shared" si="21"/>
        <v>0.26347401297349238</v>
      </c>
      <c r="AV164" s="1">
        <f t="shared" si="22"/>
        <v>0.18819572355249459</v>
      </c>
      <c r="AW164" s="1">
        <f t="shared" si="23"/>
        <v>0.11291743413149673</v>
      </c>
    </row>
    <row r="165" spans="1:49" x14ac:dyDescent="0.2">
      <c r="A165">
        <v>163</v>
      </c>
      <c r="B165" t="s">
        <v>723</v>
      </c>
      <c r="F165" t="s">
        <v>722</v>
      </c>
      <c r="G165" t="s">
        <v>4</v>
      </c>
      <c r="H165" t="s">
        <v>3</v>
      </c>
      <c r="I165" t="s">
        <v>49</v>
      </c>
      <c r="N165">
        <v>2</v>
      </c>
      <c r="O165" t="s">
        <v>721</v>
      </c>
      <c r="P165" t="s">
        <v>720</v>
      </c>
      <c r="Q165" t="s">
        <v>19</v>
      </c>
      <c r="R165" s="7">
        <v>32051</v>
      </c>
      <c r="S165" s="8">
        <f t="shared" si="16"/>
        <v>1987</v>
      </c>
      <c r="T165" s="8">
        <v>1987</v>
      </c>
      <c r="U165" s="8">
        <f t="shared" si="17"/>
        <v>35</v>
      </c>
      <c r="V165" s="7">
        <v>32051</v>
      </c>
      <c r="W165" t="s">
        <v>481</v>
      </c>
      <c r="X165" s="2">
        <v>0.14099999999999999</v>
      </c>
      <c r="Y165" s="6">
        <f t="shared" si="18"/>
        <v>3.7639144710498915E-3</v>
      </c>
      <c r="AA165">
        <v>402508</v>
      </c>
      <c r="AB165">
        <v>20868</v>
      </c>
      <c r="AD165" t="s">
        <v>1</v>
      </c>
      <c r="AE165" t="s">
        <v>480</v>
      </c>
      <c r="AF165">
        <v>10</v>
      </c>
      <c r="AH165" s="9">
        <v>44348</v>
      </c>
      <c r="AI165" t="s">
        <v>719</v>
      </c>
      <c r="AK165" t="s">
        <v>718</v>
      </c>
      <c r="AL165">
        <v>0</v>
      </c>
      <c r="AM165" s="5">
        <f t="shared" si="19"/>
        <v>0</v>
      </c>
      <c r="AN165" s="4">
        <f t="shared" si="20"/>
        <v>0</v>
      </c>
      <c r="AO165" s="3"/>
      <c r="AP165">
        <v>0</v>
      </c>
      <c r="AR165" t="s">
        <v>0</v>
      </c>
      <c r="AT165" s="2" t="s">
        <v>6</v>
      </c>
      <c r="AU165" s="1">
        <f t="shared" si="21"/>
        <v>0.26347401297349238</v>
      </c>
      <c r="AV165" s="1">
        <f t="shared" si="22"/>
        <v>0.18819572355249459</v>
      </c>
      <c r="AW165" s="1">
        <f t="shared" si="23"/>
        <v>0.11291743413149673</v>
      </c>
    </row>
    <row r="166" spans="1:49" x14ac:dyDescent="0.2">
      <c r="A166">
        <v>164</v>
      </c>
      <c r="B166" t="s">
        <v>717</v>
      </c>
      <c r="C166" t="s">
        <v>716</v>
      </c>
      <c r="F166" t="s">
        <v>715</v>
      </c>
      <c r="G166" t="s">
        <v>4</v>
      </c>
      <c r="H166" t="s">
        <v>3</v>
      </c>
      <c r="I166" t="s">
        <v>714</v>
      </c>
      <c r="J166">
        <v>60007670</v>
      </c>
      <c r="K166" t="s">
        <v>713</v>
      </c>
      <c r="L166" t="s">
        <v>27</v>
      </c>
      <c r="M166" t="s">
        <v>2</v>
      </c>
      <c r="N166">
        <v>1</v>
      </c>
      <c r="O166" t="s">
        <v>712</v>
      </c>
      <c r="P166">
        <v>7402095848</v>
      </c>
      <c r="Q166">
        <v>60007670</v>
      </c>
      <c r="R166" s="7">
        <v>32051</v>
      </c>
      <c r="S166" s="8">
        <f t="shared" si="16"/>
        <v>1987</v>
      </c>
      <c r="T166" s="8">
        <v>1987</v>
      </c>
      <c r="U166" s="8">
        <f t="shared" si="17"/>
        <v>35</v>
      </c>
      <c r="V166" s="7">
        <v>32051</v>
      </c>
      <c r="W166" t="s">
        <v>150</v>
      </c>
      <c r="X166" s="2">
        <v>0.84299999999999997</v>
      </c>
      <c r="Y166" s="6">
        <f t="shared" si="18"/>
        <v>2.250340353968127E-2</v>
      </c>
      <c r="AA166">
        <v>188158</v>
      </c>
      <c r="AB166">
        <v>15168</v>
      </c>
      <c r="AC166">
        <v>15735117</v>
      </c>
      <c r="AD166" t="s">
        <v>1</v>
      </c>
      <c r="AE166">
        <v>153</v>
      </c>
      <c r="AF166">
        <v>2</v>
      </c>
      <c r="AH166" t="s">
        <v>88</v>
      </c>
      <c r="AI166" t="s">
        <v>711</v>
      </c>
      <c r="AJ166" t="s">
        <v>710</v>
      </c>
      <c r="AK166" t="s">
        <v>709</v>
      </c>
      <c r="AL166">
        <v>7</v>
      </c>
      <c r="AM166" s="5">
        <f t="shared" si="19"/>
        <v>0.2</v>
      </c>
      <c r="AN166" s="4">
        <f t="shared" si="20"/>
        <v>3.0291556228701253E-4</v>
      </c>
      <c r="AO166" s="3"/>
      <c r="AP166">
        <v>0</v>
      </c>
      <c r="AR166" t="s">
        <v>0</v>
      </c>
      <c r="AT166" s="2">
        <v>2.694</v>
      </c>
      <c r="AU166" s="1">
        <f t="shared" si="21"/>
        <v>1.5843257146462995</v>
      </c>
      <c r="AV166" s="1">
        <f t="shared" si="22"/>
        <v>1.1403159550984141</v>
      </c>
      <c r="AW166" s="1">
        <f t="shared" si="23"/>
        <v>0.69630619555052897</v>
      </c>
    </row>
    <row r="167" spans="1:49" x14ac:dyDescent="0.2">
      <c r="A167">
        <v>165</v>
      </c>
      <c r="B167" t="s">
        <v>708</v>
      </c>
      <c r="C167" t="s">
        <v>707</v>
      </c>
      <c r="F167" t="s">
        <v>706</v>
      </c>
      <c r="G167" t="s">
        <v>4</v>
      </c>
      <c r="H167" t="s">
        <v>3</v>
      </c>
      <c r="I167" t="s">
        <v>705</v>
      </c>
      <c r="J167" t="s">
        <v>704</v>
      </c>
      <c r="K167" t="s">
        <v>703</v>
      </c>
      <c r="L167" t="s">
        <v>702</v>
      </c>
      <c r="M167" t="s">
        <v>115</v>
      </c>
      <c r="N167">
        <v>2</v>
      </c>
      <c r="O167" t="s">
        <v>701</v>
      </c>
      <c r="P167" t="s">
        <v>700</v>
      </c>
      <c r="Q167" t="s">
        <v>699</v>
      </c>
      <c r="R167" s="7">
        <v>32051</v>
      </c>
      <c r="S167" s="8">
        <f t="shared" si="16"/>
        <v>1987</v>
      </c>
      <c r="T167" s="8">
        <v>1987</v>
      </c>
      <c r="U167" s="8">
        <f t="shared" si="17"/>
        <v>35</v>
      </c>
      <c r="V167" s="7">
        <v>32051</v>
      </c>
      <c r="W167" t="s">
        <v>147</v>
      </c>
      <c r="X167" s="2">
        <v>1.2529999999999999</v>
      </c>
      <c r="Y167" s="6">
        <f t="shared" si="18"/>
        <v>3.3448119377485916E-2</v>
      </c>
      <c r="AA167">
        <v>320935</v>
      </c>
      <c r="AB167">
        <v>16646</v>
      </c>
      <c r="AC167">
        <v>14322048</v>
      </c>
      <c r="AD167" t="s">
        <v>1</v>
      </c>
      <c r="AE167">
        <v>172</v>
      </c>
      <c r="AF167">
        <v>2</v>
      </c>
      <c r="AH167" t="s">
        <v>698</v>
      </c>
      <c r="AI167" t="s">
        <v>697</v>
      </c>
      <c r="AJ167" t="s">
        <v>696</v>
      </c>
      <c r="AK167" t="s">
        <v>695</v>
      </c>
      <c r="AL167">
        <v>61</v>
      </c>
      <c r="AM167" s="5">
        <f t="shared" si="19"/>
        <v>1.7428571428571429</v>
      </c>
      <c r="AN167" s="4">
        <f t="shared" si="20"/>
        <v>2.6396927570725374E-3</v>
      </c>
      <c r="AO167" s="3"/>
      <c r="AP167">
        <v>0</v>
      </c>
      <c r="AR167" t="s">
        <v>0</v>
      </c>
      <c r="AT167" s="2">
        <v>4.1159999999999997</v>
      </c>
      <c r="AU167" s="1">
        <f t="shared" si="21"/>
        <v>2.42055913913619</v>
      </c>
      <c r="AV167" s="1">
        <f t="shared" si="22"/>
        <v>1.8043906067279225</v>
      </c>
      <c r="AW167" s="1">
        <f t="shared" si="23"/>
        <v>1.188222074319655</v>
      </c>
    </row>
    <row r="168" spans="1:49" x14ac:dyDescent="0.2">
      <c r="A168">
        <v>166</v>
      </c>
      <c r="B168" t="s">
        <v>694</v>
      </c>
      <c r="F168" t="s">
        <v>693</v>
      </c>
      <c r="G168" t="s">
        <v>4</v>
      </c>
      <c r="H168" t="s">
        <v>3</v>
      </c>
      <c r="I168" t="s">
        <v>692</v>
      </c>
      <c r="J168">
        <v>60028586</v>
      </c>
      <c r="K168" t="s">
        <v>691</v>
      </c>
      <c r="L168" t="s">
        <v>690</v>
      </c>
      <c r="M168" t="s">
        <v>28</v>
      </c>
      <c r="N168">
        <v>4</v>
      </c>
      <c r="O168" t="s">
        <v>689</v>
      </c>
      <c r="P168" t="s">
        <v>688</v>
      </c>
      <c r="Q168" t="s">
        <v>687</v>
      </c>
      <c r="R168" s="7">
        <v>32051</v>
      </c>
      <c r="S168" s="8">
        <f t="shared" si="16"/>
        <v>1987</v>
      </c>
      <c r="T168" s="8">
        <v>1987</v>
      </c>
      <c r="U168" s="8">
        <f t="shared" si="17"/>
        <v>35</v>
      </c>
      <c r="V168" s="7">
        <v>32051</v>
      </c>
      <c r="W168" t="s">
        <v>12</v>
      </c>
      <c r="X168" s="2">
        <v>1.9750000000000001</v>
      </c>
      <c r="Y168" s="6">
        <f t="shared" si="18"/>
        <v>5.2721497023571186E-2</v>
      </c>
      <c r="AA168">
        <v>320781</v>
      </c>
      <c r="AB168">
        <v>19019</v>
      </c>
      <c r="AD168" t="s">
        <v>1</v>
      </c>
      <c r="AE168">
        <v>28</v>
      </c>
      <c r="AF168">
        <v>7</v>
      </c>
      <c r="AH168" t="s">
        <v>686</v>
      </c>
      <c r="AI168" t="s">
        <v>685</v>
      </c>
      <c r="AK168" t="s">
        <v>684</v>
      </c>
      <c r="AL168">
        <v>26</v>
      </c>
      <c r="AM168" s="5">
        <f t="shared" si="19"/>
        <v>0.74285714285714288</v>
      </c>
      <c r="AN168" s="4">
        <f t="shared" si="20"/>
        <v>1.125114945637475E-3</v>
      </c>
      <c r="AO168" s="3"/>
      <c r="AP168">
        <v>0</v>
      </c>
      <c r="AR168" t="s">
        <v>0</v>
      </c>
      <c r="AT168" s="2">
        <v>4.9269999999999996</v>
      </c>
      <c r="AU168" s="1">
        <f t="shared" si="21"/>
        <v>3.7242582400191071</v>
      </c>
      <c r="AV168" s="1">
        <f t="shared" si="22"/>
        <v>2.6923305984604329</v>
      </c>
      <c r="AW168" s="1">
        <f t="shared" si="23"/>
        <v>1.6604029569017587</v>
      </c>
    </row>
    <row r="169" spans="1:49" x14ac:dyDescent="0.2">
      <c r="A169">
        <v>167</v>
      </c>
      <c r="B169" t="s">
        <v>683</v>
      </c>
      <c r="C169" t="s">
        <v>682</v>
      </c>
      <c r="D169" t="s">
        <v>681</v>
      </c>
      <c r="F169" t="s">
        <v>680</v>
      </c>
      <c r="G169" t="s">
        <v>4</v>
      </c>
      <c r="H169" t="s">
        <v>3</v>
      </c>
      <c r="I169" t="s">
        <v>679</v>
      </c>
      <c r="J169">
        <v>60028868</v>
      </c>
      <c r="K169" t="s">
        <v>678</v>
      </c>
      <c r="L169" t="s">
        <v>677</v>
      </c>
      <c r="M169" t="s">
        <v>96</v>
      </c>
      <c r="N169">
        <v>6</v>
      </c>
      <c r="O169" t="s">
        <v>676</v>
      </c>
      <c r="P169" t="s">
        <v>675</v>
      </c>
      <c r="Q169" t="s">
        <v>674</v>
      </c>
      <c r="R169" s="7">
        <v>32048</v>
      </c>
      <c r="S169" s="8">
        <f t="shared" si="16"/>
        <v>1987</v>
      </c>
      <c r="T169" s="8">
        <v>1987</v>
      </c>
      <c r="U169" s="8">
        <f t="shared" si="17"/>
        <v>35</v>
      </c>
      <c r="V169" s="7">
        <v>32048</v>
      </c>
      <c r="W169" t="s">
        <v>131</v>
      </c>
      <c r="X169" s="2">
        <v>0.499</v>
      </c>
      <c r="Y169" s="6">
        <f t="shared" si="18"/>
        <v>1.332052000747444E-2</v>
      </c>
      <c r="AA169">
        <v>3759601</v>
      </c>
      <c r="AB169">
        <v>29464</v>
      </c>
      <c r="AD169" t="s">
        <v>1</v>
      </c>
      <c r="AE169">
        <v>124</v>
      </c>
      <c r="AF169" s="9">
        <v>44320</v>
      </c>
      <c r="AH169" t="s">
        <v>673</v>
      </c>
      <c r="AI169" t="s">
        <v>672</v>
      </c>
      <c r="AK169" t="s">
        <v>671</v>
      </c>
      <c r="AL169">
        <v>33</v>
      </c>
      <c r="AM169" s="5">
        <f t="shared" si="19"/>
        <v>0.94285714285714284</v>
      </c>
      <c r="AN169" s="4">
        <f t="shared" si="20"/>
        <v>1.4280305079244875E-3</v>
      </c>
      <c r="AO169" s="3"/>
      <c r="AP169">
        <v>0</v>
      </c>
      <c r="AR169" t="s">
        <v>0</v>
      </c>
      <c r="AT169" s="2">
        <v>2.6539999999999999</v>
      </c>
      <c r="AU169" s="1">
        <f t="shared" si="21"/>
        <v>0.97527731576094545</v>
      </c>
      <c r="AV169" s="1">
        <f t="shared" si="22"/>
        <v>0.73742752576994641</v>
      </c>
      <c r="AW169" s="1">
        <f t="shared" si="23"/>
        <v>0.49957773577894732</v>
      </c>
    </row>
    <row r="170" spans="1:49" x14ac:dyDescent="0.2">
      <c r="A170">
        <v>168</v>
      </c>
      <c r="B170" t="s">
        <v>670</v>
      </c>
      <c r="C170" t="s">
        <v>669</v>
      </c>
      <c r="D170" t="s">
        <v>668</v>
      </c>
      <c r="F170" t="s">
        <v>667</v>
      </c>
      <c r="G170" t="s">
        <v>4</v>
      </c>
      <c r="H170" t="s">
        <v>3</v>
      </c>
      <c r="I170" t="s">
        <v>666</v>
      </c>
      <c r="J170" t="s">
        <v>665</v>
      </c>
      <c r="K170" t="s">
        <v>664</v>
      </c>
      <c r="L170" t="s">
        <v>663</v>
      </c>
      <c r="M170" t="s">
        <v>662</v>
      </c>
      <c r="N170">
        <v>4</v>
      </c>
      <c r="O170" t="s">
        <v>661</v>
      </c>
      <c r="P170" t="s">
        <v>660</v>
      </c>
      <c r="Q170" t="s">
        <v>659</v>
      </c>
      <c r="R170" s="7">
        <v>32030</v>
      </c>
      <c r="S170" s="8">
        <f t="shared" si="16"/>
        <v>1987</v>
      </c>
      <c r="T170" s="8">
        <v>1987</v>
      </c>
      <c r="U170" s="8">
        <f t="shared" si="17"/>
        <v>35</v>
      </c>
      <c r="V170" s="7">
        <v>32030</v>
      </c>
      <c r="W170" t="s">
        <v>151</v>
      </c>
      <c r="X170" s="2">
        <v>1.59</v>
      </c>
      <c r="Y170" s="6">
        <f t="shared" si="18"/>
        <v>4.2444141907583888E-2</v>
      </c>
      <c r="AA170">
        <v>52728</v>
      </c>
      <c r="AB170">
        <v>16791</v>
      </c>
      <c r="AD170" t="s">
        <v>1</v>
      </c>
      <c r="AE170">
        <v>893</v>
      </c>
      <c r="AF170">
        <v>2</v>
      </c>
      <c r="AH170" t="s">
        <v>658</v>
      </c>
      <c r="AI170" t="s">
        <v>657</v>
      </c>
      <c r="AJ170" t="s">
        <v>656</v>
      </c>
      <c r="AK170" t="s">
        <v>655</v>
      </c>
      <c r="AL170">
        <v>17</v>
      </c>
      <c r="AM170" s="5">
        <f t="shared" si="19"/>
        <v>0.48571428571428571</v>
      </c>
      <c r="AN170" s="4">
        <f t="shared" si="20"/>
        <v>7.3565207983988746E-4</v>
      </c>
      <c r="AO170" s="3"/>
      <c r="AP170">
        <v>0</v>
      </c>
      <c r="AR170" t="s">
        <v>0</v>
      </c>
      <c r="AT170" s="2" t="s">
        <v>6</v>
      </c>
      <c r="AU170" s="1">
        <f t="shared" si="21"/>
        <v>2.9931594959260686</v>
      </c>
      <c r="AV170" s="1">
        <f t="shared" si="22"/>
        <v>2.1589896993711886</v>
      </c>
      <c r="AW170" s="1">
        <f t="shared" si="23"/>
        <v>1.3248199028163088</v>
      </c>
    </row>
    <row r="171" spans="1:49" x14ac:dyDescent="0.2">
      <c r="A171">
        <v>169</v>
      </c>
      <c r="B171" t="s">
        <v>654</v>
      </c>
      <c r="C171" t="s">
        <v>653</v>
      </c>
      <c r="D171" t="s">
        <v>652</v>
      </c>
      <c r="F171" t="s">
        <v>651</v>
      </c>
      <c r="G171" t="s">
        <v>4</v>
      </c>
      <c r="H171" t="s">
        <v>3</v>
      </c>
      <c r="I171" t="s">
        <v>650</v>
      </c>
      <c r="J171" t="s">
        <v>649</v>
      </c>
      <c r="K171" t="s">
        <v>648</v>
      </c>
      <c r="L171" t="s">
        <v>647</v>
      </c>
      <c r="M171" t="s">
        <v>646</v>
      </c>
      <c r="N171">
        <v>6</v>
      </c>
      <c r="O171" t="s">
        <v>645</v>
      </c>
      <c r="P171" t="s">
        <v>644</v>
      </c>
      <c r="Q171" t="s">
        <v>643</v>
      </c>
      <c r="R171" s="7">
        <v>32030</v>
      </c>
      <c r="S171" s="8">
        <f t="shared" si="16"/>
        <v>1987</v>
      </c>
      <c r="T171" s="8">
        <v>1987</v>
      </c>
      <c r="U171" s="8">
        <f t="shared" si="17"/>
        <v>35</v>
      </c>
      <c r="V171" s="7">
        <v>32030</v>
      </c>
      <c r="W171" t="s">
        <v>151</v>
      </c>
      <c r="X171" s="2">
        <v>1.59</v>
      </c>
      <c r="Y171" s="6">
        <f t="shared" si="18"/>
        <v>4.2444141907583888E-2</v>
      </c>
      <c r="AA171">
        <v>52728</v>
      </c>
      <c r="AB171">
        <v>16791</v>
      </c>
      <c r="AD171" t="s">
        <v>1</v>
      </c>
      <c r="AE171">
        <v>893</v>
      </c>
      <c r="AF171">
        <v>2</v>
      </c>
      <c r="AH171" t="s">
        <v>642</v>
      </c>
      <c r="AI171" t="s">
        <v>641</v>
      </c>
      <c r="AJ171" t="s">
        <v>640</v>
      </c>
      <c r="AK171" t="s">
        <v>639</v>
      </c>
      <c r="AL171">
        <v>146</v>
      </c>
      <c r="AM171" s="5">
        <f t="shared" si="19"/>
        <v>4.1714285714285717</v>
      </c>
      <c r="AN171" s="4">
        <f t="shared" si="20"/>
        <v>6.3179531562719757E-3</v>
      </c>
      <c r="AO171" s="3"/>
      <c r="AP171">
        <v>0</v>
      </c>
      <c r="AR171" t="s">
        <v>638</v>
      </c>
      <c r="AT171" s="2" t="s">
        <v>6</v>
      </c>
      <c r="AU171" s="1">
        <f t="shared" si="21"/>
        <v>3.1606285282190312</v>
      </c>
      <c r="AV171" s="1">
        <f t="shared" si="22"/>
        <v>2.4381047531927931</v>
      </c>
      <c r="AW171" s="1">
        <f t="shared" si="23"/>
        <v>1.7155809781665545</v>
      </c>
    </row>
    <row r="172" spans="1:49" x14ac:dyDescent="0.2">
      <c r="A172">
        <v>170</v>
      </c>
      <c r="B172" t="s">
        <v>637</v>
      </c>
      <c r="C172" t="s">
        <v>636</v>
      </c>
      <c r="D172">
        <v>5272887900533</v>
      </c>
      <c r="F172" t="s">
        <v>635</v>
      </c>
      <c r="G172" t="s">
        <v>4</v>
      </c>
      <c r="H172" t="s">
        <v>3</v>
      </c>
      <c r="I172" t="s">
        <v>606</v>
      </c>
      <c r="J172" t="s">
        <v>634</v>
      </c>
      <c r="K172" t="s">
        <v>633</v>
      </c>
      <c r="L172" t="s">
        <v>632</v>
      </c>
      <c r="M172" t="s">
        <v>631</v>
      </c>
      <c r="N172">
        <v>5</v>
      </c>
      <c r="O172" t="s">
        <v>630</v>
      </c>
      <c r="P172" t="s">
        <v>629</v>
      </c>
      <c r="Q172" t="s">
        <v>628</v>
      </c>
      <c r="R172" s="7">
        <v>32030</v>
      </c>
      <c r="S172" s="8">
        <f t="shared" si="16"/>
        <v>1987</v>
      </c>
      <c r="T172" s="8">
        <v>1987</v>
      </c>
      <c r="U172" s="8">
        <f t="shared" si="17"/>
        <v>35</v>
      </c>
      <c r="V172" s="7">
        <v>32030</v>
      </c>
      <c r="W172" t="s">
        <v>151</v>
      </c>
      <c r="X172" s="2">
        <v>1.59</v>
      </c>
      <c r="Y172" s="6">
        <f t="shared" si="18"/>
        <v>4.2444141907583888E-2</v>
      </c>
      <c r="AA172">
        <v>52728</v>
      </c>
      <c r="AB172">
        <v>16791</v>
      </c>
      <c r="AD172" t="s">
        <v>1</v>
      </c>
      <c r="AE172">
        <v>893</v>
      </c>
      <c r="AF172">
        <v>2</v>
      </c>
      <c r="AH172" t="s">
        <v>627</v>
      </c>
      <c r="AI172" t="s">
        <v>626</v>
      </c>
      <c r="AJ172" t="s">
        <v>625</v>
      </c>
      <c r="AK172" t="s">
        <v>624</v>
      </c>
      <c r="AL172">
        <v>29</v>
      </c>
      <c r="AM172" s="5">
        <f t="shared" si="19"/>
        <v>0.82857142857142863</v>
      </c>
      <c r="AN172" s="4">
        <f t="shared" si="20"/>
        <v>1.2549359009033376E-3</v>
      </c>
      <c r="AO172" s="3"/>
      <c r="AP172">
        <v>0</v>
      </c>
      <c r="AR172" t="s">
        <v>0</v>
      </c>
      <c r="AT172" s="2" t="s">
        <v>6</v>
      </c>
      <c r="AU172" s="1">
        <f t="shared" si="21"/>
        <v>3.0087380105579724</v>
      </c>
      <c r="AV172" s="1">
        <f t="shared" si="22"/>
        <v>2.1849538904243611</v>
      </c>
      <c r="AW172" s="1">
        <f t="shared" si="23"/>
        <v>1.3611697702907501</v>
      </c>
    </row>
    <row r="173" spans="1:49" x14ac:dyDescent="0.2">
      <c r="A173">
        <v>171</v>
      </c>
      <c r="B173" t="s">
        <v>623</v>
      </c>
      <c r="C173" t="s">
        <v>622</v>
      </c>
      <c r="D173">
        <v>5272887900417</v>
      </c>
      <c r="F173" t="s">
        <v>621</v>
      </c>
      <c r="G173" t="s">
        <v>4</v>
      </c>
      <c r="H173" t="s">
        <v>3</v>
      </c>
      <c r="I173" t="s">
        <v>620</v>
      </c>
      <c r="J173" t="s">
        <v>619</v>
      </c>
      <c r="K173" t="s">
        <v>618</v>
      </c>
      <c r="L173" t="s">
        <v>617</v>
      </c>
      <c r="M173" t="s">
        <v>115</v>
      </c>
      <c r="N173">
        <v>6</v>
      </c>
      <c r="O173" t="s">
        <v>616</v>
      </c>
      <c r="P173" t="s">
        <v>615</v>
      </c>
      <c r="Q173" t="s">
        <v>614</v>
      </c>
      <c r="R173" s="7">
        <v>32030</v>
      </c>
      <c r="S173" s="8">
        <f t="shared" si="16"/>
        <v>1987</v>
      </c>
      <c r="T173" s="8">
        <v>1987</v>
      </c>
      <c r="U173" s="8">
        <f t="shared" si="17"/>
        <v>35</v>
      </c>
      <c r="V173" s="7">
        <v>32030</v>
      </c>
      <c r="W173" t="s">
        <v>151</v>
      </c>
      <c r="X173" s="2">
        <v>1.59</v>
      </c>
      <c r="Y173" s="6">
        <f t="shared" si="18"/>
        <v>4.2444141907583888E-2</v>
      </c>
      <c r="AA173">
        <v>52728</v>
      </c>
      <c r="AB173">
        <v>16791</v>
      </c>
      <c r="AD173" t="s">
        <v>1</v>
      </c>
      <c r="AE173">
        <v>893</v>
      </c>
      <c r="AF173">
        <v>2</v>
      </c>
      <c r="AH173" t="s">
        <v>613</v>
      </c>
      <c r="AI173" t="s">
        <v>612</v>
      </c>
      <c r="AJ173" t="s">
        <v>611</v>
      </c>
      <c r="AK173" t="s">
        <v>610</v>
      </c>
      <c r="AL173">
        <v>18</v>
      </c>
      <c r="AM173" s="5">
        <f t="shared" si="19"/>
        <v>0.51428571428571423</v>
      </c>
      <c r="AN173" s="4">
        <f t="shared" si="20"/>
        <v>7.7892573159517493E-4</v>
      </c>
      <c r="AO173" s="3"/>
      <c r="AP173">
        <v>0</v>
      </c>
      <c r="AR173" t="s">
        <v>0</v>
      </c>
      <c r="AT173" s="2" t="s">
        <v>6</v>
      </c>
      <c r="AU173" s="1">
        <f t="shared" si="21"/>
        <v>2.9944577054787271</v>
      </c>
      <c r="AV173" s="1">
        <f t="shared" si="22"/>
        <v>2.161153381958953</v>
      </c>
      <c r="AW173" s="1">
        <f t="shared" si="23"/>
        <v>1.3278490584391787</v>
      </c>
    </row>
    <row r="174" spans="1:49" x14ac:dyDescent="0.2">
      <c r="A174">
        <v>172</v>
      </c>
      <c r="B174" t="s">
        <v>609</v>
      </c>
      <c r="C174" t="s">
        <v>608</v>
      </c>
      <c r="D174">
        <v>5272887900521</v>
      </c>
      <c r="F174" t="s">
        <v>607</v>
      </c>
      <c r="G174" t="s">
        <v>4</v>
      </c>
      <c r="H174" t="s">
        <v>3</v>
      </c>
      <c r="I174" t="s">
        <v>606</v>
      </c>
      <c r="J174" t="s">
        <v>605</v>
      </c>
      <c r="K174" t="s">
        <v>604</v>
      </c>
      <c r="L174" t="s">
        <v>603</v>
      </c>
      <c r="M174" t="s">
        <v>602</v>
      </c>
      <c r="N174">
        <v>4</v>
      </c>
      <c r="O174" t="s">
        <v>601</v>
      </c>
      <c r="P174" t="s">
        <v>600</v>
      </c>
      <c r="Q174" t="s">
        <v>599</v>
      </c>
      <c r="R174" s="7">
        <v>32030</v>
      </c>
      <c r="S174" s="8">
        <f t="shared" si="16"/>
        <v>1987</v>
      </c>
      <c r="T174" s="8">
        <v>1987</v>
      </c>
      <c r="U174" s="8">
        <f t="shared" si="17"/>
        <v>35</v>
      </c>
      <c r="V174" s="7">
        <v>32030</v>
      </c>
      <c r="W174" t="s">
        <v>151</v>
      </c>
      <c r="X174" s="2">
        <v>1.59</v>
      </c>
      <c r="Y174" s="6">
        <f t="shared" si="18"/>
        <v>4.2444141907583888E-2</v>
      </c>
      <c r="AA174">
        <v>52728</v>
      </c>
      <c r="AB174">
        <v>16791</v>
      </c>
      <c r="AD174" t="s">
        <v>1</v>
      </c>
      <c r="AE174">
        <v>893</v>
      </c>
      <c r="AF174">
        <v>2</v>
      </c>
      <c r="AH174" t="s">
        <v>598</v>
      </c>
      <c r="AI174" t="s">
        <v>597</v>
      </c>
      <c r="AJ174" t="s">
        <v>596</v>
      </c>
      <c r="AK174" t="s">
        <v>595</v>
      </c>
      <c r="AL174">
        <v>57</v>
      </c>
      <c r="AM174" s="5">
        <f t="shared" si="19"/>
        <v>1.6285714285714286</v>
      </c>
      <c r="AN174" s="4">
        <f t="shared" si="20"/>
        <v>2.4665981500513875E-3</v>
      </c>
      <c r="AO174" s="3"/>
      <c r="AP174">
        <v>0</v>
      </c>
      <c r="AR174" t="s">
        <v>0</v>
      </c>
      <c r="AT174" s="2" t="s">
        <v>6</v>
      </c>
      <c r="AU174" s="1">
        <f t="shared" si="21"/>
        <v>3.0450878780324135</v>
      </c>
      <c r="AV174" s="1">
        <f t="shared" si="22"/>
        <v>2.2455370028817638</v>
      </c>
      <c r="AW174" s="1">
        <f t="shared" si="23"/>
        <v>1.4459861277311137</v>
      </c>
    </row>
    <row r="175" spans="1:49" x14ac:dyDescent="0.2">
      <c r="A175">
        <v>173</v>
      </c>
      <c r="B175" t="s">
        <v>594</v>
      </c>
      <c r="C175" t="s">
        <v>593</v>
      </c>
      <c r="F175" t="s">
        <v>592</v>
      </c>
      <c r="G175" t="s">
        <v>4</v>
      </c>
      <c r="H175" t="s">
        <v>3</v>
      </c>
      <c r="I175" t="s">
        <v>591</v>
      </c>
      <c r="J175">
        <v>60006876</v>
      </c>
      <c r="K175" t="s">
        <v>590</v>
      </c>
      <c r="L175" t="s">
        <v>589</v>
      </c>
      <c r="M175" t="s">
        <v>92</v>
      </c>
      <c r="N175">
        <v>1</v>
      </c>
      <c r="O175" t="s">
        <v>588</v>
      </c>
      <c r="P175">
        <v>7003970089</v>
      </c>
      <c r="Q175">
        <v>60006876</v>
      </c>
      <c r="R175" s="7">
        <v>32021</v>
      </c>
      <c r="S175" s="8">
        <f t="shared" si="16"/>
        <v>1987</v>
      </c>
      <c r="T175" s="8">
        <v>1987</v>
      </c>
      <c r="U175" s="8">
        <f t="shared" si="17"/>
        <v>35</v>
      </c>
      <c r="V175" s="7">
        <v>32021</v>
      </c>
      <c r="W175" t="s">
        <v>134</v>
      </c>
      <c r="X175" s="2" t="s">
        <v>6</v>
      </c>
      <c r="Y175" s="6" t="e">
        <f t="shared" si="18"/>
        <v>#VALUE!</v>
      </c>
      <c r="AA175" t="s">
        <v>133</v>
      </c>
      <c r="AB175">
        <v>53590</v>
      </c>
      <c r="AC175" t="s">
        <v>132</v>
      </c>
      <c r="AD175" t="s">
        <v>1</v>
      </c>
      <c r="AE175">
        <v>196</v>
      </c>
      <c r="AF175">
        <v>6</v>
      </c>
      <c r="AH175" t="s">
        <v>587</v>
      </c>
      <c r="AI175" t="s">
        <v>586</v>
      </c>
      <c r="AJ175" t="s">
        <v>585</v>
      </c>
      <c r="AK175" t="s">
        <v>584</v>
      </c>
      <c r="AL175">
        <v>0</v>
      </c>
      <c r="AM175" s="5">
        <f t="shared" si="19"/>
        <v>0</v>
      </c>
      <c r="AN175" s="4">
        <f t="shared" si="20"/>
        <v>0</v>
      </c>
      <c r="AO175" s="3"/>
      <c r="AP175">
        <v>0</v>
      </c>
      <c r="AR175" t="s">
        <v>0</v>
      </c>
      <c r="AT175" s="2" t="s">
        <v>6</v>
      </c>
      <c r="AU175" s="1" t="e">
        <f t="shared" si="21"/>
        <v>#VALUE!</v>
      </c>
      <c r="AV175" s="1" t="e">
        <f t="shared" si="22"/>
        <v>#VALUE!</v>
      </c>
      <c r="AW175" s="1" t="e">
        <f t="shared" si="23"/>
        <v>#VALUE!</v>
      </c>
    </row>
    <row r="176" spans="1:49" x14ac:dyDescent="0.2">
      <c r="A176">
        <v>174</v>
      </c>
      <c r="B176" t="s">
        <v>583</v>
      </c>
      <c r="C176" t="s">
        <v>582</v>
      </c>
      <c r="F176" t="s">
        <v>581</v>
      </c>
      <c r="G176" t="s">
        <v>4</v>
      </c>
      <c r="H176" t="s">
        <v>3</v>
      </c>
      <c r="I176" t="s">
        <v>580</v>
      </c>
      <c r="J176" t="s">
        <v>574</v>
      </c>
      <c r="K176" t="s">
        <v>579</v>
      </c>
      <c r="L176" t="s">
        <v>578</v>
      </c>
      <c r="M176" t="s">
        <v>577</v>
      </c>
      <c r="N176">
        <v>2</v>
      </c>
      <c r="O176" t="s">
        <v>576</v>
      </c>
      <c r="P176" t="s">
        <v>575</v>
      </c>
      <c r="Q176" t="s">
        <v>574</v>
      </c>
      <c r="R176" s="7">
        <v>32021</v>
      </c>
      <c r="S176" s="8">
        <f t="shared" si="16"/>
        <v>1987</v>
      </c>
      <c r="T176" s="8">
        <v>1987</v>
      </c>
      <c r="U176" s="8">
        <f t="shared" si="17"/>
        <v>35</v>
      </c>
      <c r="V176" s="7">
        <v>32021</v>
      </c>
      <c r="W176" t="s">
        <v>100</v>
      </c>
      <c r="X176" s="2">
        <v>0.61499999999999999</v>
      </c>
      <c r="Y176" s="6">
        <f t="shared" si="18"/>
        <v>1.6417073756706976E-2</v>
      </c>
      <c r="AA176">
        <v>1959271</v>
      </c>
      <c r="AB176">
        <v>12141</v>
      </c>
      <c r="AC176">
        <v>15729559</v>
      </c>
      <c r="AD176" t="s">
        <v>1</v>
      </c>
      <c r="AE176">
        <v>8</v>
      </c>
      <c r="AF176">
        <v>9</v>
      </c>
      <c r="AH176" t="s">
        <v>573</v>
      </c>
      <c r="AI176" t="s">
        <v>572</v>
      </c>
      <c r="AJ176" t="s">
        <v>571</v>
      </c>
      <c r="AK176" t="s">
        <v>570</v>
      </c>
      <c r="AL176">
        <v>0</v>
      </c>
      <c r="AM176" s="5">
        <f t="shared" si="19"/>
        <v>0</v>
      </c>
      <c r="AN176" s="4">
        <f t="shared" si="20"/>
        <v>0</v>
      </c>
      <c r="AO176" s="3"/>
      <c r="AP176">
        <v>0</v>
      </c>
      <c r="AR176" t="s">
        <v>0</v>
      </c>
      <c r="AT176" s="2" t="s">
        <v>6</v>
      </c>
      <c r="AU176" s="1">
        <f t="shared" si="21"/>
        <v>1.1491951629694881</v>
      </c>
      <c r="AV176" s="1">
        <f t="shared" si="22"/>
        <v>0.82085368783534873</v>
      </c>
      <c r="AW176" s="1">
        <f t="shared" si="23"/>
        <v>0.49251221270120926</v>
      </c>
    </row>
    <row r="177" spans="1:49" x14ac:dyDescent="0.2">
      <c r="A177">
        <v>175</v>
      </c>
      <c r="B177" t="s">
        <v>569</v>
      </c>
      <c r="F177" t="s">
        <v>568</v>
      </c>
      <c r="G177" t="s">
        <v>4</v>
      </c>
      <c r="H177" t="s">
        <v>3</v>
      </c>
      <c r="I177" t="s">
        <v>567</v>
      </c>
      <c r="J177">
        <v>60103907</v>
      </c>
      <c r="K177" t="s">
        <v>109</v>
      </c>
      <c r="L177" t="s">
        <v>29</v>
      </c>
      <c r="M177" t="s">
        <v>28</v>
      </c>
      <c r="N177">
        <v>1</v>
      </c>
      <c r="O177" t="s">
        <v>566</v>
      </c>
      <c r="P177">
        <v>55458674800</v>
      </c>
      <c r="Q177">
        <v>60103907</v>
      </c>
      <c r="R177" s="7">
        <v>32021</v>
      </c>
      <c r="S177" s="8">
        <f t="shared" si="16"/>
        <v>1987</v>
      </c>
      <c r="T177" s="8">
        <v>1987</v>
      </c>
      <c r="U177" s="8">
        <f t="shared" si="17"/>
        <v>35</v>
      </c>
      <c r="V177" s="7">
        <v>32021</v>
      </c>
      <c r="W177" t="s">
        <v>565</v>
      </c>
      <c r="X177" s="2" t="s">
        <v>6</v>
      </c>
      <c r="Y177" s="6" t="e">
        <f t="shared" si="18"/>
        <v>#VALUE!</v>
      </c>
      <c r="AA177" t="s">
        <v>564</v>
      </c>
      <c r="AB177">
        <v>20050</v>
      </c>
      <c r="AD177" t="s">
        <v>1</v>
      </c>
      <c r="AI177" t="s">
        <v>563</v>
      </c>
      <c r="AK177" t="s">
        <v>562</v>
      </c>
      <c r="AL177">
        <v>0</v>
      </c>
      <c r="AM177" s="5">
        <f t="shared" si="19"/>
        <v>0</v>
      </c>
      <c r="AN177" s="4">
        <f t="shared" si="20"/>
        <v>0</v>
      </c>
      <c r="AO177" s="3"/>
      <c r="AP177">
        <v>0</v>
      </c>
      <c r="AR177" t="s">
        <v>0</v>
      </c>
      <c r="AT177" s="2" t="s">
        <v>6</v>
      </c>
      <c r="AU177" s="1" t="e">
        <f t="shared" si="21"/>
        <v>#VALUE!</v>
      </c>
      <c r="AV177" s="1" t="e">
        <f t="shared" si="22"/>
        <v>#VALUE!</v>
      </c>
      <c r="AW177" s="1" t="e">
        <f t="shared" si="23"/>
        <v>#VALUE!</v>
      </c>
    </row>
    <row r="178" spans="1:49" x14ac:dyDescent="0.2">
      <c r="A178">
        <v>176</v>
      </c>
      <c r="B178" t="s">
        <v>561</v>
      </c>
      <c r="F178" t="s">
        <v>560</v>
      </c>
      <c r="G178" t="s">
        <v>4</v>
      </c>
      <c r="H178" t="s">
        <v>3</v>
      </c>
      <c r="I178" t="s">
        <v>559</v>
      </c>
      <c r="N178">
        <v>2</v>
      </c>
      <c r="O178" t="s">
        <v>558</v>
      </c>
      <c r="P178" t="s">
        <v>557</v>
      </c>
      <c r="Q178" t="s">
        <v>19</v>
      </c>
      <c r="R178" s="7">
        <v>32021</v>
      </c>
      <c r="S178" s="8">
        <f t="shared" si="16"/>
        <v>1987</v>
      </c>
      <c r="T178" s="8">
        <v>1987</v>
      </c>
      <c r="U178" s="8">
        <f t="shared" si="17"/>
        <v>35</v>
      </c>
      <c r="V178" s="7">
        <v>32021</v>
      </c>
      <c r="W178" t="s">
        <v>48</v>
      </c>
      <c r="X178" s="2" t="s">
        <v>6</v>
      </c>
      <c r="Y178" s="6" t="e">
        <f t="shared" si="18"/>
        <v>#VALUE!</v>
      </c>
      <c r="AA178">
        <v>87566648</v>
      </c>
      <c r="AB178">
        <v>74127</v>
      </c>
      <c r="AD178" t="s">
        <v>1</v>
      </c>
      <c r="AE178">
        <v>32</v>
      </c>
      <c r="AF178">
        <v>9</v>
      </c>
      <c r="AH178" s="9">
        <v>44440</v>
      </c>
      <c r="AI178" t="s">
        <v>556</v>
      </c>
      <c r="AK178" t="s">
        <v>555</v>
      </c>
      <c r="AL178">
        <v>0</v>
      </c>
      <c r="AM178" s="5">
        <f t="shared" si="19"/>
        <v>0</v>
      </c>
      <c r="AN178" s="4">
        <f t="shared" si="20"/>
        <v>0</v>
      </c>
      <c r="AO178" s="3"/>
      <c r="AP178">
        <v>0</v>
      </c>
      <c r="AR178" t="s">
        <v>0</v>
      </c>
      <c r="AT178" s="2" t="s">
        <v>6</v>
      </c>
      <c r="AU178" s="1" t="e">
        <f t="shared" si="21"/>
        <v>#VALUE!</v>
      </c>
      <c r="AV178" s="1" t="e">
        <f t="shared" si="22"/>
        <v>#VALUE!</v>
      </c>
      <c r="AW178" s="1" t="e">
        <f t="shared" si="23"/>
        <v>#VALUE!</v>
      </c>
    </row>
    <row r="179" spans="1:49" x14ac:dyDescent="0.2">
      <c r="A179">
        <v>177</v>
      </c>
      <c r="B179" t="s">
        <v>554</v>
      </c>
      <c r="F179" t="s">
        <v>553</v>
      </c>
      <c r="G179" t="s">
        <v>4</v>
      </c>
      <c r="H179" t="s">
        <v>3</v>
      </c>
      <c r="I179" t="s">
        <v>98</v>
      </c>
      <c r="N179">
        <v>1</v>
      </c>
      <c r="O179" t="s">
        <v>97</v>
      </c>
      <c r="P179">
        <v>57197892376</v>
      </c>
      <c r="R179" s="7">
        <v>32021</v>
      </c>
      <c r="S179" s="8">
        <f t="shared" si="16"/>
        <v>1987</v>
      </c>
      <c r="T179" s="8">
        <v>1987</v>
      </c>
      <c r="U179" s="8">
        <f t="shared" si="17"/>
        <v>35</v>
      </c>
      <c r="V179" s="7">
        <v>32021</v>
      </c>
      <c r="W179" t="s">
        <v>177</v>
      </c>
      <c r="X179" s="2" t="s">
        <v>6</v>
      </c>
      <c r="Y179" s="6" t="e">
        <f t="shared" si="18"/>
        <v>#VALUE!</v>
      </c>
      <c r="AA179">
        <v>2663244</v>
      </c>
      <c r="AB179">
        <v>35055</v>
      </c>
      <c r="AD179" t="s">
        <v>1</v>
      </c>
      <c r="AE179">
        <v>93</v>
      </c>
      <c r="AF179">
        <v>1619</v>
      </c>
      <c r="AH179" t="s">
        <v>552</v>
      </c>
      <c r="AI179" t="s">
        <v>551</v>
      </c>
      <c r="AK179" t="s">
        <v>550</v>
      </c>
      <c r="AL179">
        <v>0</v>
      </c>
      <c r="AM179" s="5">
        <f t="shared" si="19"/>
        <v>0</v>
      </c>
      <c r="AN179" s="4">
        <f t="shared" si="20"/>
        <v>0</v>
      </c>
      <c r="AO179" s="3"/>
      <c r="AP179">
        <v>0</v>
      </c>
      <c r="AR179" t="s">
        <v>0</v>
      </c>
      <c r="AT179" s="2" t="s">
        <v>6</v>
      </c>
      <c r="AU179" s="1" t="e">
        <f t="shared" si="21"/>
        <v>#VALUE!</v>
      </c>
      <c r="AV179" s="1" t="e">
        <f t="shared" si="22"/>
        <v>#VALUE!</v>
      </c>
      <c r="AW179" s="1" t="e">
        <f t="shared" si="23"/>
        <v>#VALUE!</v>
      </c>
    </row>
    <row r="180" spans="1:49" x14ac:dyDescent="0.2">
      <c r="A180">
        <v>178</v>
      </c>
      <c r="B180" t="s">
        <v>549</v>
      </c>
      <c r="F180" t="s">
        <v>548</v>
      </c>
      <c r="G180" t="s">
        <v>4</v>
      </c>
      <c r="H180" t="s">
        <v>3</v>
      </c>
      <c r="I180" t="s">
        <v>547</v>
      </c>
      <c r="J180">
        <v>60072188</v>
      </c>
      <c r="K180" t="s">
        <v>546</v>
      </c>
      <c r="L180" t="s">
        <v>545</v>
      </c>
      <c r="M180" t="s">
        <v>9</v>
      </c>
      <c r="N180">
        <v>3</v>
      </c>
      <c r="O180" t="s">
        <v>544</v>
      </c>
      <c r="P180" t="s">
        <v>543</v>
      </c>
      <c r="Q180" t="s">
        <v>542</v>
      </c>
      <c r="R180" s="7">
        <v>32021</v>
      </c>
      <c r="S180" s="8">
        <f t="shared" si="16"/>
        <v>1987</v>
      </c>
      <c r="T180" s="8">
        <v>1987</v>
      </c>
      <c r="U180" s="8">
        <f t="shared" si="17"/>
        <v>35</v>
      </c>
      <c r="V180" s="7">
        <v>32021</v>
      </c>
      <c r="W180" t="s">
        <v>541</v>
      </c>
      <c r="X180" s="2" t="s">
        <v>6</v>
      </c>
      <c r="Y180" s="6" t="e">
        <f t="shared" si="18"/>
        <v>#VALUE!</v>
      </c>
      <c r="AA180">
        <v>9309284</v>
      </c>
      <c r="AB180">
        <v>110260</v>
      </c>
      <c r="AD180" t="s">
        <v>1</v>
      </c>
      <c r="AF180">
        <v>2</v>
      </c>
      <c r="AH180" t="s">
        <v>540</v>
      </c>
      <c r="AI180" t="s">
        <v>539</v>
      </c>
      <c r="AK180" t="s">
        <v>538</v>
      </c>
      <c r="AL180">
        <v>0</v>
      </c>
      <c r="AM180" s="5">
        <f t="shared" si="19"/>
        <v>0</v>
      </c>
      <c r="AN180" s="4">
        <f t="shared" si="20"/>
        <v>0</v>
      </c>
      <c r="AO180" s="3"/>
      <c r="AP180">
        <v>0</v>
      </c>
      <c r="AR180" t="s">
        <v>0</v>
      </c>
      <c r="AT180" s="2" t="s">
        <v>6</v>
      </c>
      <c r="AU180" s="1" t="e">
        <f t="shared" si="21"/>
        <v>#VALUE!</v>
      </c>
      <c r="AV180" s="1" t="e">
        <f t="shared" si="22"/>
        <v>#VALUE!</v>
      </c>
      <c r="AW180" s="1" t="e">
        <f t="shared" si="23"/>
        <v>#VALUE!</v>
      </c>
    </row>
    <row r="181" spans="1:49" x14ac:dyDescent="0.2">
      <c r="A181">
        <v>179</v>
      </c>
      <c r="B181" t="s">
        <v>537</v>
      </c>
      <c r="F181" t="s">
        <v>536</v>
      </c>
      <c r="G181" t="s">
        <v>4</v>
      </c>
      <c r="H181" t="s">
        <v>3</v>
      </c>
      <c r="I181" t="s">
        <v>169</v>
      </c>
      <c r="J181">
        <v>60005681</v>
      </c>
      <c r="K181" t="s">
        <v>168</v>
      </c>
      <c r="L181" t="s">
        <v>167</v>
      </c>
      <c r="M181" t="s">
        <v>90</v>
      </c>
      <c r="N181">
        <v>2</v>
      </c>
      <c r="O181" t="s">
        <v>166</v>
      </c>
      <c r="P181" t="s">
        <v>165</v>
      </c>
      <c r="Q181" t="s">
        <v>164</v>
      </c>
      <c r="R181" s="7">
        <v>32021</v>
      </c>
      <c r="S181" s="8">
        <f t="shared" si="16"/>
        <v>1987</v>
      </c>
      <c r="T181" s="8">
        <v>1987</v>
      </c>
      <c r="U181" s="8">
        <f t="shared" si="17"/>
        <v>35</v>
      </c>
      <c r="V181" s="7">
        <v>32021</v>
      </c>
      <c r="W181" t="s">
        <v>34</v>
      </c>
      <c r="X181" s="2" t="s">
        <v>6</v>
      </c>
      <c r="Y181" s="6" t="e">
        <f t="shared" si="18"/>
        <v>#VALUE!</v>
      </c>
      <c r="AA181">
        <v>262897</v>
      </c>
      <c r="AB181">
        <v>18580</v>
      </c>
      <c r="AD181" t="s">
        <v>1</v>
      </c>
      <c r="AE181">
        <v>30</v>
      </c>
      <c r="AF181">
        <v>9</v>
      </c>
      <c r="AH181" t="s">
        <v>535</v>
      </c>
      <c r="AI181" t="s">
        <v>534</v>
      </c>
      <c r="AK181" t="s">
        <v>533</v>
      </c>
      <c r="AL181">
        <v>2</v>
      </c>
      <c r="AM181" s="5">
        <f t="shared" si="19"/>
        <v>5.7142857142857141E-2</v>
      </c>
      <c r="AN181" s="4">
        <f t="shared" si="20"/>
        <v>8.6547303510575E-5</v>
      </c>
      <c r="AO181" s="3"/>
      <c r="AP181">
        <v>0</v>
      </c>
      <c r="AR181" t="s">
        <v>0</v>
      </c>
      <c r="AT181" s="2">
        <v>0.30599999999999999</v>
      </c>
      <c r="AU181" s="1" t="e">
        <f t="shared" si="21"/>
        <v>#VALUE!</v>
      </c>
      <c r="AV181" s="1" t="e">
        <f t="shared" si="22"/>
        <v>#VALUE!</v>
      </c>
      <c r="AW181" s="1" t="e">
        <f t="shared" si="23"/>
        <v>#VALUE!</v>
      </c>
    </row>
    <row r="182" spans="1:49" x14ac:dyDescent="0.2">
      <c r="A182">
        <v>180</v>
      </c>
      <c r="B182" t="s">
        <v>532</v>
      </c>
      <c r="F182" t="s">
        <v>531</v>
      </c>
      <c r="G182" t="s">
        <v>4</v>
      </c>
      <c r="H182" t="s">
        <v>3</v>
      </c>
      <c r="I182" t="s">
        <v>530</v>
      </c>
      <c r="N182">
        <v>1</v>
      </c>
      <c r="O182" t="s">
        <v>529</v>
      </c>
      <c r="P182">
        <v>6603570444</v>
      </c>
      <c r="R182" s="7">
        <v>32021</v>
      </c>
      <c r="S182" s="8">
        <f t="shared" si="16"/>
        <v>1987</v>
      </c>
      <c r="T182" s="8">
        <v>1987</v>
      </c>
      <c r="U182" s="8">
        <f t="shared" si="17"/>
        <v>35</v>
      </c>
      <c r="V182" s="7">
        <v>32021</v>
      </c>
      <c r="W182" t="s">
        <v>528</v>
      </c>
      <c r="X182" s="2" t="s">
        <v>6</v>
      </c>
      <c r="Y182" s="6" t="e">
        <f t="shared" si="18"/>
        <v>#VALUE!</v>
      </c>
      <c r="AA182">
        <v>97853</v>
      </c>
      <c r="AB182">
        <v>15018</v>
      </c>
      <c r="AD182" t="s">
        <v>1</v>
      </c>
      <c r="AE182">
        <v>57</v>
      </c>
      <c r="AF182">
        <v>9</v>
      </c>
      <c r="AH182" t="s">
        <v>527</v>
      </c>
      <c r="AI182" t="s">
        <v>526</v>
      </c>
      <c r="AK182" t="s">
        <v>525</v>
      </c>
      <c r="AL182">
        <v>0</v>
      </c>
      <c r="AM182" s="5">
        <f t="shared" si="19"/>
        <v>0</v>
      </c>
      <c r="AN182" s="4">
        <f t="shared" si="20"/>
        <v>0</v>
      </c>
      <c r="AO182" s="3"/>
      <c r="AP182">
        <v>0</v>
      </c>
      <c r="AR182" t="s">
        <v>0</v>
      </c>
      <c r="AT182" s="2" t="s">
        <v>6</v>
      </c>
      <c r="AU182" s="1" t="e">
        <f t="shared" si="21"/>
        <v>#VALUE!</v>
      </c>
      <c r="AV182" s="1" t="e">
        <f t="shared" si="22"/>
        <v>#VALUE!</v>
      </c>
      <c r="AW182" s="1" t="e">
        <f t="shared" si="23"/>
        <v>#VALUE!</v>
      </c>
    </row>
    <row r="183" spans="1:49" x14ac:dyDescent="0.2">
      <c r="A183">
        <v>181</v>
      </c>
      <c r="B183" t="s">
        <v>524</v>
      </c>
      <c r="F183" t="s">
        <v>523</v>
      </c>
      <c r="G183" t="s">
        <v>4</v>
      </c>
      <c r="H183" t="s">
        <v>3</v>
      </c>
      <c r="I183" t="s">
        <v>522</v>
      </c>
      <c r="J183">
        <v>100972694</v>
      </c>
      <c r="K183" t="s">
        <v>521</v>
      </c>
      <c r="L183" t="s">
        <v>106</v>
      </c>
      <c r="M183" t="s">
        <v>64</v>
      </c>
      <c r="N183">
        <v>1</v>
      </c>
      <c r="O183" t="s">
        <v>520</v>
      </c>
      <c r="P183">
        <v>55475595700</v>
      </c>
      <c r="Q183">
        <v>100972694</v>
      </c>
      <c r="R183" s="7">
        <v>32021</v>
      </c>
      <c r="S183" s="8">
        <f t="shared" si="16"/>
        <v>1987</v>
      </c>
      <c r="T183" s="8">
        <v>1987</v>
      </c>
      <c r="U183" s="8">
        <f t="shared" si="17"/>
        <v>35</v>
      </c>
      <c r="V183" s="7">
        <v>32021</v>
      </c>
      <c r="W183" t="s">
        <v>34</v>
      </c>
      <c r="X183" s="2" t="s">
        <v>6</v>
      </c>
      <c r="Y183" s="6" t="e">
        <f t="shared" si="18"/>
        <v>#VALUE!</v>
      </c>
      <c r="AA183">
        <v>262897</v>
      </c>
      <c r="AB183">
        <v>18580</v>
      </c>
      <c r="AD183" t="s">
        <v>1</v>
      </c>
      <c r="AE183">
        <v>30</v>
      </c>
      <c r="AF183">
        <v>9</v>
      </c>
      <c r="AH183" t="s">
        <v>519</v>
      </c>
      <c r="AI183" t="s">
        <v>518</v>
      </c>
      <c r="AK183" t="s">
        <v>517</v>
      </c>
      <c r="AL183">
        <v>5</v>
      </c>
      <c r="AM183" s="5">
        <f t="shared" si="19"/>
        <v>0.14285714285714285</v>
      </c>
      <c r="AN183" s="4">
        <f t="shared" si="20"/>
        <v>2.1636825877643749E-4</v>
      </c>
      <c r="AO183" s="3"/>
      <c r="AP183">
        <v>0</v>
      </c>
      <c r="AR183" t="s">
        <v>0</v>
      </c>
      <c r="AT183" s="2">
        <v>0.30599999999999999</v>
      </c>
      <c r="AU183" s="1" t="e">
        <f t="shared" si="21"/>
        <v>#VALUE!</v>
      </c>
      <c r="AV183" s="1" t="e">
        <f t="shared" si="22"/>
        <v>#VALUE!</v>
      </c>
      <c r="AW183" s="1" t="e">
        <f t="shared" si="23"/>
        <v>#VALUE!</v>
      </c>
    </row>
    <row r="184" spans="1:49" x14ac:dyDescent="0.2">
      <c r="A184">
        <v>182</v>
      </c>
      <c r="B184" t="s">
        <v>516</v>
      </c>
      <c r="F184" t="s">
        <v>515</v>
      </c>
      <c r="G184" t="s">
        <v>4</v>
      </c>
      <c r="H184" t="s">
        <v>3</v>
      </c>
      <c r="I184" t="s">
        <v>514</v>
      </c>
      <c r="N184">
        <v>1</v>
      </c>
      <c r="O184" t="s">
        <v>513</v>
      </c>
      <c r="P184">
        <v>7102257953</v>
      </c>
      <c r="R184" s="7">
        <v>32021</v>
      </c>
      <c r="S184" s="8">
        <f t="shared" si="16"/>
        <v>1987</v>
      </c>
      <c r="T184" s="8">
        <v>1987</v>
      </c>
      <c r="U184" s="8">
        <f t="shared" si="17"/>
        <v>35</v>
      </c>
      <c r="V184" s="7">
        <v>32021</v>
      </c>
      <c r="W184" t="s">
        <v>512</v>
      </c>
      <c r="X184" s="2" t="s">
        <v>6</v>
      </c>
      <c r="Y184" s="6" t="e">
        <f t="shared" si="18"/>
        <v>#VALUE!</v>
      </c>
      <c r="AA184" t="s">
        <v>511</v>
      </c>
      <c r="AB184">
        <v>33832</v>
      </c>
      <c r="AD184" t="s">
        <v>1</v>
      </c>
      <c r="AE184">
        <v>21</v>
      </c>
      <c r="AF184">
        <v>8</v>
      </c>
      <c r="AH184" t="s">
        <v>510</v>
      </c>
      <c r="AI184" t="s">
        <v>509</v>
      </c>
      <c r="AK184" t="s">
        <v>508</v>
      </c>
      <c r="AL184">
        <v>0</v>
      </c>
      <c r="AM184" s="5">
        <f t="shared" si="19"/>
        <v>0</v>
      </c>
      <c r="AN184" s="4">
        <f t="shared" si="20"/>
        <v>0</v>
      </c>
      <c r="AO184" s="3"/>
      <c r="AP184">
        <v>0</v>
      </c>
      <c r="AR184" t="s">
        <v>0</v>
      </c>
      <c r="AT184" s="2" t="s">
        <v>6</v>
      </c>
      <c r="AU184" s="1" t="e">
        <f t="shared" si="21"/>
        <v>#VALUE!</v>
      </c>
      <c r="AV184" s="1" t="e">
        <f t="shared" si="22"/>
        <v>#VALUE!</v>
      </c>
      <c r="AW184" s="1" t="e">
        <f t="shared" si="23"/>
        <v>#VALUE!</v>
      </c>
    </row>
    <row r="185" spans="1:49" x14ac:dyDescent="0.2">
      <c r="A185">
        <v>183</v>
      </c>
      <c r="B185" t="s">
        <v>507</v>
      </c>
      <c r="F185" t="s">
        <v>506</v>
      </c>
      <c r="G185" t="s">
        <v>4</v>
      </c>
      <c r="H185" t="s">
        <v>3</v>
      </c>
      <c r="I185" t="s">
        <v>505</v>
      </c>
      <c r="N185">
        <v>2</v>
      </c>
      <c r="O185" t="s">
        <v>504</v>
      </c>
      <c r="P185" t="s">
        <v>503</v>
      </c>
      <c r="Q185" t="s">
        <v>19</v>
      </c>
      <c r="R185" s="7">
        <v>32021</v>
      </c>
      <c r="S185" s="8">
        <f t="shared" si="16"/>
        <v>1987</v>
      </c>
      <c r="T185" s="8">
        <v>1987</v>
      </c>
      <c r="U185" s="8">
        <f t="shared" si="17"/>
        <v>35</v>
      </c>
      <c r="V185" s="7">
        <v>32021</v>
      </c>
      <c r="W185" t="s">
        <v>481</v>
      </c>
      <c r="X185" s="2">
        <v>0.14099999999999999</v>
      </c>
      <c r="Y185" s="6">
        <f t="shared" si="18"/>
        <v>3.7639144710498915E-3</v>
      </c>
      <c r="AA185">
        <v>402508</v>
      </c>
      <c r="AB185">
        <v>20868</v>
      </c>
      <c r="AD185" t="s">
        <v>1</v>
      </c>
      <c r="AE185" t="s">
        <v>480</v>
      </c>
      <c r="AF185">
        <v>9</v>
      </c>
      <c r="AH185" t="s">
        <v>502</v>
      </c>
      <c r="AI185" t="s">
        <v>501</v>
      </c>
      <c r="AK185" t="s">
        <v>500</v>
      </c>
      <c r="AL185">
        <v>0</v>
      </c>
      <c r="AM185" s="5">
        <f t="shared" si="19"/>
        <v>0</v>
      </c>
      <c r="AN185" s="4">
        <f t="shared" si="20"/>
        <v>0</v>
      </c>
      <c r="AO185" s="3"/>
      <c r="AP185">
        <v>0</v>
      </c>
      <c r="AR185" t="s">
        <v>0</v>
      </c>
      <c r="AT185" s="2" t="s">
        <v>6</v>
      </c>
      <c r="AU185" s="1">
        <f t="shared" si="21"/>
        <v>0.26347401297349238</v>
      </c>
      <c r="AV185" s="1">
        <f t="shared" si="22"/>
        <v>0.18819572355249459</v>
      </c>
      <c r="AW185" s="1">
        <f t="shared" si="23"/>
        <v>0.11291743413149673</v>
      </c>
    </row>
    <row r="186" spans="1:49" x14ac:dyDescent="0.2">
      <c r="A186">
        <v>184</v>
      </c>
      <c r="B186" t="s">
        <v>499</v>
      </c>
      <c r="F186" t="s">
        <v>498</v>
      </c>
      <c r="G186" t="s">
        <v>4</v>
      </c>
      <c r="H186" t="s">
        <v>3</v>
      </c>
      <c r="I186" t="s">
        <v>497</v>
      </c>
      <c r="N186">
        <v>2</v>
      </c>
      <c r="O186" t="s">
        <v>496</v>
      </c>
      <c r="P186" t="s">
        <v>495</v>
      </c>
      <c r="Q186" t="s">
        <v>19</v>
      </c>
      <c r="R186" s="7">
        <v>32021</v>
      </c>
      <c r="S186" s="8">
        <f t="shared" si="16"/>
        <v>1987</v>
      </c>
      <c r="T186" s="8">
        <v>1987</v>
      </c>
      <c r="U186" s="8">
        <f t="shared" si="17"/>
        <v>35</v>
      </c>
      <c r="V186" s="7">
        <v>32021</v>
      </c>
      <c r="W186" t="s">
        <v>481</v>
      </c>
      <c r="X186" s="2">
        <v>0.14099999999999999</v>
      </c>
      <c r="Y186" s="6">
        <f t="shared" si="18"/>
        <v>3.7639144710498915E-3</v>
      </c>
      <c r="AA186">
        <v>402508</v>
      </c>
      <c r="AB186">
        <v>20868</v>
      </c>
      <c r="AD186" t="s">
        <v>1</v>
      </c>
      <c r="AE186" t="s">
        <v>480</v>
      </c>
      <c r="AF186">
        <v>9</v>
      </c>
      <c r="AH186" t="s">
        <v>65</v>
      </c>
      <c r="AI186" t="s">
        <v>494</v>
      </c>
      <c r="AK186" t="s">
        <v>493</v>
      </c>
      <c r="AL186">
        <v>0</v>
      </c>
      <c r="AM186" s="5">
        <f t="shared" si="19"/>
        <v>0</v>
      </c>
      <c r="AN186" s="4">
        <f t="shared" si="20"/>
        <v>0</v>
      </c>
      <c r="AO186" s="3"/>
      <c r="AP186">
        <v>0</v>
      </c>
      <c r="AR186" t="s">
        <v>0</v>
      </c>
      <c r="AT186" s="2" t="s">
        <v>6</v>
      </c>
      <c r="AU186" s="1">
        <f t="shared" si="21"/>
        <v>0.26347401297349238</v>
      </c>
      <c r="AV186" s="1">
        <f t="shared" si="22"/>
        <v>0.18819572355249459</v>
      </c>
      <c r="AW186" s="1">
        <f t="shared" si="23"/>
        <v>0.11291743413149673</v>
      </c>
    </row>
    <row r="187" spans="1:49" x14ac:dyDescent="0.2">
      <c r="A187">
        <v>185</v>
      </c>
      <c r="B187" t="s">
        <v>492</v>
      </c>
      <c r="F187" t="s">
        <v>491</v>
      </c>
      <c r="G187" t="s">
        <v>4</v>
      </c>
      <c r="H187" t="s">
        <v>3</v>
      </c>
      <c r="I187" t="s">
        <v>490</v>
      </c>
      <c r="N187">
        <v>1</v>
      </c>
      <c r="O187" t="s">
        <v>489</v>
      </c>
      <c r="P187">
        <v>6701457590</v>
      </c>
      <c r="R187" s="7">
        <v>32021</v>
      </c>
      <c r="S187" s="8">
        <f t="shared" si="16"/>
        <v>1987</v>
      </c>
      <c r="T187" s="8">
        <v>1987</v>
      </c>
      <c r="U187" s="8">
        <f t="shared" si="17"/>
        <v>35</v>
      </c>
      <c r="V187" s="7">
        <v>32021</v>
      </c>
      <c r="W187" t="s">
        <v>481</v>
      </c>
      <c r="X187" s="2">
        <v>0.14099999999999999</v>
      </c>
      <c r="Y187" s="6">
        <f t="shared" si="18"/>
        <v>3.7639144710498915E-3</v>
      </c>
      <c r="AA187">
        <v>402508</v>
      </c>
      <c r="AB187">
        <v>20868</v>
      </c>
      <c r="AD187" t="s">
        <v>1</v>
      </c>
      <c r="AE187" t="s">
        <v>480</v>
      </c>
      <c r="AF187">
        <v>9</v>
      </c>
      <c r="AH187" t="s">
        <v>488</v>
      </c>
      <c r="AI187" t="s">
        <v>487</v>
      </c>
      <c r="AK187" t="s">
        <v>486</v>
      </c>
      <c r="AL187">
        <v>0</v>
      </c>
      <c r="AM187" s="5">
        <f t="shared" si="19"/>
        <v>0</v>
      </c>
      <c r="AN187" s="4">
        <f t="shared" si="20"/>
        <v>0</v>
      </c>
      <c r="AO187" s="3"/>
      <c r="AP187">
        <v>0</v>
      </c>
      <c r="AR187" t="s">
        <v>0</v>
      </c>
      <c r="AT187" s="2" t="s">
        <v>6</v>
      </c>
      <c r="AU187" s="1">
        <f t="shared" si="21"/>
        <v>0.26347401297349238</v>
      </c>
      <c r="AV187" s="1">
        <f t="shared" si="22"/>
        <v>0.18819572355249459</v>
      </c>
      <c r="AW187" s="1">
        <f t="shared" si="23"/>
        <v>0.11291743413149673</v>
      </c>
    </row>
    <row r="188" spans="1:49" x14ac:dyDescent="0.2">
      <c r="A188">
        <v>186</v>
      </c>
      <c r="B188" t="s">
        <v>485</v>
      </c>
      <c r="F188" t="s">
        <v>484</v>
      </c>
      <c r="G188" t="s">
        <v>4</v>
      </c>
      <c r="H188" t="s">
        <v>3</v>
      </c>
      <c r="I188" t="s">
        <v>483</v>
      </c>
      <c r="N188">
        <v>1</v>
      </c>
      <c r="O188" t="s">
        <v>482</v>
      </c>
      <c r="P188">
        <v>57202774844</v>
      </c>
      <c r="R188" s="7">
        <v>32021</v>
      </c>
      <c r="S188" s="8">
        <f t="shared" si="16"/>
        <v>1987</v>
      </c>
      <c r="T188" s="8">
        <v>1987</v>
      </c>
      <c r="U188" s="8">
        <f t="shared" si="17"/>
        <v>35</v>
      </c>
      <c r="V188" s="7">
        <v>32021</v>
      </c>
      <c r="W188" t="s">
        <v>481</v>
      </c>
      <c r="X188" s="2">
        <v>0.14099999999999999</v>
      </c>
      <c r="Y188" s="6">
        <f t="shared" si="18"/>
        <v>3.7639144710498915E-3</v>
      </c>
      <c r="AA188">
        <v>402508</v>
      </c>
      <c r="AB188">
        <v>20868</v>
      </c>
      <c r="AD188" t="s">
        <v>1</v>
      </c>
      <c r="AE188" t="s">
        <v>480</v>
      </c>
      <c r="AF188">
        <v>9</v>
      </c>
      <c r="AH188" t="s">
        <v>479</v>
      </c>
      <c r="AI188" t="s">
        <v>478</v>
      </c>
      <c r="AK188" t="s">
        <v>477</v>
      </c>
      <c r="AL188">
        <v>0</v>
      </c>
      <c r="AM188" s="5">
        <f t="shared" si="19"/>
        <v>0</v>
      </c>
      <c r="AN188" s="4">
        <f t="shared" si="20"/>
        <v>0</v>
      </c>
      <c r="AO188" s="3"/>
      <c r="AP188">
        <v>0</v>
      </c>
      <c r="AR188" t="s">
        <v>0</v>
      </c>
      <c r="AT188" s="2" t="s">
        <v>6</v>
      </c>
      <c r="AU188" s="1">
        <f t="shared" si="21"/>
        <v>0.26347401297349238</v>
      </c>
      <c r="AV188" s="1">
        <f t="shared" si="22"/>
        <v>0.18819572355249459</v>
      </c>
      <c r="AW188" s="1">
        <f t="shared" si="23"/>
        <v>0.11291743413149673</v>
      </c>
    </row>
    <row r="189" spans="1:49" x14ac:dyDescent="0.2">
      <c r="A189">
        <v>187</v>
      </c>
      <c r="B189" t="s">
        <v>476</v>
      </c>
      <c r="C189" t="s">
        <v>475</v>
      </c>
      <c r="E189">
        <v>3612589</v>
      </c>
      <c r="F189" t="s">
        <v>474</v>
      </c>
      <c r="G189" t="s">
        <v>4</v>
      </c>
      <c r="H189" t="s">
        <v>3</v>
      </c>
      <c r="I189" t="s">
        <v>473</v>
      </c>
      <c r="J189">
        <v>60023324</v>
      </c>
      <c r="K189" t="s">
        <v>61</v>
      </c>
      <c r="L189" t="s">
        <v>60</v>
      </c>
      <c r="M189" t="s">
        <v>2</v>
      </c>
      <c r="N189">
        <v>2</v>
      </c>
      <c r="O189" t="s">
        <v>472</v>
      </c>
      <c r="P189" t="s">
        <v>471</v>
      </c>
      <c r="Q189" t="s">
        <v>470</v>
      </c>
      <c r="R189" s="7">
        <v>32021</v>
      </c>
      <c r="S189" s="8">
        <f t="shared" si="16"/>
        <v>1987</v>
      </c>
      <c r="T189" s="8">
        <v>1987</v>
      </c>
      <c r="U189" s="8">
        <f t="shared" si="17"/>
        <v>35</v>
      </c>
      <c r="V189" s="7">
        <v>32021</v>
      </c>
      <c r="W189" t="s">
        <v>10</v>
      </c>
      <c r="X189" s="2">
        <v>0.8</v>
      </c>
      <c r="Y189" s="6">
        <f t="shared" si="18"/>
        <v>2.1355543098155415E-2</v>
      </c>
      <c r="AA189">
        <v>3407594</v>
      </c>
      <c r="AB189">
        <v>23456</v>
      </c>
      <c r="AC189">
        <v>14321351</v>
      </c>
      <c r="AD189" t="s">
        <v>1</v>
      </c>
      <c r="AE189">
        <v>160</v>
      </c>
      <c r="AF189">
        <v>5</v>
      </c>
      <c r="AH189" t="s">
        <v>469</v>
      </c>
      <c r="AI189" t="s">
        <v>468</v>
      </c>
      <c r="AK189" t="s">
        <v>467</v>
      </c>
      <c r="AL189">
        <v>264</v>
      </c>
      <c r="AM189" s="5">
        <f t="shared" si="19"/>
        <v>7.5428571428571427</v>
      </c>
      <c r="AN189" s="4">
        <f t="shared" si="20"/>
        <v>1.14242440633959E-2</v>
      </c>
      <c r="AO189" s="3"/>
      <c r="AP189">
        <v>0</v>
      </c>
      <c r="AQ189" t="s">
        <v>59</v>
      </c>
      <c r="AR189" t="s">
        <v>466</v>
      </c>
      <c r="AS189" t="s">
        <v>58</v>
      </c>
      <c r="AT189" s="2" t="s">
        <v>6</v>
      </c>
      <c r="AU189" s="1">
        <f t="shared" si="21"/>
        <v>1.8376153387727558</v>
      </c>
      <c r="AV189" s="1">
        <f t="shared" si="22"/>
        <v>1.6389893580775658</v>
      </c>
      <c r="AW189" s="1">
        <f t="shared" si="23"/>
        <v>1.4403633773823754</v>
      </c>
    </row>
    <row r="190" spans="1:49" x14ac:dyDescent="0.2">
      <c r="A190">
        <v>188</v>
      </c>
      <c r="B190" t="s">
        <v>465</v>
      </c>
      <c r="C190" t="s">
        <v>464</v>
      </c>
      <c r="F190" t="s">
        <v>463</v>
      </c>
      <c r="G190" t="s">
        <v>4</v>
      </c>
      <c r="H190" t="s">
        <v>3</v>
      </c>
      <c r="I190" t="s">
        <v>462</v>
      </c>
      <c r="J190" t="s">
        <v>457</v>
      </c>
      <c r="K190" t="s">
        <v>461</v>
      </c>
      <c r="L190" t="s">
        <v>460</v>
      </c>
      <c r="M190" t="s">
        <v>77</v>
      </c>
      <c r="N190">
        <v>2</v>
      </c>
      <c r="O190" t="s">
        <v>459</v>
      </c>
      <c r="P190" t="s">
        <v>458</v>
      </c>
      <c r="Q190" t="s">
        <v>457</v>
      </c>
      <c r="R190" s="7">
        <v>32021</v>
      </c>
      <c r="S190" s="8">
        <f t="shared" si="16"/>
        <v>1987</v>
      </c>
      <c r="T190" s="8">
        <v>1987</v>
      </c>
      <c r="U190" s="8">
        <f t="shared" si="17"/>
        <v>35</v>
      </c>
      <c r="V190" s="7">
        <v>32021</v>
      </c>
      <c r="W190" t="s">
        <v>42</v>
      </c>
      <c r="X190" s="2" t="s">
        <v>6</v>
      </c>
      <c r="Y190" s="6" t="e">
        <f t="shared" si="18"/>
        <v>#VALUE!</v>
      </c>
      <c r="AA190">
        <v>39039</v>
      </c>
      <c r="AB190">
        <v>31407</v>
      </c>
      <c r="AC190">
        <v>14320487</v>
      </c>
      <c r="AD190" t="s">
        <v>1</v>
      </c>
      <c r="AE190">
        <v>70</v>
      </c>
      <c r="AF190">
        <v>5</v>
      </c>
      <c r="AH190" t="s">
        <v>456</v>
      </c>
      <c r="AI190" t="s">
        <v>455</v>
      </c>
      <c r="AK190" t="s">
        <v>454</v>
      </c>
      <c r="AL190">
        <v>5</v>
      </c>
      <c r="AM190" s="5">
        <f t="shared" si="19"/>
        <v>0.14285714285714285</v>
      </c>
      <c r="AN190" s="4">
        <f t="shared" si="20"/>
        <v>2.1636825877643749E-4</v>
      </c>
      <c r="AO190" s="3"/>
      <c r="AP190">
        <v>0</v>
      </c>
      <c r="AR190" t="s">
        <v>0</v>
      </c>
      <c r="AT190" s="2" t="s">
        <v>6</v>
      </c>
      <c r="AU190" s="1" t="e">
        <f t="shared" si="21"/>
        <v>#VALUE!</v>
      </c>
      <c r="AV190" s="1" t="e">
        <f t="shared" si="22"/>
        <v>#VALUE!</v>
      </c>
      <c r="AW190" s="1" t="e">
        <f t="shared" si="23"/>
        <v>#VALUE!</v>
      </c>
    </row>
    <row r="191" spans="1:49" x14ac:dyDescent="0.2">
      <c r="A191">
        <v>189</v>
      </c>
      <c r="B191" t="s">
        <v>453</v>
      </c>
      <c r="F191" t="s">
        <v>452</v>
      </c>
      <c r="G191" t="s">
        <v>4</v>
      </c>
      <c r="H191" t="s">
        <v>3</v>
      </c>
      <c r="I191" t="s">
        <v>451</v>
      </c>
      <c r="J191">
        <v>60000453</v>
      </c>
      <c r="K191" t="s">
        <v>450</v>
      </c>
      <c r="L191" t="s">
        <v>449</v>
      </c>
      <c r="M191" t="s">
        <v>30</v>
      </c>
      <c r="N191">
        <v>2</v>
      </c>
      <c r="O191" t="s">
        <v>448</v>
      </c>
      <c r="P191" t="s">
        <v>447</v>
      </c>
      <c r="Q191" t="s">
        <v>446</v>
      </c>
      <c r="R191" s="7">
        <v>32021</v>
      </c>
      <c r="S191" s="8">
        <f t="shared" si="16"/>
        <v>1987</v>
      </c>
      <c r="T191" s="8">
        <v>1987</v>
      </c>
      <c r="U191" s="8">
        <f t="shared" si="17"/>
        <v>35</v>
      </c>
      <c r="V191" s="7">
        <v>32021</v>
      </c>
      <c r="W191" t="s">
        <v>438</v>
      </c>
      <c r="X191" s="2" t="s">
        <v>6</v>
      </c>
      <c r="Y191" s="6" t="e">
        <f t="shared" si="18"/>
        <v>#VALUE!</v>
      </c>
      <c r="AA191" t="s">
        <v>437</v>
      </c>
      <c r="AB191">
        <v>18820</v>
      </c>
      <c r="AD191" t="s">
        <v>1</v>
      </c>
      <c r="AE191">
        <v>32</v>
      </c>
      <c r="AF191">
        <v>5</v>
      </c>
      <c r="AH191" s="9">
        <v>44476</v>
      </c>
      <c r="AI191" t="s">
        <v>445</v>
      </c>
      <c r="AK191" t="s">
        <v>444</v>
      </c>
      <c r="AL191">
        <v>0</v>
      </c>
      <c r="AM191" s="5">
        <f t="shared" si="19"/>
        <v>0</v>
      </c>
      <c r="AN191" s="4">
        <f t="shared" si="20"/>
        <v>0</v>
      </c>
      <c r="AO191" s="3"/>
      <c r="AP191">
        <v>0</v>
      </c>
      <c r="AR191" t="s">
        <v>0</v>
      </c>
      <c r="AT191" s="2" t="s">
        <v>6</v>
      </c>
      <c r="AU191" s="1" t="e">
        <f t="shared" si="21"/>
        <v>#VALUE!</v>
      </c>
      <c r="AV191" s="1" t="e">
        <f t="shared" si="22"/>
        <v>#VALUE!</v>
      </c>
      <c r="AW191" s="1" t="e">
        <f t="shared" si="23"/>
        <v>#VALUE!</v>
      </c>
    </row>
    <row r="192" spans="1:49" x14ac:dyDescent="0.2">
      <c r="A192">
        <v>190</v>
      </c>
      <c r="B192" t="s">
        <v>443</v>
      </c>
      <c r="F192" t="s">
        <v>442</v>
      </c>
      <c r="G192" t="s">
        <v>4</v>
      </c>
      <c r="H192" t="s">
        <v>3</v>
      </c>
      <c r="I192" t="s">
        <v>441</v>
      </c>
      <c r="J192">
        <v>100879832</v>
      </c>
      <c r="K192" t="s">
        <v>440</v>
      </c>
      <c r="N192">
        <v>1</v>
      </c>
      <c r="O192" t="s">
        <v>439</v>
      </c>
      <c r="P192">
        <v>7102829777</v>
      </c>
      <c r="Q192">
        <v>100879832</v>
      </c>
      <c r="R192" s="7">
        <v>32021</v>
      </c>
      <c r="S192" s="8">
        <f t="shared" si="16"/>
        <v>1987</v>
      </c>
      <c r="T192" s="8">
        <v>1987</v>
      </c>
      <c r="U192" s="8">
        <f t="shared" si="17"/>
        <v>35</v>
      </c>
      <c r="V192" s="7">
        <v>32021</v>
      </c>
      <c r="W192" t="s">
        <v>438</v>
      </c>
      <c r="X192" s="2" t="s">
        <v>6</v>
      </c>
      <c r="Y192" s="6" t="e">
        <f t="shared" si="18"/>
        <v>#VALUE!</v>
      </c>
      <c r="AA192" t="s">
        <v>437</v>
      </c>
      <c r="AB192">
        <v>18820</v>
      </c>
      <c r="AD192" t="s">
        <v>1</v>
      </c>
      <c r="AE192">
        <v>32</v>
      </c>
      <c r="AF192">
        <v>5</v>
      </c>
      <c r="AH192" s="10">
        <v>43070</v>
      </c>
      <c r="AI192" t="s">
        <v>436</v>
      </c>
      <c r="AK192" t="s">
        <v>435</v>
      </c>
      <c r="AL192">
        <v>0</v>
      </c>
      <c r="AM192" s="5">
        <f t="shared" si="19"/>
        <v>0</v>
      </c>
      <c r="AN192" s="4">
        <f t="shared" si="20"/>
        <v>0</v>
      </c>
      <c r="AO192" s="3"/>
      <c r="AP192">
        <v>0</v>
      </c>
      <c r="AR192" t="s">
        <v>0</v>
      </c>
      <c r="AT192" s="2" t="s">
        <v>6</v>
      </c>
      <c r="AU192" s="1" t="e">
        <f t="shared" si="21"/>
        <v>#VALUE!</v>
      </c>
      <c r="AV192" s="1" t="e">
        <f t="shared" si="22"/>
        <v>#VALUE!</v>
      </c>
      <c r="AW192" s="1" t="e">
        <f t="shared" si="23"/>
        <v>#VALUE!</v>
      </c>
    </row>
    <row r="193" spans="1:49" x14ac:dyDescent="0.2">
      <c r="A193">
        <v>191</v>
      </c>
      <c r="B193" t="s">
        <v>434</v>
      </c>
      <c r="C193" t="s">
        <v>433</v>
      </c>
      <c r="F193" t="s">
        <v>432</v>
      </c>
      <c r="G193" t="s">
        <v>4</v>
      </c>
      <c r="H193" t="s">
        <v>3</v>
      </c>
      <c r="I193" t="s">
        <v>431</v>
      </c>
      <c r="J193" t="s">
        <v>430</v>
      </c>
      <c r="K193" t="s">
        <v>429</v>
      </c>
      <c r="L193" t="s">
        <v>428</v>
      </c>
      <c r="M193" t="s">
        <v>115</v>
      </c>
      <c r="N193">
        <v>2</v>
      </c>
      <c r="O193" t="s">
        <v>427</v>
      </c>
      <c r="P193" t="s">
        <v>426</v>
      </c>
      <c r="Q193" t="s">
        <v>425</v>
      </c>
      <c r="R193" s="7">
        <v>32021</v>
      </c>
      <c r="S193" s="8">
        <f t="shared" si="16"/>
        <v>1987</v>
      </c>
      <c r="T193" s="8">
        <v>1987</v>
      </c>
      <c r="U193" s="8">
        <f t="shared" si="17"/>
        <v>35</v>
      </c>
      <c r="V193" s="7">
        <v>32021</v>
      </c>
      <c r="W193" t="s">
        <v>10</v>
      </c>
      <c r="X193" s="2">
        <v>0.8</v>
      </c>
      <c r="Y193" s="6">
        <f t="shared" si="18"/>
        <v>2.1355543098155415E-2</v>
      </c>
      <c r="AA193">
        <v>3407594</v>
      </c>
      <c r="AB193">
        <v>23456</v>
      </c>
      <c r="AC193">
        <v>14321351</v>
      </c>
      <c r="AD193" t="s">
        <v>1</v>
      </c>
      <c r="AE193">
        <v>161</v>
      </c>
      <c r="AF193">
        <v>5</v>
      </c>
      <c r="AH193" t="s">
        <v>424</v>
      </c>
      <c r="AI193" t="s">
        <v>423</v>
      </c>
      <c r="AK193" t="s">
        <v>422</v>
      </c>
      <c r="AL193">
        <v>18</v>
      </c>
      <c r="AM193" s="5">
        <f t="shared" si="19"/>
        <v>0.51428571428571423</v>
      </c>
      <c r="AN193" s="4">
        <f t="shared" si="20"/>
        <v>7.7892573159517493E-4</v>
      </c>
      <c r="AO193" s="3"/>
      <c r="AP193">
        <v>0</v>
      </c>
      <c r="AR193" t="s">
        <v>0</v>
      </c>
      <c r="AT193" s="2" t="s">
        <v>6</v>
      </c>
      <c r="AU193" s="1">
        <f t="shared" si="21"/>
        <v>1.5182557888187342</v>
      </c>
      <c r="AV193" s="1">
        <f t="shared" si="22"/>
        <v>1.1067234414875295</v>
      </c>
      <c r="AW193" s="1">
        <f t="shared" si="23"/>
        <v>0.69519109415632474</v>
      </c>
    </row>
    <row r="194" spans="1:49" x14ac:dyDescent="0.2">
      <c r="A194">
        <v>192</v>
      </c>
      <c r="B194" t="s">
        <v>421</v>
      </c>
      <c r="F194" t="s">
        <v>420</v>
      </c>
      <c r="G194" t="s">
        <v>4</v>
      </c>
      <c r="H194" t="s">
        <v>3</v>
      </c>
      <c r="I194" t="s">
        <v>419</v>
      </c>
      <c r="J194">
        <v>60016247</v>
      </c>
      <c r="K194" t="s">
        <v>418</v>
      </c>
      <c r="L194" t="s">
        <v>35</v>
      </c>
      <c r="M194" t="s">
        <v>2</v>
      </c>
      <c r="N194">
        <v>3</v>
      </c>
      <c r="O194" t="s">
        <v>417</v>
      </c>
      <c r="P194" t="s">
        <v>416</v>
      </c>
      <c r="Q194" t="s">
        <v>415</v>
      </c>
      <c r="R194" s="7">
        <v>32021</v>
      </c>
      <c r="S194" s="8">
        <f t="shared" ref="S194:S220" si="24">YEAR(R194)</f>
        <v>1987</v>
      </c>
      <c r="T194" s="8">
        <v>1987</v>
      </c>
      <c r="U194" s="8">
        <f t="shared" ref="U194:U220" si="25">2022-T194</f>
        <v>35</v>
      </c>
      <c r="V194" s="7">
        <v>32021</v>
      </c>
      <c r="W194" t="s">
        <v>12</v>
      </c>
      <c r="X194" s="2">
        <v>1.9750000000000001</v>
      </c>
      <c r="Y194" s="6">
        <f t="shared" ref="Y194:Y220" si="26">(X194-$Z$4)/($Z$3-$Z$4)</f>
        <v>5.2721497023571186E-2</v>
      </c>
      <c r="AA194">
        <v>320781</v>
      </c>
      <c r="AB194">
        <v>19019</v>
      </c>
      <c r="AD194" t="s">
        <v>1</v>
      </c>
      <c r="AE194">
        <v>28</v>
      </c>
      <c r="AF194">
        <v>6</v>
      </c>
      <c r="AH194" t="s">
        <v>414</v>
      </c>
      <c r="AI194" t="s">
        <v>413</v>
      </c>
      <c r="AJ194" t="s">
        <v>412</v>
      </c>
      <c r="AK194" t="s">
        <v>411</v>
      </c>
      <c r="AL194">
        <v>13</v>
      </c>
      <c r="AM194" s="5">
        <f t="shared" ref="AM194:AM220" si="27">AL194/U194</f>
        <v>0.37142857142857144</v>
      </c>
      <c r="AN194" s="4">
        <f t="shared" ref="AN194:AN220" si="28">(AM194-$AO$4)/($AO$3-$AO$4)</f>
        <v>5.6255747281873749E-4</v>
      </c>
      <c r="AO194" s="3"/>
      <c r="AP194">
        <v>0</v>
      </c>
      <c r="AR194" t="s">
        <v>0</v>
      </c>
      <c r="AT194" s="2">
        <v>4.9269999999999996</v>
      </c>
      <c r="AU194" s="1">
        <f t="shared" ref="AU194:AU220" si="29">(Y194*0.7+AN194*0.3)*100</f>
        <v>3.7073815158345451</v>
      </c>
      <c r="AV194" s="1">
        <f t="shared" ref="AV194:AV220" si="30">(Y194*0.5+AN194*0.5)*100</f>
        <v>2.6642027248194964</v>
      </c>
      <c r="AW194" s="1">
        <f t="shared" ref="AW194:AW220" si="31">(Y194*0.3+AN194*0.7)*100</f>
        <v>1.6210239338044472</v>
      </c>
    </row>
    <row r="195" spans="1:49" x14ac:dyDescent="0.2">
      <c r="A195">
        <v>193</v>
      </c>
      <c r="B195" t="s">
        <v>410</v>
      </c>
      <c r="F195" t="s">
        <v>409</v>
      </c>
      <c r="G195" t="s">
        <v>4</v>
      </c>
      <c r="H195" t="s">
        <v>3</v>
      </c>
      <c r="I195" t="s">
        <v>408</v>
      </c>
      <c r="J195">
        <v>60008134</v>
      </c>
      <c r="K195" t="s">
        <v>16</v>
      </c>
      <c r="L195" t="s">
        <v>15</v>
      </c>
      <c r="M195" t="s">
        <v>14</v>
      </c>
      <c r="N195">
        <v>3</v>
      </c>
      <c r="O195" t="s">
        <v>407</v>
      </c>
      <c r="P195" t="s">
        <v>406</v>
      </c>
      <c r="Q195" t="s">
        <v>405</v>
      </c>
      <c r="R195" s="7">
        <v>32021</v>
      </c>
      <c r="S195" s="8">
        <f t="shared" si="24"/>
        <v>1987</v>
      </c>
      <c r="T195" s="8">
        <v>1987</v>
      </c>
      <c r="U195" s="8">
        <f t="shared" si="25"/>
        <v>35</v>
      </c>
      <c r="V195" s="7">
        <v>32021</v>
      </c>
      <c r="W195" t="s">
        <v>12</v>
      </c>
      <c r="X195" s="2">
        <v>1.9750000000000001</v>
      </c>
      <c r="Y195" s="6">
        <f t="shared" si="26"/>
        <v>5.2721497023571186E-2</v>
      </c>
      <c r="AA195">
        <v>320781</v>
      </c>
      <c r="AB195">
        <v>19019</v>
      </c>
      <c r="AD195" t="s">
        <v>1</v>
      </c>
      <c r="AE195">
        <v>28</v>
      </c>
      <c r="AF195">
        <v>6</v>
      </c>
      <c r="AH195" t="s">
        <v>404</v>
      </c>
      <c r="AI195" t="s">
        <v>403</v>
      </c>
      <c r="AJ195" t="s">
        <v>402</v>
      </c>
      <c r="AK195" t="s">
        <v>401</v>
      </c>
      <c r="AL195">
        <v>9</v>
      </c>
      <c r="AM195" s="5">
        <f t="shared" si="27"/>
        <v>0.25714285714285712</v>
      </c>
      <c r="AN195" s="4">
        <f t="shared" si="28"/>
        <v>3.8946286579758747E-4</v>
      </c>
      <c r="AO195" s="3"/>
      <c r="AP195">
        <v>0</v>
      </c>
      <c r="AR195" t="s">
        <v>0</v>
      </c>
      <c r="AT195" s="2">
        <v>4.9269999999999996</v>
      </c>
      <c r="AU195" s="1">
        <f t="shared" si="29"/>
        <v>3.7021886776239104</v>
      </c>
      <c r="AV195" s="1">
        <f t="shared" si="30"/>
        <v>2.6555479944684386</v>
      </c>
      <c r="AW195" s="1">
        <f t="shared" si="31"/>
        <v>1.6089073113129668</v>
      </c>
    </row>
    <row r="196" spans="1:49" x14ac:dyDescent="0.2">
      <c r="A196">
        <v>194</v>
      </c>
      <c r="B196" t="s">
        <v>400</v>
      </c>
      <c r="C196" t="s">
        <v>399</v>
      </c>
      <c r="F196" t="s">
        <v>398</v>
      </c>
      <c r="G196" t="s">
        <v>4</v>
      </c>
      <c r="H196" t="s">
        <v>3</v>
      </c>
      <c r="I196" t="s">
        <v>397</v>
      </c>
      <c r="J196" t="s">
        <v>396</v>
      </c>
      <c r="K196" t="s">
        <v>395</v>
      </c>
      <c r="L196" t="s">
        <v>394</v>
      </c>
      <c r="M196" t="s">
        <v>393</v>
      </c>
      <c r="N196">
        <v>4</v>
      </c>
      <c r="O196" t="s">
        <v>392</v>
      </c>
      <c r="P196" t="s">
        <v>391</v>
      </c>
      <c r="Q196" t="s">
        <v>390</v>
      </c>
      <c r="R196" s="7">
        <v>32021</v>
      </c>
      <c r="S196" s="8">
        <f t="shared" si="24"/>
        <v>1987</v>
      </c>
      <c r="T196" s="8">
        <v>1987</v>
      </c>
      <c r="U196" s="8">
        <f t="shared" si="25"/>
        <v>35</v>
      </c>
      <c r="V196" s="7">
        <v>32021</v>
      </c>
      <c r="W196" t="s">
        <v>10</v>
      </c>
      <c r="X196" s="2">
        <v>0.8</v>
      </c>
      <c r="Y196" s="6">
        <f t="shared" si="26"/>
        <v>2.1355543098155415E-2</v>
      </c>
      <c r="AA196">
        <v>3407594</v>
      </c>
      <c r="AB196">
        <v>23456</v>
      </c>
      <c r="AC196">
        <v>14321351</v>
      </c>
      <c r="AD196" t="s">
        <v>1</v>
      </c>
      <c r="AE196">
        <v>161</v>
      </c>
      <c r="AF196">
        <v>5</v>
      </c>
      <c r="AH196" t="s">
        <v>389</v>
      </c>
      <c r="AI196" t="s">
        <v>388</v>
      </c>
      <c r="AK196" t="s">
        <v>387</v>
      </c>
      <c r="AL196">
        <v>83</v>
      </c>
      <c r="AM196" s="5">
        <f t="shared" si="27"/>
        <v>2.3714285714285714</v>
      </c>
      <c r="AN196" s="4">
        <f t="shared" si="28"/>
        <v>3.5917130956888625E-3</v>
      </c>
      <c r="AO196" s="3"/>
      <c r="AP196">
        <v>0</v>
      </c>
      <c r="AR196" t="s">
        <v>0</v>
      </c>
      <c r="AT196" s="2" t="s">
        <v>6</v>
      </c>
      <c r="AU196" s="1">
        <f t="shared" si="29"/>
        <v>1.6026394097415446</v>
      </c>
      <c r="AV196" s="1">
        <f t="shared" si="30"/>
        <v>1.247362809692214</v>
      </c>
      <c r="AW196" s="1">
        <f t="shared" si="31"/>
        <v>0.89208620964288288</v>
      </c>
    </row>
    <row r="197" spans="1:49" x14ac:dyDescent="0.2">
      <c r="A197">
        <v>195</v>
      </c>
      <c r="B197" t="s">
        <v>386</v>
      </c>
      <c r="C197" t="s">
        <v>385</v>
      </c>
      <c r="D197">
        <v>5272887901526</v>
      </c>
      <c r="F197" t="s">
        <v>384</v>
      </c>
      <c r="G197" t="s">
        <v>4</v>
      </c>
      <c r="H197" t="s">
        <v>3</v>
      </c>
      <c r="I197" t="s">
        <v>383</v>
      </c>
      <c r="J197">
        <v>60008134</v>
      </c>
      <c r="K197" t="s">
        <v>16</v>
      </c>
      <c r="L197" t="s">
        <v>15</v>
      </c>
      <c r="M197" t="s">
        <v>14</v>
      </c>
      <c r="N197">
        <v>4</v>
      </c>
      <c r="O197" t="s">
        <v>382</v>
      </c>
      <c r="P197" t="s">
        <v>381</v>
      </c>
      <c r="Q197" t="s">
        <v>380</v>
      </c>
      <c r="R197" s="7">
        <v>32001</v>
      </c>
      <c r="S197" s="8">
        <f t="shared" si="24"/>
        <v>1987</v>
      </c>
      <c r="T197" s="8">
        <v>1987</v>
      </c>
      <c r="U197" s="8">
        <f t="shared" si="25"/>
        <v>35</v>
      </c>
      <c r="V197" s="7">
        <v>32001</v>
      </c>
      <c r="W197" t="s">
        <v>151</v>
      </c>
      <c r="X197" s="2">
        <v>1.59</v>
      </c>
      <c r="Y197" s="6">
        <f t="shared" si="26"/>
        <v>4.2444141907583888E-2</v>
      </c>
      <c r="AA197">
        <v>52728</v>
      </c>
      <c r="AB197">
        <v>16791</v>
      </c>
      <c r="AD197" t="s">
        <v>1</v>
      </c>
      <c r="AE197">
        <v>893</v>
      </c>
      <c r="AF197">
        <v>1</v>
      </c>
      <c r="AH197" t="s">
        <v>379</v>
      </c>
      <c r="AI197" t="s">
        <v>378</v>
      </c>
      <c r="AJ197" t="s">
        <v>377</v>
      </c>
      <c r="AK197" t="s">
        <v>376</v>
      </c>
      <c r="AL197">
        <v>30</v>
      </c>
      <c r="AM197" s="5">
        <f t="shared" si="27"/>
        <v>0.8571428571428571</v>
      </c>
      <c r="AN197" s="4">
        <f t="shared" si="28"/>
        <v>1.2982095526586248E-3</v>
      </c>
      <c r="AO197" s="3"/>
      <c r="AP197">
        <v>0</v>
      </c>
      <c r="AR197" t="s">
        <v>0</v>
      </c>
      <c r="AT197" s="2" t="s">
        <v>6</v>
      </c>
      <c r="AU197" s="1">
        <f t="shared" si="29"/>
        <v>3.0100362201106305</v>
      </c>
      <c r="AV197" s="1">
        <f t="shared" si="30"/>
        <v>2.1871175730121255</v>
      </c>
      <c r="AW197" s="1">
        <f t="shared" si="31"/>
        <v>1.3641989259136202</v>
      </c>
    </row>
    <row r="198" spans="1:49" x14ac:dyDescent="0.2">
      <c r="A198">
        <v>196</v>
      </c>
      <c r="B198" t="s">
        <v>375</v>
      </c>
      <c r="C198" t="s">
        <v>374</v>
      </c>
      <c r="F198" t="s">
        <v>373</v>
      </c>
      <c r="G198" t="s">
        <v>4</v>
      </c>
      <c r="H198" t="s">
        <v>3</v>
      </c>
      <c r="I198" t="s">
        <v>185</v>
      </c>
      <c r="J198">
        <v>60004156</v>
      </c>
      <c r="K198" t="s">
        <v>184</v>
      </c>
      <c r="L198" t="s">
        <v>183</v>
      </c>
      <c r="M198" t="s">
        <v>13</v>
      </c>
      <c r="N198">
        <v>2</v>
      </c>
      <c r="O198" t="s">
        <v>182</v>
      </c>
      <c r="P198" t="s">
        <v>181</v>
      </c>
      <c r="Q198" t="s">
        <v>180</v>
      </c>
      <c r="R198" s="7">
        <v>31990</v>
      </c>
      <c r="S198" s="8">
        <f t="shared" si="24"/>
        <v>1987</v>
      </c>
      <c r="T198" s="8">
        <v>1987</v>
      </c>
      <c r="U198" s="8">
        <f t="shared" si="25"/>
        <v>35</v>
      </c>
      <c r="V198" s="7">
        <v>31990</v>
      </c>
      <c r="W198" t="s">
        <v>139</v>
      </c>
      <c r="X198" s="2">
        <v>0.30099999999999999</v>
      </c>
      <c r="Y198" s="6">
        <f t="shared" si="26"/>
        <v>8.0350230906809754E-3</v>
      </c>
      <c r="AA198">
        <v>9395075</v>
      </c>
      <c r="AB198">
        <v>14954</v>
      </c>
      <c r="AC198">
        <v>18657125</v>
      </c>
      <c r="AD198" t="s">
        <v>1</v>
      </c>
      <c r="AE198">
        <v>42</v>
      </c>
      <c r="AF198" s="9">
        <v>44415</v>
      </c>
      <c r="AH198" t="s">
        <v>179</v>
      </c>
      <c r="AI198" t="s">
        <v>372</v>
      </c>
      <c r="AJ198" t="s">
        <v>371</v>
      </c>
      <c r="AK198" t="s">
        <v>370</v>
      </c>
      <c r="AL198">
        <v>1</v>
      </c>
      <c r="AM198" s="5">
        <f t="shared" si="27"/>
        <v>2.8571428571428571E-2</v>
      </c>
      <c r="AN198" s="4">
        <f t="shared" si="28"/>
        <v>4.32736517552875E-5</v>
      </c>
      <c r="AO198" s="3"/>
      <c r="AP198">
        <v>1</v>
      </c>
      <c r="AR198" t="s">
        <v>0</v>
      </c>
      <c r="AT198" s="2" t="s">
        <v>6</v>
      </c>
      <c r="AU198" s="1">
        <f t="shared" si="29"/>
        <v>0.56374982590032685</v>
      </c>
      <c r="AV198" s="1">
        <f t="shared" si="30"/>
        <v>0.40391483712181309</v>
      </c>
      <c r="AW198" s="1">
        <f t="shared" si="31"/>
        <v>0.24407984834329938</v>
      </c>
    </row>
    <row r="199" spans="1:49" x14ac:dyDescent="0.2">
      <c r="A199">
        <v>197</v>
      </c>
      <c r="B199" t="s">
        <v>369</v>
      </c>
      <c r="C199" t="s">
        <v>368</v>
      </c>
      <c r="F199" t="s">
        <v>367</v>
      </c>
      <c r="G199" t="s">
        <v>4</v>
      </c>
      <c r="H199" t="s">
        <v>3</v>
      </c>
      <c r="I199" t="s">
        <v>366</v>
      </c>
      <c r="N199">
        <v>1</v>
      </c>
      <c r="O199" t="s">
        <v>365</v>
      </c>
      <c r="P199">
        <v>57220358034</v>
      </c>
      <c r="R199" s="7">
        <v>31990</v>
      </c>
      <c r="S199" s="8">
        <f t="shared" si="24"/>
        <v>1987</v>
      </c>
      <c r="T199" s="8">
        <v>1987</v>
      </c>
      <c r="U199" s="8">
        <f t="shared" si="25"/>
        <v>35</v>
      </c>
      <c r="V199" s="7">
        <v>31990</v>
      </c>
      <c r="W199" t="s">
        <v>148</v>
      </c>
      <c r="X199" s="2">
        <v>0.318</v>
      </c>
      <c r="Y199" s="6">
        <f t="shared" si="26"/>
        <v>8.4888283815167786E-3</v>
      </c>
      <c r="AA199">
        <v>338443</v>
      </c>
      <c r="AB199">
        <v>27160</v>
      </c>
      <c r="AC199">
        <v>15739120</v>
      </c>
      <c r="AD199" t="s">
        <v>1</v>
      </c>
      <c r="AE199">
        <v>30</v>
      </c>
      <c r="AF199">
        <v>8</v>
      </c>
      <c r="AH199" t="s">
        <v>364</v>
      </c>
      <c r="AL199">
        <v>0</v>
      </c>
      <c r="AM199" s="5">
        <f t="shared" si="27"/>
        <v>0</v>
      </c>
      <c r="AN199" s="4">
        <f t="shared" si="28"/>
        <v>0</v>
      </c>
      <c r="AO199" s="3"/>
      <c r="AP199">
        <v>0</v>
      </c>
      <c r="AR199" t="s">
        <v>0</v>
      </c>
      <c r="AT199" s="2">
        <v>0.77</v>
      </c>
      <c r="AU199" s="1">
        <f t="shared" si="29"/>
        <v>0.59421798670617454</v>
      </c>
      <c r="AV199" s="1">
        <f t="shared" si="30"/>
        <v>0.42444141907583893</v>
      </c>
      <c r="AW199" s="1">
        <f t="shared" si="31"/>
        <v>0.25466485144550338</v>
      </c>
    </row>
    <row r="200" spans="1:49" x14ac:dyDescent="0.2">
      <c r="A200">
        <v>198</v>
      </c>
      <c r="B200" t="s">
        <v>363</v>
      </c>
      <c r="C200" t="s">
        <v>362</v>
      </c>
      <c r="F200" t="s">
        <v>361</v>
      </c>
      <c r="G200" t="s">
        <v>4</v>
      </c>
      <c r="H200" t="s">
        <v>3</v>
      </c>
      <c r="I200" t="s">
        <v>360</v>
      </c>
      <c r="N200">
        <v>4</v>
      </c>
      <c r="O200" t="s">
        <v>359</v>
      </c>
      <c r="P200" t="s">
        <v>358</v>
      </c>
      <c r="Q200" t="s">
        <v>33</v>
      </c>
      <c r="R200" s="7">
        <v>31990</v>
      </c>
      <c r="S200" s="8">
        <f t="shared" si="24"/>
        <v>1987</v>
      </c>
      <c r="T200" s="8">
        <v>1987</v>
      </c>
      <c r="U200" s="8">
        <f t="shared" si="25"/>
        <v>35</v>
      </c>
      <c r="V200" s="7">
        <v>31990</v>
      </c>
      <c r="W200" t="s">
        <v>148</v>
      </c>
      <c r="X200" s="2">
        <v>0.318</v>
      </c>
      <c r="Y200" s="6">
        <f t="shared" si="26"/>
        <v>8.4888283815167786E-3</v>
      </c>
      <c r="AA200">
        <v>338443</v>
      </c>
      <c r="AB200">
        <v>27160</v>
      </c>
      <c r="AC200">
        <v>15739120</v>
      </c>
      <c r="AD200" t="s">
        <v>1</v>
      </c>
      <c r="AE200">
        <v>30</v>
      </c>
      <c r="AF200">
        <v>8</v>
      </c>
      <c r="AH200" t="s">
        <v>357</v>
      </c>
      <c r="AL200">
        <v>0</v>
      </c>
      <c r="AM200" s="5">
        <f t="shared" si="27"/>
        <v>0</v>
      </c>
      <c r="AN200" s="4">
        <f t="shared" si="28"/>
        <v>0</v>
      </c>
      <c r="AO200" s="3"/>
      <c r="AP200">
        <v>0</v>
      </c>
      <c r="AR200" t="s">
        <v>0</v>
      </c>
      <c r="AT200" s="2">
        <v>0.77</v>
      </c>
      <c r="AU200" s="1">
        <f t="shared" si="29"/>
        <v>0.59421798670617454</v>
      </c>
      <c r="AV200" s="1">
        <f t="shared" si="30"/>
        <v>0.42444141907583893</v>
      </c>
      <c r="AW200" s="1">
        <f t="shared" si="31"/>
        <v>0.25466485144550338</v>
      </c>
    </row>
    <row r="201" spans="1:49" x14ac:dyDescent="0.2">
      <c r="A201">
        <v>199</v>
      </c>
      <c r="B201" t="s">
        <v>356</v>
      </c>
      <c r="C201" t="s">
        <v>355</v>
      </c>
      <c r="F201" t="s">
        <v>354</v>
      </c>
      <c r="G201" t="s">
        <v>4</v>
      </c>
      <c r="H201" t="s">
        <v>3</v>
      </c>
      <c r="I201" t="s">
        <v>353</v>
      </c>
      <c r="J201">
        <v>60000689</v>
      </c>
      <c r="K201" t="s">
        <v>352</v>
      </c>
      <c r="L201" t="s">
        <v>351</v>
      </c>
      <c r="M201" t="s">
        <v>2</v>
      </c>
      <c r="N201">
        <v>2</v>
      </c>
      <c r="O201" t="s">
        <v>350</v>
      </c>
      <c r="P201" t="s">
        <v>349</v>
      </c>
      <c r="Q201" t="s">
        <v>348</v>
      </c>
      <c r="R201" s="7">
        <v>31990</v>
      </c>
      <c r="S201" s="8">
        <f t="shared" si="24"/>
        <v>1987</v>
      </c>
      <c r="T201" s="8">
        <v>1987</v>
      </c>
      <c r="U201" s="8">
        <f t="shared" si="25"/>
        <v>35</v>
      </c>
      <c r="V201" s="7">
        <v>31990</v>
      </c>
      <c r="W201" t="s">
        <v>5</v>
      </c>
      <c r="X201" s="2">
        <v>0.85499999999999998</v>
      </c>
      <c r="Y201" s="6">
        <f t="shared" si="26"/>
        <v>2.28237366861536E-2</v>
      </c>
      <c r="AA201">
        <v>980331</v>
      </c>
      <c r="AB201">
        <v>23342</v>
      </c>
      <c r="AC201">
        <v>15731561</v>
      </c>
      <c r="AD201" t="s">
        <v>1</v>
      </c>
      <c r="AE201">
        <v>13</v>
      </c>
      <c r="AF201">
        <v>8</v>
      </c>
      <c r="AH201" t="s">
        <v>347</v>
      </c>
      <c r="AI201" t="s">
        <v>346</v>
      </c>
      <c r="AJ201" t="s">
        <v>345</v>
      </c>
      <c r="AK201" t="s">
        <v>344</v>
      </c>
      <c r="AL201">
        <v>19</v>
      </c>
      <c r="AM201" s="5">
        <f t="shared" si="27"/>
        <v>0.54285714285714282</v>
      </c>
      <c r="AN201" s="4">
        <f t="shared" si="28"/>
        <v>8.221993833504624E-4</v>
      </c>
      <c r="AO201" s="3"/>
      <c r="AP201">
        <v>0</v>
      </c>
      <c r="AR201" t="s">
        <v>0</v>
      </c>
      <c r="AT201" s="2">
        <v>2.6259999999999999</v>
      </c>
      <c r="AU201" s="1">
        <f t="shared" si="29"/>
        <v>1.6223275495312657</v>
      </c>
      <c r="AV201" s="1">
        <f t="shared" si="30"/>
        <v>1.1822968034752031</v>
      </c>
      <c r="AW201" s="1">
        <f t="shared" si="31"/>
        <v>0.74226605741914042</v>
      </c>
    </row>
    <row r="202" spans="1:49" x14ac:dyDescent="0.2">
      <c r="A202">
        <v>200</v>
      </c>
      <c r="B202" t="s">
        <v>343</v>
      </c>
      <c r="F202" t="s">
        <v>342</v>
      </c>
      <c r="G202" t="s">
        <v>4</v>
      </c>
      <c r="H202" t="s">
        <v>3</v>
      </c>
      <c r="I202" t="s">
        <v>341</v>
      </c>
      <c r="J202">
        <v>109343466</v>
      </c>
      <c r="K202" t="s">
        <v>340</v>
      </c>
      <c r="N202">
        <v>1</v>
      </c>
      <c r="O202" t="s">
        <v>339</v>
      </c>
      <c r="P202">
        <v>7006982217</v>
      </c>
      <c r="Q202">
        <v>109343466</v>
      </c>
      <c r="R202" s="7">
        <v>31990</v>
      </c>
      <c r="S202" s="8">
        <f t="shared" si="24"/>
        <v>1987</v>
      </c>
      <c r="T202" s="8">
        <v>1987</v>
      </c>
      <c r="U202" s="8">
        <f t="shared" si="25"/>
        <v>35</v>
      </c>
      <c r="V202" s="7">
        <v>31990</v>
      </c>
      <c r="W202" t="s">
        <v>254</v>
      </c>
      <c r="X202" s="2" t="s">
        <v>6</v>
      </c>
      <c r="Y202" s="6" t="e">
        <f t="shared" si="26"/>
        <v>#VALUE!</v>
      </c>
      <c r="AA202">
        <v>2732238</v>
      </c>
      <c r="AB202">
        <v>33559</v>
      </c>
      <c r="AD202" t="s">
        <v>1</v>
      </c>
      <c r="AE202">
        <v>134</v>
      </c>
      <c r="AF202">
        <v>8</v>
      </c>
      <c r="AH202" t="s">
        <v>338</v>
      </c>
      <c r="AI202" t="s">
        <v>337</v>
      </c>
      <c r="AK202" t="s">
        <v>336</v>
      </c>
      <c r="AL202">
        <v>0</v>
      </c>
      <c r="AM202" s="5">
        <f t="shared" si="27"/>
        <v>0</v>
      </c>
      <c r="AN202" s="4">
        <f t="shared" si="28"/>
        <v>0</v>
      </c>
      <c r="AO202" s="3"/>
      <c r="AP202">
        <v>0</v>
      </c>
      <c r="AR202" t="s">
        <v>0</v>
      </c>
      <c r="AT202" s="2" t="s">
        <v>6</v>
      </c>
      <c r="AU202" s="1" t="e">
        <f t="shared" si="29"/>
        <v>#VALUE!</v>
      </c>
      <c r="AV202" s="1" t="e">
        <f t="shared" si="30"/>
        <v>#VALUE!</v>
      </c>
      <c r="AW202" s="1" t="e">
        <f t="shared" si="31"/>
        <v>#VALUE!</v>
      </c>
    </row>
    <row r="203" spans="1:49" x14ac:dyDescent="0.2">
      <c r="A203">
        <v>201</v>
      </c>
      <c r="B203" t="s">
        <v>335</v>
      </c>
      <c r="F203" t="s">
        <v>334</v>
      </c>
      <c r="G203" t="s">
        <v>4</v>
      </c>
      <c r="H203" t="s">
        <v>3</v>
      </c>
      <c r="I203" t="s">
        <v>333</v>
      </c>
      <c r="N203">
        <v>2</v>
      </c>
      <c r="O203" t="s">
        <v>332</v>
      </c>
      <c r="P203" t="s">
        <v>331</v>
      </c>
      <c r="Q203" t="s">
        <v>19</v>
      </c>
      <c r="R203" s="7">
        <v>31990</v>
      </c>
      <c r="S203" s="8">
        <f t="shared" si="24"/>
        <v>1987</v>
      </c>
      <c r="T203" s="8">
        <v>1987</v>
      </c>
      <c r="U203" s="8">
        <f t="shared" si="25"/>
        <v>35</v>
      </c>
      <c r="V203" s="7">
        <v>31990</v>
      </c>
      <c r="W203" t="s">
        <v>48</v>
      </c>
      <c r="X203" s="2" t="s">
        <v>6</v>
      </c>
      <c r="Y203" s="6" t="e">
        <f t="shared" si="26"/>
        <v>#VALUE!</v>
      </c>
      <c r="AA203">
        <v>87566648</v>
      </c>
      <c r="AB203">
        <v>74127</v>
      </c>
      <c r="AD203" t="s">
        <v>1</v>
      </c>
      <c r="AE203">
        <v>32</v>
      </c>
      <c r="AF203">
        <v>8</v>
      </c>
      <c r="AH203" t="s">
        <v>330</v>
      </c>
      <c r="AI203" t="s">
        <v>329</v>
      </c>
      <c r="AK203" t="s">
        <v>328</v>
      </c>
      <c r="AL203">
        <v>0</v>
      </c>
      <c r="AM203" s="5">
        <f t="shared" si="27"/>
        <v>0</v>
      </c>
      <c r="AN203" s="4">
        <f t="shared" si="28"/>
        <v>0</v>
      </c>
      <c r="AO203" s="3"/>
      <c r="AP203">
        <v>0</v>
      </c>
      <c r="AR203" t="s">
        <v>0</v>
      </c>
      <c r="AT203" s="2" t="s">
        <v>6</v>
      </c>
      <c r="AU203" s="1" t="e">
        <f t="shared" si="29"/>
        <v>#VALUE!</v>
      </c>
      <c r="AV203" s="1" t="e">
        <f t="shared" si="30"/>
        <v>#VALUE!</v>
      </c>
      <c r="AW203" s="1" t="e">
        <f t="shared" si="31"/>
        <v>#VALUE!</v>
      </c>
    </row>
    <row r="204" spans="1:49" x14ac:dyDescent="0.2">
      <c r="A204">
        <v>202</v>
      </c>
      <c r="B204" t="s">
        <v>327</v>
      </c>
      <c r="F204" t="s">
        <v>326</v>
      </c>
      <c r="G204" t="s">
        <v>4</v>
      </c>
      <c r="H204" t="s">
        <v>3</v>
      </c>
      <c r="I204" t="s">
        <v>325</v>
      </c>
      <c r="N204">
        <v>3</v>
      </c>
      <c r="O204" t="s">
        <v>324</v>
      </c>
      <c r="P204" t="s">
        <v>323</v>
      </c>
      <c r="Q204" t="s">
        <v>11</v>
      </c>
      <c r="R204" s="7">
        <v>31990</v>
      </c>
      <c r="S204" s="8">
        <f t="shared" si="24"/>
        <v>1987</v>
      </c>
      <c r="T204" s="8">
        <v>1987</v>
      </c>
      <c r="U204" s="8">
        <f t="shared" si="25"/>
        <v>35</v>
      </c>
      <c r="V204" s="7">
        <v>31990</v>
      </c>
      <c r="W204" t="s">
        <v>48</v>
      </c>
      <c r="X204" s="2" t="s">
        <v>6</v>
      </c>
      <c r="Y204" s="6" t="e">
        <f t="shared" si="26"/>
        <v>#VALUE!</v>
      </c>
      <c r="AA204">
        <v>87566648</v>
      </c>
      <c r="AB204">
        <v>74127</v>
      </c>
      <c r="AD204" t="s">
        <v>1</v>
      </c>
      <c r="AE204">
        <v>32</v>
      </c>
      <c r="AF204">
        <v>8</v>
      </c>
      <c r="AH204" t="s">
        <v>322</v>
      </c>
      <c r="AI204" t="s">
        <v>321</v>
      </c>
      <c r="AK204" t="s">
        <v>320</v>
      </c>
      <c r="AL204">
        <v>0</v>
      </c>
      <c r="AM204" s="5">
        <f t="shared" si="27"/>
        <v>0</v>
      </c>
      <c r="AN204" s="4">
        <f t="shared" si="28"/>
        <v>0</v>
      </c>
      <c r="AO204" s="3"/>
      <c r="AP204">
        <v>0</v>
      </c>
      <c r="AR204" t="s">
        <v>0</v>
      </c>
      <c r="AT204" s="2" t="s">
        <v>6</v>
      </c>
      <c r="AU204" s="1" t="e">
        <f t="shared" si="29"/>
        <v>#VALUE!</v>
      </c>
      <c r="AV204" s="1" t="e">
        <f t="shared" si="30"/>
        <v>#VALUE!</v>
      </c>
      <c r="AW204" s="1" t="e">
        <f t="shared" si="31"/>
        <v>#VALUE!</v>
      </c>
    </row>
    <row r="205" spans="1:49" x14ac:dyDescent="0.2">
      <c r="A205">
        <v>203</v>
      </c>
      <c r="B205" t="s">
        <v>319</v>
      </c>
      <c r="F205" t="s">
        <v>318</v>
      </c>
      <c r="G205" t="s">
        <v>4</v>
      </c>
      <c r="H205" t="s">
        <v>3</v>
      </c>
      <c r="I205" t="s">
        <v>317</v>
      </c>
      <c r="N205">
        <v>2</v>
      </c>
      <c r="O205" t="s">
        <v>316</v>
      </c>
      <c r="P205" t="s">
        <v>315</v>
      </c>
      <c r="Q205" t="s">
        <v>19</v>
      </c>
      <c r="R205" s="7">
        <v>31990</v>
      </c>
      <c r="S205" s="8">
        <f t="shared" si="24"/>
        <v>1987</v>
      </c>
      <c r="T205" s="8">
        <v>1987</v>
      </c>
      <c r="U205" s="8">
        <f t="shared" si="25"/>
        <v>35</v>
      </c>
      <c r="V205" s="7">
        <v>31990</v>
      </c>
      <c r="W205" t="s">
        <v>136</v>
      </c>
      <c r="X205" s="2" t="s">
        <v>6</v>
      </c>
      <c r="Y205" s="6" t="e">
        <f t="shared" si="26"/>
        <v>#VALUE!</v>
      </c>
      <c r="AB205">
        <v>55073</v>
      </c>
      <c r="AD205" t="s">
        <v>1</v>
      </c>
      <c r="AE205" t="s">
        <v>135</v>
      </c>
      <c r="AF205">
        <v>8</v>
      </c>
      <c r="AH205" t="s">
        <v>314</v>
      </c>
      <c r="AI205" t="s">
        <v>313</v>
      </c>
      <c r="AK205" t="s">
        <v>312</v>
      </c>
      <c r="AL205">
        <v>1</v>
      </c>
      <c r="AM205" s="5">
        <f t="shared" si="27"/>
        <v>2.8571428571428571E-2</v>
      </c>
      <c r="AN205" s="4">
        <f t="shared" si="28"/>
        <v>4.32736517552875E-5</v>
      </c>
      <c r="AO205" s="3"/>
      <c r="AP205">
        <v>0</v>
      </c>
      <c r="AR205" t="s">
        <v>0</v>
      </c>
      <c r="AT205" s="2" t="s">
        <v>6</v>
      </c>
      <c r="AU205" s="1" t="e">
        <f t="shared" si="29"/>
        <v>#VALUE!</v>
      </c>
      <c r="AV205" s="1" t="e">
        <f t="shared" si="30"/>
        <v>#VALUE!</v>
      </c>
      <c r="AW205" s="1" t="e">
        <f t="shared" si="31"/>
        <v>#VALUE!</v>
      </c>
    </row>
    <row r="206" spans="1:49" x14ac:dyDescent="0.2">
      <c r="A206">
        <v>204</v>
      </c>
      <c r="B206" t="s">
        <v>311</v>
      </c>
      <c r="F206" t="s">
        <v>310</v>
      </c>
      <c r="G206" t="s">
        <v>4</v>
      </c>
      <c r="H206" t="s">
        <v>3</v>
      </c>
      <c r="I206" t="s">
        <v>309</v>
      </c>
      <c r="N206">
        <v>3</v>
      </c>
      <c r="O206" t="s">
        <v>308</v>
      </c>
      <c r="P206" t="s">
        <v>307</v>
      </c>
      <c r="Q206" t="s">
        <v>11</v>
      </c>
      <c r="R206" s="7">
        <v>31990</v>
      </c>
      <c r="S206" s="8">
        <f t="shared" si="24"/>
        <v>1987</v>
      </c>
      <c r="T206" s="8">
        <v>1987</v>
      </c>
      <c r="U206" s="8">
        <f t="shared" si="25"/>
        <v>35</v>
      </c>
      <c r="V206" s="7">
        <v>31990</v>
      </c>
      <c r="W206" t="s">
        <v>48</v>
      </c>
      <c r="X206" s="2" t="s">
        <v>6</v>
      </c>
      <c r="Y206" s="6" t="e">
        <f t="shared" si="26"/>
        <v>#VALUE!</v>
      </c>
      <c r="AA206">
        <v>87566648</v>
      </c>
      <c r="AB206">
        <v>74127</v>
      </c>
      <c r="AD206" t="s">
        <v>1</v>
      </c>
      <c r="AE206">
        <v>32</v>
      </c>
      <c r="AF206">
        <v>8</v>
      </c>
      <c r="AH206" t="s">
        <v>306</v>
      </c>
      <c r="AI206" t="s">
        <v>305</v>
      </c>
      <c r="AK206" t="s">
        <v>304</v>
      </c>
      <c r="AL206">
        <v>0</v>
      </c>
      <c r="AM206" s="5">
        <f t="shared" si="27"/>
        <v>0</v>
      </c>
      <c r="AN206" s="4">
        <f t="shared" si="28"/>
        <v>0</v>
      </c>
      <c r="AO206" s="3"/>
      <c r="AP206">
        <v>0</v>
      </c>
      <c r="AR206" t="s">
        <v>0</v>
      </c>
      <c r="AT206" s="2" t="s">
        <v>6</v>
      </c>
      <c r="AU206" s="1" t="e">
        <f t="shared" si="29"/>
        <v>#VALUE!</v>
      </c>
      <c r="AV206" s="1" t="e">
        <f t="shared" si="30"/>
        <v>#VALUE!</v>
      </c>
      <c r="AW206" s="1" t="e">
        <f t="shared" si="31"/>
        <v>#VALUE!</v>
      </c>
    </row>
    <row r="207" spans="1:49" x14ac:dyDescent="0.2">
      <c r="A207">
        <v>205</v>
      </c>
      <c r="B207" t="s">
        <v>303</v>
      </c>
      <c r="F207" t="s">
        <v>302</v>
      </c>
      <c r="G207" t="s">
        <v>4</v>
      </c>
      <c r="H207" t="s">
        <v>3</v>
      </c>
      <c r="I207" t="s">
        <v>301</v>
      </c>
      <c r="N207">
        <v>1</v>
      </c>
      <c r="O207" t="s">
        <v>300</v>
      </c>
      <c r="P207">
        <v>57212047917</v>
      </c>
      <c r="R207" s="7">
        <v>31990</v>
      </c>
      <c r="S207" s="8">
        <f t="shared" si="24"/>
        <v>1987</v>
      </c>
      <c r="T207" s="8">
        <v>1987</v>
      </c>
      <c r="U207" s="8">
        <f t="shared" si="25"/>
        <v>35</v>
      </c>
      <c r="V207" s="7">
        <v>31990</v>
      </c>
      <c r="W207" t="s">
        <v>48</v>
      </c>
      <c r="X207" s="2" t="s">
        <v>6</v>
      </c>
      <c r="Y207" s="6" t="e">
        <f t="shared" si="26"/>
        <v>#VALUE!</v>
      </c>
      <c r="AA207">
        <v>87566648</v>
      </c>
      <c r="AB207">
        <v>74127</v>
      </c>
      <c r="AD207" t="s">
        <v>1</v>
      </c>
      <c r="AE207">
        <v>32</v>
      </c>
      <c r="AF207">
        <v>8</v>
      </c>
      <c r="AH207" t="s">
        <v>299</v>
      </c>
      <c r="AI207" t="s">
        <v>298</v>
      </c>
      <c r="AK207" t="s">
        <v>297</v>
      </c>
      <c r="AL207">
        <v>1</v>
      </c>
      <c r="AM207" s="5">
        <f t="shared" si="27"/>
        <v>2.8571428571428571E-2</v>
      </c>
      <c r="AN207" s="4">
        <f t="shared" si="28"/>
        <v>4.32736517552875E-5</v>
      </c>
      <c r="AO207" s="3"/>
      <c r="AP207">
        <v>0</v>
      </c>
      <c r="AR207" t="s">
        <v>0</v>
      </c>
      <c r="AT207" s="2" t="s">
        <v>6</v>
      </c>
      <c r="AU207" s="1" t="e">
        <f t="shared" si="29"/>
        <v>#VALUE!</v>
      </c>
      <c r="AV207" s="1" t="e">
        <f t="shared" si="30"/>
        <v>#VALUE!</v>
      </c>
      <c r="AW207" s="1" t="e">
        <f t="shared" si="31"/>
        <v>#VALUE!</v>
      </c>
    </row>
    <row r="208" spans="1:49" x14ac:dyDescent="0.2">
      <c r="A208">
        <v>206</v>
      </c>
      <c r="B208" t="s">
        <v>296</v>
      </c>
      <c r="F208" t="s">
        <v>295</v>
      </c>
      <c r="G208" t="s">
        <v>4</v>
      </c>
      <c r="H208" t="s">
        <v>3</v>
      </c>
      <c r="I208" t="s">
        <v>294</v>
      </c>
      <c r="N208">
        <v>2</v>
      </c>
      <c r="O208" t="s">
        <v>293</v>
      </c>
      <c r="P208" t="s">
        <v>292</v>
      </c>
      <c r="Q208" t="s">
        <v>19</v>
      </c>
      <c r="R208" s="7">
        <v>31990</v>
      </c>
      <c r="S208" s="8">
        <f t="shared" si="24"/>
        <v>1987</v>
      </c>
      <c r="T208" s="8">
        <v>1987</v>
      </c>
      <c r="U208" s="8">
        <f t="shared" si="25"/>
        <v>35</v>
      </c>
      <c r="V208" s="7">
        <v>31990</v>
      </c>
      <c r="W208" t="s">
        <v>34</v>
      </c>
      <c r="X208" s="2" t="s">
        <v>6</v>
      </c>
      <c r="Y208" s="6" t="e">
        <f t="shared" si="26"/>
        <v>#VALUE!</v>
      </c>
      <c r="AA208">
        <v>262897</v>
      </c>
      <c r="AB208">
        <v>18580</v>
      </c>
      <c r="AD208" t="s">
        <v>1</v>
      </c>
      <c r="AE208">
        <v>30</v>
      </c>
      <c r="AF208">
        <v>8</v>
      </c>
      <c r="AI208" t="s">
        <v>291</v>
      </c>
      <c r="AK208" t="s">
        <v>290</v>
      </c>
      <c r="AL208">
        <v>3</v>
      </c>
      <c r="AM208" s="5">
        <f t="shared" si="27"/>
        <v>8.5714285714285715E-2</v>
      </c>
      <c r="AN208" s="4">
        <f t="shared" si="28"/>
        <v>1.2982095526586251E-4</v>
      </c>
      <c r="AO208" s="3"/>
      <c r="AP208">
        <v>0</v>
      </c>
      <c r="AR208" t="s">
        <v>0</v>
      </c>
      <c r="AT208" s="2">
        <v>0.30599999999999999</v>
      </c>
      <c r="AU208" s="1" t="e">
        <f t="shared" si="29"/>
        <v>#VALUE!</v>
      </c>
      <c r="AV208" s="1" t="e">
        <f t="shared" si="30"/>
        <v>#VALUE!</v>
      </c>
      <c r="AW208" s="1" t="e">
        <f t="shared" si="31"/>
        <v>#VALUE!</v>
      </c>
    </row>
    <row r="209" spans="1:49" x14ac:dyDescent="0.2">
      <c r="A209">
        <v>207</v>
      </c>
      <c r="B209" t="s">
        <v>289</v>
      </c>
      <c r="C209" t="s">
        <v>288</v>
      </c>
      <c r="F209" t="s">
        <v>287</v>
      </c>
      <c r="G209" t="s">
        <v>4</v>
      </c>
      <c r="H209" t="s">
        <v>3</v>
      </c>
      <c r="I209" t="s">
        <v>286</v>
      </c>
      <c r="J209" t="s">
        <v>285</v>
      </c>
      <c r="K209" t="s">
        <v>284</v>
      </c>
      <c r="L209" t="s">
        <v>283</v>
      </c>
      <c r="M209" t="s">
        <v>8</v>
      </c>
      <c r="N209">
        <v>3</v>
      </c>
      <c r="O209" t="s">
        <v>282</v>
      </c>
      <c r="P209" t="s">
        <v>281</v>
      </c>
      <c r="Q209" t="s">
        <v>280</v>
      </c>
      <c r="R209" s="7">
        <v>31990</v>
      </c>
      <c r="S209" s="8">
        <f t="shared" si="24"/>
        <v>1987</v>
      </c>
      <c r="T209" s="8">
        <v>1987</v>
      </c>
      <c r="U209" s="8">
        <f t="shared" si="25"/>
        <v>35</v>
      </c>
      <c r="V209" s="7">
        <v>31990</v>
      </c>
      <c r="W209" t="s">
        <v>178</v>
      </c>
      <c r="X209" s="2">
        <v>0.41499999999999998</v>
      </c>
      <c r="Y209" s="6">
        <f t="shared" si="26"/>
        <v>1.1078187982168121E-2</v>
      </c>
      <c r="AA209">
        <v>318949</v>
      </c>
      <c r="AB209">
        <v>29122</v>
      </c>
      <c r="AC209">
        <v>14024896</v>
      </c>
      <c r="AD209" t="s">
        <v>1</v>
      </c>
      <c r="AE209">
        <v>36</v>
      </c>
      <c r="AF209">
        <v>2</v>
      </c>
      <c r="AH209" t="s">
        <v>279</v>
      </c>
      <c r="AI209" t="s">
        <v>278</v>
      </c>
      <c r="AK209" t="s">
        <v>277</v>
      </c>
      <c r="AL209">
        <v>13</v>
      </c>
      <c r="AM209" s="5">
        <f t="shared" si="27"/>
        <v>0.37142857142857144</v>
      </c>
      <c r="AN209" s="4">
        <f t="shared" si="28"/>
        <v>5.6255747281873749E-4</v>
      </c>
      <c r="AO209" s="3"/>
      <c r="AP209">
        <v>0</v>
      </c>
      <c r="AR209" t="s">
        <v>0</v>
      </c>
      <c r="AT209" s="2">
        <v>2.4870000000000001</v>
      </c>
      <c r="AU209" s="1">
        <f t="shared" si="29"/>
        <v>0.79234988293633046</v>
      </c>
      <c r="AV209" s="1">
        <f t="shared" si="30"/>
        <v>0.58203727274934292</v>
      </c>
      <c r="AW209" s="1">
        <f t="shared" si="31"/>
        <v>0.37172466256235526</v>
      </c>
    </row>
    <row r="210" spans="1:49" x14ac:dyDescent="0.2">
      <c r="A210">
        <v>208</v>
      </c>
      <c r="B210" t="s">
        <v>276</v>
      </c>
      <c r="C210" t="s">
        <v>275</v>
      </c>
      <c r="F210" t="s">
        <v>274</v>
      </c>
      <c r="G210" t="s">
        <v>4</v>
      </c>
      <c r="H210" t="s">
        <v>3</v>
      </c>
      <c r="I210" t="s">
        <v>273</v>
      </c>
      <c r="J210">
        <v>60024266</v>
      </c>
      <c r="K210" t="s">
        <v>47</v>
      </c>
      <c r="L210" t="s">
        <v>46</v>
      </c>
      <c r="M210" t="s">
        <v>2</v>
      </c>
      <c r="N210">
        <v>3</v>
      </c>
      <c r="O210" t="s">
        <v>272</v>
      </c>
      <c r="P210" t="s">
        <v>271</v>
      </c>
      <c r="Q210" t="s">
        <v>270</v>
      </c>
      <c r="R210" s="7">
        <v>31959</v>
      </c>
      <c r="S210" s="8">
        <f t="shared" si="24"/>
        <v>1987</v>
      </c>
      <c r="T210" s="8">
        <v>1987</v>
      </c>
      <c r="U210" s="8">
        <f t="shared" si="25"/>
        <v>35</v>
      </c>
      <c r="V210" s="7">
        <v>31959</v>
      </c>
      <c r="W210" t="s">
        <v>119</v>
      </c>
      <c r="X210" s="2">
        <v>0.58299999999999996</v>
      </c>
      <c r="Y210" s="6">
        <f t="shared" si="26"/>
        <v>1.5562852032780758E-2</v>
      </c>
      <c r="AA210">
        <v>7342101</v>
      </c>
      <c r="AB210">
        <v>28596</v>
      </c>
      <c r="AC210">
        <v>15208559</v>
      </c>
      <c r="AD210" t="s">
        <v>1</v>
      </c>
      <c r="AE210">
        <v>5</v>
      </c>
      <c r="AF210">
        <v>4</v>
      </c>
      <c r="AH210" t="s">
        <v>269</v>
      </c>
      <c r="AL210">
        <v>6</v>
      </c>
      <c r="AM210" s="5">
        <f t="shared" si="27"/>
        <v>0.17142857142857143</v>
      </c>
      <c r="AN210" s="4">
        <f t="shared" si="28"/>
        <v>2.5964191053172501E-4</v>
      </c>
      <c r="AO210" s="3"/>
      <c r="AP210">
        <v>0</v>
      </c>
      <c r="AR210" t="s">
        <v>0</v>
      </c>
      <c r="AT210" s="2" t="s">
        <v>6</v>
      </c>
      <c r="AU210" s="1">
        <f t="shared" si="29"/>
        <v>1.0971888996106047</v>
      </c>
      <c r="AV210" s="1">
        <f t="shared" si="30"/>
        <v>0.79112469716562417</v>
      </c>
      <c r="AW210" s="1">
        <f t="shared" si="31"/>
        <v>0.48506049472064344</v>
      </c>
    </row>
    <row r="211" spans="1:49" x14ac:dyDescent="0.2">
      <c r="A211">
        <v>209</v>
      </c>
      <c r="B211" t="s">
        <v>268</v>
      </c>
      <c r="F211" t="s">
        <v>267</v>
      </c>
      <c r="G211" t="s">
        <v>4</v>
      </c>
      <c r="H211" t="s">
        <v>3</v>
      </c>
      <c r="I211" t="s">
        <v>266</v>
      </c>
      <c r="J211">
        <v>100346480</v>
      </c>
      <c r="K211" t="s">
        <v>265</v>
      </c>
      <c r="L211" t="s">
        <v>108</v>
      </c>
      <c r="M211" t="s">
        <v>2</v>
      </c>
      <c r="N211">
        <v>3</v>
      </c>
      <c r="O211" t="s">
        <v>264</v>
      </c>
      <c r="P211" t="s">
        <v>263</v>
      </c>
      <c r="Q211" t="s">
        <v>262</v>
      </c>
      <c r="R211" s="7">
        <v>31959</v>
      </c>
      <c r="S211" s="8">
        <f t="shared" si="24"/>
        <v>1987</v>
      </c>
      <c r="T211" s="8">
        <v>1987</v>
      </c>
      <c r="U211" s="8">
        <f t="shared" si="25"/>
        <v>35</v>
      </c>
      <c r="V211" s="7">
        <v>31959</v>
      </c>
      <c r="W211" t="s">
        <v>261</v>
      </c>
      <c r="X211" s="2" t="s">
        <v>6</v>
      </c>
      <c r="Y211" s="6" t="e">
        <f t="shared" si="26"/>
        <v>#VALUE!</v>
      </c>
      <c r="AA211">
        <v>320145</v>
      </c>
      <c r="AB211">
        <v>37846</v>
      </c>
      <c r="AD211" t="s">
        <v>1</v>
      </c>
      <c r="AE211">
        <v>67</v>
      </c>
      <c r="AF211">
        <v>1</v>
      </c>
      <c r="AI211" t="s">
        <v>260</v>
      </c>
      <c r="AK211" t="s">
        <v>259</v>
      </c>
      <c r="AL211">
        <v>0</v>
      </c>
      <c r="AM211" s="5">
        <f t="shared" si="27"/>
        <v>0</v>
      </c>
      <c r="AN211" s="4">
        <f t="shared" si="28"/>
        <v>0</v>
      </c>
      <c r="AO211" s="3"/>
      <c r="AP211">
        <v>0</v>
      </c>
      <c r="AR211" t="s">
        <v>0</v>
      </c>
      <c r="AT211" s="2" t="s">
        <v>6</v>
      </c>
      <c r="AU211" s="1" t="e">
        <f t="shared" si="29"/>
        <v>#VALUE!</v>
      </c>
      <c r="AV211" s="1" t="e">
        <f t="shared" si="30"/>
        <v>#VALUE!</v>
      </c>
      <c r="AW211" s="1" t="e">
        <f t="shared" si="31"/>
        <v>#VALUE!</v>
      </c>
    </row>
    <row r="212" spans="1:49" x14ac:dyDescent="0.2">
      <c r="A212">
        <v>210</v>
      </c>
      <c r="B212" t="s">
        <v>258</v>
      </c>
      <c r="F212" t="s">
        <v>257</v>
      </c>
      <c r="G212" t="s">
        <v>4</v>
      </c>
      <c r="H212" t="s">
        <v>3</v>
      </c>
      <c r="I212" t="s">
        <v>256</v>
      </c>
      <c r="N212">
        <v>1</v>
      </c>
      <c r="O212" t="s">
        <v>255</v>
      </c>
      <c r="P212">
        <v>6507981506</v>
      </c>
      <c r="R212" s="7">
        <v>31959</v>
      </c>
      <c r="S212" s="8">
        <f t="shared" si="24"/>
        <v>1987</v>
      </c>
      <c r="T212" s="8">
        <v>1987</v>
      </c>
      <c r="U212" s="8">
        <f t="shared" si="25"/>
        <v>35</v>
      </c>
      <c r="V212" s="7">
        <v>31959</v>
      </c>
      <c r="W212" t="s">
        <v>254</v>
      </c>
      <c r="X212" s="2" t="s">
        <v>6</v>
      </c>
      <c r="Y212" s="6" t="e">
        <f t="shared" si="26"/>
        <v>#VALUE!</v>
      </c>
      <c r="AA212">
        <v>2732238</v>
      </c>
      <c r="AB212">
        <v>33559</v>
      </c>
      <c r="AD212" t="s">
        <v>1</v>
      </c>
      <c r="AE212">
        <v>134</v>
      </c>
      <c r="AF212">
        <v>7</v>
      </c>
      <c r="AH212" t="s">
        <v>253</v>
      </c>
      <c r="AI212" t="s">
        <v>252</v>
      </c>
      <c r="AK212" t="s">
        <v>251</v>
      </c>
      <c r="AL212">
        <v>0</v>
      </c>
      <c r="AM212" s="5">
        <f t="shared" si="27"/>
        <v>0</v>
      </c>
      <c r="AN212" s="4">
        <f t="shared" si="28"/>
        <v>0</v>
      </c>
      <c r="AO212" s="3"/>
      <c r="AP212">
        <v>0</v>
      </c>
      <c r="AR212" t="s">
        <v>0</v>
      </c>
      <c r="AT212" s="2" t="s">
        <v>6</v>
      </c>
      <c r="AU212" s="1" t="e">
        <f t="shared" si="29"/>
        <v>#VALUE!</v>
      </c>
      <c r="AV212" s="1" t="e">
        <f t="shared" si="30"/>
        <v>#VALUE!</v>
      </c>
      <c r="AW212" s="1" t="e">
        <f t="shared" si="31"/>
        <v>#VALUE!</v>
      </c>
    </row>
    <row r="213" spans="1:49" x14ac:dyDescent="0.2">
      <c r="A213">
        <v>211</v>
      </c>
      <c r="B213" t="s">
        <v>250</v>
      </c>
      <c r="F213" t="s">
        <v>249</v>
      </c>
      <c r="G213" t="s">
        <v>4</v>
      </c>
      <c r="H213" t="s">
        <v>3</v>
      </c>
      <c r="I213" t="s">
        <v>248</v>
      </c>
      <c r="J213">
        <v>60025209</v>
      </c>
      <c r="K213" t="s">
        <v>107</v>
      </c>
      <c r="L213" t="s">
        <v>93</v>
      </c>
      <c r="M213" t="s">
        <v>2</v>
      </c>
      <c r="N213">
        <v>2</v>
      </c>
      <c r="O213" t="s">
        <v>247</v>
      </c>
      <c r="P213" t="s">
        <v>246</v>
      </c>
      <c r="Q213" t="s">
        <v>245</v>
      </c>
      <c r="R213" s="7">
        <v>31959</v>
      </c>
      <c r="S213" s="8">
        <f t="shared" si="24"/>
        <v>1987</v>
      </c>
      <c r="T213" s="8">
        <v>1987</v>
      </c>
      <c r="U213" s="8">
        <f t="shared" si="25"/>
        <v>35</v>
      </c>
      <c r="V213" s="7">
        <v>31959</v>
      </c>
      <c r="W213" t="s">
        <v>34</v>
      </c>
      <c r="X213" s="2" t="s">
        <v>6</v>
      </c>
      <c r="Y213" s="6" t="e">
        <f t="shared" si="26"/>
        <v>#VALUE!</v>
      </c>
      <c r="AA213">
        <v>262897</v>
      </c>
      <c r="AB213">
        <v>18580</v>
      </c>
      <c r="AD213" t="s">
        <v>1</v>
      </c>
      <c r="AE213">
        <v>30</v>
      </c>
      <c r="AF213">
        <v>7</v>
      </c>
      <c r="AI213" t="s">
        <v>244</v>
      </c>
      <c r="AK213" t="s">
        <v>243</v>
      </c>
      <c r="AL213">
        <v>23</v>
      </c>
      <c r="AM213" s="5">
        <f t="shared" si="27"/>
        <v>0.65714285714285714</v>
      </c>
      <c r="AN213" s="4">
        <f t="shared" si="28"/>
        <v>9.9529399037161259E-4</v>
      </c>
      <c r="AO213" s="3"/>
      <c r="AP213">
        <v>0</v>
      </c>
      <c r="AR213" t="s">
        <v>0</v>
      </c>
      <c r="AT213" s="2">
        <v>0.30599999999999999</v>
      </c>
      <c r="AU213" s="1" t="e">
        <f t="shared" si="29"/>
        <v>#VALUE!</v>
      </c>
      <c r="AV213" s="1" t="e">
        <f t="shared" si="30"/>
        <v>#VALUE!</v>
      </c>
      <c r="AW213" s="1" t="e">
        <f t="shared" si="31"/>
        <v>#VALUE!</v>
      </c>
    </row>
    <row r="214" spans="1:49" x14ac:dyDescent="0.2">
      <c r="A214">
        <v>212</v>
      </c>
      <c r="B214" t="s">
        <v>242</v>
      </c>
      <c r="F214" t="s">
        <v>241</v>
      </c>
      <c r="G214" t="s">
        <v>4</v>
      </c>
      <c r="H214" t="s">
        <v>3</v>
      </c>
      <c r="I214" t="s">
        <v>240</v>
      </c>
      <c r="N214">
        <v>1</v>
      </c>
      <c r="O214" t="s">
        <v>239</v>
      </c>
      <c r="P214">
        <v>35516118400</v>
      </c>
      <c r="R214" s="7">
        <v>31959</v>
      </c>
      <c r="S214" s="8">
        <f t="shared" si="24"/>
        <v>1987</v>
      </c>
      <c r="T214" s="8">
        <v>1987</v>
      </c>
      <c r="U214" s="8">
        <f t="shared" si="25"/>
        <v>35</v>
      </c>
      <c r="V214" s="7">
        <v>31959</v>
      </c>
      <c r="W214" t="s">
        <v>177</v>
      </c>
      <c r="X214" s="2" t="s">
        <v>6</v>
      </c>
      <c r="Y214" s="6" t="e">
        <f t="shared" si="26"/>
        <v>#VALUE!</v>
      </c>
      <c r="AA214">
        <v>2663244</v>
      </c>
      <c r="AB214">
        <v>35055</v>
      </c>
      <c r="AD214" t="s">
        <v>1</v>
      </c>
      <c r="AE214">
        <v>93</v>
      </c>
      <c r="AF214">
        <v>1617</v>
      </c>
      <c r="AH214" t="s">
        <v>238</v>
      </c>
      <c r="AI214" t="s">
        <v>237</v>
      </c>
      <c r="AK214" t="s">
        <v>236</v>
      </c>
      <c r="AL214">
        <v>0</v>
      </c>
      <c r="AM214" s="5">
        <f t="shared" si="27"/>
        <v>0</v>
      </c>
      <c r="AN214" s="4">
        <f t="shared" si="28"/>
        <v>0</v>
      </c>
      <c r="AO214" s="3"/>
      <c r="AP214">
        <v>0</v>
      </c>
      <c r="AR214" t="s">
        <v>0</v>
      </c>
      <c r="AT214" s="2" t="s">
        <v>6</v>
      </c>
      <c r="AU214" s="1" t="e">
        <f t="shared" si="29"/>
        <v>#VALUE!</v>
      </c>
      <c r="AV214" s="1" t="e">
        <f t="shared" si="30"/>
        <v>#VALUE!</v>
      </c>
      <c r="AW214" s="1" t="e">
        <f t="shared" si="31"/>
        <v>#VALUE!</v>
      </c>
    </row>
    <row r="215" spans="1:49" x14ac:dyDescent="0.2">
      <c r="A215">
        <v>213</v>
      </c>
      <c r="B215" t="s">
        <v>235</v>
      </c>
      <c r="F215" t="s">
        <v>234</v>
      </c>
      <c r="G215" t="s">
        <v>4</v>
      </c>
      <c r="H215" t="s">
        <v>3</v>
      </c>
      <c r="I215" t="s">
        <v>233</v>
      </c>
      <c r="N215">
        <v>4</v>
      </c>
      <c r="O215" t="s">
        <v>232</v>
      </c>
      <c r="P215" t="s">
        <v>231</v>
      </c>
      <c r="Q215" t="s">
        <v>33</v>
      </c>
      <c r="R215" s="7">
        <v>31959</v>
      </c>
      <c r="S215" s="8">
        <f t="shared" si="24"/>
        <v>1987</v>
      </c>
      <c r="T215" s="8">
        <v>1987</v>
      </c>
      <c r="U215" s="8">
        <f t="shared" si="25"/>
        <v>35</v>
      </c>
      <c r="V215" s="7">
        <v>31959</v>
      </c>
      <c r="W215" t="s">
        <v>230</v>
      </c>
      <c r="X215" s="2" t="s">
        <v>6</v>
      </c>
      <c r="Y215" s="6" t="e">
        <f t="shared" si="26"/>
        <v>#VALUE!</v>
      </c>
      <c r="AA215">
        <v>338001</v>
      </c>
      <c r="AB215">
        <v>32587</v>
      </c>
      <c r="AD215" t="s">
        <v>1</v>
      </c>
      <c r="AE215">
        <v>34</v>
      </c>
      <c r="AF215">
        <v>142</v>
      </c>
      <c r="AH215" t="s">
        <v>229</v>
      </c>
      <c r="AI215" t="s">
        <v>228</v>
      </c>
      <c r="AK215" t="s">
        <v>227</v>
      </c>
      <c r="AL215">
        <v>0</v>
      </c>
      <c r="AM215" s="5">
        <f t="shared" si="27"/>
        <v>0</v>
      </c>
      <c r="AN215" s="4">
        <f t="shared" si="28"/>
        <v>0</v>
      </c>
      <c r="AO215" s="3"/>
      <c r="AP215">
        <v>0</v>
      </c>
      <c r="AR215" t="s">
        <v>0</v>
      </c>
      <c r="AT215" s="2" t="s">
        <v>6</v>
      </c>
      <c r="AU215" s="1" t="e">
        <f t="shared" si="29"/>
        <v>#VALUE!</v>
      </c>
      <c r="AV215" s="1" t="e">
        <f t="shared" si="30"/>
        <v>#VALUE!</v>
      </c>
      <c r="AW215" s="1" t="e">
        <f t="shared" si="31"/>
        <v>#VALUE!</v>
      </c>
    </row>
    <row r="216" spans="1:49" x14ac:dyDescent="0.2">
      <c r="A216">
        <v>214</v>
      </c>
      <c r="B216" t="s">
        <v>226</v>
      </c>
      <c r="F216" t="s">
        <v>225</v>
      </c>
      <c r="G216" t="s">
        <v>4</v>
      </c>
      <c r="H216" t="s">
        <v>3</v>
      </c>
      <c r="I216" t="s">
        <v>224</v>
      </c>
      <c r="N216">
        <v>1</v>
      </c>
      <c r="O216" t="s">
        <v>223</v>
      </c>
      <c r="P216">
        <v>7401612485</v>
      </c>
      <c r="R216" s="7">
        <v>31959</v>
      </c>
      <c r="S216" s="8">
        <f t="shared" si="24"/>
        <v>1987</v>
      </c>
      <c r="T216" s="8">
        <v>1987</v>
      </c>
      <c r="U216" s="8">
        <f t="shared" si="25"/>
        <v>35</v>
      </c>
      <c r="V216" s="7">
        <v>31959</v>
      </c>
      <c r="W216" t="s">
        <v>177</v>
      </c>
      <c r="X216" s="2" t="s">
        <v>6</v>
      </c>
      <c r="Y216" s="6" t="e">
        <f t="shared" si="26"/>
        <v>#VALUE!</v>
      </c>
      <c r="AA216">
        <v>2663244</v>
      </c>
      <c r="AB216">
        <v>35055</v>
      </c>
      <c r="AD216" t="s">
        <v>1</v>
      </c>
      <c r="AE216">
        <v>93</v>
      </c>
      <c r="AF216">
        <v>1617</v>
      </c>
      <c r="AH216" t="s">
        <v>222</v>
      </c>
      <c r="AI216" t="s">
        <v>221</v>
      </c>
      <c r="AK216" t="s">
        <v>220</v>
      </c>
      <c r="AL216">
        <v>0</v>
      </c>
      <c r="AM216" s="5">
        <f t="shared" si="27"/>
        <v>0</v>
      </c>
      <c r="AN216" s="4">
        <f t="shared" si="28"/>
        <v>0</v>
      </c>
      <c r="AO216" s="3"/>
      <c r="AP216">
        <v>0</v>
      </c>
      <c r="AR216" t="s">
        <v>0</v>
      </c>
      <c r="AT216" s="2" t="s">
        <v>6</v>
      </c>
      <c r="AU216" s="1" t="e">
        <f t="shared" si="29"/>
        <v>#VALUE!</v>
      </c>
      <c r="AV216" s="1" t="e">
        <f t="shared" si="30"/>
        <v>#VALUE!</v>
      </c>
      <c r="AW216" s="1" t="e">
        <f t="shared" si="31"/>
        <v>#VALUE!</v>
      </c>
    </row>
    <row r="217" spans="1:49" x14ac:dyDescent="0.2">
      <c r="A217">
        <v>215</v>
      </c>
      <c r="B217" t="s">
        <v>219</v>
      </c>
      <c r="F217" t="s">
        <v>218</v>
      </c>
      <c r="G217" t="s">
        <v>4</v>
      </c>
      <c r="H217" t="s">
        <v>3</v>
      </c>
      <c r="I217" t="s">
        <v>217</v>
      </c>
      <c r="J217">
        <v>101150885</v>
      </c>
      <c r="K217" t="s">
        <v>216</v>
      </c>
      <c r="N217">
        <v>4</v>
      </c>
      <c r="O217" t="s">
        <v>215</v>
      </c>
      <c r="P217" t="s">
        <v>214</v>
      </c>
      <c r="Q217" t="s">
        <v>213</v>
      </c>
      <c r="R217" s="7">
        <v>31959</v>
      </c>
      <c r="S217" s="8">
        <f t="shared" si="24"/>
        <v>1987</v>
      </c>
      <c r="T217" s="8">
        <v>1987</v>
      </c>
      <c r="U217" s="8">
        <f t="shared" si="25"/>
        <v>35</v>
      </c>
      <c r="V217" s="7">
        <v>31959</v>
      </c>
      <c r="W217" t="s">
        <v>212</v>
      </c>
      <c r="X217" s="2" t="s">
        <v>6</v>
      </c>
      <c r="Y217" s="6" t="e">
        <f t="shared" si="26"/>
        <v>#VALUE!</v>
      </c>
      <c r="AA217" t="s">
        <v>211</v>
      </c>
      <c r="AB217">
        <v>17920</v>
      </c>
      <c r="AD217" t="s">
        <v>1</v>
      </c>
      <c r="AE217">
        <v>14</v>
      </c>
      <c r="AF217">
        <v>2</v>
      </c>
      <c r="AH217" t="s">
        <v>210</v>
      </c>
      <c r="AI217" t="s">
        <v>209</v>
      </c>
      <c r="AK217" t="s">
        <v>208</v>
      </c>
      <c r="AL217">
        <v>0</v>
      </c>
      <c r="AM217" s="5">
        <f t="shared" si="27"/>
        <v>0</v>
      </c>
      <c r="AN217" s="4">
        <f t="shared" si="28"/>
        <v>0</v>
      </c>
      <c r="AO217" s="3"/>
      <c r="AP217">
        <v>0</v>
      </c>
      <c r="AR217" t="s">
        <v>0</v>
      </c>
      <c r="AT217" s="2" t="s">
        <v>6</v>
      </c>
      <c r="AU217" s="1" t="e">
        <f t="shared" si="29"/>
        <v>#VALUE!</v>
      </c>
      <c r="AV217" s="1" t="e">
        <f t="shared" si="30"/>
        <v>#VALUE!</v>
      </c>
      <c r="AW217" s="1" t="e">
        <f t="shared" si="31"/>
        <v>#VALUE!</v>
      </c>
    </row>
    <row r="218" spans="1:49" x14ac:dyDescent="0.2">
      <c r="A218">
        <v>216</v>
      </c>
      <c r="B218" t="s">
        <v>207</v>
      </c>
      <c r="F218" t="s">
        <v>206</v>
      </c>
      <c r="G218" t="s">
        <v>4</v>
      </c>
      <c r="H218" t="s">
        <v>3</v>
      </c>
      <c r="I218" t="s">
        <v>205</v>
      </c>
      <c r="N218">
        <v>2</v>
      </c>
      <c r="O218" t="s">
        <v>204</v>
      </c>
      <c r="P218" t="s">
        <v>203</v>
      </c>
      <c r="Q218" t="s">
        <v>19</v>
      </c>
      <c r="R218" s="7">
        <v>31959</v>
      </c>
      <c r="S218" s="8">
        <f t="shared" si="24"/>
        <v>1987</v>
      </c>
      <c r="T218" s="8">
        <v>1987</v>
      </c>
      <c r="U218" s="8">
        <f t="shared" si="25"/>
        <v>35</v>
      </c>
      <c r="V218" s="7">
        <v>31959</v>
      </c>
      <c r="W218" t="s">
        <v>48</v>
      </c>
      <c r="X218" s="2" t="s">
        <v>6</v>
      </c>
      <c r="Y218" s="6" t="e">
        <f t="shared" si="26"/>
        <v>#VALUE!</v>
      </c>
      <c r="AA218">
        <v>87566648</v>
      </c>
      <c r="AB218">
        <v>74127</v>
      </c>
      <c r="AD218" t="s">
        <v>1</v>
      </c>
      <c r="AE218">
        <v>32</v>
      </c>
      <c r="AF218">
        <v>7</v>
      </c>
      <c r="AH218" t="s">
        <v>202</v>
      </c>
      <c r="AI218" t="s">
        <v>201</v>
      </c>
      <c r="AK218" t="s">
        <v>200</v>
      </c>
      <c r="AL218">
        <v>0</v>
      </c>
      <c r="AM218" s="5">
        <f t="shared" si="27"/>
        <v>0</v>
      </c>
      <c r="AN218" s="4">
        <f t="shared" si="28"/>
        <v>0</v>
      </c>
      <c r="AO218" s="3"/>
      <c r="AP218">
        <v>0</v>
      </c>
      <c r="AR218" t="s">
        <v>0</v>
      </c>
      <c r="AT218" s="2" t="s">
        <v>6</v>
      </c>
      <c r="AU218" s="1" t="e">
        <f t="shared" si="29"/>
        <v>#VALUE!</v>
      </c>
      <c r="AV218" s="1" t="e">
        <f t="shared" si="30"/>
        <v>#VALUE!</v>
      </c>
      <c r="AW218" s="1" t="e">
        <f t="shared" si="31"/>
        <v>#VALUE!</v>
      </c>
    </row>
    <row r="219" spans="1:49" x14ac:dyDescent="0.2">
      <c r="A219">
        <v>217</v>
      </c>
      <c r="B219" t="s">
        <v>199</v>
      </c>
      <c r="F219" t="s">
        <v>198</v>
      </c>
      <c r="G219" t="s">
        <v>4</v>
      </c>
      <c r="H219" t="s">
        <v>3</v>
      </c>
      <c r="I219" t="s">
        <v>197</v>
      </c>
      <c r="N219">
        <v>1</v>
      </c>
      <c r="O219" t="s">
        <v>196</v>
      </c>
      <c r="P219">
        <v>7004164152</v>
      </c>
      <c r="R219" s="7">
        <v>31959</v>
      </c>
      <c r="S219" s="8">
        <f t="shared" si="24"/>
        <v>1987</v>
      </c>
      <c r="T219" s="8">
        <v>1987</v>
      </c>
      <c r="U219" s="8">
        <f t="shared" si="25"/>
        <v>35</v>
      </c>
      <c r="V219" s="7">
        <v>31959</v>
      </c>
      <c r="W219" t="s">
        <v>48</v>
      </c>
      <c r="X219" s="2" t="s">
        <v>6</v>
      </c>
      <c r="Y219" s="6" t="e">
        <f t="shared" si="26"/>
        <v>#VALUE!</v>
      </c>
      <c r="AA219">
        <v>87566648</v>
      </c>
      <c r="AB219">
        <v>74127</v>
      </c>
      <c r="AD219" t="s">
        <v>1</v>
      </c>
      <c r="AE219">
        <v>32</v>
      </c>
      <c r="AF219">
        <v>7</v>
      </c>
      <c r="AH219" t="s">
        <v>195</v>
      </c>
      <c r="AI219" t="s">
        <v>194</v>
      </c>
      <c r="AK219" t="s">
        <v>193</v>
      </c>
      <c r="AL219">
        <v>7</v>
      </c>
      <c r="AM219" s="5">
        <f t="shared" si="27"/>
        <v>0.2</v>
      </c>
      <c r="AN219" s="4">
        <f t="shared" si="28"/>
        <v>3.0291556228701253E-4</v>
      </c>
      <c r="AO219" s="3"/>
      <c r="AP219">
        <v>0</v>
      </c>
      <c r="AR219" t="s">
        <v>0</v>
      </c>
      <c r="AT219" s="2" t="s">
        <v>6</v>
      </c>
      <c r="AU219" s="1" t="e">
        <f t="shared" si="29"/>
        <v>#VALUE!</v>
      </c>
      <c r="AV219" s="1" t="e">
        <f t="shared" si="30"/>
        <v>#VALUE!</v>
      </c>
      <c r="AW219" s="1" t="e">
        <f t="shared" si="31"/>
        <v>#VALUE!</v>
      </c>
    </row>
    <row r="220" spans="1:49" x14ac:dyDescent="0.2">
      <c r="A220">
        <v>218</v>
      </c>
      <c r="B220" t="s">
        <v>192</v>
      </c>
      <c r="F220" t="s">
        <v>191</v>
      </c>
      <c r="G220" t="s">
        <v>4</v>
      </c>
      <c r="H220" t="s">
        <v>3</v>
      </c>
      <c r="I220" t="s">
        <v>190</v>
      </c>
      <c r="J220">
        <v>60021378</v>
      </c>
      <c r="K220" t="s">
        <v>75</v>
      </c>
      <c r="L220" t="s">
        <v>74</v>
      </c>
      <c r="M220" t="s">
        <v>2</v>
      </c>
      <c r="N220">
        <v>1</v>
      </c>
      <c r="O220" t="s">
        <v>189</v>
      </c>
      <c r="P220">
        <v>7403986381</v>
      </c>
      <c r="Q220">
        <v>60021378</v>
      </c>
      <c r="R220" s="7">
        <v>31959</v>
      </c>
      <c r="S220" s="8">
        <f t="shared" si="24"/>
        <v>1987</v>
      </c>
      <c r="T220" s="8">
        <v>1987</v>
      </c>
      <c r="U220" s="8">
        <f t="shared" si="25"/>
        <v>35</v>
      </c>
      <c r="V220" s="7">
        <v>31959</v>
      </c>
      <c r="W220" t="s">
        <v>51</v>
      </c>
      <c r="X220" s="2">
        <v>1.137</v>
      </c>
      <c r="Y220" s="6">
        <f t="shared" si="26"/>
        <v>3.0351565628253384E-2</v>
      </c>
      <c r="AA220">
        <v>189251</v>
      </c>
      <c r="AB220">
        <v>17336</v>
      </c>
      <c r="AD220" t="s">
        <v>1</v>
      </c>
      <c r="AE220" t="s">
        <v>50</v>
      </c>
      <c r="AF220">
        <v>4</v>
      </c>
      <c r="AH220" t="s">
        <v>188</v>
      </c>
      <c r="AI220" t="s">
        <v>187</v>
      </c>
      <c r="AK220" t="s">
        <v>186</v>
      </c>
      <c r="AL220">
        <v>0</v>
      </c>
      <c r="AM220" s="5">
        <f t="shared" si="27"/>
        <v>0</v>
      </c>
      <c r="AN220" s="4">
        <f t="shared" si="28"/>
        <v>0</v>
      </c>
      <c r="AO220" s="3"/>
      <c r="AP220">
        <v>0</v>
      </c>
      <c r="AR220" t="s">
        <v>0</v>
      </c>
      <c r="AT220" s="2" t="s">
        <v>6</v>
      </c>
      <c r="AU220" s="1">
        <f t="shared" si="29"/>
        <v>2.1246095939777367</v>
      </c>
      <c r="AV220" s="1">
        <f t="shared" si="30"/>
        <v>1.5175782814126693</v>
      </c>
      <c r="AW220" s="1">
        <f t="shared" si="31"/>
        <v>0.91054696884760156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1987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Young-Ok Cha</cp:lastModifiedBy>
  <dcterms:created xsi:type="dcterms:W3CDTF">2021-11-11T11:38:21Z</dcterms:created>
  <dcterms:modified xsi:type="dcterms:W3CDTF">2022-01-19T19:34:16Z</dcterms:modified>
</cp:coreProperties>
</file>