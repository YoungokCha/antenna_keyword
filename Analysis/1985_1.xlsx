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8055AE7D-4E27-B04B-B352-481C94CCDA20}" xr6:coauthVersionLast="47" xr6:coauthVersionMax="47" xr10:uidLastSave="{89815DA7-58A9-F644-A645-1422DB7C861B}"/>
  <bookViews>
    <workbookView xWindow="4340" yWindow="1240" windowWidth="27180" windowHeight="25100" xr2:uid="{13BFD9F1-03FC-1F4B-835F-58D723B3D823}"/>
  </bookViews>
  <sheets>
    <sheet name="1985"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2" i="1"/>
  <c r="S2" i="1" l="1"/>
  <c r="U2" i="1"/>
  <c r="AM2" i="1" s="1"/>
  <c r="S3" i="1"/>
  <c r="U3" i="1"/>
  <c r="AM3" i="1" s="1"/>
  <c r="S4" i="1"/>
  <c r="U4" i="1"/>
  <c r="AM4" i="1" s="1"/>
  <c r="AV4" i="1" s="1"/>
  <c r="S5" i="1"/>
  <c r="U5" i="1"/>
  <c r="AM5" i="1" s="1"/>
  <c r="S6" i="1"/>
  <c r="U6" i="1"/>
  <c r="AM6" i="1" s="1"/>
  <c r="AV6" i="1"/>
  <c r="S7" i="1"/>
  <c r="U7" i="1"/>
  <c r="AM7" i="1" s="1"/>
  <c r="S8" i="1"/>
  <c r="U8" i="1"/>
  <c r="AM8" i="1" s="1"/>
  <c r="AW8" i="1" s="1"/>
  <c r="S9" i="1"/>
  <c r="U9" i="1"/>
  <c r="AM9" i="1" s="1"/>
  <c r="S10" i="1"/>
  <c r="U10" i="1"/>
  <c r="AM10" i="1" s="1"/>
  <c r="S11" i="1"/>
  <c r="U11" i="1"/>
  <c r="AM11" i="1" s="1"/>
  <c r="AV11" i="1"/>
  <c r="S12" i="1"/>
  <c r="U12" i="1"/>
  <c r="AM12" i="1" s="1"/>
  <c r="S13" i="1"/>
  <c r="U13" i="1"/>
  <c r="AM13" i="1" s="1"/>
  <c r="S14" i="1"/>
  <c r="U14" i="1"/>
  <c r="AM14" i="1" s="1"/>
  <c r="AV14" i="1"/>
  <c r="S15" i="1"/>
  <c r="U15" i="1"/>
  <c r="AM15" i="1"/>
  <c r="AV15" i="1" s="1"/>
  <c r="S16" i="1"/>
  <c r="U16" i="1"/>
  <c r="AM16" i="1" s="1"/>
  <c r="S17" i="1"/>
  <c r="U17" i="1"/>
  <c r="AM17" i="1"/>
  <c r="AV17" i="1"/>
  <c r="S18" i="1"/>
  <c r="U18" i="1"/>
  <c r="AM18" i="1" s="1"/>
  <c r="S19" i="1"/>
  <c r="U19" i="1"/>
  <c r="AM19" i="1" s="1"/>
  <c r="S20" i="1"/>
  <c r="U20" i="1"/>
  <c r="AM20" i="1" s="1"/>
  <c r="S21" i="1"/>
  <c r="U21" i="1"/>
  <c r="AM21" i="1" s="1"/>
  <c r="S22" i="1"/>
  <c r="U22" i="1"/>
  <c r="AM22" i="1"/>
  <c r="S23" i="1"/>
  <c r="U23" i="1"/>
  <c r="AM23" i="1" s="1"/>
  <c r="S24" i="1"/>
  <c r="U24" i="1"/>
  <c r="AM24" i="1" s="1"/>
  <c r="AW24" i="1" s="1"/>
  <c r="S25" i="1"/>
  <c r="U25" i="1"/>
  <c r="AM25" i="1" s="1"/>
  <c r="AU25" i="1" s="1"/>
  <c r="S26" i="1"/>
  <c r="U26" i="1"/>
  <c r="AM26" i="1" s="1"/>
  <c r="AV26" i="1" s="1"/>
  <c r="S27" i="1"/>
  <c r="U27" i="1"/>
  <c r="AM27" i="1" s="1"/>
  <c r="S28" i="1"/>
  <c r="U28" i="1"/>
  <c r="AM28" i="1" s="1"/>
  <c r="S29" i="1"/>
  <c r="U29" i="1"/>
  <c r="AM29" i="1" s="1"/>
  <c r="S30" i="1"/>
  <c r="U30" i="1"/>
  <c r="AM30" i="1" s="1"/>
  <c r="S31" i="1"/>
  <c r="U31" i="1"/>
  <c r="AM31" i="1" s="1"/>
  <c r="S32" i="1"/>
  <c r="U32" i="1"/>
  <c r="AM32" i="1" s="1"/>
  <c r="S33" i="1"/>
  <c r="U33" i="1"/>
  <c r="AM33" i="1" s="1"/>
  <c r="S34" i="1"/>
  <c r="U34" i="1"/>
  <c r="AM34" i="1" s="1"/>
  <c r="S35" i="1"/>
  <c r="U35" i="1"/>
  <c r="AM35" i="1" s="1"/>
  <c r="S36" i="1"/>
  <c r="U36" i="1"/>
  <c r="AM36" i="1" s="1"/>
  <c r="S37" i="1"/>
  <c r="U37" i="1"/>
  <c r="AM37" i="1" s="1"/>
  <c r="S38" i="1"/>
  <c r="U38" i="1"/>
  <c r="AM38" i="1" s="1"/>
  <c r="S39" i="1"/>
  <c r="U39" i="1"/>
  <c r="AM39" i="1" s="1"/>
  <c r="S40" i="1"/>
  <c r="U40" i="1"/>
  <c r="AM40" i="1" s="1"/>
  <c r="S41" i="1"/>
  <c r="U41" i="1"/>
  <c r="AM41" i="1" s="1"/>
  <c r="S42" i="1"/>
  <c r="U42" i="1"/>
  <c r="AM42" i="1"/>
  <c r="S43" i="1"/>
  <c r="U43" i="1"/>
  <c r="AM43" i="1" s="1"/>
  <c r="S44" i="1"/>
  <c r="U44" i="1"/>
  <c r="AM44" i="1" s="1"/>
  <c r="AU44" i="1"/>
  <c r="S45" i="1"/>
  <c r="U45" i="1"/>
  <c r="AM45" i="1" s="1"/>
  <c r="S46" i="1"/>
  <c r="U46" i="1"/>
  <c r="AM46" i="1" s="1"/>
  <c r="S47" i="1"/>
  <c r="U47" i="1"/>
  <c r="AM47" i="1" s="1"/>
  <c r="S48" i="1"/>
  <c r="U48" i="1"/>
  <c r="AM48" i="1" s="1"/>
  <c r="S49" i="1"/>
  <c r="U49" i="1"/>
  <c r="AM49" i="1" s="1"/>
  <c r="AU49" i="1"/>
  <c r="S50" i="1"/>
  <c r="U50" i="1"/>
  <c r="AM50" i="1" s="1"/>
  <c r="S51" i="1"/>
  <c r="U51" i="1"/>
  <c r="AM51" i="1" s="1"/>
  <c r="S52" i="1"/>
  <c r="U52" i="1"/>
  <c r="AM52" i="1"/>
  <c r="S53" i="1"/>
  <c r="U53" i="1"/>
  <c r="AM53" i="1" s="1"/>
  <c r="S54" i="1"/>
  <c r="U54" i="1"/>
  <c r="AM54" i="1" s="1"/>
  <c r="S55" i="1"/>
  <c r="U55" i="1"/>
  <c r="AM55" i="1" s="1"/>
  <c r="S56" i="1"/>
  <c r="U56" i="1"/>
  <c r="AM56" i="1" s="1"/>
  <c r="S57" i="1"/>
  <c r="U57" i="1"/>
  <c r="AM57" i="1" s="1"/>
  <c r="S58" i="1"/>
  <c r="U58" i="1"/>
  <c r="AM58" i="1" s="1"/>
  <c r="S59" i="1"/>
  <c r="U59" i="1"/>
  <c r="AM59" i="1" s="1"/>
  <c r="S60" i="1"/>
  <c r="U60" i="1"/>
  <c r="AM60" i="1" s="1"/>
  <c r="S61" i="1"/>
  <c r="U61" i="1"/>
  <c r="AM61" i="1" s="1"/>
  <c r="AV61" i="1" s="1"/>
  <c r="S62" i="1"/>
  <c r="U62" i="1"/>
  <c r="AM62" i="1" s="1"/>
  <c r="S63" i="1"/>
  <c r="U63" i="1"/>
  <c r="AM63" i="1" s="1"/>
  <c r="S64" i="1"/>
  <c r="U64" i="1"/>
  <c r="AM64" i="1" s="1"/>
  <c r="AU64" i="1"/>
  <c r="S65" i="1"/>
  <c r="U65" i="1"/>
  <c r="AM65" i="1" s="1"/>
  <c r="S66" i="1"/>
  <c r="U66" i="1"/>
  <c r="AM66" i="1" s="1"/>
  <c r="S67" i="1"/>
  <c r="U67" i="1"/>
  <c r="AM67" i="1" s="1"/>
  <c r="S68" i="1"/>
  <c r="U68" i="1"/>
  <c r="AM68" i="1" s="1"/>
  <c r="S69" i="1"/>
  <c r="U69" i="1"/>
  <c r="AM69" i="1" s="1"/>
  <c r="AU69" i="1"/>
  <c r="S70" i="1"/>
  <c r="U70" i="1"/>
  <c r="AM70" i="1" s="1"/>
  <c r="S71" i="1"/>
  <c r="U71" i="1"/>
  <c r="AM71" i="1" s="1"/>
  <c r="S72" i="1"/>
  <c r="U72" i="1"/>
  <c r="AM72" i="1" s="1"/>
  <c r="S73" i="1"/>
  <c r="U73" i="1"/>
  <c r="AM73" i="1" s="1"/>
  <c r="S74" i="1"/>
  <c r="U74" i="1"/>
  <c r="AM74" i="1" s="1"/>
  <c r="S75" i="1"/>
  <c r="U75" i="1"/>
  <c r="AM75" i="1" s="1"/>
  <c r="S76" i="1"/>
  <c r="U76" i="1"/>
  <c r="AM76" i="1" s="1"/>
  <c r="S77" i="1"/>
  <c r="U77" i="1"/>
  <c r="AM77" i="1"/>
  <c r="S78" i="1"/>
  <c r="U78" i="1"/>
  <c r="AM78" i="1" s="1"/>
  <c r="S79" i="1"/>
  <c r="U79" i="1"/>
  <c r="AM79" i="1" s="1"/>
  <c r="S80" i="1"/>
  <c r="U80" i="1"/>
  <c r="AM80" i="1"/>
  <c r="S81" i="1"/>
  <c r="U81" i="1"/>
  <c r="AM81" i="1" s="1"/>
  <c r="S82" i="1"/>
  <c r="U82" i="1"/>
  <c r="AM82" i="1" s="1"/>
  <c r="S83" i="1"/>
  <c r="U83" i="1"/>
  <c r="AM83" i="1" s="1"/>
  <c r="S84" i="1"/>
  <c r="U84" i="1"/>
  <c r="AM84" i="1" s="1"/>
  <c r="S85" i="1"/>
  <c r="U85" i="1"/>
  <c r="AM85" i="1"/>
  <c r="S86" i="1"/>
  <c r="U86" i="1"/>
  <c r="AM86" i="1" s="1"/>
  <c r="S87" i="1"/>
  <c r="U87" i="1"/>
  <c r="AM87" i="1" s="1"/>
  <c r="S88" i="1"/>
  <c r="U88" i="1"/>
  <c r="AM88" i="1" s="1"/>
  <c r="S89" i="1"/>
  <c r="U89" i="1"/>
  <c r="AM89" i="1" s="1"/>
  <c r="S90" i="1"/>
  <c r="U90" i="1"/>
  <c r="AM90" i="1" s="1"/>
  <c r="S91" i="1"/>
  <c r="U91" i="1"/>
  <c r="AM91" i="1" s="1"/>
  <c r="S92" i="1"/>
  <c r="U92" i="1"/>
  <c r="AM92" i="1" s="1"/>
  <c r="S93" i="1"/>
  <c r="U93" i="1"/>
  <c r="AM93" i="1" s="1"/>
  <c r="S94" i="1"/>
  <c r="U94" i="1"/>
  <c r="AM94" i="1" s="1"/>
  <c r="S95" i="1"/>
  <c r="U95" i="1"/>
  <c r="AM95" i="1" s="1"/>
  <c r="AV95" i="1" s="1"/>
  <c r="S96" i="1"/>
  <c r="U96" i="1"/>
  <c r="AM96" i="1" s="1"/>
  <c r="AV96" i="1"/>
  <c r="S97" i="1"/>
  <c r="U97" i="1"/>
  <c r="AM97" i="1" s="1"/>
  <c r="AU97" i="1" s="1"/>
  <c r="S98" i="1"/>
  <c r="U98" i="1"/>
  <c r="AM98" i="1" s="1"/>
  <c r="S99" i="1"/>
  <c r="U99" i="1"/>
  <c r="AM99" i="1" s="1"/>
  <c r="S100" i="1"/>
  <c r="U100" i="1"/>
  <c r="AM100" i="1" s="1"/>
  <c r="AV100" i="1" s="1"/>
  <c r="S101" i="1"/>
  <c r="U101" i="1"/>
  <c r="AM101" i="1" s="1"/>
  <c r="S102" i="1"/>
  <c r="U102" i="1"/>
  <c r="AV102" i="1"/>
  <c r="AM102" i="1"/>
  <c r="S103" i="1"/>
  <c r="U103" i="1"/>
  <c r="AM103" i="1" s="1"/>
  <c r="AV103" i="1"/>
  <c r="S104" i="1"/>
  <c r="U104" i="1"/>
  <c r="AM104" i="1" s="1"/>
  <c r="S105" i="1"/>
  <c r="U105" i="1"/>
  <c r="AM105" i="1" s="1"/>
  <c r="S106" i="1"/>
  <c r="U106" i="1"/>
  <c r="AM106" i="1" s="1"/>
  <c r="S107" i="1"/>
  <c r="U107" i="1"/>
  <c r="AV107" i="1"/>
  <c r="AM107" i="1"/>
  <c r="S108" i="1"/>
  <c r="U108" i="1"/>
  <c r="AM108" i="1" s="1"/>
  <c r="S109" i="1"/>
  <c r="U109" i="1"/>
  <c r="AM109" i="1" s="1"/>
  <c r="S110" i="1"/>
  <c r="U110" i="1"/>
  <c r="AM110" i="1" s="1"/>
  <c r="AV110" i="1"/>
  <c r="S111" i="1"/>
  <c r="U111" i="1"/>
  <c r="AM111" i="1" s="1"/>
  <c r="AV111" i="1"/>
  <c r="S112" i="1"/>
  <c r="U112" i="1"/>
  <c r="AM112" i="1" s="1"/>
  <c r="AU112" i="1" s="1"/>
  <c r="S113" i="1"/>
  <c r="U113" i="1"/>
  <c r="AM113" i="1" s="1"/>
  <c r="S114" i="1"/>
  <c r="U114" i="1"/>
  <c r="AM114" i="1" s="1"/>
  <c r="S115" i="1"/>
  <c r="U115" i="1"/>
  <c r="AM115" i="1" s="1"/>
  <c r="S116" i="1"/>
  <c r="U116" i="1"/>
  <c r="AM116" i="1" s="1"/>
  <c r="S117" i="1"/>
  <c r="U117" i="1"/>
  <c r="AM117" i="1"/>
  <c r="AU117" i="1" s="1"/>
  <c r="S118" i="1"/>
  <c r="U118" i="1"/>
  <c r="AM118" i="1" s="1"/>
  <c r="AW118" i="1" s="1"/>
  <c r="S119" i="1"/>
  <c r="U119" i="1"/>
  <c r="AM119" i="1" s="1"/>
  <c r="S120" i="1"/>
  <c r="U120" i="1"/>
  <c r="AM120" i="1" s="1"/>
  <c r="AV120" i="1"/>
  <c r="S121" i="1"/>
  <c r="U121" i="1"/>
  <c r="AM121" i="1" s="1"/>
  <c r="S122" i="1"/>
  <c r="U122" i="1"/>
  <c r="AM122" i="1"/>
  <c r="AU122" i="1" s="1"/>
  <c r="S123" i="1"/>
  <c r="U123" i="1"/>
  <c r="AM123" i="1" s="1"/>
  <c r="S124" i="1"/>
  <c r="U124" i="1"/>
  <c r="AM124" i="1" s="1"/>
  <c r="S125" i="1"/>
  <c r="U125" i="1"/>
  <c r="AM125" i="1" s="1"/>
  <c r="S126" i="1"/>
  <c r="U126" i="1"/>
  <c r="AM126" i="1" s="1"/>
  <c r="S127" i="1"/>
  <c r="U127" i="1"/>
  <c r="AM127" i="1"/>
  <c r="AU127" i="1" s="1"/>
  <c r="S128" i="1"/>
  <c r="U128" i="1"/>
  <c r="AM128" i="1" s="1"/>
  <c r="S129" i="1"/>
  <c r="U129" i="1"/>
  <c r="AM129" i="1" s="1"/>
  <c r="S130" i="1"/>
  <c r="U130" i="1"/>
  <c r="AM130" i="1" s="1"/>
  <c r="AV130" i="1"/>
  <c r="S131" i="1"/>
  <c r="U131" i="1"/>
  <c r="AM131" i="1"/>
  <c r="S132" i="1"/>
  <c r="U132" i="1"/>
  <c r="AM132" i="1" s="1"/>
  <c r="AV132" i="1" s="1"/>
  <c r="S133" i="1"/>
  <c r="U133" i="1"/>
  <c r="AM133" i="1" s="1"/>
  <c r="S134" i="1"/>
  <c r="U134" i="1"/>
  <c r="AM134" i="1" s="1"/>
  <c r="S135" i="1"/>
  <c r="U135" i="1"/>
  <c r="AM135" i="1" s="1"/>
  <c r="S136" i="1"/>
  <c r="U136" i="1"/>
  <c r="AM136" i="1"/>
  <c r="AU136" i="1" s="1"/>
  <c r="S137" i="1"/>
  <c r="U137" i="1"/>
  <c r="AM137" i="1" s="1"/>
  <c r="S138" i="1"/>
  <c r="U138" i="1"/>
  <c r="AM138" i="1" s="1"/>
  <c r="S139" i="1"/>
  <c r="U139" i="1"/>
  <c r="AM139" i="1" s="1"/>
  <c r="S140" i="1"/>
  <c r="U140" i="1"/>
  <c r="AM140" i="1" s="1"/>
  <c r="AV140" i="1" s="1"/>
  <c r="S141" i="1"/>
  <c r="U141" i="1"/>
  <c r="AM141" i="1" s="1"/>
  <c r="S142" i="1"/>
  <c r="U142" i="1"/>
  <c r="AM142" i="1" s="1"/>
  <c r="AU142" i="1"/>
  <c r="S143" i="1"/>
  <c r="U143" i="1"/>
  <c r="AM143" i="1" s="1"/>
  <c r="S144" i="1"/>
  <c r="U144" i="1"/>
  <c r="AM144" i="1" s="1"/>
  <c r="S145" i="1"/>
  <c r="U145" i="1"/>
  <c r="AM145" i="1" s="1"/>
  <c r="S146" i="1"/>
  <c r="U146" i="1"/>
  <c r="AM146" i="1" s="1"/>
  <c r="S147" i="1"/>
  <c r="U147" i="1"/>
  <c r="AM147" i="1" s="1"/>
  <c r="S148" i="1"/>
  <c r="U148" i="1"/>
  <c r="AM148" i="1" s="1"/>
  <c r="AV148" i="1" s="1"/>
  <c r="S149" i="1"/>
  <c r="U149" i="1"/>
  <c r="AM149" i="1" s="1"/>
  <c r="S150" i="1"/>
  <c r="U150" i="1"/>
  <c r="AM150" i="1" s="1"/>
  <c r="AW150" i="1"/>
  <c r="S151" i="1"/>
  <c r="U151" i="1"/>
  <c r="AM151" i="1" s="1"/>
  <c r="S152" i="1"/>
  <c r="U152" i="1"/>
  <c r="AM152" i="1" s="1"/>
  <c r="S153" i="1"/>
  <c r="U153" i="1"/>
  <c r="AM153" i="1" s="1"/>
  <c r="AU153" i="1" s="1"/>
  <c r="S154" i="1"/>
  <c r="U154" i="1"/>
  <c r="AM154" i="1" s="1"/>
  <c r="S155" i="1"/>
  <c r="U155" i="1"/>
  <c r="AM155" i="1" s="1"/>
  <c r="S156" i="1"/>
  <c r="U156" i="1"/>
  <c r="AM156" i="1" s="1"/>
  <c r="AV156" i="1" s="1"/>
  <c r="S157" i="1"/>
  <c r="U157" i="1"/>
  <c r="AM157" i="1" s="1"/>
  <c r="AU157" i="1" s="1"/>
  <c r="S158" i="1"/>
  <c r="U158" i="1"/>
  <c r="AM158" i="1" s="1"/>
  <c r="S159" i="1"/>
  <c r="U159" i="1"/>
  <c r="AM159" i="1" s="1"/>
  <c r="S160" i="1"/>
  <c r="U160" i="1"/>
  <c r="AM160" i="1" s="1"/>
  <c r="S161" i="1"/>
  <c r="U161" i="1"/>
  <c r="AM161" i="1" s="1"/>
  <c r="AV161" i="1" s="1"/>
  <c r="S162" i="1"/>
  <c r="U162" i="1"/>
  <c r="AM162" i="1"/>
  <c r="S163" i="1"/>
  <c r="U163" i="1"/>
  <c r="AM163" i="1"/>
  <c r="AV163" i="1"/>
  <c r="S164" i="1"/>
  <c r="U164" i="1"/>
  <c r="AM164" i="1" s="1"/>
  <c r="AW164" i="1"/>
  <c r="S165" i="1"/>
  <c r="U165" i="1"/>
  <c r="AM165" i="1" s="1"/>
  <c r="AU165" i="1" s="1"/>
  <c r="S166" i="1"/>
  <c r="U166" i="1"/>
  <c r="AM166" i="1" s="1"/>
  <c r="AV166" i="1" s="1"/>
  <c r="S167" i="1"/>
  <c r="U167" i="1"/>
  <c r="AM167" i="1" s="1"/>
  <c r="AU167" i="1" s="1"/>
  <c r="S168" i="1"/>
  <c r="U168" i="1"/>
  <c r="AM168" i="1" s="1"/>
  <c r="S169" i="1"/>
  <c r="U169" i="1"/>
  <c r="AM169" i="1" s="1"/>
  <c r="S170" i="1"/>
  <c r="U170" i="1"/>
  <c r="AM170" i="1" s="1"/>
  <c r="S171" i="1"/>
  <c r="U171" i="1"/>
  <c r="AM171" i="1" s="1"/>
  <c r="S172" i="1"/>
  <c r="U172" i="1"/>
  <c r="AM172" i="1" s="1"/>
  <c r="S173" i="1"/>
  <c r="U173" i="1"/>
  <c r="AM173" i="1" s="1"/>
  <c r="S174" i="1"/>
  <c r="U174" i="1"/>
  <c r="AM174" i="1" s="1"/>
  <c r="AW174" i="1"/>
  <c r="S175" i="1"/>
  <c r="U175" i="1"/>
  <c r="AM175" i="1" s="1"/>
  <c r="S176" i="1"/>
  <c r="U176" i="1"/>
  <c r="AM176" i="1" s="1"/>
  <c r="S177" i="1"/>
  <c r="U177" i="1"/>
  <c r="AM177" i="1"/>
  <c r="S178" i="1"/>
  <c r="U178" i="1"/>
  <c r="AM178" i="1" s="1"/>
  <c r="AV178" i="1" s="1"/>
  <c r="AW178" i="1"/>
  <c r="S179" i="1"/>
  <c r="U179" i="1"/>
  <c r="AM179" i="1" s="1"/>
  <c r="S180" i="1"/>
  <c r="U180" i="1"/>
  <c r="AM180" i="1"/>
  <c r="S181" i="1"/>
  <c r="U181" i="1"/>
  <c r="AM181" i="1" s="1"/>
  <c r="AV181" i="1"/>
  <c r="S182" i="1"/>
  <c r="U182" i="1"/>
  <c r="AM182" i="1" s="1"/>
  <c r="S183" i="1"/>
  <c r="U183" i="1"/>
  <c r="AM183" i="1" s="1"/>
  <c r="S184" i="1"/>
  <c r="U184" i="1"/>
  <c r="AM184" i="1" s="1"/>
  <c r="AV184" i="1"/>
  <c r="S185" i="1"/>
  <c r="U185" i="1"/>
  <c r="AM185" i="1"/>
  <c r="S186" i="1"/>
  <c r="U186" i="1"/>
  <c r="AM186" i="1" s="1"/>
  <c r="AU186" i="1" s="1"/>
  <c r="S187" i="1"/>
  <c r="U187" i="1"/>
  <c r="AM187" i="1" s="1"/>
  <c r="S188" i="1"/>
  <c r="U188" i="1"/>
  <c r="AM188" i="1" s="1"/>
  <c r="S189" i="1"/>
  <c r="U189" i="1"/>
  <c r="AM189" i="1" s="1"/>
  <c r="AV189" i="1" s="1"/>
  <c r="S190" i="1"/>
  <c r="U190" i="1"/>
  <c r="AM190" i="1" s="1"/>
  <c r="AV190" i="1" s="1"/>
  <c r="S191" i="1"/>
  <c r="U191" i="1"/>
  <c r="AM191" i="1" s="1"/>
  <c r="S192" i="1"/>
  <c r="U192" i="1"/>
  <c r="AM192" i="1" s="1"/>
  <c r="S193" i="1"/>
  <c r="U193" i="1"/>
  <c r="AM193" i="1" s="1"/>
  <c r="AU193" i="1" s="1"/>
  <c r="S194" i="1"/>
  <c r="U194" i="1"/>
  <c r="AM194" i="1" s="1"/>
  <c r="AV194" i="1" s="1"/>
  <c r="S195" i="1"/>
  <c r="U195" i="1"/>
  <c r="AM195" i="1" s="1"/>
  <c r="S196" i="1"/>
  <c r="U196" i="1"/>
  <c r="AM196" i="1" s="1"/>
  <c r="S197" i="1"/>
  <c r="U197" i="1"/>
  <c r="AM197" i="1" s="1"/>
  <c r="S198" i="1"/>
  <c r="U198" i="1"/>
  <c r="AM198" i="1" s="1"/>
  <c r="S199" i="1"/>
  <c r="U199" i="1"/>
  <c r="AM199" i="1" s="1"/>
  <c r="S200" i="1"/>
  <c r="U200" i="1"/>
  <c r="AM200" i="1"/>
  <c r="AU200" i="1" s="1"/>
  <c r="S201" i="1"/>
  <c r="U201" i="1"/>
  <c r="AM201" i="1" s="1"/>
  <c r="AV201" i="1" s="1"/>
  <c r="S202" i="1"/>
  <c r="U202" i="1"/>
  <c r="AM202" i="1" s="1"/>
  <c r="S203" i="1"/>
  <c r="U203" i="1"/>
  <c r="AM203" i="1" s="1"/>
  <c r="S204" i="1"/>
  <c r="U204" i="1"/>
  <c r="AM204" i="1" s="1"/>
  <c r="AV204" i="1"/>
  <c r="S205" i="1"/>
  <c r="U205" i="1"/>
  <c r="AM205" i="1" s="1"/>
  <c r="S206" i="1"/>
  <c r="U206" i="1"/>
  <c r="AM206" i="1"/>
  <c r="AU206" i="1" s="1"/>
  <c r="S207" i="1"/>
  <c r="U207" i="1"/>
  <c r="AM207" i="1"/>
  <c r="S208" i="1"/>
  <c r="U208" i="1"/>
  <c r="AM208" i="1" s="1"/>
  <c r="AW208" i="1"/>
  <c r="S209" i="1"/>
  <c r="U209" i="1"/>
  <c r="AM209" i="1" s="1"/>
  <c r="AV209" i="1" s="1"/>
  <c r="S210" i="1"/>
  <c r="U210" i="1"/>
  <c r="AM210" i="1"/>
  <c r="S211" i="1"/>
  <c r="U211" i="1"/>
  <c r="AM211" i="1"/>
  <c r="S212" i="1"/>
  <c r="U212" i="1"/>
  <c r="AM212" i="1"/>
  <c r="S213" i="1"/>
  <c r="U213" i="1"/>
  <c r="AM213" i="1" s="1"/>
  <c r="S214" i="1"/>
  <c r="U214" i="1"/>
  <c r="AM214" i="1" s="1"/>
  <c r="AV214" i="1" s="1"/>
  <c r="S215" i="1"/>
  <c r="U215" i="1"/>
  <c r="AM215" i="1"/>
  <c r="AU215" i="1" s="1"/>
  <c r="S216" i="1"/>
  <c r="U216" i="1"/>
  <c r="AM216" i="1"/>
  <c r="S217" i="1"/>
  <c r="U217" i="1"/>
  <c r="AM217" i="1" s="1"/>
  <c r="S218" i="1"/>
  <c r="U218" i="1"/>
  <c r="AM218" i="1" s="1"/>
  <c r="AW218" i="1" s="1"/>
  <c r="S219" i="1"/>
  <c r="U219" i="1"/>
  <c r="AM219" i="1" s="1"/>
  <c r="S220" i="1"/>
  <c r="U220" i="1"/>
  <c r="AM220" i="1" s="1"/>
  <c r="S221" i="1"/>
  <c r="U221" i="1"/>
  <c r="AM221" i="1" s="1"/>
  <c r="S222" i="1"/>
  <c r="U222" i="1"/>
  <c r="AM222" i="1" s="1"/>
  <c r="S223" i="1"/>
  <c r="U223" i="1"/>
  <c r="AM223" i="1" s="1"/>
  <c r="S224" i="1"/>
  <c r="U224" i="1"/>
  <c r="AM224" i="1" s="1"/>
  <c r="AW224" i="1" s="1"/>
  <c r="S225" i="1"/>
  <c r="U225" i="1"/>
  <c r="AM225" i="1"/>
  <c r="S226" i="1"/>
  <c r="U226" i="1"/>
  <c r="AM226" i="1" s="1"/>
  <c r="AU226" i="1"/>
  <c r="S227" i="1"/>
  <c r="U227" i="1"/>
  <c r="AM227" i="1" s="1"/>
  <c r="S228" i="1"/>
  <c r="U228" i="1"/>
  <c r="AM228" i="1" s="1"/>
  <c r="AU228" i="1"/>
  <c r="S229" i="1"/>
  <c r="U229" i="1"/>
  <c r="AM229" i="1" s="1"/>
  <c r="S230" i="1"/>
  <c r="U230" i="1"/>
  <c r="AM230" i="1" s="1"/>
  <c r="S231" i="1"/>
  <c r="U231" i="1"/>
  <c r="AM231" i="1" s="1"/>
  <c r="S232" i="1"/>
  <c r="U232" i="1"/>
  <c r="AM232" i="1" s="1"/>
  <c r="S233" i="1"/>
  <c r="U233" i="1"/>
  <c r="AM233" i="1" s="1"/>
  <c r="S234" i="1"/>
  <c r="U234" i="1"/>
  <c r="AM234" i="1" s="1"/>
  <c r="S235" i="1"/>
  <c r="U235" i="1"/>
  <c r="AM235" i="1" s="1"/>
  <c r="S236" i="1"/>
  <c r="U236" i="1"/>
  <c r="AM236" i="1"/>
  <c r="S237" i="1"/>
  <c r="U237" i="1"/>
  <c r="AM237" i="1" s="1"/>
  <c r="AU237" i="1" s="1"/>
  <c r="S238" i="1"/>
  <c r="U238" i="1"/>
  <c r="AM238" i="1" s="1"/>
  <c r="S239" i="1"/>
  <c r="U239" i="1"/>
  <c r="AM239" i="1" s="1"/>
  <c r="S240" i="1"/>
  <c r="U240" i="1"/>
  <c r="AM240" i="1" s="1"/>
  <c r="S241" i="1"/>
  <c r="U241" i="1"/>
  <c r="AM241" i="1" s="1"/>
  <c r="S242" i="1"/>
  <c r="U242" i="1"/>
  <c r="AM242" i="1" s="1"/>
  <c r="S243" i="1"/>
  <c r="U243" i="1"/>
  <c r="AM243" i="1"/>
  <c r="AW243" i="1" s="1"/>
  <c r="S244" i="1"/>
  <c r="U244" i="1"/>
  <c r="AM244" i="1" s="1"/>
  <c r="S245" i="1"/>
  <c r="U245" i="1"/>
  <c r="AM245" i="1"/>
  <c r="S246" i="1"/>
  <c r="U246" i="1"/>
  <c r="AM246" i="1"/>
  <c r="S247" i="1"/>
  <c r="U247" i="1"/>
  <c r="AM247" i="1" s="1"/>
  <c r="S248" i="1"/>
  <c r="U248" i="1"/>
  <c r="AM248" i="1" s="1"/>
  <c r="S249" i="1"/>
  <c r="U249" i="1"/>
  <c r="AM249" i="1" s="1"/>
  <c r="S250" i="1"/>
  <c r="U250" i="1"/>
  <c r="AM250" i="1" s="1"/>
  <c r="S251" i="1"/>
  <c r="U251" i="1"/>
  <c r="AM251" i="1"/>
  <c r="S252" i="1"/>
  <c r="U252" i="1"/>
  <c r="AM252" i="1"/>
  <c r="S253" i="1"/>
  <c r="U253" i="1"/>
  <c r="AM253" i="1" s="1"/>
  <c r="S254" i="1"/>
  <c r="U254" i="1"/>
  <c r="AM254" i="1" s="1"/>
  <c r="S255" i="1"/>
  <c r="U255" i="1"/>
  <c r="AM255" i="1" s="1"/>
  <c r="S256" i="1"/>
  <c r="U256" i="1"/>
  <c r="AM256" i="1" s="1"/>
  <c r="AU256" i="1" s="1"/>
  <c r="S257" i="1"/>
  <c r="U257" i="1"/>
  <c r="AM257" i="1" s="1"/>
  <c r="S258" i="1"/>
  <c r="U258" i="1"/>
  <c r="AM258" i="1" s="1"/>
  <c r="S259" i="1"/>
  <c r="U259" i="1"/>
  <c r="AM259" i="1" s="1"/>
  <c r="S260" i="1"/>
  <c r="U260" i="1"/>
  <c r="AM260" i="1" s="1"/>
  <c r="S261" i="1"/>
  <c r="U261" i="1"/>
  <c r="AM261" i="1"/>
  <c r="S262" i="1"/>
  <c r="U262" i="1"/>
  <c r="AM262" i="1"/>
  <c r="AW262" i="1" s="1"/>
  <c r="S263" i="1"/>
  <c r="U263" i="1"/>
  <c r="AM263" i="1" s="1"/>
  <c r="AU263" i="1"/>
  <c r="S264" i="1"/>
  <c r="U264" i="1"/>
  <c r="AM264" i="1" s="1"/>
  <c r="AW264" i="1"/>
  <c r="S265" i="1"/>
  <c r="U265" i="1"/>
  <c r="AM265" i="1" s="1"/>
  <c r="S266" i="1"/>
  <c r="U266" i="1"/>
  <c r="AM266" i="1"/>
  <c r="S267" i="1"/>
  <c r="U267" i="1"/>
  <c r="AM267" i="1" s="1"/>
  <c r="S268" i="1"/>
  <c r="U268" i="1"/>
  <c r="AM268" i="1" s="1"/>
  <c r="S269" i="1"/>
  <c r="U269" i="1"/>
  <c r="AM269" i="1"/>
  <c r="S270" i="1"/>
  <c r="U270" i="1"/>
  <c r="AM270" i="1" s="1"/>
  <c r="S271" i="1"/>
  <c r="U271" i="1"/>
  <c r="AM271" i="1" s="1"/>
  <c r="S272" i="1"/>
  <c r="U272" i="1"/>
  <c r="AM272" i="1" s="1"/>
  <c r="S273" i="1"/>
  <c r="U273" i="1"/>
  <c r="AM273" i="1" s="1"/>
  <c r="AV273" i="1" s="1"/>
  <c r="S274" i="1"/>
  <c r="U274" i="1"/>
  <c r="AM274" i="1" s="1"/>
  <c r="S275" i="1"/>
  <c r="U275" i="1"/>
  <c r="AM275" i="1" s="1"/>
  <c r="S276" i="1"/>
  <c r="U276" i="1"/>
  <c r="AM276" i="1" s="1"/>
  <c r="S277" i="1"/>
  <c r="U277" i="1"/>
  <c r="AM277" i="1" s="1"/>
  <c r="AV277" i="1"/>
  <c r="S278" i="1"/>
  <c r="U278" i="1"/>
  <c r="AM278" i="1" s="1"/>
  <c r="S279" i="1"/>
  <c r="U279" i="1"/>
  <c r="AM279" i="1"/>
  <c r="S280" i="1"/>
  <c r="U280" i="1"/>
  <c r="AM280" i="1" s="1"/>
  <c r="S281" i="1"/>
  <c r="U281" i="1"/>
  <c r="AM281" i="1" s="1"/>
  <c r="AW281" i="1"/>
  <c r="S282" i="1"/>
  <c r="U282" i="1"/>
  <c r="AM282" i="1" s="1"/>
  <c r="S283" i="1"/>
  <c r="U283" i="1"/>
  <c r="AM283" i="1" s="1"/>
  <c r="AU283" i="1"/>
  <c r="S284" i="1"/>
  <c r="U284" i="1"/>
  <c r="AM284" i="1" s="1"/>
  <c r="AW284" i="1"/>
  <c r="S285" i="1"/>
  <c r="U285" i="1"/>
  <c r="AM285" i="1"/>
  <c r="S286" i="1"/>
  <c r="U286" i="1"/>
  <c r="AM286" i="1" s="1"/>
  <c r="S287" i="1"/>
  <c r="U287" i="1"/>
  <c r="AM287" i="1" s="1"/>
  <c r="S288" i="1"/>
  <c r="U288" i="1"/>
  <c r="AM288" i="1" s="1"/>
  <c r="AU288" i="1"/>
  <c r="S289" i="1"/>
  <c r="U289" i="1"/>
  <c r="AM289" i="1" s="1"/>
  <c r="S290" i="1"/>
  <c r="U290" i="1"/>
  <c r="AM290" i="1"/>
  <c r="S291" i="1"/>
  <c r="U291" i="1"/>
  <c r="AM291" i="1"/>
  <c r="AV291" i="1" s="1"/>
  <c r="S292" i="1"/>
  <c r="U292" i="1"/>
  <c r="AM292" i="1" s="1"/>
  <c r="AV292" i="1"/>
  <c r="S293" i="1"/>
  <c r="U293" i="1"/>
  <c r="AM293" i="1" s="1"/>
  <c r="AV293" i="1" s="1"/>
  <c r="S294" i="1"/>
  <c r="U294" i="1"/>
  <c r="AM294" i="1" s="1"/>
  <c r="S295" i="1"/>
  <c r="U295" i="1"/>
  <c r="AM295" i="1"/>
  <c r="S296" i="1"/>
  <c r="U296" i="1"/>
  <c r="AM296" i="1" s="1"/>
  <c r="AW296" i="1"/>
  <c r="S297" i="1"/>
  <c r="U297" i="1"/>
  <c r="AM297" i="1" s="1"/>
  <c r="S298" i="1"/>
  <c r="U298" i="1"/>
  <c r="AM298" i="1" s="1"/>
  <c r="S299" i="1"/>
  <c r="U299" i="1"/>
  <c r="AM299" i="1" s="1"/>
  <c r="AU299" i="1" s="1"/>
  <c r="AV299" i="1"/>
  <c r="S300" i="1"/>
  <c r="U300" i="1"/>
  <c r="AM300" i="1" s="1"/>
  <c r="S301" i="1"/>
  <c r="U301" i="1"/>
  <c r="AM301" i="1" s="1"/>
  <c r="S302" i="1"/>
  <c r="U302" i="1"/>
  <c r="AM302" i="1" s="1"/>
  <c r="AV302" i="1" s="1"/>
  <c r="S303" i="1"/>
  <c r="U303" i="1"/>
  <c r="AM303" i="1" s="1"/>
  <c r="S304" i="1"/>
  <c r="U304" i="1"/>
  <c r="AM304" i="1" s="1"/>
  <c r="S305" i="1"/>
  <c r="U305" i="1"/>
  <c r="AM305" i="1" s="1"/>
  <c r="S306" i="1"/>
  <c r="U306" i="1"/>
  <c r="AM306" i="1" s="1"/>
  <c r="S307" i="1"/>
  <c r="U307" i="1"/>
  <c r="AM307" i="1" s="1"/>
  <c r="AU307" i="1"/>
  <c r="S308" i="1"/>
  <c r="U308" i="1"/>
  <c r="AM308" i="1" s="1"/>
  <c r="S309" i="1"/>
  <c r="U309" i="1"/>
  <c r="AM309" i="1" s="1"/>
  <c r="S310" i="1"/>
  <c r="U310" i="1"/>
  <c r="AM310" i="1" s="1"/>
  <c r="S311" i="1"/>
  <c r="U311" i="1"/>
  <c r="AM311" i="1" s="1"/>
  <c r="S312" i="1"/>
  <c r="U312" i="1"/>
  <c r="AM312" i="1" s="1"/>
  <c r="S313" i="1"/>
  <c r="U313" i="1"/>
  <c r="AM313" i="1" s="1"/>
  <c r="AU313" i="1"/>
  <c r="S314" i="1"/>
  <c r="U314" i="1"/>
  <c r="AM314" i="1" s="1"/>
  <c r="AW314" i="1" s="1"/>
  <c r="S315" i="1"/>
  <c r="U315" i="1"/>
  <c r="AM315" i="1" s="1"/>
  <c r="S316" i="1"/>
  <c r="U316" i="1"/>
  <c r="AM316" i="1" s="1"/>
  <c r="AV316" i="1" s="1"/>
  <c r="S317" i="1"/>
  <c r="U317" i="1"/>
  <c r="AM317" i="1" s="1"/>
  <c r="S318" i="1"/>
  <c r="U318" i="1"/>
  <c r="AM318" i="1" s="1"/>
  <c r="AU318" i="1"/>
  <c r="S319" i="1"/>
  <c r="U319" i="1"/>
  <c r="AM319" i="1"/>
  <c r="S320" i="1"/>
  <c r="U320" i="1"/>
  <c r="AM320" i="1" s="1"/>
  <c r="S321" i="1"/>
  <c r="U321" i="1"/>
  <c r="AM321" i="1" s="1"/>
  <c r="S322" i="1"/>
  <c r="U322" i="1"/>
  <c r="AM322" i="1" s="1"/>
  <c r="S323" i="1"/>
  <c r="U323" i="1"/>
  <c r="AM323" i="1" s="1"/>
  <c r="S324" i="1"/>
  <c r="U324" i="1"/>
  <c r="AM324" i="1"/>
  <c r="S325" i="1"/>
  <c r="U325" i="1"/>
  <c r="AM325" i="1" s="1"/>
  <c r="AV325" i="1"/>
  <c r="S326" i="1"/>
  <c r="U326" i="1"/>
  <c r="AM326" i="1" s="1"/>
  <c r="S327" i="1"/>
  <c r="U327" i="1"/>
  <c r="AM327" i="1" s="1"/>
  <c r="S328" i="1"/>
  <c r="U328" i="1"/>
  <c r="AM328" i="1" s="1"/>
  <c r="S329" i="1"/>
  <c r="U329" i="1"/>
  <c r="AM329" i="1" s="1"/>
  <c r="AU329" i="1"/>
  <c r="S330" i="1"/>
  <c r="U330" i="1"/>
  <c r="AM330" i="1" s="1"/>
  <c r="S331" i="1"/>
  <c r="U331" i="1"/>
  <c r="AM331" i="1" s="1"/>
  <c r="AW331" i="1" s="1"/>
  <c r="AV331" i="1"/>
  <c r="S332" i="1"/>
  <c r="U332" i="1"/>
  <c r="AM332" i="1" s="1"/>
  <c r="S333" i="1"/>
  <c r="U333" i="1"/>
  <c r="AM333" i="1" s="1"/>
  <c r="S334" i="1"/>
  <c r="U334" i="1"/>
  <c r="AM334" i="1" s="1"/>
  <c r="S335" i="1"/>
  <c r="U335" i="1"/>
  <c r="AM335" i="1" s="1"/>
  <c r="S336" i="1"/>
  <c r="U336" i="1"/>
  <c r="AM336" i="1" s="1"/>
  <c r="S337" i="1"/>
  <c r="U337" i="1"/>
  <c r="AM337" i="1" s="1"/>
  <c r="S338" i="1"/>
  <c r="U338" i="1"/>
  <c r="AM338" i="1" s="1"/>
  <c r="AV338" i="1"/>
  <c r="S339" i="1"/>
  <c r="U339" i="1"/>
  <c r="AM339" i="1" s="1"/>
  <c r="S340" i="1"/>
  <c r="U340" i="1"/>
  <c r="AM340" i="1" s="1"/>
  <c r="S341" i="1"/>
  <c r="U341" i="1"/>
  <c r="AM341" i="1" s="1"/>
  <c r="AV341" i="1"/>
  <c r="S342" i="1"/>
  <c r="U342" i="1"/>
  <c r="AM342" i="1" s="1"/>
  <c r="S343" i="1"/>
  <c r="U343" i="1"/>
  <c r="AM343" i="1" s="1"/>
  <c r="AU343" i="1"/>
  <c r="S344" i="1"/>
  <c r="U344" i="1"/>
  <c r="AM344" i="1"/>
  <c r="S345" i="1"/>
  <c r="U345" i="1"/>
  <c r="AM345" i="1" s="1"/>
  <c r="S346" i="1"/>
  <c r="U346" i="1"/>
  <c r="AM346" i="1" s="1"/>
  <c r="S347" i="1"/>
  <c r="U347" i="1"/>
  <c r="AM347" i="1" s="1"/>
  <c r="S348" i="1"/>
  <c r="U348" i="1"/>
  <c r="AM348" i="1" s="1"/>
  <c r="S349" i="1"/>
  <c r="U349" i="1"/>
  <c r="AM349" i="1" s="1"/>
  <c r="S350" i="1"/>
  <c r="U350" i="1"/>
  <c r="AM350" i="1" s="1"/>
  <c r="S351" i="1"/>
  <c r="U351" i="1"/>
  <c r="AM351" i="1" s="1"/>
  <c r="S352" i="1"/>
  <c r="U352" i="1"/>
  <c r="AM352" i="1"/>
  <c r="AU352" i="1" s="1"/>
  <c r="S353" i="1"/>
  <c r="U353" i="1"/>
  <c r="AM353" i="1" s="1"/>
  <c r="S354" i="1"/>
  <c r="U354" i="1"/>
  <c r="AM354" i="1" s="1"/>
  <c r="S355" i="1"/>
  <c r="U355" i="1"/>
  <c r="AM355" i="1"/>
  <c r="AV355" i="1" s="1"/>
  <c r="S356" i="1"/>
  <c r="U356" i="1"/>
  <c r="AM356" i="1" s="1"/>
  <c r="S357" i="1"/>
  <c r="U357" i="1"/>
  <c r="AM357" i="1" s="1"/>
  <c r="S358" i="1"/>
  <c r="U358" i="1"/>
  <c r="AM358" i="1" s="1"/>
  <c r="AU358" i="1"/>
  <c r="S359" i="1"/>
  <c r="U359" i="1"/>
  <c r="AM359" i="1" s="1"/>
  <c r="S360" i="1"/>
  <c r="U360" i="1"/>
  <c r="AM360" i="1"/>
  <c r="AV360" i="1" s="1"/>
  <c r="S361" i="1"/>
  <c r="U361" i="1"/>
  <c r="AM361" i="1" s="1"/>
  <c r="S362" i="1"/>
  <c r="U362" i="1"/>
  <c r="AM362" i="1" s="1"/>
  <c r="AV362" i="1" s="1"/>
  <c r="S363" i="1"/>
  <c r="U363" i="1"/>
  <c r="AM363" i="1" s="1"/>
  <c r="S364" i="1"/>
  <c r="U364" i="1"/>
  <c r="AM364" i="1" s="1"/>
  <c r="S365" i="1"/>
  <c r="U365" i="1"/>
  <c r="AM365" i="1"/>
  <c r="AV365" i="1" s="1"/>
  <c r="S366" i="1"/>
  <c r="U366" i="1"/>
  <c r="AM366" i="1" s="1"/>
  <c r="AU366" i="1" s="1"/>
  <c r="S367" i="1"/>
  <c r="U367" i="1"/>
  <c r="AM367" i="1" s="1"/>
  <c r="S368" i="1"/>
  <c r="U368" i="1"/>
  <c r="AM368" i="1" s="1"/>
  <c r="S369" i="1"/>
  <c r="U369" i="1"/>
  <c r="AM369" i="1" s="1"/>
  <c r="S370" i="1"/>
  <c r="U370" i="1"/>
  <c r="AM370" i="1" s="1"/>
  <c r="S371" i="1"/>
  <c r="U371" i="1"/>
  <c r="AM371" i="1" s="1"/>
  <c r="AU371" i="1" s="1"/>
  <c r="S372" i="1"/>
  <c r="U372" i="1"/>
  <c r="AM372" i="1" s="1"/>
  <c r="S373" i="1"/>
  <c r="U373" i="1"/>
  <c r="AM373" i="1" s="1"/>
  <c r="AV373" i="1"/>
  <c r="S374" i="1"/>
  <c r="U374" i="1"/>
  <c r="AM374" i="1"/>
  <c r="S375" i="1"/>
  <c r="U375" i="1"/>
  <c r="AM375" i="1" s="1"/>
  <c r="S376" i="1"/>
  <c r="U376" i="1"/>
  <c r="AM376" i="1" s="1"/>
  <c r="S377" i="1"/>
  <c r="U377" i="1"/>
  <c r="AM377" i="1" s="1"/>
  <c r="S378" i="1"/>
  <c r="U378" i="1"/>
  <c r="AM378" i="1" s="1"/>
  <c r="S379" i="1"/>
  <c r="U379" i="1"/>
  <c r="AM379" i="1"/>
  <c r="S380" i="1"/>
  <c r="U380" i="1"/>
  <c r="AM380" i="1" s="1"/>
  <c r="S381" i="1"/>
  <c r="U381" i="1"/>
  <c r="AM381" i="1" s="1"/>
  <c r="S382" i="1"/>
  <c r="U382" i="1"/>
  <c r="AM382" i="1"/>
  <c r="S383" i="1"/>
  <c r="U383" i="1"/>
  <c r="AM383" i="1" s="1"/>
  <c r="S384" i="1"/>
  <c r="U384" i="1"/>
  <c r="AM384" i="1" s="1"/>
  <c r="S385" i="1"/>
  <c r="U385" i="1"/>
  <c r="AM385" i="1" s="1"/>
  <c r="S386" i="1"/>
  <c r="U386" i="1"/>
  <c r="AM386" i="1"/>
  <c r="S387" i="1"/>
  <c r="U387" i="1"/>
  <c r="AM387" i="1" s="1"/>
  <c r="S388" i="1"/>
  <c r="U388" i="1"/>
  <c r="AM388" i="1" s="1"/>
  <c r="S389" i="1"/>
  <c r="U389" i="1"/>
  <c r="AM389" i="1" s="1"/>
  <c r="S390" i="1"/>
  <c r="U390" i="1"/>
  <c r="AM390" i="1" s="1"/>
  <c r="AV390" i="1" s="1"/>
  <c r="S391" i="1"/>
  <c r="U391" i="1"/>
  <c r="AM391" i="1" s="1"/>
  <c r="S392" i="1"/>
  <c r="U392" i="1"/>
  <c r="AM392" i="1" s="1"/>
  <c r="S393" i="1"/>
  <c r="U393" i="1"/>
  <c r="AM393" i="1" s="1"/>
  <c r="S394" i="1"/>
  <c r="U394" i="1"/>
  <c r="AM394" i="1" s="1"/>
  <c r="S395" i="1"/>
  <c r="U395" i="1"/>
  <c r="AM395" i="1"/>
  <c r="AV395" i="1" s="1"/>
  <c r="S396" i="1"/>
  <c r="U396" i="1"/>
  <c r="AM396" i="1" s="1"/>
  <c r="S397" i="1"/>
  <c r="U397" i="1"/>
  <c r="AM397" i="1" s="1"/>
  <c r="S398" i="1"/>
  <c r="U398" i="1"/>
  <c r="AM398" i="1"/>
  <c r="S399" i="1"/>
  <c r="U399" i="1"/>
  <c r="AM399" i="1"/>
  <c r="AV399" i="1" s="1"/>
  <c r="S400" i="1"/>
  <c r="U400" i="1"/>
  <c r="AM400" i="1"/>
  <c r="S401" i="1"/>
  <c r="U401" i="1"/>
  <c r="AM401" i="1" s="1"/>
  <c r="S402" i="1"/>
  <c r="U402" i="1"/>
  <c r="AM402" i="1" s="1"/>
  <c r="S403" i="1"/>
  <c r="U403" i="1"/>
  <c r="AM403" i="1" s="1"/>
  <c r="S404" i="1"/>
  <c r="U404" i="1"/>
  <c r="AM404" i="1" s="1"/>
  <c r="S405" i="1"/>
  <c r="U405" i="1"/>
  <c r="AM405" i="1" s="1"/>
  <c r="S406" i="1"/>
  <c r="U406" i="1"/>
  <c r="AM406" i="1" s="1"/>
  <c r="AV406" i="1" s="1"/>
  <c r="S407" i="1"/>
  <c r="U407" i="1"/>
  <c r="AM407" i="1"/>
  <c r="S408" i="1"/>
  <c r="U408" i="1"/>
  <c r="AM408" i="1" s="1"/>
  <c r="S409" i="1"/>
  <c r="U409" i="1"/>
  <c r="AM409" i="1" s="1"/>
  <c r="S410" i="1"/>
  <c r="U410" i="1"/>
  <c r="AM410" i="1" s="1"/>
  <c r="S411" i="1"/>
  <c r="U411" i="1"/>
  <c r="AM411" i="1" s="1"/>
  <c r="S412" i="1"/>
  <c r="U412" i="1"/>
  <c r="AM412" i="1"/>
  <c r="S413" i="1"/>
  <c r="U413" i="1"/>
  <c r="AM413" i="1" s="1"/>
  <c r="S414" i="1"/>
  <c r="U414" i="1"/>
  <c r="AM414" i="1" s="1"/>
  <c r="S415" i="1"/>
  <c r="U415" i="1"/>
  <c r="AM415" i="1" s="1"/>
  <c r="AU415" i="1"/>
  <c r="S416" i="1"/>
  <c r="U416" i="1"/>
  <c r="AM416" i="1" s="1"/>
  <c r="AV416" i="1" s="1"/>
  <c r="S417" i="1"/>
  <c r="U417" i="1"/>
  <c r="AM417" i="1" s="1"/>
  <c r="S418" i="1"/>
  <c r="U418" i="1"/>
  <c r="AM418" i="1"/>
  <c r="S419" i="1"/>
  <c r="U419" i="1"/>
  <c r="AM419" i="1" s="1"/>
  <c r="S420" i="1"/>
  <c r="U420" i="1"/>
  <c r="AM420" i="1" s="1"/>
  <c r="S421" i="1"/>
  <c r="U421" i="1"/>
  <c r="AM421" i="1"/>
  <c r="AV421" i="1" s="1"/>
  <c r="S422" i="1"/>
  <c r="U422" i="1"/>
  <c r="AM422" i="1"/>
  <c r="S423" i="1"/>
  <c r="U423" i="1"/>
  <c r="AM423" i="1"/>
  <c r="S424" i="1"/>
  <c r="U424" i="1"/>
  <c r="AM424" i="1"/>
  <c r="S425" i="1"/>
  <c r="U425" i="1"/>
  <c r="AM425" i="1" s="1"/>
  <c r="AV425" i="1" s="1"/>
  <c r="S426" i="1"/>
  <c r="U426" i="1"/>
  <c r="AM426" i="1" s="1"/>
  <c r="AV426" i="1" s="1"/>
  <c r="S427" i="1"/>
  <c r="U427" i="1"/>
  <c r="AM427" i="1" s="1"/>
  <c r="S428" i="1"/>
  <c r="U428" i="1"/>
  <c r="AM428" i="1" s="1"/>
  <c r="S429" i="1"/>
  <c r="U429" i="1"/>
  <c r="AM429" i="1" s="1"/>
  <c r="S430" i="1"/>
  <c r="U430" i="1"/>
  <c r="AM430" i="1" s="1"/>
  <c r="S431" i="1"/>
  <c r="U431" i="1"/>
  <c r="AM431" i="1" s="1"/>
  <c r="S432" i="1"/>
  <c r="U432" i="1"/>
  <c r="AM432" i="1"/>
  <c r="S433" i="1"/>
  <c r="U433" i="1"/>
  <c r="AM433" i="1"/>
  <c r="S434" i="1"/>
  <c r="U434" i="1"/>
  <c r="AM434" i="1" s="1"/>
  <c r="S435" i="1"/>
  <c r="U435" i="1"/>
  <c r="AM435" i="1" s="1"/>
  <c r="S436" i="1"/>
  <c r="U436" i="1"/>
  <c r="AM436" i="1" s="1"/>
  <c r="AV436" i="1" s="1"/>
  <c r="S437" i="1"/>
  <c r="U437" i="1"/>
  <c r="AM437" i="1"/>
  <c r="S438" i="1"/>
  <c r="U438" i="1"/>
  <c r="AM438" i="1" s="1"/>
  <c r="S439" i="1"/>
  <c r="U439" i="1"/>
  <c r="AM439" i="1"/>
  <c r="S440" i="1"/>
  <c r="U440" i="1"/>
  <c r="AM440" i="1" s="1"/>
  <c r="AU440" i="1"/>
  <c r="S441" i="1"/>
  <c r="U441" i="1"/>
  <c r="AM441" i="1"/>
  <c r="AV441" i="1" s="1"/>
  <c r="S442" i="1"/>
  <c r="U442" i="1"/>
  <c r="AM442" i="1" s="1"/>
  <c r="S443" i="1"/>
  <c r="U443" i="1"/>
  <c r="AM443" i="1" s="1"/>
  <c r="S444" i="1"/>
  <c r="U444" i="1"/>
  <c r="AM444" i="1" s="1"/>
  <c r="S445" i="1"/>
  <c r="U445" i="1"/>
  <c r="AM445" i="1" s="1"/>
  <c r="S446" i="1"/>
  <c r="U446" i="1"/>
  <c r="AM446" i="1"/>
  <c r="AV446" i="1" s="1"/>
  <c r="S447" i="1"/>
  <c r="U447" i="1"/>
  <c r="AM447" i="1"/>
  <c r="S448" i="1"/>
  <c r="U448" i="1"/>
  <c r="AM448" i="1" s="1"/>
  <c r="S449" i="1"/>
  <c r="U449" i="1"/>
  <c r="AM449" i="1" s="1"/>
  <c r="S450" i="1"/>
  <c r="U450" i="1"/>
  <c r="AM450" i="1" s="1"/>
  <c r="S451" i="1"/>
  <c r="U451" i="1"/>
  <c r="AM451" i="1" s="1"/>
  <c r="S452" i="1"/>
  <c r="U452" i="1"/>
  <c r="AM452" i="1" s="1"/>
  <c r="S453" i="1"/>
  <c r="U453" i="1"/>
  <c r="AM453" i="1" s="1"/>
  <c r="S454" i="1"/>
  <c r="U454" i="1"/>
  <c r="AM454" i="1" s="1"/>
  <c r="S455" i="1"/>
  <c r="U455" i="1"/>
  <c r="AM455" i="1" s="1"/>
  <c r="AU455" i="1"/>
  <c r="S456" i="1"/>
  <c r="U456" i="1"/>
  <c r="AM456" i="1" s="1"/>
  <c r="AV456" i="1" s="1"/>
  <c r="S457" i="1"/>
  <c r="U457" i="1"/>
  <c r="AM457" i="1" s="1"/>
  <c r="S458" i="1"/>
  <c r="U458" i="1"/>
  <c r="AM458" i="1" s="1"/>
  <c r="S459" i="1"/>
  <c r="U459" i="1"/>
  <c r="AM459" i="1" s="1"/>
  <c r="S460" i="1"/>
  <c r="U460" i="1"/>
  <c r="AM460" i="1" s="1"/>
  <c r="S461" i="1"/>
  <c r="U461" i="1"/>
  <c r="AM461" i="1" s="1"/>
  <c r="AU461" i="1"/>
  <c r="S462" i="1"/>
  <c r="U462" i="1"/>
  <c r="AM462" i="1" s="1"/>
  <c r="S463" i="1"/>
  <c r="U463" i="1"/>
  <c r="AM463" i="1" s="1"/>
  <c r="S464" i="1"/>
  <c r="U464" i="1"/>
  <c r="AM464" i="1"/>
  <c r="S465" i="1"/>
  <c r="U465" i="1"/>
  <c r="AM465" i="1" s="1"/>
  <c r="AV465" i="1" s="1"/>
  <c r="S466" i="1"/>
  <c r="U466" i="1"/>
  <c r="AM466" i="1" s="1"/>
  <c r="AU466" i="1"/>
  <c r="S467" i="1"/>
  <c r="U467" i="1"/>
  <c r="AM467" i="1"/>
  <c r="S468" i="1"/>
  <c r="U468" i="1"/>
  <c r="AM468" i="1" s="1"/>
  <c r="S469" i="1"/>
  <c r="U469" i="1"/>
  <c r="AM469" i="1" s="1"/>
  <c r="S470" i="1"/>
  <c r="U470" i="1"/>
  <c r="AM470" i="1" s="1"/>
  <c r="AU470" i="1"/>
  <c r="S471" i="1"/>
  <c r="U471" i="1"/>
  <c r="AM471" i="1" s="1"/>
  <c r="S472" i="1"/>
  <c r="U472" i="1"/>
  <c r="AM472" i="1" s="1"/>
  <c r="AW472" i="1"/>
  <c r="S473" i="1"/>
  <c r="U473" i="1"/>
  <c r="AM473" i="1" s="1"/>
  <c r="S474" i="1"/>
  <c r="U474" i="1"/>
  <c r="AM474" i="1" s="1"/>
  <c r="S475" i="1"/>
  <c r="U475" i="1"/>
  <c r="AM475" i="1" s="1"/>
  <c r="S476" i="1"/>
  <c r="U476" i="1"/>
  <c r="AM476" i="1" s="1"/>
  <c r="AV476" i="1" s="1"/>
  <c r="S477" i="1"/>
  <c r="U477" i="1"/>
  <c r="AM477" i="1" s="1"/>
  <c r="S478" i="1"/>
  <c r="U478" i="1"/>
  <c r="AM478" i="1" s="1"/>
  <c r="S479" i="1"/>
  <c r="U479" i="1"/>
  <c r="AM479" i="1"/>
  <c r="S480" i="1"/>
  <c r="U480" i="1"/>
  <c r="AM480" i="1" s="1"/>
  <c r="S481" i="1"/>
  <c r="U481" i="1"/>
  <c r="AM481" i="1" s="1"/>
  <c r="AV481" i="1" s="1"/>
  <c r="S482" i="1"/>
  <c r="U482" i="1"/>
  <c r="AM482" i="1" s="1"/>
  <c r="AW482" i="1"/>
  <c r="S483" i="1"/>
  <c r="U483" i="1"/>
  <c r="AM483" i="1" s="1"/>
  <c r="AV483" i="1" s="1"/>
  <c r="S484" i="1"/>
  <c r="U484" i="1"/>
  <c r="AM484" i="1"/>
  <c r="S485" i="1"/>
  <c r="U485" i="1"/>
  <c r="AM485" i="1" s="1"/>
  <c r="S486" i="1"/>
  <c r="U486" i="1"/>
  <c r="AM486" i="1" s="1"/>
  <c r="S487" i="1"/>
  <c r="U487" i="1"/>
  <c r="AM487" i="1" s="1"/>
  <c r="AW487" i="1"/>
  <c r="S488" i="1"/>
  <c r="U488" i="1"/>
  <c r="AM488" i="1" s="1"/>
  <c r="AV488" i="1" s="1"/>
  <c r="S489" i="1"/>
  <c r="U489" i="1"/>
  <c r="AM489" i="1" s="1"/>
  <c r="S490" i="1"/>
  <c r="U490" i="1"/>
  <c r="AM490" i="1" s="1"/>
  <c r="AU490" i="1"/>
  <c r="S491" i="1"/>
  <c r="U491" i="1"/>
  <c r="AM491" i="1" s="1"/>
  <c r="S492" i="1"/>
  <c r="U492" i="1"/>
  <c r="AM492" i="1" s="1"/>
  <c r="S493" i="1"/>
  <c r="U493" i="1"/>
  <c r="AM493" i="1" s="1"/>
  <c r="AV493" i="1" s="1"/>
  <c r="S494" i="1"/>
  <c r="U494" i="1"/>
  <c r="AM494" i="1" s="1"/>
  <c r="S495" i="1"/>
  <c r="U495" i="1"/>
  <c r="AM495" i="1" s="1"/>
  <c r="S496" i="1"/>
  <c r="U496" i="1"/>
  <c r="AM496" i="1" s="1"/>
  <c r="S497" i="1"/>
  <c r="U497" i="1"/>
  <c r="AM497" i="1" s="1"/>
  <c r="S498" i="1"/>
  <c r="U498" i="1"/>
  <c r="AM498" i="1" s="1"/>
  <c r="S499" i="1"/>
  <c r="U499" i="1"/>
  <c r="AM499" i="1"/>
  <c r="S500" i="1"/>
  <c r="U500" i="1"/>
  <c r="AM500" i="1" s="1"/>
  <c r="S501" i="1"/>
  <c r="U501" i="1"/>
  <c r="AM501" i="1" s="1"/>
  <c r="S502" i="1"/>
  <c r="U502" i="1"/>
  <c r="AM502" i="1" s="1"/>
  <c r="S503" i="1"/>
  <c r="U503" i="1"/>
  <c r="AM503" i="1" s="1"/>
  <c r="S504" i="1"/>
  <c r="U504" i="1"/>
  <c r="AM504" i="1" s="1"/>
  <c r="S505" i="1"/>
  <c r="U505" i="1"/>
  <c r="AM505" i="1" s="1"/>
  <c r="S506" i="1"/>
  <c r="U506" i="1"/>
  <c r="AM506" i="1" s="1"/>
  <c r="AV506" i="1" s="1"/>
  <c r="S507" i="1"/>
  <c r="U507" i="1"/>
  <c r="AM507" i="1" s="1"/>
  <c r="S508" i="1"/>
  <c r="U508" i="1"/>
  <c r="AM508" i="1" s="1"/>
  <c r="S509" i="1"/>
  <c r="U509" i="1"/>
  <c r="AM509" i="1" s="1"/>
  <c r="S510" i="1"/>
  <c r="U510" i="1"/>
  <c r="AM510" i="1" s="1"/>
  <c r="S511" i="1"/>
  <c r="U511" i="1"/>
  <c r="AM511" i="1" s="1"/>
  <c r="AV511" i="1" s="1"/>
  <c r="S512" i="1"/>
  <c r="U512" i="1"/>
  <c r="AM512" i="1" s="1"/>
  <c r="S513" i="1"/>
  <c r="U513" i="1"/>
  <c r="AM513" i="1" s="1"/>
  <c r="AV513" i="1" s="1"/>
  <c r="S514" i="1"/>
  <c r="U514" i="1"/>
  <c r="AM514" i="1"/>
  <c r="S515" i="1"/>
  <c r="U515" i="1"/>
  <c r="AM515" i="1" s="1"/>
  <c r="S516" i="1"/>
  <c r="U516" i="1"/>
  <c r="AM516" i="1" s="1"/>
  <c r="AV516" i="1" s="1"/>
  <c r="S517" i="1"/>
  <c r="U517" i="1"/>
  <c r="AM517" i="1" s="1"/>
  <c r="AW517" i="1"/>
  <c r="S518" i="1"/>
  <c r="U518" i="1"/>
  <c r="AM518" i="1" s="1"/>
  <c r="S519" i="1"/>
  <c r="U519" i="1"/>
  <c r="AM519" i="1" s="1"/>
  <c r="S520" i="1"/>
  <c r="U520" i="1"/>
  <c r="AM520" i="1" s="1"/>
  <c r="S521" i="1"/>
  <c r="U521" i="1"/>
  <c r="AM521" i="1" s="1"/>
  <c r="AV521" i="1" s="1"/>
  <c r="S522" i="1"/>
  <c r="U522" i="1"/>
  <c r="AM522" i="1"/>
  <c r="S523" i="1"/>
  <c r="U523" i="1"/>
  <c r="AM523" i="1" s="1"/>
  <c r="AV523" i="1" s="1"/>
  <c r="S524" i="1"/>
  <c r="U524" i="1"/>
  <c r="AM524" i="1"/>
  <c r="S525" i="1"/>
  <c r="U525" i="1"/>
  <c r="AM525" i="1" s="1"/>
  <c r="S526" i="1"/>
  <c r="U526" i="1"/>
  <c r="AM526" i="1" s="1"/>
  <c r="AV526" i="1" s="1"/>
  <c r="S527" i="1"/>
  <c r="U527" i="1"/>
  <c r="AM527" i="1" s="1"/>
  <c r="S528" i="1"/>
  <c r="U528" i="1"/>
  <c r="AM528" i="1" s="1"/>
  <c r="S529" i="1"/>
  <c r="U529" i="1"/>
  <c r="AM529" i="1" s="1"/>
  <c r="S530" i="1"/>
  <c r="U530" i="1"/>
  <c r="AM530" i="1" s="1"/>
  <c r="S531" i="1"/>
  <c r="U531" i="1"/>
  <c r="AM531" i="1" s="1"/>
  <c r="S532" i="1"/>
  <c r="U532" i="1"/>
  <c r="AM532" i="1" s="1"/>
  <c r="S533" i="1"/>
  <c r="U533" i="1"/>
  <c r="AM533" i="1" s="1"/>
  <c r="S534" i="1"/>
  <c r="U534" i="1"/>
  <c r="AM534" i="1"/>
  <c r="S535" i="1"/>
  <c r="U535" i="1"/>
  <c r="AM535" i="1" s="1"/>
  <c r="AU535" i="1"/>
  <c r="S536" i="1"/>
  <c r="U536" i="1"/>
  <c r="AM536" i="1" s="1"/>
  <c r="S537" i="1"/>
  <c r="U537" i="1"/>
  <c r="AM537" i="1" s="1"/>
  <c r="S538" i="1"/>
  <c r="U538" i="1"/>
  <c r="AM538" i="1" s="1"/>
  <c r="AV538" i="1" s="1"/>
  <c r="S539" i="1"/>
  <c r="U539" i="1"/>
  <c r="AM539" i="1"/>
  <c r="S540" i="1"/>
  <c r="U540" i="1"/>
  <c r="AM540" i="1" s="1"/>
  <c r="AU540" i="1"/>
  <c r="S541" i="1"/>
  <c r="U541" i="1"/>
  <c r="AM541" i="1" s="1"/>
  <c r="S542" i="1"/>
  <c r="U542" i="1"/>
  <c r="AM542" i="1" s="1"/>
  <c r="S543" i="1"/>
  <c r="U543" i="1"/>
  <c r="AM543" i="1" s="1"/>
  <c r="AV543" i="1"/>
  <c r="S544" i="1"/>
  <c r="U544" i="1"/>
  <c r="AM544" i="1"/>
  <c r="S545" i="1"/>
  <c r="U545" i="1"/>
  <c r="AM545" i="1" s="1"/>
  <c r="AU545" i="1"/>
  <c r="S546" i="1"/>
  <c r="U546" i="1"/>
  <c r="AM546" i="1" s="1"/>
  <c r="AV546" i="1" s="1"/>
  <c r="S547" i="1"/>
  <c r="U547" i="1"/>
  <c r="AM547" i="1" s="1"/>
  <c r="S548" i="1"/>
  <c r="U548" i="1"/>
  <c r="AM548" i="1" s="1"/>
  <c r="S549" i="1"/>
  <c r="U549" i="1"/>
  <c r="AM549" i="1" s="1"/>
  <c r="S550" i="1"/>
  <c r="U550" i="1"/>
  <c r="AM550" i="1" s="1"/>
  <c r="S551" i="1"/>
  <c r="U551" i="1"/>
  <c r="AM551" i="1" s="1"/>
  <c r="AV551" i="1"/>
  <c r="S552" i="1"/>
  <c r="U552" i="1"/>
  <c r="AM552" i="1"/>
  <c r="S553" i="1"/>
  <c r="U553" i="1"/>
  <c r="AM553" i="1"/>
  <c r="AV553" i="1"/>
  <c r="S554" i="1"/>
  <c r="U554" i="1"/>
  <c r="AM554" i="1" s="1"/>
  <c r="S555" i="1"/>
  <c r="U555" i="1"/>
  <c r="AM555" i="1" s="1"/>
  <c r="S556" i="1"/>
  <c r="U556" i="1"/>
  <c r="AM556" i="1" s="1"/>
  <c r="S557" i="1"/>
  <c r="U557" i="1"/>
  <c r="AM557" i="1" s="1"/>
  <c r="S558" i="1"/>
  <c r="U558" i="1"/>
  <c r="AM558" i="1" s="1"/>
  <c r="AV558" i="1"/>
  <c r="S559" i="1"/>
  <c r="U559" i="1"/>
  <c r="AM559" i="1" s="1"/>
  <c r="S560" i="1"/>
  <c r="U560" i="1"/>
  <c r="AM560" i="1" s="1"/>
  <c r="S561" i="1"/>
  <c r="U561" i="1"/>
  <c r="AM561" i="1" s="1"/>
  <c r="S562" i="1"/>
  <c r="U562" i="1"/>
  <c r="AM562" i="1" s="1"/>
  <c r="S563" i="1"/>
  <c r="U563" i="1"/>
  <c r="AM563" i="1" s="1"/>
  <c r="S564" i="1"/>
  <c r="U564" i="1"/>
  <c r="AM564" i="1" s="1"/>
  <c r="S565" i="1"/>
  <c r="U565" i="1"/>
  <c r="AM565" i="1" s="1"/>
  <c r="S566" i="1"/>
  <c r="U566" i="1"/>
  <c r="AM566" i="1" s="1"/>
  <c r="S567" i="1"/>
  <c r="U567" i="1"/>
  <c r="AM567" i="1" s="1"/>
  <c r="AV567" i="1"/>
  <c r="S568" i="1"/>
  <c r="U568" i="1"/>
  <c r="AM568" i="1"/>
  <c r="AV568" i="1" s="1"/>
  <c r="S569" i="1"/>
  <c r="U569" i="1"/>
  <c r="AM569" i="1"/>
  <c r="S570" i="1"/>
  <c r="U570" i="1"/>
  <c r="AM570" i="1" s="1"/>
  <c r="S571" i="1"/>
  <c r="U571" i="1"/>
  <c r="AM571" i="1" s="1"/>
  <c r="S572" i="1"/>
  <c r="U572" i="1"/>
  <c r="AM572" i="1" s="1"/>
  <c r="S573" i="1"/>
  <c r="U573" i="1"/>
  <c r="AM573" i="1"/>
  <c r="AV573" i="1" s="1"/>
  <c r="S574" i="1"/>
  <c r="U574" i="1"/>
  <c r="AM574" i="1" s="1"/>
  <c r="S575" i="1"/>
  <c r="U575" i="1"/>
  <c r="AM575" i="1" s="1"/>
  <c r="S576" i="1"/>
  <c r="U576" i="1"/>
  <c r="AM576" i="1" s="1"/>
  <c r="AV576" i="1" s="1"/>
  <c r="S577" i="1"/>
  <c r="U577" i="1"/>
  <c r="AM577" i="1" s="1"/>
  <c r="S578" i="1"/>
  <c r="U578" i="1"/>
  <c r="AM578" i="1" s="1"/>
  <c r="S579" i="1"/>
  <c r="U579" i="1"/>
  <c r="AM579" i="1" s="1"/>
  <c r="S580" i="1"/>
  <c r="U580" i="1"/>
  <c r="AM580" i="1" s="1"/>
  <c r="S581" i="1"/>
  <c r="U581" i="1"/>
  <c r="AM581" i="1" s="1"/>
  <c r="S582" i="1"/>
  <c r="U582" i="1"/>
  <c r="AM582" i="1" s="1"/>
  <c r="S583" i="1"/>
  <c r="U583" i="1"/>
  <c r="AM583" i="1" s="1"/>
  <c r="S584" i="1"/>
  <c r="U584" i="1"/>
  <c r="AM584" i="1"/>
  <c r="AV584" i="1" s="1"/>
  <c r="S585" i="1"/>
  <c r="U585" i="1"/>
  <c r="AM585" i="1" s="1"/>
  <c r="S586" i="1"/>
  <c r="U586" i="1"/>
  <c r="AM586" i="1" s="1"/>
  <c r="S587" i="1"/>
  <c r="U587" i="1"/>
  <c r="AM587" i="1" s="1"/>
  <c r="AV587" i="1" s="1"/>
  <c r="S588" i="1"/>
  <c r="U588" i="1"/>
  <c r="AM588" i="1" s="1"/>
  <c r="S589" i="1"/>
  <c r="U589" i="1"/>
  <c r="AM589" i="1" s="1"/>
  <c r="AV589" i="1"/>
  <c r="S590" i="1"/>
  <c r="U590" i="1"/>
  <c r="AM590" i="1" s="1"/>
  <c r="AV590" i="1" s="1"/>
  <c r="S591" i="1"/>
  <c r="U591" i="1"/>
  <c r="AM591" i="1" s="1"/>
  <c r="S592" i="1"/>
  <c r="U592" i="1"/>
  <c r="AM592" i="1" s="1"/>
  <c r="S593" i="1"/>
  <c r="U593" i="1"/>
  <c r="AM593" i="1" s="1"/>
  <c r="S594" i="1"/>
  <c r="U594" i="1"/>
  <c r="AM594" i="1" s="1"/>
  <c r="S595" i="1"/>
  <c r="U595" i="1"/>
  <c r="AM595" i="1" s="1"/>
  <c r="AV595" i="1" s="1"/>
  <c r="S596" i="1"/>
  <c r="U596" i="1"/>
  <c r="AM596" i="1" s="1"/>
  <c r="AV596" i="1" s="1"/>
  <c r="S597" i="1"/>
  <c r="U597" i="1"/>
  <c r="AM597" i="1" s="1"/>
  <c r="S598" i="1"/>
  <c r="U598" i="1"/>
  <c r="AM598" i="1" s="1"/>
  <c r="AV598" i="1"/>
  <c r="S599" i="1"/>
  <c r="U599" i="1"/>
  <c r="AM599" i="1" s="1"/>
  <c r="S600" i="1"/>
  <c r="U600" i="1"/>
  <c r="AM600" i="1" s="1"/>
  <c r="AV600" i="1"/>
  <c r="S601" i="1"/>
  <c r="U601" i="1"/>
  <c r="AM601" i="1" s="1"/>
  <c r="S602" i="1"/>
  <c r="U602" i="1"/>
  <c r="AM602" i="1" s="1"/>
  <c r="S603" i="1"/>
  <c r="U603" i="1"/>
  <c r="AM603" i="1" s="1"/>
  <c r="AV603" i="1"/>
  <c r="S604" i="1"/>
  <c r="U604" i="1"/>
  <c r="AM604" i="1"/>
  <c r="S605" i="1"/>
  <c r="U605" i="1"/>
  <c r="AM605" i="1" s="1"/>
  <c r="AV605" i="1" s="1"/>
  <c r="S606" i="1"/>
  <c r="U606" i="1"/>
  <c r="AM606" i="1" s="1"/>
  <c r="S607" i="1"/>
  <c r="U607" i="1"/>
  <c r="AM607" i="1" s="1"/>
  <c r="S608" i="1"/>
  <c r="U608" i="1"/>
  <c r="AM608" i="1" s="1"/>
  <c r="S609" i="1"/>
  <c r="U609" i="1"/>
  <c r="AM609" i="1" s="1"/>
  <c r="S610" i="1"/>
  <c r="U610" i="1"/>
  <c r="AM610" i="1" s="1"/>
  <c r="AV610" i="1" s="1"/>
  <c r="S611" i="1"/>
  <c r="U611" i="1"/>
  <c r="AM611" i="1" s="1"/>
  <c r="S612" i="1"/>
  <c r="U612" i="1"/>
  <c r="AM612" i="1" s="1"/>
  <c r="S613" i="1"/>
  <c r="U613" i="1"/>
  <c r="AM613" i="1" s="1"/>
  <c r="S614" i="1"/>
  <c r="U614" i="1"/>
  <c r="AM614" i="1" s="1"/>
  <c r="S615" i="1"/>
  <c r="U615" i="1"/>
  <c r="AM615" i="1" s="1"/>
  <c r="AV615" i="1" s="1"/>
  <c r="S616" i="1"/>
  <c r="U616" i="1"/>
  <c r="AM616" i="1" s="1"/>
  <c r="S617" i="1"/>
  <c r="U617" i="1"/>
  <c r="AM617" i="1" s="1"/>
  <c r="S618" i="1"/>
  <c r="U618" i="1"/>
  <c r="AM618" i="1" s="1"/>
  <c r="S619" i="1"/>
  <c r="U619" i="1"/>
  <c r="AM619" i="1" s="1"/>
  <c r="S620" i="1"/>
  <c r="U620" i="1"/>
  <c r="AM620" i="1" s="1"/>
  <c r="AV620" i="1"/>
  <c r="S621" i="1"/>
  <c r="U621" i="1"/>
  <c r="AM621" i="1" s="1"/>
  <c r="AU621" i="1" s="1"/>
  <c r="S622" i="1"/>
  <c r="U622" i="1"/>
  <c r="AM622" i="1"/>
  <c r="S623" i="1"/>
  <c r="U623" i="1"/>
  <c r="AM623" i="1" s="1"/>
  <c r="S624" i="1"/>
  <c r="U624" i="1"/>
  <c r="AM624" i="1" s="1"/>
  <c r="S625" i="1"/>
  <c r="U625" i="1"/>
  <c r="AM625" i="1" s="1"/>
  <c r="AV625" i="1"/>
  <c r="S626" i="1"/>
  <c r="U626" i="1"/>
  <c r="AM626" i="1" s="1"/>
  <c r="S627" i="1"/>
  <c r="U627" i="1"/>
  <c r="AM627" i="1" s="1"/>
  <c r="S628" i="1"/>
  <c r="U628" i="1"/>
  <c r="AM628" i="1" s="1"/>
  <c r="S629" i="1"/>
  <c r="U629" i="1"/>
  <c r="AM629" i="1"/>
  <c r="S630" i="1"/>
  <c r="U630" i="1"/>
  <c r="AM630" i="1" s="1"/>
  <c r="AV630" i="1" s="1"/>
  <c r="S631" i="1"/>
  <c r="U631" i="1"/>
  <c r="AM631" i="1"/>
  <c r="S632" i="1"/>
  <c r="U632" i="1"/>
  <c r="AM632" i="1"/>
  <c r="S633" i="1"/>
  <c r="U633" i="1"/>
  <c r="AM633" i="1" s="1"/>
  <c r="S634" i="1"/>
  <c r="U634" i="1"/>
  <c r="AM634" i="1" s="1"/>
  <c r="S635" i="1"/>
  <c r="U635" i="1"/>
  <c r="AM635" i="1" s="1"/>
  <c r="S636" i="1"/>
  <c r="U636" i="1"/>
  <c r="AM636" i="1"/>
  <c r="S637" i="1"/>
  <c r="U637" i="1"/>
  <c r="AM637" i="1" s="1"/>
  <c r="S638" i="1"/>
  <c r="U638" i="1"/>
  <c r="AM638" i="1" s="1"/>
  <c r="S639" i="1"/>
  <c r="U639" i="1"/>
  <c r="AM639" i="1" s="1"/>
  <c r="S640" i="1"/>
  <c r="U640" i="1"/>
  <c r="AM640" i="1" s="1"/>
  <c r="S641" i="1"/>
  <c r="U641" i="1"/>
  <c r="AM641" i="1" s="1"/>
  <c r="S642" i="1"/>
  <c r="U642" i="1"/>
  <c r="AM642" i="1" s="1"/>
  <c r="S643" i="1"/>
  <c r="U643" i="1"/>
  <c r="AM643" i="1" s="1"/>
  <c r="S644" i="1"/>
  <c r="U644" i="1"/>
  <c r="AM644" i="1" s="1"/>
  <c r="AU644" i="1" s="1"/>
  <c r="S645" i="1"/>
  <c r="U645" i="1"/>
  <c r="AM645" i="1" s="1"/>
  <c r="AV645" i="1"/>
  <c r="S646" i="1"/>
  <c r="U646" i="1"/>
  <c r="AM646" i="1"/>
  <c r="S647" i="1"/>
  <c r="U647" i="1"/>
  <c r="AM647" i="1" s="1"/>
  <c r="S648" i="1"/>
  <c r="U648" i="1"/>
  <c r="AM648" i="1" s="1"/>
  <c r="S649" i="1"/>
  <c r="U649" i="1"/>
  <c r="AM649" i="1" s="1"/>
  <c r="S650" i="1"/>
  <c r="U650" i="1"/>
  <c r="AM650" i="1" s="1"/>
  <c r="S651" i="1"/>
  <c r="U651" i="1"/>
  <c r="AM651" i="1"/>
  <c r="S652" i="1"/>
  <c r="U652" i="1"/>
  <c r="AM652" i="1" s="1"/>
  <c r="S653" i="1"/>
  <c r="U653" i="1"/>
  <c r="AM653" i="1" s="1"/>
  <c r="S654" i="1"/>
  <c r="U654" i="1"/>
  <c r="AM654" i="1" s="1"/>
  <c r="S655" i="1"/>
  <c r="U655" i="1"/>
  <c r="AM655" i="1" s="1"/>
  <c r="S656" i="1"/>
  <c r="U656" i="1"/>
  <c r="AM656" i="1" s="1"/>
  <c r="S657" i="1"/>
  <c r="U657" i="1"/>
  <c r="AM657" i="1" s="1"/>
  <c r="S658" i="1"/>
  <c r="U658" i="1"/>
  <c r="AM658" i="1" s="1"/>
  <c r="S659" i="1"/>
  <c r="U659" i="1"/>
  <c r="AM659" i="1" s="1"/>
  <c r="S660" i="1"/>
  <c r="U660" i="1"/>
  <c r="AM660" i="1" s="1"/>
  <c r="S661" i="1"/>
  <c r="U661" i="1"/>
  <c r="AM661" i="1"/>
  <c r="S662" i="1"/>
  <c r="U662" i="1"/>
  <c r="AM662" i="1" s="1"/>
  <c r="S663" i="1"/>
  <c r="U663" i="1"/>
  <c r="AM663" i="1" s="1"/>
  <c r="S664" i="1"/>
  <c r="U664" i="1"/>
  <c r="AM664" i="1" s="1"/>
  <c r="S665" i="1"/>
  <c r="U665" i="1"/>
  <c r="AM665" i="1" s="1"/>
  <c r="S666" i="1"/>
  <c r="U666" i="1"/>
  <c r="AM666" i="1"/>
  <c r="S667" i="1"/>
  <c r="U667" i="1"/>
  <c r="AM667" i="1" s="1"/>
  <c r="S668" i="1"/>
  <c r="U668" i="1"/>
  <c r="AM668" i="1" s="1"/>
  <c r="AU668" i="1"/>
  <c r="S669" i="1"/>
  <c r="U669" i="1"/>
  <c r="AM669" i="1" s="1"/>
  <c r="S670" i="1"/>
  <c r="U670" i="1"/>
  <c r="AM670" i="1" s="1"/>
  <c r="S671" i="1"/>
  <c r="U671" i="1"/>
  <c r="AM671" i="1" s="1"/>
  <c r="S672" i="1"/>
  <c r="U672" i="1"/>
  <c r="AM672" i="1" s="1"/>
  <c r="S673" i="1"/>
  <c r="U673" i="1"/>
  <c r="AM673" i="1" s="1"/>
  <c r="AV97" i="1" l="1"/>
  <c r="AU248" i="1"/>
  <c r="AW248" i="1"/>
  <c r="AV133" i="1"/>
  <c r="AW133" i="1"/>
  <c r="AW214" i="1"/>
  <c r="AW152" i="1"/>
  <c r="AU152" i="1"/>
  <c r="AV23" i="1"/>
  <c r="AU23" i="1"/>
  <c r="AV229" i="1"/>
  <c r="AW229" i="1"/>
  <c r="AU143" i="1"/>
  <c r="AW143" i="1"/>
  <c r="AU15" i="1"/>
  <c r="AU133" i="1"/>
  <c r="AV627" i="1"/>
  <c r="AV599" i="1"/>
  <c r="AV486" i="1"/>
  <c r="AU445" i="1"/>
  <c r="AW417" i="1"/>
  <c r="AW372" i="1"/>
  <c r="AU277" i="1"/>
  <c r="AU260" i="1"/>
  <c r="AU170" i="1"/>
  <c r="AV138" i="1"/>
  <c r="AV122" i="1"/>
  <c r="AU28" i="1"/>
  <c r="AV7" i="1"/>
  <c r="AV632" i="1"/>
  <c r="AU110" i="1"/>
  <c r="AW76" i="1"/>
  <c r="AU57" i="1"/>
  <c r="AV51" i="1"/>
  <c r="AU39" i="1"/>
  <c r="AV12" i="1"/>
  <c r="AU626" i="1"/>
  <c r="AU570" i="1"/>
  <c r="AU554" i="1"/>
  <c r="AV485" i="1"/>
  <c r="AU438" i="1"/>
  <c r="AU411" i="1"/>
  <c r="AV371" i="1"/>
  <c r="AV323" i="1"/>
  <c r="AU317" i="1"/>
  <c r="AU243" i="1"/>
  <c r="AW169" i="1"/>
  <c r="AV127" i="1"/>
  <c r="AW27" i="1"/>
  <c r="AU132" i="1"/>
  <c r="AW631" i="1"/>
  <c r="AV503" i="1"/>
  <c r="AV491" i="1"/>
  <c r="AV388" i="1"/>
  <c r="AV382" i="1"/>
  <c r="AV334" i="1"/>
  <c r="AV311" i="1"/>
  <c r="AV298" i="1"/>
  <c r="AU163" i="1"/>
  <c r="AW148" i="1"/>
  <c r="AV81" i="1"/>
  <c r="AV56" i="1"/>
  <c r="AV410" i="1"/>
  <c r="AV322" i="1"/>
  <c r="AV281" i="1"/>
  <c r="AV242" i="1"/>
  <c r="AU655" i="1"/>
  <c r="AV548" i="1"/>
  <c r="AU525" i="1"/>
  <c r="AU508" i="1"/>
  <c r="AU496" i="1"/>
  <c r="AW477" i="1"/>
  <c r="AV471" i="1"/>
  <c r="AV460" i="1"/>
  <c r="AV333" i="1"/>
  <c r="AU258" i="1"/>
  <c r="AV21" i="1"/>
  <c r="AU10" i="1"/>
  <c r="AV602" i="1"/>
  <c r="AU381" i="1"/>
  <c r="AW327" i="1"/>
  <c r="AV303" i="1"/>
  <c r="AW179" i="1"/>
  <c r="AV152" i="1"/>
  <c r="AV86" i="1"/>
  <c r="AW547" i="1"/>
  <c r="AU513" i="1"/>
  <c r="AU409" i="1"/>
  <c r="AV398" i="1"/>
  <c r="AU351" i="1"/>
  <c r="AW157" i="1"/>
  <c r="AU107" i="1"/>
  <c r="AU102" i="1"/>
  <c r="AV501" i="1"/>
  <c r="AU459" i="1"/>
  <c r="AV431" i="1"/>
  <c r="AV420" i="1"/>
  <c r="AU403" i="1"/>
  <c r="AU374" i="1"/>
  <c r="AU207" i="1"/>
  <c r="AW202" i="1"/>
  <c r="AU162" i="1"/>
  <c r="AV157" i="1"/>
  <c r="AU141" i="1"/>
  <c r="AW97" i="1"/>
  <c r="AU60" i="1"/>
  <c r="AU660" i="1"/>
  <c r="AW291" i="1"/>
  <c r="AV563" i="1"/>
  <c r="AU362" i="1"/>
  <c r="AV296" i="1"/>
  <c r="AW184" i="1"/>
  <c r="AV91" i="1"/>
  <c r="AW66" i="1"/>
  <c r="AV635" i="1"/>
  <c r="AU518" i="1"/>
  <c r="AU475" i="1"/>
  <c r="AU435" i="1"/>
  <c r="AV234" i="1"/>
  <c r="AV195" i="1"/>
  <c r="AV112" i="1"/>
  <c r="AV640" i="1"/>
  <c r="AU397" i="1"/>
  <c r="AU373" i="1"/>
  <c r="AU337" i="1"/>
  <c r="AV284" i="1"/>
  <c r="AU245" i="1"/>
  <c r="AV239" i="1"/>
  <c r="AU123" i="1"/>
  <c r="AV101" i="1"/>
  <c r="AU90" i="1"/>
  <c r="AV349" i="1"/>
  <c r="AU266" i="1"/>
  <c r="AV117" i="1"/>
  <c r="AU52" i="1"/>
  <c r="AV29" i="1"/>
  <c r="AV588" i="1"/>
  <c r="AU505" i="1"/>
  <c r="AU480" i="1"/>
  <c r="AV451" i="1"/>
  <c r="AU396" i="1"/>
  <c r="AV272" i="1"/>
  <c r="AU194" i="1"/>
  <c r="AV155" i="1"/>
  <c r="AU34" i="1"/>
  <c r="AU451" i="1"/>
  <c r="AV183" i="1"/>
  <c r="AV123" i="1"/>
  <c r="AV52" i="1"/>
  <c r="AW52" i="1"/>
  <c r="AU641" i="1"/>
  <c r="AU42" i="1"/>
  <c r="AV42" i="1"/>
  <c r="AW42" i="1"/>
  <c r="AV591" i="1"/>
  <c r="AU528" i="1"/>
  <c r="AV528" i="1"/>
  <c r="AU533" i="1"/>
  <c r="AV533" i="1"/>
  <c r="AV480" i="1"/>
  <c r="AU150" i="1"/>
  <c r="AV150" i="1"/>
  <c r="AU77" i="1"/>
  <c r="AV77" i="1"/>
  <c r="AW77" i="1"/>
  <c r="AV612" i="1"/>
  <c r="AU183" i="1"/>
  <c r="AW183" i="1"/>
  <c r="AW522" i="1"/>
  <c r="AW492" i="1"/>
  <c r="AU251" i="1"/>
  <c r="AW251" i="1"/>
  <c r="AU279" i="1"/>
  <c r="AV279" i="1"/>
  <c r="AW279" i="1"/>
  <c r="AV664" i="1"/>
  <c r="AU539" i="1"/>
  <c r="AU559" i="1"/>
  <c r="AU216" i="1"/>
  <c r="AU553" i="1"/>
  <c r="AV306" i="1"/>
  <c r="AW306" i="1"/>
  <c r="AU294" i="1"/>
  <c r="AV294" i="1"/>
  <c r="AW294" i="1"/>
  <c r="AU289" i="1"/>
  <c r="AV289" i="1"/>
  <c r="AW289" i="1"/>
  <c r="AV227" i="1"/>
  <c r="AU227" i="1"/>
  <c r="AW227" i="1"/>
  <c r="AV105" i="1"/>
  <c r="AU301" i="1"/>
  <c r="AV301" i="1"/>
  <c r="AW301" i="1"/>
  <c r="AU640" i="1"/>
  <c r="AW621" i="1"/>
  <c r="AU573" i="1"/>
  <c r="AU568" i="1"/>
  <c r="AU485" i="1"/>
  <c r="AV57" i="1"/>
  <c r="AW57" i="1"/>
  <c r="AW256" i="1"/>
  <c r="AU166" i="1"/>
  <c r="AW611" i="1"/>
  <c r="AW626" i="1"/>
  <c r="AV594" i="1"/>
  <c r="AU583" i="1"/>
  <c r="AV583" i="1"/>
  <c r="AU558" i="1"/>
  <c r="AV383" i="1"/>
  <c r="AU383" i="1"/>
  <c r="AW447" i="1"/>
  <c r="AU521" i="1"/>
  <c r="AW383" i="1"/>
  <c r="AW341" i="1"/>
  <c r="AU82" i="1"/>
  <c r="AV82" i="1"/>
  <c r="AW82" i="1"/>
  <c r="AU314" i="1"/>
  <c r="AV314" i="1"/>
  <c r="AU72" i="1"/>
  <c r="AV72" i="1"/>
  <c r="AW72" i="1"/>
  <c r="AU645" i="1"/>
  <c r="AV461" i="1"/>
  <c r="AV411" i="1"/>
  <c r="AU264" i="1"/>
  <c r="AV264" i="1"/>
  <c r="AU137" i="1"/>
  <c r="AW137" i="1"/>
  <c r="AU499" i="1"/>
  <c r="AU633" i="1"/>
  <c r="AV531" i="1"/>
  <c r="AV137" i="1"/>
  <c r="AU87" i="1"/>
  <c r="AV87" i="1"/>
  <c r="AW87" i="1"/>
  <c r="AV597" i="1"/>
  <c r="AU544" i="1"/>
  <c r="AW628" i="1"/>
  <c r="AU304" i="1"/>
  <c r="AU62" i="1"/>
  <c r="AV62" i="1"/>
  <c r="AW62" i="1"/>
  <c r="AV22" i="1"/>
  <c r="AU3" i="1"/>
  <c r="AV3" i="1"/>
  <c r="AV582" i="1"/>
  <c r="AU666" i="1"/>
  <c r="AV577" i="1"/>
  <c r="AV571" i="1"/>
  <c r="AV508" i="1"/>
  <c r="AV352" i="1"/>
  <c r="AU269" i="1"/>
  <c r="AW309" i="1"/>
  <c r="AU309" i="1"/>
  <c r="AV309" i="1"/>
  <c r="AU47" i="1"/>
  <c r="AV47" i="1"/>
  <c r="AW47" i="1"/>
  <c r="AU379" i="1"/>
  <c r="AV379" i="1"/>
  <c r="AU611" i="1"/>
  <c r="AV611" i="1"/>
  <c r="AU639" i="1"/>
  <c r="AV654" i="1"/>
  <c r="AU619" i="1"/>
  <c r="AW292" i="1"/>
  <c r="AU37" i="1"/>
  <c r="AV37" i="1"/>
  <c r="AW37" i="1"/>
  <c r="AU67" i="1"/>
  <c r="AV67" i="1"/>
  <c r="AW67" i="1"/>
  <c r="AU20" i="1"/>
  <c r="AV20" i="1"/>
  <c r="AW20" i="1"/>
  <c r="AU195" i="1"/>
  <c r="AU651" i="1"/>
  <c r="AU578" i="1"/>
  <c r="AV578" i="1"/>
  <c r="AU631" i="1"/>
  <c r="AV572" i="1"/>
  <c r="AV613" i="1"/>
  <c r="AV566" i="1"/>
  <c r="AV556" i="1"/>
  <c r="AV536" i="1"/>
  <c r="AU495" i="1"/>
  <c r="AV286" i="1"/>
  <c r="AW286" i="1"/>
  <c r="AV208" i="1"/>
  <c r="AU208" i="1"/>
  <c r="AU197" i="1"/>
  <c r="AV197" i="1"/>
  <c r="AW197" i="1"/>
  <c r="AU147" i="1"/>
  <c r="AV147" i="1"/>
  <c r="AW147" i="1"/>
  <c r="AV142" i="1"/>
  <c r="AW142" i="1"/>
  <c r="AU92" i="1"/>
  <c r="AV92" i="1"/>
  <c r="AW92" i="1"/>
  <c r="AU274" i="1"/>
  <c r="AV274" i="1"/>
  <c r="AW274" i="1"/>
  <c r="AV606" i="1"/>
  <c r="AU606" i="1"/>
  <c r="AW567" i="1"/>
  <c r="AV466" i="1"/>
  <c r="AU671" i="1"/>
  <c r="AU665" i="1"/>
  <c r="AU363" i="1"/>
  <c r="AU268" i="1"/>
  <c r="AV268" i="1"/>
  <c r="AW113" i="1"/>
  <c r="AU113" i="1"/>
  <c r="AV113" i="1"/>
  <c r="AU424" i="1"/>
  <c r="AU406" i="1"/>
  <c r="AU391" i="1"/>
  <c r="AV386" i="1"/>
  <c r="AV366" i="1"/>
  <c r="AU339" i="1"/>
  <c r="AU284" i="1"/>
  <c r="AU236" i="1"/>
  <c r="AV207" i="1"/>
  <c r="AW132" i="1"/>
  <c r="AU128" i="1"/>
  <c r="AV108" i="1"/>
  <c r="AV98" i="1"/>
  <c r="AU5" i="1"/>
  <c r="AV475" i="1"/>
  <c r="AV470" i="1"/>
  <c r="AU456" i="1"/>
  <c r="AU433" i="1"/>
  <c r="AV415" i="1"/>
  <c r="AU401" i="1"/>
  <c r="AV381" i="1"/>
  <c r="AV313" i="1"/>
  <c r="AU276" i="1"/>
  <c r="AV263" i="1"/>
  <c r="AV249" i="1"/>
  <c r="AV145" i="1"/>
  <c r="AV93" i="1"/>
  <c r="AW29" i="1"/>
  <c r="AW442" i="1"/>
  <c r="AU419" i="1"/>
  <c r="AV328" i="1"/>
  <c r="AV308" i="1"/>
  <c r="AU303" i="1"/>
  <c r="AV288" i="1"/>
  <c r="AU271" i="1"/>
  <c r="AU202" i="1"/>
  <c r="AW194" i="1"/>
  <c r="AU190" i="1"/>
  <c r="AU181" i="1"/>
  <c r="AV25" i="1"/>
  <c r="AU428" i="1"/>
  <c r="AV385" i="1"/>
  <c r="AV375" i="1"/>
  <c r="AU349" i="1"/>
  <c r="AU322" i="1"/>
  <c r="AV262" i="1"/>
  <c r="AU253" i="1"/>
  <c r="AU240" i="1"/>
  <c r="AV206" i="1"/>
  <c r="AU13" i="1"/>
  <c r="AW437" i="1"/>
  <c r="AV380" i="1"/>
  <c r="AU29" i="1"/>
  <c r="AV455" i="1"/>
  <c r="AU446" i="1"/>
  <c r="AU423" i="1"/>
  <c r="AW343" i="1"/>
  <c r="AV327" i="1"/>
  <c r="AW307" i="1"/>
  <c r="AV266" i="1"/>
  <c r="AV215" i="1"/>
  <c r="AU8" i="1"/>
  <c r="AU464" i="1"/>
  <c r="AW432" i="1"/>
  <c r="AU291" i="1"/>
  <c r="AU161" i="1"/>
  <c r="AU148" i="1"/>
  <c r="AV586" i="1"/>
  <c r="AV581" i="1"/>
  <c r="AU563" i="1"/>
  <c r="AU548" i="1"/>
  <c r="AU529" i="1"/>
  <c r="AU493" i="1"/>
  <c r="AU488" i="1"/>
  <c r="AU483" i="1"/>
  <c r="AU478" i="1"/>
  <c r="AU473" i="1"/>
  <c r="AV450" i="1"/>
  <c r="AU441" i="1"/>
  <c r="AU418" i="1"/>
  <c r="AV374" i="1"/>
  <c r="AU359" i="1"/>
  <c r="AU353" i="1"/>
  <c r="AW348" i="1"/>
  <c r="AU342" i="1"/>
  <c r="AV337" i="1"/>
  <c r="AV321" i="1"/>
  <c r="AU311" i="1"/>
  <c r="AV283" i="1"/>
  <c r="AU257" i="1"/>
  <c r="AV143" i="1"/>
  <c r="AV116" i="1"/>
  <c r="AV28" i="1"/>
  <c r="AU24" i="1"/>
  <c r="AW427" i="1"/>
  <c r="AW297" i="1"/>
  <c r="AW269" i="1"/>
  <c r="AV224" i="1"/>
  <c r="AU218" i="1"/>
  <c r="AU201" i="1"/>
  <c r="AV193" i="1"/>
  <c r="AU121" i="1"/>
  <c r="AV106" i="1"/>
  <c r="AU543" i="1"/>
  <c r="AU468" i="1"/>
  <c r="AV445" i="1"/>
  <c r="AU436" i="1"/>
  <c r="AU413" i="1"/>
  <c r="AW403" i="1"/>
  <c r="AW388" i="1"/>
  <c r="AV269" i="1"/>
  <c r="AW552" i="1"/>
  <c r="AU538" i="1"/>
  <c r="AV498" i="1"/>
  <c r="AU449" i="1"/>
  <c r="AW422" i="1"/>
  <c r="AV403" i="1"/>
  <c r="AW373" i="1"/>
  <c r="AW363" i="1"/>
  <c r="AW336" i="1"/>
  <c r="AU326" i="1"/>
  <c r="AU261" i="1"/>
  <c r="AV243" i="1"/>
  <c r="AV115" i="1"/>
  <c r="AW96" i="1"/>
  <c r="AW23" i="1"/>
  <c r="AV623" i="1"/>
  <c r="AV618" i="1"/>
  <c r="AU575" i="1"/>
  <c r="AU519" i="1"/>
  <c r="AU458" i="1"/>
  <c r="AV440" i="1"/>
  <c r="AU431" i="1"/>
  <c r="AU408" i="1"/>
  <c r="AV358" i="1"/>
  <c r="AU306" i="1"/>
  <c r="AU286" i="1"/>
  <c r="AV278" i="1"/>
  <c r="AU247" i="1"/>
  <c r="AW163" i="1"/>
  <c r="AV125" i="1"/>
  <c r="AV27" i="1"/>
  <c r="AW3" i="1"/>
  <c r="AU453" i="1"/>
  <c r="AV435" i="1"/>
  <c r="AU426" i="1"/>
  <c r="AU388" i="1"/>
  <c r="AV363" i="1"/>
  <c r="AU138" i="1"/>
  <c r="AU105" i="1"/>
  <c r="AU100" i="1"/>
  <c r="AV76" i="1"/>
  <c r="AV561" i="1"/>
  <c r="AW542" i="1"/>
  <c r="AW497" i="1"/>
  <c r="AW467" i="1"/>
  <c r="AW462" i="1"/>
  <c r="AW412" i="1"/>
  <c r="AU398" i="1"/>
  <c r="AU293" i="1"/>
  <c r="AV251" i="1"/>
  <c r="AW204" i="1"/>
  <c r="AV90" i="1"/>
  <c r="AU85" i="1"/>
  <c r="AV71" i="1"/>
  <c r="AU650" i="1"/>
  <c r="AV607" i="1"/>
  <c r="AV593" i="1"/>
  <c r="AU555" i="1"/>
  <c r="AW537" i="1"/>
  <c r="AU523" i="1"/>
  <c r="AV518" i="1"/>
  <c r="AU448" i="1"/>
  <c r="AV430" i="1"/>
  <c r="AU421" i="1"/>
  <c r="AW277" i="1"/>
  <c r="AW216" i="1"/>
  <c r="AV66" i="1"/>
  <c r="AW15" i="1"/>
  <c r="AU560" i="1"/>
  <c r="AW502" i="1"/>
  <c r="AW457" i="1"/>
  <c r="AU434" i="1"/>
  <c r="AU425" i="1"/>
  <c r="AU402" i="1"/>
  <c r="AU392" i="1"/>
  <c r="AV367" i="1"/>
  <c r="AV324" i="1"/>
  <c r="AV318" i="1"/>
  <c r="AU296" i="1"/>
  <c r="AU281" i="1"/>
  <c r="AV259" i="1"/>
  <c r="AU255" i="1"/>
  <c r="AU242" i="1"/>
  <c r="AV216" i="1"/>
  <c r="AV199" i="1"/>
  <c r="AU178" i="1"/>
  <c r="AU75" i="1"/>
  <c r="AW56" i="1"/>
  <c r="AW51" i="1"/>
  <c r="AV2" i="1"/>
  <c r="AW532" i="1"/>
  <c r="AW512" i="1"/>
  <c r="AW507" i="1"/>
  <c r="AU491" i="1"/>
  <c r="AU486" i="1"/>
  <c r="AU481" i="1"/>
  <c r="AU476" i="1"/>
  <c r="AU471" i="1"/>
  <c r="AU443" i="1"/>
  <c r="AU416" i="1"/>
  <c r="AU382" i="1"/>
  <c r="AW276" i="1"/>
  <c r="AV5" i="1"/>
  <c r="AV649" i="1"/>
  <c r="AV541" i="1"/>
  <c r="AW527" i="1"/>
  <c r="AV496" i="1"/>
  <c r="AW452" i="1"/>
  <c r="AU420" i="1"/>
  <c r="AV397" i="1"/>
  <c r="AV345" i="1"/>
  <c r="AU334" i="1"/>
  <c r="AV276" i="1"/>
  <c r="AV250" i="1"/>
  <c r="AW190" i="1"/>
  <c r="AV153" i="1"/>
  <c r="AV146" i="1"/>
  <c r="AU118" i="1"/>
  <c r="AU65" i="1"/>
  <c r="AV46" i="1"/>
  <c r="AV41" i="1"/>
  <c r="AV660" i="1"/>
  <c r="AU648" i="1"/>
  <c r="AV648" i="1"/>
  <c r="AW648" i="1"/>
  <c r="AU642" i="1"/>
  <c r="AV642" i="1"/>
  <c r="AW642" i="1"/>
  <c r="AU636" i="1"/>
  <c r="AV659" i="1"/>
  <c r="AU653" i="1"/>
  <c r="AU614" i="1"/>
  <c r="AV653" i="1"/>
  <c r="AW653" i="1"/>
  <c r="AU647" i="1"/>
  <c r="AV647" i="1"/>
  <c r="AW647" i="1"/>
  <c r="AU670" i="1"/>
  <c r="AV609" i="1"/>
  <c r="AU658" i="1"/>
  <c r="AV658" i="1"/>
  <c r="AW658" i="1"/>
  <c r="AU652" i="1"/>
  <c r="AV652" i="1"/>
  <c r="AW652" i="1"/>
  <c r="AU646" i="1"/>
  <c r="AU629" i="1"/>
  <c r="AV629" i="1"/>
  <c r="AW629" i="1"/>
  <c r="AU624" i="1"/>
  <c r="AV624" i="1"/>
  <c r="AW624" i="1"/>
  <c r="AV604" i="1"/>
  <c r="AU634" i="1"/>
  <c r="AV634" i="1"/>
  <c r="AW634" i="1"/>
  <c r="AV669" i="1"/>
  <c r="AU663" i="1"/>
  <c r="AV663" i="1"/>
  <c r="AW663" i="1"/>
  <c r="AU657" i="1"/>
  <c r="AV657" i="1"/>
  <c r="AW657" i="1"/>
  <c r="AV639" i="1"/>
  <c r="AU628" i="1"/>
  <c r="AV668" i="1"/>
  <c r="AW668" i="1"/>
  <c r="AU662" i="1"/>
  <c r="AV662" i="1"/>
  <c r="AW662" i="1"/>
  <c r="AU656" i="1"/>
  <c r="AV650" i="1"/>
  <c r="AV622" i="1"/>
  <c r="AV617" i="1"/>
  <c r="AU673" i="1"/>
  <c r="AV644" i="1"/>
  <c r="AV673" i="1"/>
  <c r="AW673" i="1"/>
  <c r="AU638" i="1"/>
  <c r="AV638" i="1"/>
  <c r="AW638" i="1"/>
  <c r="AU667" i="1"/>
  <c r="AV667" i="1"/>
  <c r="AW667" i="1"/>
  <c r="AU661" i="1"/>
  <c r="AV655" i="1"/>
  <c r="AU616" i="1"/>
  <c r="AV616" i="1"/>
  <c r="AW616" i="1"/>
  <c r="AU672" i="1"/>
  <c r="AV672" i="1"/>
  <c r="AW672" i="1"/>
  <c r="AU643" i="1"/>
  <c r="AV643" i="1"/>
  <c r="AW643" i="1"/>
  <c r="AU637" i="1"/>
  <c r="AV637" i="1"/>
  <c r="AW637" i="1"/>
  <c r="AU669" i="1"/>
  <c r="AU664" i="1"/>
  <c r="AU659" i="1"/>
  <c r="AU654" i="1"/>
  <c r="AU649" i="1"/>
  <c r="AU601" i="1"/>
  <c r="AW601" i="1"/>
  <c r="AU580" i="1"/>
  <c r="AV580" i="1"/>
  <c r="AW580" i="1"/>
  <c r="AU344" i="1"/>
  <c r="AV344" i="1"/>
  <c r="AW344" i="1"/>
  <c r="AV621" i="1"/>
  <c r="AU608" i="1"/>
  <c r="AW608" i="1"/>
  <c r="AU576" i="1"/>
  <c r="AU526" i="1"/>
  <c r="AU506" i="1"/>
  <c r="AW671" i="1"/>
  <c r="AW666" i="1"/>
  <c r="AW661" i="1"/>
  <c r="AW656" i="1"/>
  <c r="AW651" i="1"/>
  <c r="AW646" i="1"/>
  <c r="AW641" i="1"/>
  <c r="AW636" i="1"/>
  <c r="AW633" i="1"/>
  <c r="AU618" i="1"/>
  <c r="AW618" i="1"/>
  <c r="AW614" i="1"/>
  <c r="AW592" i="1"/>
  <c r="AU592" i="1"/>
  <c r="AU530" i="1"/>
  <c r="AU516" i="1"/>
  <c r="AU511" i="1"/>
  <c r="AU500" i="1"/>
  <c r="AU465" i="1"/>
  <c r="AU460" i="1"/>
  <c r="AU410" i="1"/>
  <c r="AV671" i="1"/>
  <c r="AV666" i="1"/>
  <c r="AV661" i="1"/>
  <c r="AV656" i="1"/>
  <c r="AV651" i="1"/>
  <c r="AV646" i="1"/>
  <c r="AV641" i="1"/>
  <c r="AV636" i="1"/>
  <c r="AV633" i="1"/>
  <c r="AV614" i="1"/>
  <c r="AU588" i="1"/>
  <c r="AW588" i="1"/>
  <c r="AU584" i="1"/>
  <c r="AW584" i="1"/>
  <c r="AU312" i="1"/>
  <c r="AV312" i="1"/>
  <c r="AW312" i="1"/>
  <c r="AU604" i="1"/>
  <c r="AW604" i="1"/>
  <c r="AU600" i="1"/>
  <c r="AW600" i="1"/>
  <c r="AU596" i="1"/>
  <c r="AW596" i="1"/>
  <c r="AU571" i="1"/>
  <c r="AU534" i="1"/>
  <c r="AU494" i="1"/>
  <c r="AU489" i="1"/>
  <c r="AU484" i="1"/>
  <c r="AU479" i="1"/>
  <c r="AU474" i="1"/>
  <c r="AU469" i="1"/>
  <c r="AU414" i="1"/>
  <c r="AV405" i="1"/>
  <c r="AW405" i="1"/>
  <c r="AU630" i="1"/>
  <c r="AW630" i="1"/>
  <c r="AU579" i="1"/>
  <c r="AV579" i="1"/>
  <c r="AW579" i="1"/>
  <c r="AW562" i="1"/>
  <c r="AW557" i="1"/>
  <c r="AU515" i="1"/>
  <c r="AU510" i="1"/>
  <c r="AV400" i="1"/>
  <c r="AU354" i="1"/>
  <c r="AV354" i="1"/>
  <c r="AW354" i="1"/>
  <c r="AU332" i="1"/>
  <c r="AW287" i="1"/>
  <c r="AV287" i="1"/>
  <c r="AW627" i="1"/>
  <c r="AU627" i="1"/>
  <c r="AU520" i="1"/>
  <c r="AU450" i="1"/>
  <c r="AU404" i="1"/>
  <c r="AU384" i="1"/>
  <c r="AV384" i="1"/>
  <c r="AW384" i="1"/>
  <c r="AW607" i="1"/>
  <c r="AU607" i="1"/>
  <c r="AU591" i="1"/>
  <c r="AW591" i="1"/>
  <c r="AU389" i="1"/>
  <c r="AV389" i="1"/>
  <c r="AW389" i="1"/>
  <c r="AW617" i="1"/>
  <c r="AU617" i="1"/>
  <c r="AU595" i="1"/>
  <c r="AW595" i="1"/>
  <c r="AU566" i="1"/>
  <c r="AU524" i="1"/>
  <c r="AU504" i="1"/>
  <c r="AU454" i="1"/>
  <c r="AU364" i="1"/>
  <c r="AV364" i="1"/>
  <c r="AW364" i="1"/>
  <c r="AV353" i="1"/>
  <c r="AW353" i="1"/>
  <c r="AU620" i="1"/>
  <c r="AW620" i="1"/>
  <c r="AU610" i="1"/>
  <c r="AW610" i="1"/>
  <c r="AU603" i="1"/>
  <c r="AW603" i="1"/>
  <c r="AU599" i="1"/>
  <c r="AW599" i="1"/>
  <c r="AW587" i="1"/>
  <c r="AU587" i="1"/>
  <c r="AU574" i="1"/>
  <c r="AV574" i="1"/>
  <c r="AW574" i="1"/>
  <c r="AU561" i="1"/>
  <c r="AU556" i="1"/>
  <c r="AU514" i="1"/>
  <c r="AU509" i="1"/>
  <c r="AU498" i="1"/>
  <c r="AU463" i="1"/>
  <c r="AW399" i="1"/>
  <c r="AU394" i="1"/>
  <c r="AU369" i="1"/>
  <c r="AV336" i="1"/>
  <c r="AW670" i="1"/>
  <c r="AW665" i="1"/>
  <c r="AW660" i="1"/>
  <c r="AW655" i="1"/>
  <c r="AW650" i="1"/>
  <c r="AW645" i="1"/>
  <c r="AW640" i="1"/>
  <c r="AV626" i="1"/>
  <c r="AW606" i="1"/>
  <c r="AU347" i="1"/>
  <c r="AV347" i="1"/>
  <c r="AW347" i="1"/>
  <c r="AW282" i="1"/>
  <c r="AV282" i="1"/>
  <c r="AV670" i="1"/>
  <c r="AV665" i="1"/>
  <c r="AU635" i="1"/>
  <c r="AW635" i="1"/>
  <c r="AU623" i="1"/>
  <c r="AW623" i="1"/>
  <c r="AU590" i="1"/>
  <c r="AW590" i="1"/>
  <c r="AU565" i="1"/>
  <c r="AU551" i="1"/>
  <c r="AU503" i="1"/>
  <c r="AW619" i="1"/>
  <c r="AU613" i="1"/>
  <c r="AW613" i="1"/>
  <c r="AW609" i="1"/>
  <c r="AU594" i="1"/>
  <c r="AW594" i="1"/>
  <c r="AW582" i="1"/>
  <c r="AU582" i="1"/>
  <c r="AU569" i="1"/>
  <c r="AV569" i="1"/>
  <c r="AW569" i="1"/>
  <c r="AU444" i="1"/>
  <c r="AU393" i="1"/>
  <c r="AU378" i="1"/>
  <c r="AV335" i="1"/>
  <c r="AU319" i="1"/>
  <c r="AV319" i="1"/>
  <c r="AW632" i="1"/>
  <c r="AU632" i="1"/>
  <c r="AV619" i="1"/>
  <c r="AU598" i="1"/>
  <c r="AW598" i="1"/>
  <c r="AU546" i="1"/>
  <c r="AU368" i="1"/>
  <c r="AV368" i="1"/>
  <c r="AW368" i="1"/>
  <c r="AU357" i="1"/>
  <c r="AV357" i="1"/>
  <c r="AW357" i="1"/>
  <c r="AW319" i="1"/>
  <c r="AU586" i="1"/>
  <c r="AW586" i="1"/>
  <c r="AU550" i="1"/>
  <c r="AU439" i="1"/>
  <c r="AU430" i="1"/>
  <c r="AV330" i="1"/>
  <c r="AW602" i="1"/>
  <c r="AU602" i="1"/>
  <c r="AU541" i="1"/>
  <c r="AW407" i="1"/>
  <c r="AV392" i="1"/>
  <c r="AW392" i="1"/>
  <c r="AU377" i="1"/>
  <c r="AU346" i="1"/>
  <c r="AV346" i="1"/>
  <c r="AW346" i="1"/>
  <c r="AU609" i="1"/>
  <c r="AU593" i="1"/>
  <c r="AW593" i="1"/>
  <c r="AW577" i="1"/>
  <c r="AU564" i="1"/>
  <c r="AV564" i="1"/>
  <c r="AW564" i="1"/>
  <c r="AV631" i="1"/>
  <c r="AV628" i="1"/>
  <c r="AW622" i="1"/>
  <c r="AU622" i="1"/>
  <c r="AU589" i="1"/>
  <c r="AW589" i="1"/>
  <c r="AU585" i="1"/>
  <c r="AV585" i="1"/>
  <c r="AW585" i="1"/>
  <c r="AU581" i="1"/>
  <c r="AW581" i="1"/>
  <c r="AU536" i="1"/>
  <c r="AU387" i="1"/>
  <c r="AV387" i="1"/>
  <c r="AW387" i="1"/>
  <c r="AW324" i="1"/>
  <c r="AW669" i="1"/>
  <c r="AW664" i="1"/>
  <c r="AW659" i="1"/>
  <c r="AW654" i="1"/>
  <c r="AW649" i="1"/>
  <c r="AW644" i="1"/>
  <c r="AW639" i="1"/>
  <c r="AU625" i="1"/>
  <c r="AW625" i="1"/>
  <c r="AW612" i="1"/>
  <c r="AU612" i="1"/>
  <c r="AU605" i="1"/>
  <c r="AW605" i="1"/>
  <c r="AV601" i="1"/>
  <c r="AU549" i="1"/>
  <c r="AU429" i="1"/>
  <c r="AV376" i="1"/>
  <c r="AW376" i="1"/>
  <c r="AU372" i="1"/>
  <c r="AV372" i="1"/>
  <c r="AU356" i="1"/>
  <c r="AV356" i="1"/>
  <c r="AW356" i="1"/>
  <c r="AU615" i="1"/>
  <c r="AW615" i="1"/>
  <c r="AV608" i="1"/>
  <c r="AW597" i="1"/>
  <c r="AU597" i="1"/>
  <c r="AV592" i="1"/>
  <c r="AW572" i="1"/>
  <c r="AU531" i="1"/>
  <c r="AU501" i="1"/>
  <c r="AV391" i="1"/>
  <c r="AU376" i="1"/>
  <c r="AU361" i="1"/>
  <c r="AV350" i="1"/>
  <c r="AV562" i="1"/>
  <c r="AV557" i="1"/>
  <c r="AV552" i="1"/>
  <c r="AV547" i="1"/>
  <c r="AV542" i="1"/>
  <c r="AV537" i="1"/>
  <c r="AV532" i="1"/>
  <c r="AV527" i="1"/>
  <c r="AV522" i="1"/>
  <c r="AV517" i="1"/>
  <c r="AV512" i="1"/>
  <c r="AV507" i="1"/>
  <c r="AV502" i="1"/>
  <c r="AV497" i="1"/>
  <c r="AV492" i="1"/>
  <c r="AV487" i="1"/>
  <c r="AV482" i="1"/>
  <c r="AV477" i="1"/>
  <c r="AV472" i="1"/>
  <c r="AV467" i="1"/>
  <c r="AV462" i="1"/>
  <c r="AV457" i="1"/>
  <c r="AV452" i="1"/>
  <c r="AV447" i="1"/>
  <c r="AV442" i="1"/>
  <c r="AV437" i="1"/>
  <c r="AV432" i="1"/>
  <c r="AV427" i="1"/>
  <c r="AV422" i="1"/>
  <c r="AV417" i="1"/>
  <c r="AV412" i="1"/>
  <c r="AV407" i="1"/>
  <c r="AW391" i="1"/>
  <c r="AU386" i="1"/>
  <c r="AU370" i="1"/>
  <c r="AW370" i="1"/>
  <c r="AU367" i="1"/>
  <c r="AV348" i="1"/>
  <c r="AU340" i="1"/>
  <c r="AW340" i="1"/>
  <c r="AW317" i="1"/>
  <c r="AV254" i="1"/>
  <c r="AW254" i="1"/>
  <c r="AW241" i="1"/>
  <c r="AU241" i="1"/>
  <c r="AV241" i="1"/>
  <c r="AU230" i="1"/>
  <c r="AV230" i="1"/>
  <c r="AW230" i="1"/>
  <c r="AU221" i="1"/>
  <c r="AV221" i="1"/>
  <c r="AW221" i="1"/>
  <c r="AU211" i="1"/>
  <c r="AV211" i="1"/>
  <c r="AW211" i="1"/>
  <c r="AU171" i="1"/>
  <c r="AU577" i="1"/>
  <c r="AU572" i="1"/>
  <c r="AU567" i="1"/>
  <c r="AU562" i="1"/>
  <c r="AU557" i="1"/>
  <c r="AU552" i="1"/>
  <c r="AU547" i="1"/>
  <c r="AU542" i="1"/>
  <c r="AU537" i="1"/>
  <c r="AU532" i="1"/>
  <c r="AU527" i="1"/>
  <c r="AU522" i="1"/>
  <c r="AU517" i="1"/>
  <c r="AU512" i="1"/>
  <c r="AU507" i="1"/>
  <c r="AU502" i="1"/>
  <c r="AU497" i="1"/>
  <c r="AU492" i="1"/>
  <c r="AU487" i="1"/>
  <c r="AU482" i="1"/>
  <c r="AU477" i="1"/>
  <c r="AU472" i="1"/>
  <c r="AU467" i="1"/>
  <c r="AU462" i="1"/>
  <c r="AU457" i="1"/>
  <c r="AU452" i="1"/>
  <c r="AU447" i="1"/>
  <c r="AU442" i="1"/>
  <c r="AU437" i="1"/>
  <c r="AU432" i="1"/>
  <c r="AU427" i="1"/>
  <c r="AU422" i="1"/>
  <c r="AU417" i="1"/>
  <c r="AU412" i="1"/>
  <c r="AU407" i="1"/>
  <c r="AU399" i="1"/>
  <c r="AU348" i="1"/>
  <c r="AU327" i="1"/>
  <c r="AU324" i="1"/>
  <c r="AU321" i="1"/>
  <c r="AV317" i="1"/>
  <c r="AU287" i="1"/>
  <c r="AV271" i="1"/>
  <c r="AW271" i="1"/>
  <c r="AU185" i="1"/>
  <c r="AW404" i="1"/>
  <c r="AV297" i="1"/>
  <c r="AV253" i="1"/>
  <c r="AW253" i="1"/>
  <c r="AV240" i="1"/>
  <c r="AW240" i="1"/>
  <c r="AW559" i="1"/>
  <c r="AW554" i="1"/>
  <c r="AW549" i="1"/>
  <c r="AW544" i="1"/>
  <c r="AW539" i="1"/>
  <c r="AW534" i="1"/>
  <c r="AW529" i="1"/>
  <c r="AW524" i="1"/>
  <c r="AW519" i="1"/>
  <c r="AW514" i="1"/>
  <c r="AW509" i="1"/>
  <c r="AW504" i="1"/>
  <c r="AW499" i="1"/>
  <c r="AW494" i="1"/>
  <c r="AW489" i="1"/>
  <c r="AW484" i="1"/>
  <c r="AW479" i="1"/>
  <c r="AW474" i="1"/>
  <c r="AW469" i="1"/>
  <c r="AW464" i="1"/>
  <c r="AW459" i="1"/>
  <c r="AW454" i="1"/>
  <c r="AW449" i="1"/>
  <c r="AW444" i="1"/>
  <c r="AW439" i="1"/>
  <c r="AW434" i="1"/>
  <c r="AW429" i="1"/>
  <c r="AW424" i="1"/>
  <c r="AW419" i="1"/>
  <c r="AW414" i="1"/>
  <c r="AW409" i="1"/>
  <c r="AV404" i="1"/>
  <c r="AW396" i="1"/>
  <c r="AU375" i="1"/>
  <c r="AW375" i="1"/>
  <c r="AW369" i="1"/>
  <c r="AW361" i="1"/>
  <c r="AW342" i="1"/>
  <c r="AW339" i="1"/>
  <c r="AU275" i="1"/>
  <c r="AV275" i="1"/>
  <c r="AW275" i="1"/>
  <c r="AW267" i="1"/>
  <c r="AU267" i="1"/>
  <c r="AV267" i="1"/>
  <c r="AU225" i="1"/>
  <c r="AV225" i="1"/>
  <c r="AW225" i="1"/>
  <c r="AW220" i="1"/>
  <c r="AU220" i="1"/>
  <c r="AV220" i="1"/>
  <c r="AV559" i="1"/>
  <c r="AV554" i="1"/>
  <c r="AV549" i="1"/>
  <c r="AV544" i="1"/>
  <c r="AV539" i="1"/>
  <c r="AV534" i="1"/>
  <c r="AV529" i="1"/>
  <c r="AV524" i="1"/>
  <c r="AV519" i="1"/>
  <c r="AV514" i="1"/>
  <c r="AV509" i="1"/>
  <c r="AV504" i="1"/>
  <c r="AV499" i="1"/>
  <c r="AV494" i="1"/>
  <c r="AV489" i="1"/>
  <c r="AV484" i="1"/>
  <c r="AV479" i="1"/>
  <c r="AV474" i="1"/>
  <c r="AV469" i="1"/>
  <c r="AV464" i="1"/>
  <c r="AV459" i="1"/>
  <c r="AV454" i="1"/>
  <c r="AV449" i="1"/>
  <c r="AV444" i="1"/>
  <c r="AV439" i="1"/>
  <c r="AV434" i="1"/>
  <c r="AV429" i="1"/>
  <c r="AV424" i="1"/>
  <c r="AV419" i="1"/>
  <c r="AV414" i="1"/>
  <c r="AV409" i="1"/>
  <c r="AV396" i="1"/>
  <c r="AW377" i="1"/>
  <c r="AV369" i="1"/>
  <c r="AV361" i="1"/>
  <c r="AV342" i="1"/>
  <c r="AV339" i="1"/>
  <c r="AU333" i="1"/>
  <c r="AW333" i="1"/>
  <c r="AU330" i="1"/>
  <c r="AW330" i="1"/>
  <c r="AU297" i="1"/>
  <c r="AU235" i="1"/>
  <c r="AV235" i="1"/>
  <c r="AW235" i="1"/>
  <c r="AU176" i="1"/>
  <c r="AV176" i="1"/>
  <c r="AV170" i="1"/>
  <c r="AW170" i="1"/>
  <c r="AV165" i="1"/>
  <c r="AW401" i="1"/>
  <c r="AW393" i="1"/>
  <c r="AV377" i="1"/>
  <c r="AW358" i="1"/>
  <c r="AU345" i="1"/>
  <c r="AW345" i="1"/>
  <c r="AU320" i="1"/>
  <c r="AV320" i="1"/>
  <c r="AW320" i="1"/>
  <c r="AU290" i="1"/>
  <c r="AV290" i="1"/>
  <c r="AW290" i="1"/>
  <c r="AU270" i="1"/>
  <c r="AU210" i="1"/>
  <c r="AU180" i="1"/>
  <c r="AV180" i="1"/>
  <c r="AW180" i="1"/>
  <c r="AV401" i="1"/>
  <c r="AV393" i="1"/>
  <c r="AU380" i="1"/>
  <c r="AW380" i="1"/>
  <c r="AW374" i="1"/>
  <c r="AW366" i="1"/>
  <c r="AU336" i="1"/>
  <c r="AU305" i="1"/>
  <c r="AV305" i="1"/>
  <c r="AW305" i="1"/>
  <c r="AV219" i="1"/>
  <c r="AW219" i="1"/>
  <c r="AU175" i="1"/>
  <c r="AV175" i="1"/>
  <c r="AW175" i="1"/>
  <c r="AW576" i="1"/>
  <c r="AW571" i="1"/>
  <c r="AW566" i="1"/>
  <c r="AW561" i="1"/>
  <c r="AW556" i="1"/>
  <c r="AW551" i="1"/>
  <c r="AW546" i="1"/>
  <c r="AW541" i="1"/>
  <c r="AW536" i="1"/>
  <c r="AW531" i="1"/>
  <c r="AW526" i="1"/>
  <c r="AW521" i="1"/>
  <c r="AW516" i="1"/>
  <c r="AW511" i="1"/>
  <c r="AW506" i="1"/>
  <c r="AW501" i="1"/>
  <c r="AW496" i="1"/>
  <c r="AW491" i="1"/>
  <c r="AW486" i="1"/>
  <c r="AW481" i="1"/>
  <c r="AW476" i="1"/>
  <c r="AW471" i="1"/>
  <c r="AW466" i="1"/>
  <c r="AW461" i="1"/>
  <c r="AW456" i="1"/>
  <c r="AW451" i="1"/>
  <c r="AW446" i="1"/>
  <c r="AW441" i="1"/>
  <c r="AW436" i="1"/>
  <c r="AW431" i="1"/>
  <c r="AW426" i="1"/>
  <c r="AW421" i="1"/>
  <c r="AW416" i="1"/>
  <c r="AW411" i="1"/>
  <c r="AW406" i="1"/>
  <c r="AW398" i="1"/>
  <c r="AW382" i="1"/>
  <c r="AW332" i="1"/>
  <c r="AW329" i="1"/>
  <c r="AW326" i="1"/>
  <c r="AU252" i="1"/>
  <c r="AV135" i="1"/>
  <c r="AU350" i="1"/>
  <c r="AW350" i="1"/>
  <c r="AV332" i="1"/>
  <c r="AV329" i="1"/>
  <c r="AV326" i="1"/>
  <c r="AU323" i="1"/>
  <c r="AW323" i="1"/>
  <c r="AU316" i="1"/>
  <c r="AU282" i="1"/>
  <c r="AU188" i="1"/>
  <c r="AU131" i="1"/>
  <c r="AV131" i="1"/>
  <c r="AU385" i="1"/>
  <c r="AW385" i="1"/>
  <c r="AW379" i="1"/>
  <c r="AW371" i="1"/>
  <c r="AW352" i="1"/>
  <c r="AU308" i="1"/>
  <c r="AU278" i="1"/>
  <c r="AU265" i="1"/>
  <c r="AV261" i="1"/>
  <c r="AW261" i="1"/>
  <c r="AU238" i="1"/>
  <c r="AV238" i="1"/>
  <c r="AW238" i="1"/>
  <c r="AU168" i="1"/>
  <c r="AU126" i="1"/>
  <c r="AV126" i="1"/>
  <c r="AU300" i="1"/>
  <c r="AV300" i="1"/>
  <c r="AW300" i="1"/>
  <c r="AW233" i="1"/>
  <c r="AU233" i="1"/>
  <c r="AV233" i="1"/>
  <c r="AU205" i="1"/>
  <c r="AV205" i="1"/>
  <c r="AW205" i="1"/>
  <c r="AU160" i="1"/>
  <c r="AV160" i="1"/>
  <c r="AW160" i="1"/>
  <c r="AU151" i="1"/>
  <c r="AV151" i="1"/>
  <c r="AW583" i="1"/>
  <c r="AW578" i="1"/>
  <c r="AW573" i="1"/>
  <c r="AW568" i="1"/>
  <c r="AW563" i="1"/>
  <c r="AW558" i="1"/>
  <c r="AW553" i="1"/>
  <c r="AW548" i="1"/>
  <c r="AW543" i="1"/>
  <c r="AW538" i="1"/>
  <c r="AW533" i="1"/>
  <c r="AW528" i="1"/>
  <c r="AW523" i="1"/>
  <c r="AW518" i="1"/>
  <c r="AW513" i="1"/>
  <c r="AW508" i="1"/>
  <c r="AW503" i="1"/>
  <c r="AW498" i="1"/>
  <c r="AW493" i="1"/>
  <c r="AW488" i="1"/>
  <c r="AW483" i="1"/>
  <c r="AW478" i="1"/>
  <c r="AW473" i="1"/>
  <c r="AW468" i="1"/>
  <c r="AW463" i="1"/>
  <c r="AW458" i="1"/>
  <c r="AW453" i="1"/>
  <c r="AW448" i="1"/>
  <c r="AW443" i="1"/>
  <c r="AW438" i="1"/>
  <c r="AW433" i="1"/>
  <c r="AW428" i="1"/>
  <c r="AW423" i="1"/>
  <c r="AW418" i="1"/>
  <c r="AW413" i="1"/>
  <c r="AW408" i="1"/>
  <c r="AU390" i="1"/>
  <c r="AW390" i="1"/>
  <c r="AU355" i="1"/>
  <c r="AW355" i="1"/>
  <c r="AW349" i="1"/>
  <c r="AW322" i="1"/>
  <c r="AU217" i="1"/>
  <c r="AV217" i="1"/>
  <c r="AW217" i="1"/>
  <c r="AU192" i="1"/>
  <c r="AV192" i="1"/>
  <c r="AW192" i="1"/>
  <c r="AU187" i="1"/>
  <c r="AV187" i="1"/>
  <c r="AW187" i="1"/>
  <c r="AU155" i="1"/>
  <c r="AV478" i="1"/>
  <c r="AV473" i="1"/>
  <c r="AV468" i="1"/>
  <c r="AV463" i="1"/>
  <c r="AV458" i="1"/>
  <c r="AV453" i="1"/>
  <c r="AV448" i="1"/>
  <c r="AV443" i="1"/>
  <c r="AV438" i="1"/>
  <c r="AV433" i="1"/>
  <c r="AV428" i="1"/>
  <c r="AV423" i="1"/>
  <c r="AV418" i="1"/>
  <c r="AV413" i="1"/>
  <c r="AV408" i="1"/>
  <c r="AU338" i="1"/>
  <c r="AW338" i="1"/>
  <c r="AU335" i="1"/>
  <c r="AW335" i="1"/>
  <c r="AU315" i="1"/>
  <c r="AV315" i="1"/>
  <c r="AW315" i="1"/>
  <c r="AU285" i="1"/>
  <c r="AV285" i="1"/>
  <c r="AW285" i="1"/>
  <c r="AV232" i="1"/>
  <c r="AW232" i="1"/>
  <c r="AU223" i="1"/>
  <c r="AV307" i="1"/>
  <c r="AU232" i="1"/>
  <c r="AU395" i="1"/>
  <c r="AW395" i="1"/>
  <c r="AU360" i="1"/>
  <c r="AW360" i="1"/>
  <c r="AU341" i="1"/>
  <c r="AU292" i="1"/>
  <c r="AU273" i="1"/>
  <c r="AU246" i="1"/>
  <c r="AV246" i="1"/>
  <c r="AW246" i="1"/>
  <c r="AU213" i="1"/>
  <c r="AV213" i="1"/>
  <c r="AW213" i="1"/>
  <c r="AW173" i="1"/>
  <c r="AU173" i="1"/>
  <c r="AV173" i="1"/>
  <c r="AW575" i="1"/>
  <c r="AW570" i="1"/>
  <c r="AW565" i="1"/>
  <c r="AW560" i="1"/>
  <c r="AW555" i="1"/>
  <c r="AW550" i="1"/>
  <c r="AW545" i="1"/>
  <c r="AW540" i="1"/>
  <c r="AW535" i="1"/>
  <c r="AW530" i="1"/>
  <c r="AW525" i="1"/>
  <c r="AW520" i="1"/>
  <c r="AW515" i="1"/>
  <c r="AW510" i="1"/>
  <c r="AW505" i="1"/>
  <c r="AW500" i="1"/>
  <c r="AW495" i="1"/>
  <c r="AW490" i="1"/>
  <c r="AW485" i="1"/>
  <c r="AW480" i="1"/>
  <c r="AW475" i="1"/>
  <c r="AW470" i="1"/>
  <c r="AW465" i="1"/>
  <c r="AW460" i="1"/>
  <c r="AW455" i="1"/>
  <c r="AW450" i="1"/>
  <c r="AW445" i="1"/>
  <c r="AW440" i="1"/>
  <c r="AW435" i="1"/>
  <c r="AW430" i="1"/>
  <c r="AW425" i="1"/>
  <c r="AW420" i="1"/>
  <c r="AW415" i="1"/>
  <c r="AW410" i="1"/>
  <c r="AW397" i="1"/>
  <c r="AW381" i="1"/>
  <c r="AW362" i="1"/>
  <c r="AW337" i="1"/>
  <c r="AW334" i="1"/>
  <c r="AU295" i="1"/>
  <c r="AV295" i="1"/>
  <c r="AW295" i="1"/>
  <c r="AU222" i="1"/>
  <c r="AV222" i="1"/>
  <c r="AW222" i="1"/>
  <c r="AU182" i="1"/>
  <c r="AV182" i="1"/>
  <c r="AW182" i="1"/>
  <c r="AU158" i="1"/>
  <c r="AV158" i="1"/>
  <c r="AW158" i="1"/>
  <c r="AV575" i="1"/>
  <c r="AV570" i="1"/>
  <c r="AV565" i="1"/>
  <c r="AV560" i="1"/>
  <c r="AV555" i="1"/>
  <c r="AV550" i="1"/>
  <c r="AV545" i="1"/>
  <c r="AV540" i="1"/>
  <c r="AV535" i="1"/>
  <c r="AV530" i="1"/>
  <c r="AV525" i="1"/>
  <c r="AV520" i="1"/>
  <c r="AV515" i="1"/>
  <c r="AV510" i="1"/>
  <c r="AV505" i="1"/>
  <c r="AV500" i="1"/>
  <c r="AV495" i="1"/>
  <c r="AV490" i="1"/>
  <c r="AU400" i="1"/>
  <c r="AW400" i="1"/>
  <c r="AU328" i="1"/>
  <c r="AW328" i="1"/>
  <c r="AU325" i="1"/>
  <c r="AW325" i="1"/>
  <c r="AW212" i="1"/>
  <c r="AU212" i="1"/>
  <c r="AV212" i="1"/>
  <c r="AU191" i="1"/>
  <c r="AV191" i="1"/>
  <c r="AU172" i="1"/>
  <c r="AV172" i="1"/>
  <c r="AW172" i="1"/>
  <c r="AW402" i="1"/>
  <c r="AW394" i="1"/>
  <c r="AW378" i="1"/>
  <c r="AV370" i="1"/>
  <c r="AU365" i="1"/>
  <c r="AW365" i="1"/>
  <c r="AW359" i="1"/>
  <c r="AW351" i="1"/>
  <c r="AV343" i="1"/>
  <c r="AV340" i="1"/>
  <c r="AU250" i="1"/>
  <c r="AU231" i="1"/>
  <c r="AU203" i="1"/>
  <c r="AV203" i="1"/>
  <c r="AW203" i="1"/>
  <c r="AU146" i="1"/>
  <c r="AV402" i="1"/>
  <c r="AV394" i="1"/>
  <c r="AW386" i="1"/>
  <c r="AV378" i="1"/>
  <c r="AW367" i="1"/>
  <c r="AV359" i="1"/>
  <c r="AV351" i="1"/>
  <c r="AU331" i="1"/>
  <c r="AU310" i="1"/>
  <c r="AV310" i="1"/>
  <c r="AW310" i="1"/>
  <c r="AU280" i="1"/>
  <c r="AV280" i="1"/>
  <c r="AW280" i="1"/>
  <c r="AU405" i="1"/>
  <c r="AW321" i="1"/>
  <c r="AW302" i="1"/>
  <c r="AU298" i="1"/>
  <c r="AW272" i="1"/>
  <c r="AU272" i="1"/>
  <c r="AU198" i="1"/>
  <c r="AV198" i="1"/>
  <c r="AW198" i="1"/>
  <c r="AU177" i="1"/>
  <c r="AV177" i="1"/>
  <c r="AW177" i="1"/>
  <c r="AV128" i="1"/>
  <c r="AU244" i="1"/>
  <c r="AU159" i="1"/>
  <c r="AV159" i="1"/>
  <c r="AW159" i="1"/>
  <c r="AU156" i="1"/>
  <c r="AU144" i="1"/>
  <c r="AV144" i="1"/>
  <c r="AW144" i="1"/>
  <c r="AW123" i="1"/>
  <c r="AU50" i="1"/>
  <c r="AU45" i="1"/>
  <c r="AU40" i="1"/>
  <c r="AU35" i="1"/>
  <c r="AV9" i="1"/>
  <c r="AU302" i="1"/>
  <c r="AU262" i="1"/>
  <c r="AW196" i="1"/>
  <c r="AU179" i="1"/>
  <c r="AV179" i="1"/>
  <c r="AU120" i="1"/>
  <c r="AW120" i="1"/>
  <c r="AW116" i="1"/>
  <c r="AU116" i="1"/>
  <c r="AU83" i="1"/>
  <c r="AV83" i="1"/>
  <c r="AW83" i="1"/>
  <c r="AU249" i="1"/>
  <c r="AU204" i="1"/>
  <c r="AW167" i="1"/>
  <c r="AW141" i="1"/>
  <c r="AU134" i="1"/>
  <c r="AV134" i="1"/>
  <c r="AW134" i="1"/>
  <c r="AU78" i="1"/>
  <c r="AV78" i="1"/>
  <c r="AW78" i="1"/>
  <c r="AU59" i="1"/>
  <c r="AU54" i="1"/>
  <c r="AW304" i="1"/>
  <c r="AW299" i="1"/>
  <c r="AW259" i="1"/>
  <c r="AW209" i="1"/>
  <c r="AV167" i="1"/>
  <c r="AW156" i="1"/>
  <c r="AU73" i="1"/>
  <c r="AV73" i="1"/>
  <c r="AW73" i="1"/>
  <c r="AV304" i="1"/>
  <c r="AU254" i="1"/>
  <c r="AW195" i="1"/>
  <c r="AW176" i="1"/>
  <c r="AW131" i="1"/>
  <c r="AU119" i="1"/>
  <c r="AV119" i="1"/>
  <c r="AW119" i="1"/>
  <c r="AW111" i="1"/>
  <c r="AU111" i="1"/>
  <c r="AU68" i="1"/>
  <c r="AV68" i="1"/>
  <c r="AW68" i="1"/>
  <c r="AW201" i="1"/>
  <c r="AU115" i="1"/>
  <c r="AW115" i="1"/>
  <c r="AW106" i="1"/>
  <c r="AU106" i="1"/>
  <c r="AU63" i="1"/>
  <c r="AV63" i="1"/>
  <c r="AW63" i="1"/>
  <c r="AU259" i="1"/>
  <c r="AV256" i="1"/>
  <c r="AV248" i="1"/>
  <c r="AU209" i="1"/>
  <c r="AU184" i="1"/>
  <c r="AU164" i="1"/>
  <c r="AV164" i="1"/>
  <c r="AW155" i="1"/>
  <c r="AU58" i="1"/>
  <c r="AV58" i="1"/>
  <c r="AW58" i="1"/>
  <c r="AU53" i="1"/>
  <c r="AV53" i="1"/>
  <c r="AW53" i="1"/>
  <c r="AW316" i="1"/>
  <c r="AW311" i="1"/>
  <c r="AW266" i="1"/>
  <c r="AW101" i="1"/>
  <c r="AU101" i="1"/>
  <c r="AU48" i="1"/>
  <c r="AV48" i="1"/>
  <c r="AW48" i="1"/>
  <c r="AU43" i="1"/>
  <c r="AV43" i="1"/>
  <c r="AW43" i="1"/>
  <c r="AU38" i="1"/>
  <c r="AV38" i="1"/>
  <c r="AW38" i="1"/>
  <c r="AU33" i="1"/>
  <c r="AV33" i="1"/>
  <c r="AW33" i="1"/>
  <c r="AU214" i="1"/>
  <c r="AW200" i="1"/>
  <c r="AW189" i="1"/>
  <c r="AU149" i="1"/>
  <c r="AV149" i="1"/>
  <c r="AW149" i="1"/>
  <c r="AU140" i="1"/>
  <c r="AW140" i="1"/>
  <c r="AU130" i="1"/>
  <c r="AW130" i="1"/>
  <c r="AV118" i="1"/>
  <c r="AU114" i="1"/>
  <c r="AV114" i="1"/>
  <c r="AW114" i="1"/>
  <c r="AW258" i="1"/>
  <c r="AW245" i="1"/>
  <c r="AW237" i="1"/>
  <c r="AW206" i="1"/>
  <c r="AV200" i="1"/>
  <c r="AV186" i="1"/>
  <c r="AW181" i="1"/>
  <c r="AW161" i="1"/>
  <c r="AV136" i="1"/>
  <c r="AW91" i="1"/>
  <c r="AU32" i="1"/>
  <c r="AV32" i="1"/>
  <c r="AW32" i="1"/>
  <c r="AV258" i="1"/>
  <c r="AV245" i="1"/>
  <c r="AV237" i="1"/>
  <c r="AU219" i="1"/>
  <c r="AU189" i="1"/>
  <c r="AW126" i="1"/>
  <c r="AW86" i="1"/>
  <c r="AW318" i="1"/>
  <c r="AW313" i="1"/>
  <c r="AW308" i="1"/>
  <c r="AW303" i="1"/>
  <c r="AW298" i="1"/>
  <c r="AW293" i="1"/>
  <c r="AW288" i="1"/>
  <c r="AW283" i="1"/>
  <c r="AW278" i="1"/>
  <c r="AW273" i="1"/>
  <c r="AW268" i="1"/>
  <c r="AW263" i="1"/>
  <c r="AW250" i="1"/>
  <c r="AW242" i="1"/>
  <c r="AU169" i="1"/>
  <c r="AV169" i="1"/>
  <c r="AW146" i="1"/>
  <c r="AU139" i="1"/>
  <c r="AV139" i="1"/>
  <c r="AW139" i="1"/>
  <c r="AU129" i="1"/>
  <c r="AV129" i="1"/>
  <c r="AW129" i="1"/>
  <c r="AU109" i="1"/>
  <c r="AV109" i="1"/>
  <c r="AW109" i="1"/>
  <c r="AW81" i="1"/>
  <c r="AU224" i="1"/>
  <c r="AU95" i="1"/>
  <c r="AW255" i="1"/>
  <c r="AW247" i="1"/>
  <c r="AW234" i="1"/>
  <c r="AW226" i="1"/>
  <c r="AW188" i="1"/>
  <c r="AW186" i="1"/>
  <c r="AW136" i="1"/>
  <c r="AU104" i="1"/>
  <c r="AV104" i="1"/>
  <c r="AW104" i="1"/>
  <c r="AW71" i="1"/>
  <c r="AV255" i="1"/>
  <c r="AV247" i="1"/>
  <c r="AU229" i="1"/>
  <c r="AV226" i="1"/>
  <c r="AV218" i="1"/>
  <c r="AV202" i="1"/>
  <c r="AV188" i="1"/>
  <c r="AW168" i="1"/>
  <c r="AW166" i="1"/>
  <c r="AU154" i="1"/>
  <c r="AV154" i="1"/>
  <c r="AW154" i="1"/>
  <c r="AW138" i="1"/>
  <c r="AW128" i="1"/>
  <c r="AU125" i="1"/>
  <c r="AW125" i="1"/>
  <c r="AV121" i="1"/>
  <c r="AU99" i="1"/>
  <c r="AV99" i="1"/>
  <c r="AW99" i="1"/>
  <c r="AW270" i="1"/>
  <c r="AW265" i="1"/>
  <c r="AW260" i="1"/>
  <c r="AW252" i="1"/>
  <c r="AW239" i="1"/>
  <c r="AW231" i="1"/>
  <c r="AW223" i="1"/>
  <c r="AW210" i="1"/>
  <c r="AV171" i="1"/>
  <c r="AV168" i="1"/>
  <c r="AU108" i="1"/>
  <c r="AW108" i="1"/>
  <c r="AU94" i="1"/>
  <c r="AV94" i="1"/>
  <c r="AW94" i="1"/>
  <c r="AU89" i="1"/>
  <c r="AV89" i="1"/>
  <c r="AW89" i="1"/>
  <c r="AU80" i="1"/>
  <c r="AW61" i="1"/>
  <c r="AV270" i="1"/>
  <c r="AV265" i="1"/>
  <c r="AV260" i="1"/>
  <c r="AV252" i="1"/>
  <c r="AU234" i="1"/>
  <c r="AV231" i="1"/>
  <c r="AV223" i="1"/>
  <c r="AV210" i="1"/>
  <c r="AW199" i="1"/>
  <c r="AW185" i="1"/>
  <c r="AU174" i="1"/>
  <c r="AV174" i="1"/>
  <c r="AW257" i="1"/>
  <c r="AW244" i="1"/>
  <c r="AW236" i="1"/>
  <c r="AW228" i="1"/>
  <c r="AW215" i="1"/>
  <c r="AW207" i="1"/>
  <c r="AV196" i="1"/>
  <c r="AW193" i="1"/>
  <c r="AW191" i="1"/>
  <c r="AV185" i="1"/>
  <c r="AW165" i="1"/>
  <c r="AW162" i="1"/>
  <c r="AW153" i="1"/>
  <c r="AW151" i="1"/>
  <c r="AU145" i="1"/>
  <c r="AW145" i="1"/>
  <c r="AU124" i="1"/>
  <c r="AV124" i="1"/>
  <c r="AW124" i="1"/>
  <c r="AW121" i="1"/>
  <c r="AU103" i="1"/>
  <c r="AU98" i="1"/>
  <c r="AU84" i="1"/>
  <c r="AU70" i="1"/>
  <c r="AW46" i="1"/>
  <c r="AW41" i="1"/>
  <c r="AW36" i="1"/>
  <c r="AU30" i="1"/>
  <c r="AV30" i="1"/>
  <c r="AW30" i="1"/>
  <c r="AV257" i="1"/>
  <c r="AV244" i="1"/>
  <c r="AU239" i="1"/>
  <c r="AV236" i="1"/>
  <c r="AV228" i="1"/>
  <c r="AU199" i="1"/>
  <c r="AU196" i="1"/>
  <c r="AV162" i="1"/>
  <c r="AV141" i="1"/>
  <c r="AU93" i="1"/>
  <c r="AU79" i="1"/>
  <c r="AU36" i="1"/>
  <c r="AV36" i="1"/>
  <c r="AW249" i="1"/>
  <c r="AW171" i="1"/>
  <c r="AU135" i="1"/>
  <c r="AW135" i="1"/>
  <c r="AU88" i="1"/>
  <c r="AV88" i="1"/>
  <c r="AW88" i="1"/>
  <c r="AU74" i="1"/>
  <c r="AU55" i="1"/>
  <c r="AU18" i="1"/>
  <c r="AV18" i="1"/>
  <c r="AW18" i="1"/>
  <c r="AU16" i="1"/>
  <c r="AW16" i="1"/>
  <c r="AU96" i="1"/>
  <c r="AU91" i="1"/>
  <c r="AU86" i="1"/>
  <c r="AU81" i="1"/>
  <c r="AU76" i="1"/>
  <c r="AU71" i="1"/>
  <c r="AU66" i="1"/>
  <c r="AU61" i="1"/>
  <c r="AU56" i="1"/>
  <c r="AU51" i="1"/>
  <c r="AU46" i="1"/>
  <c r="AU41" i="1"/>
  <c r="AU31" i="1"/>
  <c r="AW31" i="1"/>
  <c r="AU19" i="1"/>
  <c r="AW19" i="1"/>
  <c r="AW103" i="1"/>
  <c r="AW98" i="1"/>
  <c r="AW93" i="1"/>
  <c r="AU22" i="1"/>
  <c r="AW22" i="1"/>
  <c r="AU6" i="1"/>
  <c r="AW6" i="1"/>
  <c r="AU9" i="1"/>
  <c r="AW9" i="1"/>
  <c r="AW110" i="1"/>
  <c r="AW105" i="1"/>
  <c r="AW100" i="1"/>
  <c r="AW95" i="1"/>
  <c r="AW90" i="1"/>
  <c r="AW85" i="1"/>
  <c r="AW80" i="1"/>
  <c r="AW75" i="1"/>
  <c r="AW70" i="1"/>
  <c r="AW65" i="1"/>
  <c r="AW60" i="1"/>
  <c r="AW55" i="1"/>
  <c r="AW50" i="1"/>
  <c r="AW45" i="1"/>
  <c r="AW40" i="1"/>
  <c r="AW35" i="1"/>
  <c r="AV24" i="1"/>
  <c r="AU12" i="1"/>
  <c r="AW12" i="1"/>
  <c r="AW5" i="1"/>
  <c r="AV85" i="1"/>
  <c r="AV80" i="1"/>
  <c r="AV75" i="1"/>
  <c r="AV70" i="1"/>
  <c r="AV65" i="1"/>
  <c r="AV60" i="1"/>
  <c r="AV55" i="1"/>
  <c r="AV50" i="1"/>
  <c r="AV45" i="1"/>
  <c r="AV40" i="1"/>
  <c r="AV35" i="1"/>
  <c r="AU21" i="1"/>
  <c r="AW21" i="1"/>
  <c r="AV8" i="1"/>
  <c r="AU27" i="1"/>
  <c r="AU2" i="1"/>
  <c r="AW2" i="1"/>
  <c r="AW127" i="1"/>
  <c r="AW122" i="1"/>
  <c r="AW117" i="1"/>
  <c r="AW112" i="1"/>
  <c r="AW107" i="1"/>
  <c r="AW102" i="1"/>
  <c r="AU11" i="1"/>
  <c r="AW11" i="1"/>
  <c r="AU14" i="1"/>
  <c r="AW14" i="1"/>
  <c r="AW84" i="1"/>
  <c r="AW79" i="1"/>
  <c r="AW74" i="1"/>
  <c r="AW69" i="1"/>
  <c r="AW64" i="1"/>
  <c r="AW59" i="1"/>
  <c r="AW54" i="1"/>
  <c r="AW49" i="1"/>
  <c r="AW44" i="1"/>
  <c r="AW39" i="1"/>
  <c r="AW34" i="1"/>
  <c r="AU26" i="1"/>
  <c r="AW26" i="1"/>
  <c r="AU17" i="1"/>
  <c r="AW17" i="1"/>
  <c r="AW10" i="1"/>
  <c r="AV84" i="1"/>
  <c r="AV79" i="1"/>
  <c r="AV74" i="1"/>
  <c r="AV69" i="1"/>
  <c r="AV64" i="1"/>
  <c r="AV59" i="1"/>
  <c r="AV54" i="1"/>
  <c r="AV49" i="1"/>
  <c r="AV44" i="1"/>
  <c r="AV39" i="1"/>
  <c r="AV34" i="1"/>
  <c r="AW13" i="1"/>
  <c r="AV10" i="1"/>
  <c r="AU4" i="1"/>
  <c r="AW4" i="1"/>
  <c r="AV13" i="1"/>
  <c r="AW28" i="1"/>
  <c r="AW25" i="1"/>
  <c r="AV16" i="1"/>
  <c r="AV31" i="1"/>
  <c r="AV19" i="1"/>
  <c r="AU7" i="1"/>
  <c r="AW7" i="1"/>
</calcChain>
</file>

<file path=xl/sharedStrings.xml><?xml version="1.0" encoding="utf-8"?>
<sst xmlns="http://schemas.openxmlformats.org/spreadsheetml/2006/main" count="12504" uniqueCount="7288">
  <si>
    <t>undefined</t>
  </si>
  <si>
    <t>['¬© 1985', 'squid used', 'squid plus', 'squid coupled', 'squid amplifier', 'squid alone', 'ratio transformer', 'planar device', 'overall system', 'normal modes', 'low noise', 'loop geometry', 'helium temperature', 'good coupling', 'first measurements', 'external world']</t>
  </si>
  <si>
    <t>We report the first measurements on a dc superconducting quantum interference device (dc-SQUID) coupled to a gravitational wave detector cooled down to liquid-helium temperature. The overall system is composed of a 2.3-ton aluminum bar and a resonant capacitive transducer coupled to the dc-SQUID amplifier by means of a high-ratio superconducting transformer. The SQUID used in this experiment is a planar device with a multiple-loop geometry having both low noise and good coupling with the external world. The electromechanical equivalent circuit of the system, which is essentially a set of three coupled oscillators, is analyzed in detail in its normal modes and an expression for the effective noise temperature for each mode is given. Measurements are reported on the SQUID alone, on the SQUID plus the high-ratio transformer, and on the SQUID coupled to the antenna in parallel with a field-effect transistor preamplifier. ¬© 1985 The American Physical Society.</t>
  </si>
  <si>
    <t>3258-3265</t>
  </si>
  <si>
    <t>Journal</t>
  </si>
  <si>
    <t>Physical Review A</t>
  </si>
  <si>
    <t>60021199-60021660;60021660-60021199;60021660-60032350;60021199-60021660;60021660-60027509</t>
  </si>
  <si>
    <t>55385270200;7103181547;56236475400;7003507432;7003738313</t>
  </si>
  <si>
    <t>Carelli, P.;Castellano, M. G.;Cosmelli, C.;Foglietti, V.;Modena, I.</t>
  </si>
  <si>
    <t>Italy;Italy;Italy;Italy</t>
  </si>
  <si>
    <t>Rome;Rome;Rome;Rome</t>
  </si>
  <si>
    <t>Sapienza Universit√† di Roma;Universit√† degli Studi di Roma "Tor Vergata";Istituto Nazionale di Fisica Nucleare - INFN;Consiglio Nazionale delle Ricerche</t>
  </si>
  <si>
    <t>60032350;60027509;60021660;60021199</t>
  </si>
  <si>
    <t>Carelli P.</t>
  </si>
  <si>
    <t>Article</t>
  </si>
  <si>
    <t>ar</t>
  </si>
  <si>
    <t>Coupling of a high-sensitivity superconducting amplifier to a gravitational-wave antenna</t>
  </si>
  <si>
    <t>10.1103/PhysRevA.32.3258</t>
  </si>
  <si>
    <t>2-s2.0-0000136171</t>
  </si>
  <si>
    <t>n</t>
  </si>
  <si>
    <t>['¬© 1985', 'two designs', 'substantially reduced', 'single feed', 'single element', 'rights reserved', 'quite different', 'optimum directivity', 'insignificant amount', 'gain phenomenon', 'form solution', 'focal point', 'directivity design', 'cluster spacing', 'cluster excitation', 'beam scanning', '8 db', '5 œª', '12 db', '1 œª']</t>
  </si>
  <si>
    <t>The directivity of a reflector antenna deteriorates as the feed moves away from the focal point for beam scanning. This deterioration can be substantially reduced if a cluster feed instead of a single feed is used to control a beam. A closed-form solution is presented for the cluster excitation to achieve the optimum directivity. For an offset 108 X parabolic reflector scanning 10 beamwidths, the optimum directivity achieved by a 19-element (seven-element) cluster is 12 dB (8 dB) higher than that of a single element. Comparison of the optimum-directivity design and the popular conjugate field matching design is made. When the cluster spacing d is greater than 1 Œª, it is found that the optimum directivity is higher than that of conjugate field matching (CFM) scheme by an insignificant amount, although the excitations of two designs can be quite different. For d &lt; 0.5 Œª, the optimum design may exhibit the super-gain phenomenon, namely, extremely high directivities achieved by an oscillatory cluster excitation. ¬© 1985, IEEE. All rights reserved.</t>
  </si>
  <si>
    <t>1163-1174</t>
  </si>
  <si>
    <t>0018926X</t>
  </si>
  <si>
    <t>IEEE Transactions on Antennas and Propagation</t>
  </si>
  <si>
    <t>60000745;60000745;115882947;115882947</t>
  </si>
  <si>
    <t>7202365940;7601396617;56291355900;7201529879</t>
  </si>
  <si>
    <t>Lam, Peter T.;Lee, Shung Wu;Chang, Donald C.D.;Lang, K. C.</t>
  </si>
  <si>
    <t>United States;United States</t>
  </si>
  <si>
    <t>Urbana;</t>
  </si>
  <si>
    <t>University of Illinois Urbana-Champaign;Hughes Aircraft Compan</t>
  </si>
  <si>
    <t>60000745;115882947</t>
  </si>
  <si>
    <t>Lam P.</t>
  </si>
  <si>
    <t>Directivity Optimization of a Reflector Antenna with Cluster Feeds: A Closed-Form Solution</t>
  </si>
  <si>
    <t>10.1109/TAP.1985.1143516</t>
  </si>
  <si>
    <t>2-s2.0-0000187044</t>
  </si>
  <si>
    <t>['¬© 1985', 'westward winds', 'shows evidence', 'semidiurnal tide', 'reasonable agreement', 'prevailing winds', 'model values', 'january 1982', 'interference effects', 'high latitudes', 'equatorward flow', 'diurnal tide', 'different modes', 'december 1981', 'amplitudes tend', '68 ¬∞']</t>
  </si>
  <si>
    <t>Observations of winds in the 60-100 km height range were made at Mawson (68¬∞S, 63¬∞E) during December 1981 and January 1982 with the MF spaced antenna technique. The prevailing winds are in accord with other recent observations made at high latitudes and show a peak in the zonal wind near 80 km with westward winds of 30 m s -1. The meridional winds maximize near 90 km with an equatorward flow of 10 m s-1. The diurnal tidal components are in reasonable agreement with recent model predictions, especially in phase. The amplitudes tend to be larger than the model values. The semidiurnal tide is not as stable as the diurnal tide and shows evidence for interference effects between different modes. ¬© 1985.</t>
  </si>
  <si>
    <t>567-574</t>
  </si>
  <si>
    <t>Journal of Atmospheric and Terrestrial Physics</t>
  </si>
  <si>
    <t>60009512;60009512</t>
  </si>
  <si>
    <t>24453798300;7202620125</t>
  </si>
  <si>
    <t>MacLeod, R.;Vincent, R. A.</t>
  </si>
  <si>
    <t>Australia</t>
  </si>
  <si>
    <t>Adelaide</t>
  </si>
  <si>
    <t>The University of Adelaide</t>
  </si>
  <si>
    <t>MacLeod R.</t>
  </si>
  <si>
    <t>Observations of winds in the Antarctic summer mesosphere using the spaced antenna technique</t>
  </si>
  <si>
    <t>002191698590039X</t>
  </si>
  <si>
    <t>10.1016/0021-9169(85)90039-X</t>
  </si>
  <si>
    <t>2-s2.0-0000414583</t>
  </si>
  <si>
    <t>Institut National des Sciences de l'Univers, Centre National de la Recherche Scientifique</t>
  </si>
  <si>
    <t>INSU,CNRS</t>
  </si>
  <si>
    <t>['well defined', 'solubilized thylakoids', 'protein complexes', 'plant physiologists', 'major part', 'light fraction', 'japanese society', 'harvesting antenna', 'five pigment', 'basic organization', 'active reaction']</t>
  </si>
  <si>
    <t>Brown alga | C16:1-trans-phosphatidylglycerol | Fucus serratus | Light-harvesting | Lipid analysis | Subchloroplast fraction</t>
  </si>
  <si>
    <t>Five pigment-protein complexes were isolated from digitonin-solubilized thylakoids of Fucus serratus using sucrose density gradient centrifugation. Two heavy fractions corresponded to PS I and PS II antennae with their active reaction-centers. A light fraction was identified as a light-harvesting antenna, while the two other fractions were not very well defined. The light-harvesting fractions contained the major part of the C16:1-trans-phosphatidylglycerol. The results are discussed and compared with those from Chl a/b plants taking into account the basic organization of brown alga chloroplasts. Copyright ¬© 1985. The Japanese Society of Plant Physiologists.</t>
  </si>
  <si>
    <t>131-139</t>
  </si>
  <si>
    <t>Plant and Cell Physiology</t>
  </si>
  <si>
    <t>60031625;60000179;60000179;60031625</t>
  </si>
  <si>
    <t>7006626676;6603028745;6603434143;6603107475</t>
  </si>
  <si>
    <t>Caron, L.;Dubacq, J. P.;Berkaloff, C.;Jupin, H.</t>
  </si>
  <si>
    <t>France;France</t>
  </si>
  <si>
    <t>Perpignan;Paris</t>
  </si>
  <si>
    <t>Universite de Perpignan;√âcole Normale Sup√©rieure</t>
  </si>
  <si>
    <t>60031625;60000179</t>
  </si>
  <si>
    <t>Caron L.</t>
  </si>
  <si>
    <t>Subchloroplast fractions from the brown alga fucus serratus: Phosphatidylglycerol contents</t>
  </si>
  <si>
    <t>2-s2.0-0000491268</t>
  </si>
  <si>
    <t>['zu erzielen', 'weniger eier', 'wasp turning', 'wasp initiates', 'wasp examines', 'volume determination', 'total darkness', 'te fixed', 'surface chemistry', 'surface area', 'set te', 'restricted surfaces', 'relative curvature', 'progeny allocation', 'potential host', 'nt depends', 'nt allows', 'neither chemical', 'model hosts', 'manduca sexta', 'lepidopterous host', 'l .)', 'inversely dependent', 'identical diameter', 'host volume', 'host surface', 'host sizes', 'host object', 'hence diameter', 'gruppen ablegen', 'examination time', 'essentially mechanosensory', 'eggs laid', 'edge turns', 'drumming walk', 'directly dependent', 'die teils', 'diameter c', 'den ecken', 'appropriate number', 'antennal angle', 'also used', 'also improving', 'als solchen', 'als auch', 'acceptable range', '30 %)', '3 mm']</t>
  </si>
  <si>
    <t>host volume | lepidopterous eggs | measurement | parasitoid | progeny allocation | Trichogramma minutum. oviposition</t>
  </si>
  <si>
    <t>The number of eggs laid into its insect‚Äêegg host by Trichogramma minutum Riley (Hymenoptera: Chalcidoidea: Trichogrammatidae) depends on the volume of its lepidopterous host. The wasps allocated fewer progeny into Manduca sexta (L.) (Sphingidae) egg hosts partially embedded in the substrate than into fully exposed hosts, both in daylight and in total darkness. Since the hosts are of identical diameter and surface chemistry, the mechanism of volume determination is neither chemical nor visual, but essentially mechanosensory, based on accessible surface area. Before oviposition, the wasp examines the host surface by walking over it, turning at the edge, and ‚Äòdrumming‚Äô with its antennae. The number of edge turns (Nt) made by wasps when they examined glass beads presented as model hosts was inversely dependent on surface area, but independent of diameter. Conversely, the examination time (Te) was directly dependent on diameter, but independent of surface area. A mechanism is proposed for host volume measurement. While the wasp examines a potential host, the relative curvature (and hence diameter) is measured, possibly by antennal angle. If this measure is within an acceptable range, the wasp initiates its drumming walk. The measure is also used to set Te and to establish an estimate of a maximum possible volume (and hence progeny number) to the host object. With Te fixed, the value for Nt depends on accessible surface area, the wasp turning more often on restricted surfaces. Nt allows the wasp to correct the estimate of host volume such that an appropriate number of eggs is laid in non‚Äêspherical hosts. The use of curvature to set Te increases the accuracy of the wasp's measure of Nt, while also improving its coverage of the surface. The use of curvature and surface area allows Trichogramma to optimize its progeny allocation for a variety of host sizes and shapes. Die Bestimmung des Wirtsvolumen durch die parasitische Wespe Trichogramma minutum: Die Rolle von Kr√ºmmung und Oberfl√§che Bei dem Insekten‚ÄêEiparasiten Trichogramma minutum (Hymenoptera: Trichogrammatidae) h√§ngt die Anzahl der abgelegten Eier vom Volumen der Wirtseier ab. Es wurden Untersuchungen zur Bestimmung der sensorischen Grundlagen dieses Verhaltens unternommen. Die Wespe weist sowohl im Tageslicht, als auch in totaler Dunkelheit jenen Manduca sexta (L.) (Lepidoptera: Sphingidae) Eiwirten (Diameter c. 1.3 mm) weniger eigene Eier zu, die teils (30%) in Substrat eingebettet sind, als solchen, die ganz herausragen. Da die Wirte einen identischen Radius und gleichen Oberfl√§chengeruch haben, kann der Mechanismus der Volumenbestimmung weder chemisch noch optisch sein, sondern ist dem Wesen nach mechanosensorisch, und von der zug√§nglichen Oberfl√§che abh√§ngig. Vor de Eiablage untersucht die Wespe die Wirtsoberfl√§che, indem sie dar√ºber l√§uft, an den Ecken umkehrt und mit ihren Antennen ‚Äòtrommelt‚Äô. In Experimenten mit Glaskugelmodellen war die Anzahl der von der Wespe gemachten Wendungen an den Ecken (Nt) umgekehrt proportional zur Oberfl√§che, aber unabh√§ngig vom Radius. Im Gegensatz dazu, war die Untersuchungszeit (Te) direkt proportional zum Radius, aber unabh√§ngig von der Oberfl√§che. Ein Mechanismus f√ºr die Volumenmessung wird vorgeschlagen. Gleich beim Besteigen des potentialen Wirtes wird die relative Kurve (und infolgedessen der Radius), wahrscheinlich durch den Antennenwinkel gemessen. Wenn diese Messung innerhalb einer bestimmten Spanne liegt, beginnt die Wespe ihren Trommelgang. Die Messung wird auch dazu benutzt, ein maximales Volumen (und folglich die Anzahl der Nachkommen) des Wirtes und eine maximale Untersuchungzeit (Te) zu erzielen. Wird Te konstantgehalten, h√§ngt die Anzahl der Wendungen (Nt) von der zug√§nglichen Oberfl√§che ab, wobei die Wespe √∂fter bei kleineren Oberfl√§chen wendet. Die Anzahl der Wendungen gestattet der Wespe, die urspr√ºngliche Einsch√§tzung des Wirtsvolumens so zu ver√§ndern, da√ü eine angemessene Anzahl von Eiern in nicht kugelige Wirte gelegt wird. Die Anwendung von kurvenund oberfl√§chenabh√§ngigen Messungen erm√∂glicht eine optimale Zuweisung von Nachkommen f√ºr eine Anzahl von unterschiedlichen Wirtsgr√∂ssen und ‚Äêformen. Die Oberfl√§chenmessung gestattet eine bessere Volumenbestimmung von nicht‚Äêkugeligen Objekten. Die gezeigte Abh√§ngigkeit von der Oberfl√§che ist wahrscheinlich auch eine Anpassung an Wirte, die ihre Eier in Gruppen ablegen. Unter solchen Bedingungen von grosser Wirtsdichte ist es g√ºnstiger f√ºr die Wespe, weniger Eier in jeden Wirt der Gruppe zu legen, weil diese Verteilung zu gr√∂sseren, fruchtbareren Nachkommen f√ºhrt. 1985 The Netherlands Entomological Society</t>
  </si>
  <si>
    <t>213-221</t>
  </si>
  <si>
    <t>Entomologia Experimentalis et Applicata</t>
  </si>
  <si>
    <t>60016849;60016849</t>
  </si>
  <si>
    <t>55464468300;15751402200</t>
  </si>
  <si>
    <t>Schmidt, J. M.;Smith, J. J.B.</t>
  </si>
  <si>
    <t>Canada</t>
  </si>
  <si>
    <t>Toronto</t>
  </si>
  <si>
    <t>University of Toronto</t>
  </si>
  <si>
    <t>Schmidt J.</t>
  </si>
  <si>
    <t>Host volume measurement by the parasitoid wasp Trichogramma minutum: The roles of curvature and surface area</t>
  </si>
  <si>
    <t>10.1111/j.1570-7458.1985.tb00462.x</t>
  </si>
  <si>
    <t>2-s2.0-0000679539</t>
  </si>
  <si>
    <t>['¬© 1985', 'unilateral amputation', 'tonic effect', 'shaped sensilla', 'roll movement', 'reflex amplitude', 'proposed connectivity', 'passive roll', 'neck muscles', 'leg subsystems', 'leg subsystem', 'gravity receptors', '1 cercus', '1 antenna']</t>
  </si>
  <si>
    <t>antennae | cercus | club-shaped sensilla | compensatory head movements | crickets | Gravity receptor</t>
  </si>
  <si>
    <t>The gravity receptor system of crickets Gryllus bimaculatus is composed of antennal, cercal and leg subsystems. The cercal gravity receptors are the club-shaped sensilla. Each of these subsystems elicits compensatory head movements during passive roll. The extent of compensatory head movements depends on the strength of the gravitational stimulus applied to the leg subsystem. Amputation of 2 legs never causes a decrease in reflex amplitude. Unilateral amputation of 1 to 3 legs always induces a roll movement of the head to the intact body side. Therefore, the leg gravity receptor system exerts a modulatory and tonic effect on the neck muscles. The gravity receptors of 1 cercus or 1 antenna only elicit compensatory head movements. They exert no tonic effect on the neck muscles. The results are discussed with respect to (i) the proposed connectivity of the cercus-neck muscle pathway, (ii) mutual inhibitory interactions between the sensory pathways originating in the leg gravity receptors, and (iii) the influence of non-gravitationally induced excitation on the occurrence of compensatory head movements during passive roll of the crickets. ¬© 1985.</t>
  </si>
  <si>
    <t>937-946</t>
  </si>
  <si>
    <t>Journal of Insect Physiology</t>
  </si>
  <si>
    <t>60029428;60029428</t>
  </si>
  <si>
    <t>7102191721;22947260100</t>
  </si>
  <si>
    <t>Horn, Eberhard;F√∂ller, Werner</t>
  </si>
  <si>
    <t>Germany</t>
  </si>
  <si>
    <t>Karlsruhe</t>
  </si>
  <si>
    <t>Karlsruhe Institute of Technology, Campus South</t>
  </si>
  <si>
    <t>Horn E.</t>
  </si>
  <si>
    <t>Tonic and modulatory subsystems of the complex gravity receptor system in crickets, Gryllus bimaculatus</t>
  </si>
  <si>
    <t>0022-1910(85)90028-9</t>
  </si>
  <si>
    <t>10.1016/0022-1910(85)90028-9</t>
  </si>
  <si>
    <t>2-s2.0-0000969947</t>
  </si>
  <si>
    <t>['¬© 1985', 'spherical waves', 'spherical near', 'specified explicitly', 'spatial derivatives', 'single point', 'rights reserved', 'output voltage', 'multipole coefficients', 'incident field', 'field measurements', 'differential operator', 'corrected equations']</t>
  </si>
  <si>
    <t>The general receiving antenna is represented as a linear differential operator converting the incident field and its spatial derivatives at a single point in space to an output voltage. The differential operator is specified explicitly in terms of the multipole coefficients of the antenna‚Äôs complex receiving pattern. When the linear operator representation is applied to the special probes used in spherical near-field measurements, a probe-corrected spherical transmission formula is revealed that retains the form, applicability, and simplicity of the nonprobe-corrected equations. The new spherical transmission formula is shown to be consistent with the previous transmission formula derived from the rotational and translational addition theorems for spherical waves. ¬© 1985, IEEE. All rights reserved.</t>
  </si>
  <si>
    <t>1175-1185</t>
  </si>
  <si>
    <t>60001247;60023053</t>
  </si>
  <si>
    <t>7003451771;7005497310</t>
  </si>
  <si>
    <t>Yaghjian, Arthur D.;Wittmann, Ronald C.</t>
  </si>
  <si>
    <t>Gaithersburg;</t>
  </si>
  <si>
    <t>National Institute of Standards and Technology;Hanscom AFB</t>
  </si>
  <si>
    <t>60023053;60001247</t>
  </si>
  <si>
    <t>Yaghjian A.</t>
  </si>
  <si>
    <t>The Receiving Antenna as a Linear Differential Operator: Application to Spherical Near-Field Scanning</t>
  </si>
  <si>
    <t>10.1109/TAP.1985.1143520</t>
  </si>
  <si>
    <t>2-s2.0-0001152638</t>
  </si>
  <si>
    <t>Basic Energy Sciences</t>
  </si>
  <si>
    <t>BES</t>
  </si>
  <si>
    <t>['¬© 1985', 'three components', 'reactive fragment', 'polymetallic complexes', 'photochemically unreactive', 'metal center', 'bridging ligand']</t>
  </si>
  <si>
    <t>A series of polymetallic complexes are being developed for use in converting solar radiation to usable chemical potential energy. The system is made up of three components: 1) A highly-absorbing (antenna) metal center which absorbs visible light but is photochemically unreactive; 2) A second metal center which undergoes a useful chemical reaction from a non-spectroscopic excited state; and 3) A bridging ligand which couples the two metal fragments and facilitates intramolecular energy transfer from the antenna to the reactive fragment. This paper will focus on optimizing the three components of the system. ¬© 1985.</t>
  </si>
  <si>
    <t>261-272</t>
  </si>
  <si>
    <t>C</t>
  </si>
  <si>
    <t>Coordination Chemistry Reviews</t>
  </si>
  <si>
    <t>60026610;60026610;60026610;60026610;60026610</t>
  </si>
  <si>
    <t>7401502717;7401510508;7004985027;7006820685;6602368164</t>
  </si>
  <si>
    <t>Petersen, J. D.;Murphy, W. R.;Sahai, R.;Brewer, K. J.;Ruminski, R. R.</t>
  </si>
  <si>
    <t>United States</t>
  </si>
  <si>
    <t>Clemson</t>
  </si>
  <si>
    <t>Clemson University</t>
  </si>
  <si>
    <t>Petersen J.</t>
  </si>
  <si>
    <t>Intramolecular energy transfer reactions in polymetallic complexes</t>
  </si>
  <si>
    <t>10.1016/0010-8545(85)80054-0</t>
  </si>
  <si>
    <t>2-s2.0-0001154809</t>
  </si>
  <si>
    <t>['therefore lack', 'summarized briefly', 'protecting agents', 'potential function', 'photosynthetic tissue', 'photosynthetic plants', 'photosensitized oxidations', 'deleterious effects', 'carotenoids indeed', 'antenna function']</t>
  </si>
  <si>
    <t>One of the roles of carotenoids in plants which are proposed is to serve as protecting agents against deleterious effects of light. The major mechanisms whereby carotenoids prevent harmful photooxidations in vitro and their suggested protective function in photosynthetic tissue, i.e. chloroplasts, will be summarized briefly. Fungi are non-photosynthetic plants, therefore lack the antenna function of carotenoids but some of them do contain carotenoids located in membranes as well. Thus, fungi can serve as a useful model system to study the potential function of carotenoids in protecting against photosensitized oxidations. Results obtained using the fungus Fusarium aquaeductuum are presented which support the assumption that carotenoids indeed have the capacity to protect in vivo from the deleterious effects of light. ¬© 1985 IUPAC</t>
  </si>
  <si>
    <t>729-734</t>
  </si>
  <si>
    <t>Pure and Applied Chemistry</t>
  </si>
  <si>
    <t>Schrott, Erich L.</t>
  </si>
  <si>
    <t>Munich</t>
  </si>
  <si>
    <t>Ludwig-Maximilians-Universit√§t M√ºnchen</t>
  </si>
  <si>
    <t>Schrott E.L.</t>
  </si>
  <si>
    <t>Carotenoids in plant photoprotection</t>
  </si>
  <si>
    <t>10.1351/pac198557050729</t>
  </si>
  <si>
    <t>2-s2.0-0001266409</t>
  </si>
  <si>
    <t>['whereas cp1', 'vitamin k1', 'totally devoid', 'thylakoid membranes', 'protein complexes', 'possible functions', 'molar ratio', 'larger fraction', 'large polypeptides', 'junk publishers', 'iron atoms', 'four polypeptides', 'five p700', 'electron carriers', 'efficient antenna', 'dr w', 'carotenoid contents', 'antenna chlorophyll', 'accessary pigment']</t>
  </si>
  <si>
    <t>Œ≤-carotene | (Synechococcus sp.) | iron | P700 | photosystem I reaction center complex | vitamin K 1</t>
  </si>
  <si>
    <t>The iron, quinone and carotenoid contents of five P700-chlorophyll a-protein complexes having different subunit structures (CP1-a,-b,-c,-d and-e) from the thermophilic cyanobacterium Synechococcus sp. were determined. CP1-a,-b,-c and-d that commonly have four polypeptides of 62,000, 60,000, 14,000 and 10,000 dalton contained 10-14 iron atoms per P700, whereas CP1-e that lacks the two small polypeptides was totally devoid of iron. All CP1 complexes contained vitamin K1 at the molar ratio of vitamin K1 to P700 of about 2 except CP1-e that had only 0.4 vitamin K1 per P700. No plastoquinone was detected in five CP1 complexes. Out of four major carotenoids, Œ≤-carotene, zeaxanthin, caloxanthin, and myxoxanthophyll, present in the thylakoid membranes, only Œ≤-carotene was found in isolated CP1 complexes; all CP1 complexes contained about 10 Œ≤-carotene molecules per P700. The flourescence excitation spectrum showed that Œ≤-carotene serves as an efficient antenna of photosystem I. It is concluded that all iron atoms and a larger fraction of vitamin K1 molecules present in the photosystem I reaction center complex are associated with the 14,000 and 10,000 dalton polypeptides, whereas Œ≤-carotene exclusively binds to the large polypeptides which carry the functional and antenna chlorophyll a. The possible functions of iron and vitamin K1 as electron carriers and of Œ≤-carotene as the accessary pigment and a photoprotectant in the photosystem I complexes are discussed. ¬© 1985 Martinus Nijhoff/Dr W. Junk Publishers.</t>
  </si>
  <si>
    <t>183-192</t>
  </si>
  <si>
    <t>Photosynthesis Research</t>
  </si>
  <si>
    <t>60025272;60009551;60025272</t>
  </si>
  <si>
    <t>35434054000;7402829627;7202864511</t>
  </si>
  <si>
    <t>Takahashi, Yuichiro;Hirota, Koitsu;Katoh, Sakae</t>
  </si>
  <si>
    <t>Japan;Japan</t>
  </si>
  <si>
    <t>Tokyo;Fujisawa</t>
  </si>
  <si>
    <t>The University of Tokyo;Shonan Institute of Technology</t>
  </si>
  <si>
    <t>60025272;60009551</t>
  </si>
  <si>
    <t>Takahashi Y.</t>
  </si>
  <si>
    <t>Multiple forms of P700-chlorophyll a-protein complexes from Synechococcus sp.: The iron, quinone and carotenoid contents</t>
  </si>
  <si>
    <t>10.1007/BF00032792</t>
  </si>
  <si>
    <t>2-s2.0-0001339521</t>
  </si>
  <si>
    <t>['¬© 1985', 'whose decay', 'thus assigned', 'plate photomultiplier', 'picosecond time', 'photosystem ii', 'known spectrum', 'intact cells', 'fluorescence band', 'exponential form', '730 nm', '7 ns', '685 nm', '104 ps']</t>
  </si>
  <si>
    <t>Chlorella pyrenoidosa | Chlorophyll-protein complex | Energy transfer Photosynthesis | Photosystem I | Time-resolved fluorescence spectrum</t>
  </si>
  <si>
    <t>Picosecond time-resolved fluorescence spectra emitted from intact cells of the green alga Chlorella pyrenoidosa have been measured by means of a new detection technique using a microchannel-plate photomultiplier. A fluorescence band (F700) was observed at 690-730 nm in the initial time region (0-180 ps), in addition to the well-known spectrum (F685) of photosystem II (PS II)-chlorophyll a (Chla) with a peak at 685 nm. F700 decays rapidly with lifetime of 104 ps, while F685 decays much more slowly in bi-exponential form with lifetimes of 0.64 and 1.7 ns. Appearance of F700 is independent of closure of the reaction center II (RC II). F700 is thus assigned to the fluorescence from PS I-Chl a, whose decay is governed by a fast energy transfer process from the antenna Chl aof PS I to P700 of RC I. ¬© 1985.</t>
  </si>
  <si>
    <t>65-68</t>
  </si>
  <si>
    <t>FEBS Letters</t>
  </si>
  <si>
    <t>60033235;60028586;60033235;60033235;60028586</t>
  </si>
  <si>
    <t>24586425300;7006461138;7006772993;35396822600;35462746400</t>
  </si>
  <si>
    <t>Yamazaki, I.;Mimuro, M.;Tamai, N.;Yamazaki, T.;Fujita, Y.</t>
  </si>
  <si>
    <t>Okazaki;Okazaki</t>
  </si>
  <si>
    <t>National Institutes of Natural Sciences - Institute for Molecular Science;National Institutes of Natural Sciences - National Institute for Basic Biology</t>
  </si>
  <si>
    <t>60033235;60028586</t>
  </si>
  <si>
    <t>Yamazaki I.</t>
  </si>
  <si>
    <t>Picosecond time-resolved fluorescence spectra of photosystem I and II in Chlorella pyrenoidosa</t>
  </si>
  <si>
    <t>10.1016/0014-5793(85)80192-7</t>
  </si>
  <si>
    <t>2-s2.0-0001981784</t>
  </si>
  <si>
    <t>['¬© 1985', 'transport due', 'transport along', 'reversibly abolished', 'receptor lymph', 'radioactivity builds', 'proximal half', 'polar solvents', 'one interpretation', 'olfactory hairs', 'molecules enter', 'molecules desorbed', 'many molecules', 'least 32', 'isolated antennae', 'intact antennae', 'incubation time', 'increased velocity', 'increased desorption', 'hairs towards', 'hairs caught', 'fractional elution', 'effect could', 'distal half', 'diminishing elutability', 'diffusion would', 'diffusion coefficient', 'cuticular surface', 'clean airstream', 'antennal branch', 'airstream passing', 'adsorbed molecules', '7 cm2', '30 min', '2 min']</t>
  </si>
  <si>
    <t>adsorption | antennae | Antheraea polyphemus | diffusion | Moth | pheromone</t>
  </si>
  <si>
    <t>Isolated antennae of the male moth Antheraea polyphemus adsorbed at least 32% of 3H-labelled pheromone molecules (E-6,Z-11 hexadecadienyl acetate) from an airstream passing the antenna. About 80% of the adsorbed molecules were caught by the long olfactory hairs (sensilla trichodea). The distal half of the hairs caught about twice as many molecules as the proximal half. About 40% of the molecules desorbed if the antennae were exposed to a clean airstream for 30 min. The adsorbed molecules were transported from the hairs towards the antennal branch. Transport due to diffusion would have a diffusion coefficient of 3 √ó 10-7 cm2/s. Forty per cent of the total radioactivity per hair could be detected in receptor lymph extruded from the olfactory hairs, after an incubation time of 2 min. Dried antennae showed an increased desorption and an increased velocity of the transport along the hairs. One interpretation is that the molecules enter the receptor lymph of the intact antennae and diffuse more slowly than those on the cuticular surface. Fractional elution of fresh antennae revealed a diminishing elutability of pheromone from antennae in pentane (DEP-effect) and almost constant elutability in more polar solvents (chloroform-methanol toluene). The DEP-effect could be reversibly abolished by dehydration of the antennae. It could be shown that the DEP-effect occurs mainly on the antennal branch rather than on the hairs. Residual (uneluted) radioactivity builds up mainly on the branch. ¬© 1985.</t>
  </si>
  <si>
    <t>71-81</t>
  </si>
  <si>
    <t>60005460;60005460</t>
  </si>
  <si>
    <t>15850518100;6603949880</t>
  </si>
  <si>
    <t>Kanaujia, S.;Kaissling, K. E.</t>
  </si>
  <si>
    <t>Pocking</t>
  </si>
  <si>
    <t>Max Planck Institute for Ornithology</t>
  </si>
  <si>
    <t>Kanaujia S.</t>
  </si>
  <si>
    <t>Interactions of pheromone with moth antennae: Adsorption, desorption and transport</t>
  </si>
  <si>
    <t>10.1016/0022-1910(85)90044-7</t>
  </si>
  <si>
    <t>2-s2.0-0002751990</t>
  </si>
  <si>
    <t>['summer active', 'strongest inhibition', 'room temperature', 'reaction center', 'plastoquinone pool', 'photosystem ii', 'photochemical capacity', 'partial detachment', 'parallel analyses', 'junk publishers', 'isolated chloroplasts', 'intact needles', 'fluorescence kinetics', 'fluorescence characteristics', 'excitation energy', 'electron transport', 'dr w', 'decreased yield', 'b complex', 'antennae levels', '77 k']</t>
  </si>
  <si>
    <t>chlorophyll fluorescence | energy transfer | photoinhibition | Pinus sylvestris | winter stress</t>
  </si>
  <si>
    <t>The fluorescence kinetics of both intact needles and isolated chloroplasts of summer active and winter stressed Pinus sylvestris were measured at both room temperature and 77 K. It was confirmed that winter stress inhibited the photochemical capacity of photosystem II but also that winter stress caused the strongest inhibition of the electron transport at the site where the plastoquinone pool is reduced. Parallel analyses of the fluorescence characteristics of photosystem II (F693) and photosystem I (F729) during photosystem II trap closure furthermore revealed that the yield of spillover of excitation energy from photosystem II to photosystem I decreased upon winter stress. We suggest that this is because of an increased radiationless decay of excitation energy both at the reaction center and antennae levels of photosystem II. There is, however, also a possibility that the decreased yield of spill-over is accentuated by a partial detachment of the light harvesting chlorophyll a/b complex from photosystem II upon winter stress. ¬© 1985 Martinus Nijhoff/Dr W. Junk Publishers.</t>
  </si>
  <si>
    <t>19-30</t>
  </si>
  <si>
    <t>60031040;60031040</t>
  </si>
  <si>
    <t>56212852200;6701702473</t>
  </si>
  <si>
    <t>√∂quist, Gunnar;√ñgren, Erling</t>
  </si>
  <si>
    <t>Sweden</t>
  </si>
  <si>
    <t>Umea</t>
  </si>
  <si>
    <t>Ume√• Universitet</t>
  </si>
  <si>
    <t>√∂quist G.</t>
  </si>
  <si>
    <t>Effects of winter stress on photosynthetic electron transport and energy distribution between the two photosystems of pine as assayed by chlorophyll fluorescence kinetics</t>
  </si>
  <si>
    <t>10.1007/BF00032919</t>
  </si>
  <si>
    <t>2-s2.0-0003085226</t>
  </si>
  <si>
    <t>['plasma density', 'parasitic excitation', 'parallel wavenumber', 'local analysis', 'excitation process', 'coupling process']</t>
  </si>
  <si>
    <t>Parasitic excitation of ion Bernstein waves is observed from a Faraday-shielded fast wave loop antenna in the ion-cyclotron frequency range. Local analysis of the Vlasov-Maxwell equations demonstrates the role of the plasma density gradient in the coupling process. The effects of plasma density and of parallel wavenumber on the excitation process are investigated. ¬© 1985 American Institute of Physics.</t>
  </si>
  <si>
    <t>2453-2457</t>
  </si>
  <si>
    <t>Physics of Fluids</t>
  </si>
  <si>
    <t>60018020;60018020;60018020;60018020</t>
  </si>
  <si>
    <t>7003454886;56144605100;7004002507;7404759730</t>
  </si>
  <si>
    <t>Skiff, F.;Ono, M.;Colestock, P.;Wong, K. L.</t>
  </si>
  <si>
    <t>Princeton</t>
  </si>
  <si>
    <t>Princeton Plasma Physics Laboratory</t>
  </si>
  <si>
    <t>Skiff F.</t>
  </si>
  <si>
    <t>Parasitic excitation of ion Bernstein waves from a Faraday-shielded fast wave loop antenna</t>
  </si>
  <si>
    <t>10.1063/1.865253</t>
  </si>
  <si>
    <t>2-s2.0-0003256159</t>
  </si>
  <si>
    <t>['¬© 1985', 'without effect', 'wing tegulae', 'sensory hairs', 'locusta migratoria', 'induced relase', 'glandular cells', 'corpus cardiacum', 'adipokinetic hormone']</t>
  </si>
  <si>
    <t>1. 1. The changes in either haemolymph lipid concentration or fat body glycogen phosphorylase activation state were used as parameters for the release of the adipokinetic hormone (AKH) from the glandular cells of the corpus cardiacum during flight in the locust, Locusta migratoria. 2. 2. Tying or shortening of the wings, or cauterization of the wing tegulae, did not prevent the flight-induced relase of AKH, nor did deprivation of the antennae and/or immobilization of the sensory hairs on the head. 3. 3. As deprivation of single sense organs is without effect, it is suggested that the input for the cerebral secretomotor cells which activate the glandular cells, is derived from the flight Central Pattern Generator. ¬© 1985.</t>
  </si>
  <si>
    <t>915-919</t>
  </si>
  <si>
    <t>Comparative Biochemistry and Physiology -- Part A: Physiology</t>
  </si>
  <si>
    <t>60007989;60007989</t>
  </si>
  <si>
    <t>6602294248;6603341999</t>
  </si>
  <si>
    <t>Bloemen, R. E.B.;Beenakkers, A. M.Th</t>
  </si>
  <si>
    <t>Netherlands</t>
  </si>
  <si>
    <t>Utrecht</t>
  </si>
  <si>
    <t>Utrecht University</t>
  </si>
  <si>
    <t>Bloemen R.</t>
  </si>
  <si>
    <t>The effect of sense organ deprivation on the release of adipokinetic hormone in Locusta migratoria</t>
  </si>
  <si>
    <t>10.1016/0300-9629(85)90930-2</t>
  </si>
  <si>
    <t>2-s2.0-0003291320</t>
  </si>
  <si>
    <t>['¬© 1985', 'walled sensilla', 'wall pores', 'tubule system', 'olfactory pits', 'lying inside', 'longitudinal ridges', 'hair wall', 'hair shaft', 'fine structure', 'exuvial space', 'dissolving detergents', 'dense substance', 'dendritic sheath', 'contain lipids', 'conducting system', 'calliphora erythrocephala']</t>
  </si>
  <si>
    <t>development | double-walled sensilla | Insects | olfactory sensilla</t>
  </si>
  <si>
    <t>The fine structure and ontogenesis of the double-walled hair sensilla on the funicle of Calliphora erythrocephala (Diptera : Calliphoridae) was investigated with transmission and scanning electron microscopes. The small ribbed pegs, situated on the surface of the antenna and the sensilla coeloconica found exclusively in olfactory pits, belong to the group of double-walled sensilla with wall pores. No pore-tubule system is present. An electron-dense substance lying between the wall pores presumably functions as the stimulus-conducting system. Because it can be extracted by fat-dissolving detergents, it is assumed to contain lipids. The double-walled sensilla are enclosed by 4 envelope cells. Ontogenesis is initiated by the sensory cilia enclosed in a dendritic sheath growing into the exuvial space. The hair-forming cell extends as finger-shaped cell processes along the dendritic sheath. Constriction of these cell processes leads to the formation of the longitudinal ridges and the "inner" hair wall. The trichogen cell secretes cuticular material in all directions. In the course of ontogenesis, the dendritic sheath, lying inside the hair shaft, degenerates. It is assumed that the trichogen cell participates in this process. The electron-dense substance, which lies between the pores in the imago, is interpreted as the remnants of the dendritic sheath material. ¬© 1985.</t>
  </si>
  <si>
    <t>227-242</t>
  </si>
  <si>
    <t>International Journal of Insect Morphology and Embryology</t>
  </si>
  <si>
    <t>Kuhbandner, Bernd</t>
  </si>
  <si>
    <t>Kuhbandner B.</t>
  </si>
  <si>
    <t>Ultrastructure and ontogeny of the double-walled sensilla on the funicle of Calliphora erythrocephala meigen (diptera : calliphoridae)</t>
  </si>
  <si>
    <t>0020-7322(85)90056-X</t>
  </si>
  <si>
    <t>10.1016/0020-7322(85)90056-X</t>
  </si>
  <si>
    <t>2-s2.0-0004905311</t>
  </si>
  <si>
    <t>National Science Foundation</t>
  </si>
  <si>
    <t>CHE-8209348</t>
  </si>
  <si>
    <t>NSF</t>
  </si>
  <si>
    <t>['¬© 1985', 'suitable solvents', 'successful biomimicry', 'separated state', 'rapidly separate', 'quinone q', 'quantum yield', 'natural photosynthesis', 'high potential', 'considerable barrier']</t>
  </si>
  <si>
    <t>A synthetic molecular triad consisting of a porphyrin P linked to both a quinone Q and a carotenoid polyene C has been prepared as a mimic of natural photosynthesis for solar energy conversion purposes. Laser flash excitation of the porphyrin moiety yields a charge-separated state C+¬∑-P-Q-¬∑ within 100 ps with a quantum yield of more than 0.25. This charge-separated state has a lifetime on the microsecond time scale in suitable solvents. The triad also models photosynthetic antenna function and photo-protection from singlet oxygen damage. The successful biomimicry of photo-synthetic charge separation is in part the result of multistep electron transfers which rapidly separate the charges and leave the system at high potential, but with a considerable barrier to recombination. ¬© 1985.</t>
  </si>
  <si>
    <t>173-184</t>
  </si>
  <si>
    <t>Journal of Photochemistry</t>
  </si>
  <si>
    <t>60003892;60003892</t>
  </si>
  <si>
    <t>26643239600;7403336040</t>
  </si>
  <si>
    <t>Gust, Devens;Moore, Thomas A.</t>
  </si>
  <si>
    <t>Tempe</t>
  </si>
  <si>
    <t>Arizona State University</t>
  </si>
  <si>
    <t>Gust D.</t>
  </si>
  <si>
    <t>A synthetic system mimicking the energy transfer and charge separation of natural photosynthesis</t>
  </si>
  <si>
    <t>10.1016/0047-2670(85)87069-6</t>
  </si>
  <si>
    <t>2-s2.0-0007939188</t>
  </si>
  <si>
    <t>['wiley blackwell', 'unlike adults', 'somewhat protected', 'solanaceous plants', 'size changes', 'rights reserved', 'reproductive parts', 'predominantly nocturnal', 'observed differences', 'mimetic strategy', 'mimetic nymphs', 'immature bugs', 'hyalymenus allow', 'host plant', 'differently sized', 'captivity showed', 'avoid ants', 'adult hyalymenus']</t>
  </si>
  <si>
    <t>Alydidae | ant Mullerian rings | Batesian ant‚Äêmimicry | Hemiptera | Hyalymenus | mimetic nymphs</t>
  </si>
  <si>
    <t>Nymphs of Hyalymenus, unlike adults, have a highly differentiated ant‚Äêlike morphology. Both H. tarsatus and H. limbativentris feed mainly on reproductive parts of composites and solanaceous plants, respectively. Mimetic nymphs were observed on plants, together with ants, both day and night; adult Hyalymenus, however, are predominantly nocturnal. Ant‚Äêresemblance in nymphs is achieved by several structural adaptations which, when coupled with the mimic's zig‚Äêzag locomotion and constantly agitated antennae, produces a striking visual deception. Experiments in captivity showed that mimetic nymphs, but not adult Hyalymenus, are somewhat protected against attacks from the praying mantid Oxyopsis media found on their host plant. Colour and size changes through different nymphal instars of Hyalymenus allow the immature bugs to resemble, during their development, differently sized and coloured ant models. Similar‚Äêlooking ant species seem to act as Mullerian mimics toward insectivorous vertebrates and invertebrates that avoid ants. It is suggested that nymphs of Hyalymenus gain Batesian protection by resembling available ant models of different Mullerian complexes. Density‚Äêdependent selection is thought to be responsible for the observed differences in mimetic morph proportions between populations of mimics, as well as for the mimetic strategy itself employed by nymphs of Hyalymenus. Copyright ¬© 1985, Wiley Blackwell. All rights reserved</t>
  </si>
  <si>
    <t>371-384</t>
  </si>
  <si>
    <t>Zoological Journal of the Linnean Society</t>
  </si>
  <si>
    <t>OLIVEIRA, PAULO S.</t>
  </si>
  <si>
    <t>Brazil</t>
  </si>
  <si>
    <t>Campinas</t>
  </si>
  <si>
    <t>Universidade Estadual de Campinas</t>
  </si>
  <si>
    <t>OLIVEIRA P.</t>
  </si>
  <si>
    <t>On the mimetic association between nymphs of Hyalymenus spp. (Hemiptera: Alydidae) and ants</t>
  </si>
  <si>
    <t>10.1111/j.1096-3642.1985.tb01182.x</t>
  </si>
  <si>
    <t>2-s2.0-0008867970</t>
  </si>
  <si>
    <t>['√© thyle', 'two parasitoids', 'tr √®', 'specific feeder', 'soufr √©', 'sexual partners', 'search relies', 'pulchellus females', 'pulchelles vraisemblable', 'plants attacked', 'plant volatiles', 'parasitoid species', 'odours emitted', 'methyl thiocyanate', 'locomotor behaviour', 'locomotor activity', 'kineses ).', 'final stage', 'females alone', 'female cocoon', 'ethyl acetate', 'et instable', 'eag responses', 'diadromus pulchellus', 'de l', 'cabbage odour', 'biological activity', 'best perceived', 'attacked plant', 'assectella larvae', 'also recorded', 'also plausible', 'also influenced', 'already emerged', 'allium spp', 'activated antennae', "'√© thyle"]</t>
  </si>
  <si>
    <t>Allium | Allium | compos√©s volatils | Crucifers | Crucif√®res | D. collaris | D. collaris | Diadromus pulchellus | Diadromus pulchellus | electroantennograms | host | hymenopterous parasitoids | hym√©nopt√®res | h√¥te | parasito√Ødes | partenaire sexuel | sexual partner | volatiles | √©lectroantennogrammes</t>
  </si>
  <si>
    <t>Chez Diadromus pulchellus WSM et D. collaris Gr., Hym√©nopt√®res Ichneumonid√©s parasito√Ødes sp√©cialistes des nymphes d'A. assectella l√©pidopt√®re inf√©od√© aux Allium, des EAG sont enregistr√©s en r√©ponse √† l'odeur du poireau sain ou attaqu√© par les larves du phytophage, odeurs actives par ailleurs sur leur comportement locomoteur (cin√®ses). Le thiosulfinate de dipropyle (Ti‚ÄêP2) tr√®s sp√©cifique et abondant dans les Allium, et instable, est le mieux per√ßu par les deux parasito√Ødes mais n'a aucun effet locomoteur chez D. pulchellus contrairement aux disulfures et thiosulfonates, plus stables et moins sp√©cifiques. Les propri√©t√©s de l'ac√©tate d'√©thyle, actif sur l'antenne des deux parasito√Ødes, et sur la locomotion de D. pulchellus expliqueraient en partie les activit√©s biologiques du poireau attaqu√© sur ces parasito√Ødes. Des EAG sont aussi obtenus chez les deux esp√®ces avec l'odeur du chou et de compos√©s soufr√©s plus ou moins sp√©cifiques des Crucif√®res. Le thiocyanate de m√©thyle (TCN‚ÄêM), le plus actif sur l'antenne et seul efficace sur le comportement locomoteur (de D. pulchellus), expliquerait en partie l'installation reconnue de D. collaris sur Plutella maculipennis sp√©cialiste des Crucif√®res et rend celle de D. pulchelles vraisemblable. L'odeur des larves de dernier stade d'A assectella est seule efficace sur l'antenne et la locomotion des femelles de D. pulchellus. Les m√¢les de ce dernier r√©agissent (EAG, locomotion) √† des odeurs de cocons de l'h√¥te et particuli√®rement √† ceux occup√©s par une femelle de leur esp√®ce. EAG responses of two ichneumonid parasitoids, Diadromus pulchellus and D. collaris, to odours emitted by plants, the phytophagous‚Äêhost Acrolepiopsis assectella and the sexual partner Diadromus pulchellus WSM and D. collaris Gr., Hymenoptera Ichneumonidae, are parasitoids of nymphs of A. assectella, Lepidoptera which is a specific feeder on Allium spp. The parasitoid's EAG responses to healthy leek plant odours and to that of plants attacked by A. assectella were recorded. These host‚Äêplant odours are also influenced the parasitoids' locomotor behaviour (kineses). Propyl propane thiosulfinate (Ti‚ÄêP2) which is very specific and abundant in Allium, and unstable, was best perceived by the two parasitoids. Unlike the more stable and less specific disulphurs and thiosulphonates it had, however no effect on the locomotor activity of D. pulchellus. The properties of ethyl acetate, which induced strong EAG responses in both parasitoids and influenced D. pulchellus locomotor activity, could partly explain the attacked plant's biological activity. EAG responses were also recorded for both species to cabbage odour and to more Crucifer‚Äêspecific sulphur compounds. EAG responses to methyl thiocyanate (TCN‚ÄêM) was the best for the two parasitoids. The locomotor activity of D. pulchellus was only affected by this compound and the Crucifer specialist Plutella maculipennis is attacked by D. collaris. Moreover, this phytophage's colonisation by D. pulchellus is also plausible in the light of this evidence. The responses (EAG and locomotion) of both parasitoids to plant volatiles is discussed in terms of their respective host searching behaviour. This search relies on olfactory information coming from the host. The odour of final stage A. assectella larvae, which activated antennae and locomotor activity of the D. pulchellus females, would favour encounters with the host‚Äênymph. Males of this parasitoid species, which begin to search for their sexual partners as soon as they emerge, react to odours of the host‚Äêcocoon even if A. assectella had already emerged; their responses were stronger if it was a female cocoon. Male EAG responses to odour of the females alone were the most intense of all. 1985 The Netherlands Entomological Society</t>
  </si>
  <si>
    <t>295-306</t>
  </si>
  <si>
    <t>60032530;60032530</t>
  </si>
  <si>
    <t>7004538563;6603099985</t>
  </si>
  <si>
    <t>Lecomte, C.;Pouzat, J.</t>
  </si>
  <si>
    <t>France</t>
  </si>
  <si>
    <t>Tours</t>
  </si>
  <si>
    <t>Universit√© de Tours</t>
  </si>
  <si>
    <t>Lecomte C.</t>
  </si>
  <si>
    <t>R√©ponses √©lectroantennographiques de deux parasito√Ødes Ichneumonid√©s, Diadromus pulchellus et D. collaris, aux odeurs de v√©g√©taux, du phytophage‚Äêh√¥te Acrolepiopsis assectella et du partenaire sexuel</t>
  </si>
  <si>
    <t>10.1111/j.1570-7458.1985.tb00473.x</t>
  </si>
  <si>
    <t>2-s2.0-0009453291</t>
  </si>
  <si>
    <t>['wacholder und', 'using antennae', 'uneven dispersal', 'th sheaths', 'spermotrophus wachtl', 'spermotrophus indicate', 'sensory plates', 'right phase', 'phylogenetic descent', 'obviously adapted', 'low number', 'life table', 'hungry specimens', 'host seed', 'host plant', 'honey smell', 'green colour', 'gall insects', 'front tarsi', 'fertile seeds', 'extensive search', 'egg numbers', 'douglasien beschrieben', 'breeding substrate', 'bipunctatus swed', 'behavioural pattern', 'befruchteten samens', 'adult behaviour']</t>
  </si>
  <si>
    <t>Adult behaviour and oviposition in some Megastigmus‚Äêspecies, an example for a K‚Äêoriented reproductive strategy in inhabitants of extreme ecological niches The phytophagous seed inhabiting species of the genus Megastigmus Dalm. of the Chalcid family Torymidae have a low number of eggs which in species with a diapause is obviously adapted to the resulting increased mortality. The behavioural pattern of the females includes search for host plant and nutrients, e.g. honeydew or scented yellow flowers, a preference for green colour and host odour changing into yellow and honey smell in hungry specimens. Observations of females of M. bipunctatus on juniper and M. spermotrophus on Douglas fir showed an extensive search for cones of the right phase of development, using antennae and front tarsi. The suitability of the host seed was tested with the ovipositor which showed sensory bristles at the tip of th sheaths and sensory plates on the pair of borers. Behaviour of females and a comparison between egg numbers and life table in M. spermotrophus indicate that only fertile seeds are infested. Low egg number, combined with a highly developed searching behaviour of the adult females insure the continuance of the species in spite of the uneven dispersal of the breeding substrate and can thus be included in the examples for a K‚Äêoriented egg strategy. The resemblance to the adult behaviour of the closely related entomoparasitic Torymidae indicates a phylogenetic descent of such species and is at the same time necessary prerequisite for surviving in the extreme ecological niches of seeds or gall insects. Fast alle Arten der Gattung Megastigmus Dalm. sind phytophag und machen ihre gesamte Entwicklung in einem wachsenden Samen durch. Soweit es sich bei den Wirtspflanzen um Koniferen handelt, kann der Schaden an Hochleistungssaatgut betr√§chtlich sein. Die Samenwespen besitzen relativ wenige Eier; die Zahl ist bei Arten mit obligatorischer oder fakultativer Diapause h√∂her (100‚Äê150) als bei Arten mit einj√§hrigem Generationszyklus (um 30). Diese geringe Eizahl wird kompensiert durch ein hochentwickeltes, differenziertes und nicht starres Suchverhalten gegen√ºber Wirtspflanzen und durch die Auswahl des geeigneten, befruchteten Samens. Dies wird f√ºr die Arten M. bipunctatus Swed. an Wacholder und M. spermotrophus Wachtl an Douglasien beschrieben. Das Weibchenverhalten kann in die Reihe der √úberlebensstrategien als K‚Äêorientierte Eistrategie eingeordnet werden. Die gleiche Strategie findet man bei nahe verwandten, entomophagen Torymiden und d√ºrfte von diesen abgeleitet sein. 1985 Blackwell Verlag GmbH</t>
  </si>
  <si>
    <t>233-244</t>
  </si>
  <si>
    <t>Zeitschrift f√ºr Angewandte Entomologie</t>
  </si>
  <si>
    <t>January/December 1985</t>
  </si>
  <si>
    <t>SCHNEIDER, ISOLDE</t>
  </si>
  <si>
    <t>Gottingen</t>
  </si>
  <si>
    <t>Abt. Waldschutz</t>
  </si>
  <si>
    <t>SCHNEIDER I.</t>
  </si>
  <si>
    <t>Wirtsfindung und Eiablage einiger Megastigmus‚ÄêArten, ein Beispiel f√ºr K‚Äêorientierte Fortpflanzungsstrategie bei Bewohnern extremer √∂kologischer Nischen</t>
  </si>
  <si>
    <t>10.1111/j.1439-0418.1985.tb02776.x</t>
  </si>
  <si>
    <t>2-s2.0-0013435399</t>
  </si>
  <si>
    <t>['¬© 1985', 'particularly important', 'monochromatic systems', 'monochromatic radiation', 'millimetre wavelengths', 'good aid', 'geometrical theory', 'experimental tests', 'diffraction effects', 'applied successfully']</t>
  </si>
  <si>
    <t>The problem of diffraction effects is particularly important at millimetre wavelengths. The geometrical theory of diffraction (GTD) has been a good aid in coping with this kind of problem. The application of GTD, however, has been limited to monochromatic radiation. In this paper we show by means of experimental tests that the same method, with some minor computational modifications, also can be applied successfully in non-monochromatic systems. ¬© 1985.</t>
  </si>
  <si>
    <t>285-288</t>
  </si>
  <si>
    <t>Infrared Physics</t>
  </si>
  <si>
    <t>60024353;60024353;60024353</t>
  </si>
  <si>
    <t>7202801015;8986831200;6505890175</t>
  </si>
  <si>
    <t>Blanco, A.;Fonti, S.;Mancarella, M.</t>
  </si>
  <si>
    <t>Italy</t>
  </si>
  <si>
    <t>Lecce</t>
  </si>
  <si>
    <t>Universita del Salento</t>
  </si>
  <si>
    <t>Blanco A.</t>
  </si>
  <si>
    <t>A test of diffraction structures at near-millimetre wavelengths</t>
  </si>
  <si>
    <t>0020-0891(85)90093-4</t>
  </si>
  <si>
    <t>10.1016/0020-0891(85)90093-4</t>
  </si>
  <si>
    <t>2-s2.0-0021370622</t>
  </si>
  <si>
    <t>['western australia', 'transducer becomes', 'sufficiently high', 'smaller sample', 'recent measurements', 'particular reference', 'decreases exponentially', 'acoustic loss', '4 k', '2 k']</t>
  </si>
  <si>
    <t>In this paper authors describe the superconducting gravitational radiation antenna being developed at the University of Western Australia (UWA) with particular reference to its high Q properties and the low loss mechanical filter used to support it. Recent measurements of the acoustic quality factor, Q, of the fundamental longitudinal mode of the bar are reported. It is shown that the Q is sufficiently high that it will not contribute significant noise to the antenna until the transducer becomes 'quantum limited'. Authors also report measurements on a smaller sample down to 0. 4 K in which we observe that Q** minus **1, the acoustic loss, decreases exponentially with T** minus **1 between 2 K and 0. 4 K.</t>
  </si>
  <si>
    <t>MAG-21</t>
  </si>
  <si>
    <t>IEEE Transactions on Magnetics</t>
  </si>
  <si>
    <t>Mar</t>
  </si>
  <si>
    <t>60031806;60031806;60031806;60031806;60031806</t>
  </si>
  <si>
    <t>7005135152;22974326500;22987479700;7403056588;9744506400</t>
  </si>
  <si>
    <t>Veitch, P. J.;Blair, D. G.;Buckingham, M. J.;Edwards, C.;van Kann, F. J.</t>
  </si>
  <si>
    <t>Perth</t>
  </si>
  <si>
    <t>The University of Western Australia</t>
  </si>
  <si>
    <t>Veitch P.</t>
  </si>
  <si>
    <t>SUPERCONDUCTING GRAVITATIONAL RADIATION ANTENNA.</t>
  </si>
  <si>
    <t>2-s2.0-0021384558</t>
  </si>
  <si>
    <t>['receiving antenna', 'quantum theory', 'point contacts', 'optical coupling', 'higher frequencies', 'difficulties associated', 'detector array', 'antenna pattern', '100 ghz']</t>
  </si>
  <si>
    <t>In order to avoid the difficulties associated with waveguide and point contacts at frequencies above 100 GHz, a planar integrated circuit combining SIS junctions and a receiving antenna has been developed. The antenna pattern and a study of the quasi-optical coupling using an f/1 TPX lens are presented. Measurements of the direct detection performance of this device at 88 GHz agree well with quantum theory. The antenna can readily be scaled to higher frequencies where quasi-optical coupling is essential. Being planar, this device can be replicated into a multi-detector array for imaging.</t>
  </si>
  <si>
    <t>60025038;60025038;60025038</t>
  </si>
  <si>
    <t>7006647806;7005340696;7202176080</t>
  </si>
  <si>
    <t>Irwin, K. E.;Van Duzer, T.;Schwarz, S. E.</t>
  </si>
  <si>
    <t>Berkeley</t>
  </si>
  <si>
    <t>University of California, Berkeley</t>
  </si>
  <si>
    <t>Irwin K.</t>
  </si>
  <si>
    <t>PLANAR ANTENNA-COUPLED SUPERCONDUCTOR-INSULATOR-SUPERCONDUCTOR DETECTOR.</t>
  </si>
  <si>
    <t>2-s2.0-0021384612</t>
  </si>
  <si>
    <t>['voltage standards', 'v characteristics', 'simultaneously locked', 'initial purpose', 'high critical', 'first step', 'electrical characteristics', 'edge microbridges', 'cu step', '39 bridges']</t>
  </si>
  <si>
    <t>The fabrication and electrical characteristics of series connected arrays of high critical-temperature SNS Josephson microbridges are described, the initial purpose of the investigation being the development of voltage standards and ultrastable voltage references operational above 10K. Using Nb//3Sn/Cu step-edge microbridges, arrays containing 15 and 39 bridges have been fabricated which operate up to 16. 5K. The arrays are irradiated by an antenna producing voltage steps in the array's I-V characteristics in which all the bridges are simultaneously locked to the first step.</t>
  </si>
  <si>
    <t>60012708;60012708;60012708</t>
  </si>
  <si>
    <t>6506918531;57203433083;7102720410</t>
  </si>
  <si>
    <t>Anklam, W. J.;de Lozanne, A. L.;Beasley, M. R.</t>
  </si>
  <si>
    <t>Palo Alto</t>
  </si>
  <si>
    <t>Stanford University</t>
  </si>
  <si>
    <t>Anklam W.</t>
  </si>
  <si>
    <t>FABRICATION AND PROPERTIES OF HIGH T&lt;inf&gt;C&lt;/inf&gt; SNS MICROBRIDGE SERIES ARRAYS.</t>
  </si>
  <si>
    <t>2-s2.0-0021387464</t>
  </si>
  <si>
    <t>['¬© 1985', 'type germanium', 'sio2 film', 'focused ion', 'film antenna', 'fabricated device', 'diam pinhole', 'device exhibited']</t>
  </si>
  <si>
    <t>A plana type thin-film warm carrier device has been fabricated by electron beam lithographic methods associated with focused ion-beams. The fabricated device has 3Œºm-wide and 950Œºm long thin-film antenna on SiO2 film, and the top of it contacted with p-type germanium through a 0.1Œºm-diam pinhole which penetrates the SiO2 film. The device exhibited a distinguishing antenna pattern for 10.6Œºm CO2 laser radiation. ¬© 1985.</t>
  </si>
  <si>
    <t>516-520</t>
  </si>
  <si>
    <t>Physica B+C</t>
  </si>
  <si>
    <t>60004176;60004176;60024322;60024322</t>
  </si>
  <si>
    <t>7004555963;35476116400;35449597700;36042342800</t>
  </si>
  <si>
    <t>Yasuoka, Yoshizumi;Harakawa, Ken ichi;Gamo, Kenji;Namba, Susumu</t>
  </si>
  <si>
    <t>Suita;Yokosuka</t>
  </si>
  <si>
    <t>Osaka University;National Defense Academy of Japan</t>
  </si>
  <si>
    <t>60024322;60004176</t>
  </si>
  <si>
    <t>Yasuoka Y.</t>
  </si>
  <si>
    <t>Fabrication and properties of antenna-coupled thin-film warm carrier devices</t>
  </si>
  <si>
    <t>10.1016/0378-4363(85)90635-7</t>
  </si>
  <si>
    <t>2-s2.0-0021387639</t>
  </si>
  <si>
    <t>['zeroth step', 'snap ).', 'second step', 'power dependence', 'one photon', 'nb junctions', 'laser source', 'laser power', 'josephson steps', 'critical current', '7 omega', '180 mu']</t>
  </si>
  <si>
    <t>Authors have measured the response of Nb-aSi-Nb junctions to 604 GHz radiation from an optically pumped far-infrared (FIR) laser source. These rugged and thermally cyclable junctions situated at the midpoint of 180 mu m long dipole antennas, were fabricated on oxidized silicon wafers using the Selective Niobium Anodization Process (SNAP). On a junction with a normal state resistance of about 7 OMEGA , authors observed three Josephson steps and one photon-assisted tunneling step. The widths of the Josephson steps were studied as a function of the laser power. An RSJ model computer simulation with a nonlinear quasiparticle conductance and an rf current bias (assumed because of the low junction resistance) is able to account reasonably well for the laser-power dependence of the critical current (zeroth step) and the second step.</t>
  </si>
  <si>
    <t>60009982;60009982;60009982;60009982</t>
  </si>
  <si>
    <t>7006711679;7003303053;6701477947;16501091700</t>
  </si>
  <si>
    <t>Danchi, W. C.;Free, J. U.;Habbal, F.;Tinkham, M.</t>
  </si>
  <si>
    <t>Cambridge</t>
  </si>
  <si>
    <t>Harvard University</t>
  </si>
  <si>
    <t>Danchi W.</t>
  </si>
  <si>
    <t>RESPONSE OF Nb-aSi-Nb JUNCTIONS TO 604 GHz RADIATION.</t>
  </si>
  <si>
    <t>2-s2.0-0021390742</t>
  </si>
  <si>
    <t>['virtually impossible', 'two waves', 'signals transmitted', 'separated numerically', 'sampling interval', 'receiving site', 'radio spectrum', 'phase relation', 'passive mode', 'one wave', 'obtain information', 'known location', 'ionospheric information', 'increasing congestion', 'direction finding', 'conventional sounding', '20 ms']</t>
  </si>
  <si>
    <t>The increasing congestion in some portions of the radio spectrum, especially in the AM band, makes it virtually impossible to obtain information about the ionosphere in those bands by conventional sounding. This raises the question, if ionospheric information can be obtained in a passive mode by measuring the angle of arrival of signals transmitted by stations of known location over a short or medium length path involving ionospheric reflection. No difficulties are expected if only one wave is observed at the receiving site. If the signal can propagate over two different paths, the two superimposed waves can be separated numerically in amplitude and direction of arrival, provided that amplitude and phase are recorded at four spaced receiving antennas. It appeared that the ionospheric sounding facility at Brighton, Colorado, had the capability to test this principle. Several tests showed that the high data quality makes this approach very promising. The two‚Äêwave separation, however, could not be tested, since the two receiving antenna pairs are sampled in sequence, and ionospheric changes cause already significant changes in the phase relation of the two waves over periods much shorter than the sampling interval of 20 ms. The relevance of these tests to direction finding will also be discussed. This paper is not subject to U.S. copyright. Published in 1985 by the American Geophysical Union.</t>
  </si>
  <si>
    <t>310-314</t>
  </si>
  <si>
    <t>1944799X</t>
  </si>
  <si>
    <t>Radio Science</t>
  </si>
  <si>
    <t>May-June 1985</t>
  </si>
  <si>
    <t>Paul, Adolf K.</t>
  </si>
  <si>
    <t>Paul A.</t>
  </si>
  <si>
    <t>Passive monitoring of the ionosphere</t>
  </si>
  <si>
    <t>10.1029/RS020i003p00310</t>
  </si>
  <si>
    <t>2-s2.0-0021426213</t>
  </si>
  <si>
    <t>['wide application', 'using subsets', 'typical clean', 'test data', 'signal analysis', 'reflective environments', 'receiving antenna', 'providing corrections', 'phase scintillation', 'multipath effects', 'much less', 'measured variations', 'make measurements', 'local environment', 'ionospheric parameters', 'correlate well', 'copyright 1985', 'analyzed briefly']</t>
  </si>
  <si>
    <t>Signals from the Global Positioning System (GPS) satellites can be used to make measurements of absolute ionospheric group delay and relative phase advance. These ionospheric parameters have wide application in providing corrections for military systems requiring knowledge of ionospheric time delay and phase scintillation, such as satellite detection radars. Multipath effects from the local environment of the receiving antenna can cause severe contamination of ionospheric group delay measurements made with GPS pseudorandom noise receivers. Measured variations in the multipath effects in some typical clean and reflective environments are presented and shown to be consistent with signal analysis for pseudorandom noise receivers. Measured single reflector multipath is analyzed briefly and shown to correlate well with calculations. Since antennas must frequently be located in environments that are much less than ideal, data analysis procedures were developed for minimizing the impact of multipath on the group delay measurement. These include low‚Äêpass filtering, day‚Äêto‚Äêday correlation, and calibration to relative differential carrier phase advance measurements by using subsets of the absolute ionospheric group delay data. Results of these processes as applied to the test data from various multipath environments are presented. Copyright 1985 by the American Geophysical Union.</t>
  </si>
  <si>
    <t>388-396</t>
  </si>
  <si>
    <t>;;</t>
  </si>
  <si>
    <t>7203057383;7004471641;7202103187</t>
  </si>
  <si>
    <t>Bishop, G. J.;Klobuchar, J. A.;Doherty, P. H.</t>
  </si>
  <si>
    <t>Bishop G.</t>
  </si>
  <si>
    <t>Multipath effects on the determination of absolute ionospheric time delay from GPS signals</t>
  </si>
  <si>
    <t>10.1029/RS020i003p00388</t>
  </si>
  <si>
    <t>2-s2.0-0021426510</t>
  </si>
  <si>
    <t>['tor frequency', 'simple low', 'radio receiver', 'pass filter', 'oscillator employing', 'order intermodulation', 'noise low', 'maximum frequency', 'made possible', 'lower value', 'intermediate frequency', 'high intermodulation', 'frequency conversion', 'field strengths', 'end circuits', 'dynamic range', 'distortion wide', 'digital tuning', 'circuit alignments', 'band switches', 'balanced mixer', 'automatically switched', '7 mhz', '200 mv', '130 db']</t>
  </si>
  <si>
    <t>A monolithically integrated high-performance front end for an AM radio receiver is presented. Medium- and long-wave reception without any tuned-circuit alignments or band switches is made possible by using an intermediate frequency of 10.7 MHz, well above the maximum frequency to be received. Image- and oscillator-harmonics-related spurious responses are rejected by a simple low-pass filter. The upconversion concept puts high demands on the front-end circuits. A high intermodulation-free dynamic range is realized by applying several unconventional and new circuit techniques. A low-noise low-distortion wide-band input ampli-fier with capacitive negative feedback realizes the required antenna match. The gain of this amplifier is automatically switched to a lower value in the vicinity of transmitters with high field strengths. A double-balanced mixer, driven by an oscillator employing a novel amplitude stabilization technique, provides the frequency conversion up to 10.7 MHz. Digital tuning can be achieved very simply because only the local-oscilla-tor frequency has to be varied. The dynamic range of this front end amounts to 130 dB. Field strengths up to about 20 and 200 mV/m can be handled without noticeable second-and third-order intermodulation, respectively. ¬©1985 IEEE</t>
  </si>
  <si>
    <t>688-696</t>
  </si>
  <si>
    <t>1558173X</t>
  </si>
  <si>
    <t>IEEE Journal of Solid-State Circuits</t>
  </si>
  <si>
    <t>60006288;100654434-60006288;60016561</t>
  </si>
  <si>
    <t>7004108361;7004772283;7004268115</t>
  </si>
  <si>
    <t>Nordholt, Ernst H.;Nauta, Henk C.;Boon, Corlex A.M.</t>
  </si>
  <si>
    <t>Netherlands;Netherlands;Netherlands</t>
  </si>
  <si>
    <t>Eindhoven;Delft;Eindhoven</t>
  </si>
  <si>
    <t>Philips Research;Delft University of Technology;Sagantec Europe BV</t>
  </si>
  <si>
    <t>60016561;60006288;100654434</t>
  </si>
  <si>
    <t>Nordholt E.</t>
  </si>
  <si>
    <t>A High-Dynamic-Range Front End For an Upconversion Car-Radio Receiver</t>
  </si>
  <si>
    <t>10.1109/JSSC.1985.1052369</t>
  </si>
  <si>
    <t>2-s2.0-0021445762</t>
  </si>
  <si>
    <t>A65020</t>
  </si>
  <si>
    <t>['¬© 1985', 'mixed type', 'infinitely flexible', 'general purpose', 'fully discussed', 'equation describes', 'efficient implementation', 'difference discretization', 'computational aspects']</t>
  </si>
  <si>
    <t>A numerical ordinary differential equation method, in conjunction with a finite-difference discretization, is applied to solve a dynamic motion partial differential equation of mixed type. This dynamic motion equation arises in the application of a towed acoustic antenna in the ocean. The equation describes the transverse dynamic motion of a cylinder of zero bending rigidity (infinitely flexible) in a viscous fluid flow. The numerical treatment well-poses the problem, whose numerical solution is shown to be general purpose and convergent. An efficient implementation is applied to reduce the cost of computation. The formulation, convergence, and some computational aspects are fully discussed. In order to demonstrate the validity and capability of this treatment, an application is presented. ¬© 1985.</t>
  </si>
  <si>
    <t>807-816</t>
  </si>
  <si>
    <t>Computers and Mathematics with Applications</t>
  </si>
  <si>
    <t>July 1985/August 1985</t>
  </si>
  <si>
    <t>60019947;60019947</t>
  </si>
  <si>
    <t>7406666521;57212996784</t>
  </si>
  <si>
    <t>Lee, Ding;Kennedy, Robert M.</t>
  </si>
  <si>
    <t>New London</t>
  </si>
  <si>
    <t>US Naval Underwater Systems Center</t>
  </si>
  <si>
    <t>Lee D.</t>
  </si>
  <si>
    <t>A numerical treatment of a mixed type dynamic motion equation arising from a towed acoustic antenna in the ocean</t>
  </si>
  <si>
    <t>10.1016/0898-1221(85)90175-0</t>
  </si>
  <si>
    <t>2-s2.0-0021462833</t>
  </si>
  <si>
    <t>['¬© 1985', 'two examples', 'rapid assessment', 'passive controls', 'parabolic antenna', 'paper compares', 'orbiting spacecraft', 'optimum placement', 'operate satisfactorily', 'large set', 'control locations', 'control effectiveness', 'control actuators', 'available sites', 'accurate shape', '55m space']</t>
  </si>
  <si>
    <t>Orbiting spacecraft such as large space antennas have to maintain a highly accurate shape to operate satisfactorily. Such structures require active and passive controls to maintain an accurate shape under a variety of disturbances. This paper is concerned with methods for the optimum placement of control actuators for correcting static deformations. In particular, attention is focused on the case where control locations have to be selected from a large set of available sites, so that integer programing methods are called for. The paper compares the effectiveness of three heuristic techniques for obtaining a near-optimal site selection. In addition the paper presents efficient reanalysis techniques for the rapid assessment of control effectiveness. Two examples are used to demonstrate the methods: a simple beam structure, and a 55m space-truss-parabolic antenna. ¬© 1985.</t>
  </si>
  <si>
    <t>575-582</t>
  </si>
  <si>
    <t>Computers and Structures</t>
  </si>
  <si>
    <t>60027090;60000854</t>
  </si>
  <si>
    <t>7102367440;7102463776</t>
  </si>
  <si>
    <t>Haftka, Raphael T.;Adelman, Howard M.</t>
  </si>
  <si>
    <t>Blacksburg;Hampton</t>
  </si>
  <si>
    <t>Virginia Polytechnic Institute and State University;NASA Langley Research Center</t>
  </si>
  <si>
    <t>Haftka R.</t>
  </si>
  <si>
    <t>Selection of actuator locations for static shape control of large space structures by heuristic integer programing</t>
  </si>
  <si>
    <t>10.1016/0045-7949(85)90105-1</t>
  </si>
  <si>
    <t>2-s2.0-0021590292</t>
  </si>
  <si>
    <t>29-31</t>
  </si>
  <si>
    <t>IETE Journal of Research</t>
  </si>
  <si>
    <t>Jan-Feb</t>
  </si>
  <si>
    <t>60009615;60009615;60009615;60009615</t>
  </si>
  <si>
    <t>7003661748;6603236517;6603367820;7103233978</t>
  </si>
  <si>
    <t>Sen Gupta, A.;Hanjura, A. K.;Goel, G. K.;Mathur, B. S.</t>
  </si>
  <si>
    <t>India</t>
  </si>
  <si>
    <t>New Delhi</t>
  </si>
  <si>
    <t>National Physical Laboratory India</t>
  </si>
  <si>
    <t>Sen Gupta A.</t>
  </si>
  <si>
    <t>ATA FIELD STRENGTH COMPUTATION OVER THE INDIAN SUBCONTINENT.</t>
  </si>
  <si>
    <t>10.1080/03772063.1985.11436480</t>
  </si>
  <si>
    <t>2-s2.0-0021777332</t>
  </si>
  <si>
    <t>['wave dipole', 'radiation resistances', 'radiation fields', 'function technique', 'dyadic green']</t>
  </si>
  <si>
    <t>Employing the dyadic Green's function technique, the radiation fields of a horizontal Hertzian dipole and a half-wave dipole (for an assumed current distribution) on a dielectric-coated conducting plane are determined. The radiation resistances and the directives of the dipoles are evaluated using numerical methods.</t>
  </si>
  <si>
    <t>60023345;60023345</t>
  </si>
  <si>
    <t>7003614950;55574185943</t>
  </si>
  <si>
    <t>Shastry, S. V.K.;Kumar, A.</t>
  </si>
  <si>
    <t>Bengaluru</t>
  </si>
  <si>
    <t>Indian Space Research Organization</t>
  </si>
  <si>
    <t>Shastry S.V.K.</t>
  </si>
  <si>
    <t>DIPOLE OVER A DIELECTRIC-COATED CONDUCTING PLANE.</t>
  </si>
  <si>
    <t>10.1080/03772063.1985.11436476</t>
  </si>
  <si>
    <t>2-s2.0-0021779213</t>
  </si>
  <si>
    <t>['thermal modes', 'temporal variations', 'temperature response', 'shuttle wing', 'reentry heating', 'reduction method', 'heating associated', 'excellent potential', 'element methods', 'eigenvalue analyses', 'dominated problems', 'contemporary finite', 'complex spatial', 'basis vectors', 'applied heating', 'antenna reflector', 'aerospace structures']</t>
  </si>
  <si>
    <t>A reduction method which combines classical Rayleigh-Ritz modal superposition techniques with contemporary finite-element methods is applied to transient nonlinear thermal analysis of aerospace structures. The essence of the method is the use of a few thermal modes from eigenvalue analyses as basis vectors to represent the temperature response in the structure. The method is used to obtain approximate temperature histories for a portion of the Shuttle orbiter wing subject to reentry heating and for a large space antenna reflector subject to heating associated with a low Earth obit. Results are presented to show that the reduction method has excellent potential for significant size reduction for radiation-dominated problems such as the antenna reflector. However, for conduction-dominated problems such as the Shuttle wing, especially those with complex spatial and temporal variations in the applied heating, additional work appears necessary to find alternate sources of basis vectors which will permit signifant problem size reductions.</t>
  </si>
  <si>
    <t>NASA Technical Paper</t>
  </si>
  <si>
    <t>Shore, Charles P.</t>
  </si>
  <si>
    <t>Hampton</t>
  </si>
  <si>
    <t>NASA Langley Research Center</t>
  </si>
  <si>
    <t>Shore C.</t>
  </si>
  <si>
    <t>REDUCTION METHOD FOR THERMAL ANALYSIS OF COMPLEX AEROSPACE STRUCTURES.</t>
  </si>
  <si>
    <t>2-s2.0-0021783772</t>
  </si>
  <si>
    <t>F04701-81-C-0082</t>
  </si>
  <si>
    <t>['tabulated values', 'substantial improvements', 'strong offset', 'rights reserved', 'quadrilateral bays', 'providing curvature', 'parabolic reflector', 'optimal curvatures', 'minimal surfaces', 'mesh supports', 'large antennas', 'form expressions', 'deploy able', 'cylindrical antennas', 'axisymmetric antennas', 'antenna feed']</t>
  </si>
  <si>
    <t>Knitted mesh reflectors for deploy able, large antennas are shown to conform to minimal surfaces, bounded by the mesh supporting structural members. Closed-form expressions and tabulated values are derived for the root mean square deviation of the mesh from the ideal, parabolic reflector. It is shown that for cylindrical antennas with quadrilateral bays and axisymmetric antennas, particularly those with strong offset of the antenna feed, substantial improvements in precision can be obtained by providing curvature to the mesh supports. Expressions are given for the optimal curvatures. ¬© American Institute of Aeronautics and Astronautics, Inc., 1985, All rights reserved.</t>
  </si>
  <si>
    <t>80-84</t>
  </si>
  <si>
    <t>Journal of Spacecraft and Rockets</t>
  </si>
  <si>
    <t>Meyer, Rudolf X.</t>
  </si>
  <si>
    <t>El Segundo</t>
  </si>
  <si>
    <t>Aerospace Corporation, USA</t>
  </si>
  <si>
    <t>Meyer R.</t>
  </si>
  <si>
    <t>Precision of mesh-type reflectors for large space-borne antennas</t>
  </si>
  <si>
    <t>10.2514/3.25713</t>
  </si>
  <si>
    <t>2-s2.0-0021784076</t>
  </si>
  <si>
    <t>['{\\ phi', '{/ theta', 'transient radiation', 'suppressed sidelobes', 'sidelobe level', 'sidelobe constraint', 'scan angle', 'radiation pattern', 'optimum solution', 'numerical optimization', 'modified solution', 'input terminals', 'element spacing', 'electronics engineers', 'domain voltages', 'dipole array', 'current restricted']</t>
  </si>
  <si>
    <t>The optimum solution for the transient radiation from a dipole array is derived in terms of the time-domain voltages which are required at the input terminals of dipoles in an array so that the amplitude of the transient radiated field at a specified time t0 and far-field position r0, {/theta}0, {\phi}0 is maximized. Constraints are placed on the energy and bandwidth of the input signal voltages with current restricted by Pocklington's equation. Further constraints on the sidelobe level are used to obtain a modified solution for suppressed sidelobes in the radiation pattern. Results of numerical optimization are presented, and the effects of scan angle, element spacing, and a sidelobe constraint on the optimization are discussed. ¬© Copyright ¬© 1985 by The Institute of Electrical and Electronics Engineers, Inc.</t>
  </si>
  <si>
    <t>69-75</t>
  </si>
  <si>
    <t>;;;60014313</t>
  </si>
  <si>
    <t>7006061921;56423929500;7006791463;7103288212</t>
  </si>
  <si>
    <t>Pozar, David M.;Kang, Yoon Won;Schaubert, Daniel H.;Mcintosh, Robert E.</t>
  </si>
  <si>
    <t>Amherst MA</t>
  </si>
  <si>
    <t>University of Massachusetts Amherst</t>
  </si>
  <si>
    <t>Pozar D.</t>
  </si>
  <si>
    <t>Optimization of the Transient Radiation from a Dipole Array</t>
  </si>
  <si>
    <t>10.1109/TAP.1985.1143478</t>
  </si>
  <si>
    <t>2-s2.0-0021784342</t>
  </si>
  <si>
    <t>['‚ äêline', 'radar transmits', 'radar operates', 'radar microcomputer', 'phasing matrix', 'initial results', 'goose bay', 'frequency band', 'enables one', 'data acquisition', 'copyright 1985', 'complete description', 'backscattered signals', '20 mhz']</t>
  </si>
  <si>
    <t>Since October 1983, a new coherent backscatter radar has been in operation at Goose Bay, Labrador, for the purpose of studying small‚Äêscale electron density structure in the high‚Äêlatitude ionosphere. This radar operates over a frequency band that extends from 8 to 20 MHz, and it uses an electronically phased array of 16 log‚Äêperiodic antennas for both transmission and reception. The radar transmits a seven‚Äêpulse pattern that enables one to determine 17‚Äêlag complex autocorrelation functions of the backscattered signals as a function of range and azimuth. In this paper we present a complete description of the radar including explanations of the operation of the phasing matrix, the techniques of data acquisition and analysis as implemented in the radar microcomputer, and the possible on‚Äêline and automatic operating modes that may be instituted. We also present examples of some of the initial results that we have obtained with the radar during the afternoon and late evening hours. These examples include images of the two‚Äêdimensional distribution of small‚Äêscale structure and of their associated mean Doppler motion. We also present examples of F region Doppler spectra derived from the complex autocorrelation functions. These Doppler spectra show interesting differences from those of high‚Äêlatitude E region irregularities. Copyright 1985 by the American Geophysical Union.</t>
  </si>
  <si>
    <t>63-79</t>
  </si>
  <si>
    <t>January-February 1985</t>
  </si>
  <si>
    <t>;;;</t>
  </si>
  <si>
    <t>7102717774;7401611278;7005727822;6603599439</t>
  </si>
  <si>
    <t>Greenwald, R. A.;Baker, K. B.;Hutchins, R. A.;Hanuise, C.</t>
  </si>
  <si>
    <t>Greenwald R.A.</t>
  </si>
  <si>
    <t>An HF phased‚Äêarray radar for studying small‚Äêscale structure in the high‚Äêlatitude ionosphere</t>
  </si>
  <si>
    <t>10.1029/RS020i001p00063</t>
  </si>
  <si>
    <t>2-s2.0-0021784579</t>
  </si>
  <si>
    <t>['two channels', 'space diversity', 'rights reserved', 'recent advances', 'paper presents', 'palmetto path', 'outage threshold', 'multipath dispersion', 'measured one', 'improvement factor', 'highly correlated', 'frequency diversity', 'fade margin', 'experimental findings', 'digital radio', '9 predicted', '3 mhz', '1980 data']</t>
  </si>
  <si>
    <t>This paper presents the measured frequency diversity improvement factor for 6 GHz 16-QAM 90 Mbit/s digital radio on the 26.4 mi Atlanta-Palmetto path in Georgia. Two channels with a center frequency separation of 59.3 MHz were used in a one-by-one frequency diversity experiment. The 1980 data and the 1982 data indicate a frequency diversity improvement factor of 100 and 45, respectively, at the outage threshold of 10 -3 HER. This is in contrast to the improvement factor of 9 predicted for analog FM radio at the same fade margin. The measured one-by-one frequency diversity improvement factor is compa-rable to the measured space diversity improvement factor with 30 ft antenna spacing on the same path. We conclude that 1) frequency diversity can provide a large improvement factor for digital radio, 2) as an alternative to space diversity, frequency diversity can provide substantial cost savings for digital radio routes, and 3) the frequency diversity calculation based on analog FM radio experience is too conservative (i.e., pessimistic) for digital radio application. These experimental findings are in agreement with recent advances in digital radio diversity modeling. Digital radio performance depends heavily on the multipath dispersion in the channel. The measured data indicate that the power fade depths in the two channels are highly correlated, whereas the multipath dispersion in the two channels is decorrelated. This correlation difference provides insight into the measured large frequency diversity improvement factor for digital radio. ¬© 1985 IEEE. All rights reserved.</t>
  </si>
  <si>
    <t>106-109</t>
  </si>
  <si>
    <t>IEEE Transactions on Communications</t>
  </si>
  <si>
    <t>60021378;60023456</t>
  </si>
  <si>
    <t>6507162842;56772019800</t>
  </si>
  <si>
    <t>Dirner, P. L.;Lln, S. H.</t>
  </si>
  <si>
    <t>Piscataway;Murray</t>
  </si>
  <si>
    <t>Telcordia Technologies, Inc.;Nokia Bell Labs</t>
  </si>
  <si>
    <t>60023456;60021378</t>
  </si>
  <si>
    <t>Dirner P.L.</t>
  </si>
  <si>
    <t>Measured Frequency Diversity Improvement for Digital Radio</t>
  </si>
  <si>
    <t>10.1109/TCOM.1985.1096195</t>
  </si>
  <si>
    <t>2-s2.0-0021784918</t>
  </si>
  <si>
    <t>['tv households', 'system objectives', 'system design', 'sufficient rain', 'service outage', 'satellite power', 'sample system', 'performance requirements', 'paper describes', 'paper deals', 'formulated consistent', 'first three', 'fade protection', 'fade margin', 'economic reality', 'consumer expectations', 'competitive products', 'case study', 'best balance', '92 percent']</t>
  </si>
  <si>
    <t>The design of the downlink in a DBS system requires optimization of a set of complex interrelated objectives. This paper describes the objectives, demonstrates the interrelationships, and discusses the process of selecting system design parameters to best balance the objectives of the DBS business entity. The Satellite Television Corporation's (STCs) system design is presented as a case study. Performance requirements are stated in terms of consumer perceived picture quality and rain-fade protection. The requirements are generated by a subjective testing program. The system objectives are formulated consistent with performance requirements, competitive products, and economic reality. To meet the objectives, four major design parameters can be adjusted: Satellite power, satellite antenna beam shape, home equipment performance, and signal format characteristics. This paper deals with the first three of these parameters. The manipulation of these parameters to meet System objectives is illustrated by the STC case study. It is demonstrated, for this sample system, that the choice of design parameters varies across the targeted service area, depending on demographics, competition, consumer expectations, weather, and other factors. However, in general, the STC design provides antenna sizes of 0.6-0.75 m for 92 percent of TV households, extremely high clear-sky picture ratings, and a sufficient rain-fade margin to provide acceptable levels of service outage. ¬©1985 IEEE</t>
  </si>
  <si>
    <t>171-180</t>
  </si>
  <si>
    <t>IEEE Journal on Selected Areas in Communications</t>
  </si>
  <si>
    <t>60005470;60005470</t>
  </si>
  <si>
    <t>6507764294;7404091723</t>
  </si>
  <si>
    <t>Blecker, Marvin;Martin, Ernesto R.</t>
  </si>
  <si>
    <t>Washington, D.C.</t>
  </si>
  <si>
    <t>Satellite Television Corporation</t>
  </si>
  <si>
    <t>Blecker M.</t>
  </si>
  <si>
    <t>Downlinks for DBS: Design and Engineering Considerations</t>
  </si>
  <si>
    <t>10.1109/JSAC.1985.1146176</t>
  </si>
  <si>
    <t>2-s2.0-0021785117</t>
  </si>
  <si>
    <t>['systolic array']</t>
  </si>
  <si>
    <t>A new control technique is described that overcomes the problem of poor convergence performance inherent in conventional adaptive beamforming algorithms. It is suitable for implementation as a systolic array. The algorithm not only provides an optimal convergence characteristic, but also gives inherently stable operation using limited precision arithmetic with poorly conditioned data.</t>
  </si>
  <si>
    <t>300-305</t>
  </si>
  <si>
    <t>Electrical communication</t>
  </si>
  <si>
    <t>60082676;60082676</t>
  </si>
  <si>
    <t>7005457527;7401533615</t>
  </si>
  <si>
    <t>Hargrave, P. J.;Ward, C. R.</t>
  </si>
  <si>
    <t>United Kingdom</t>
  </si>
  <si>
    <t>Harlow</t>
  </si>
  <si>
    <t>Standard Telecommunication Laboratories Ltd.</t>
  </si>
  <si>
    <t>Hargrave P.</t>
  </si>
  <si>
    <t>NEW APPROACH TO ADAPTIVE BEAMFORMING.</t>
  </si>
  <si>
    <t>2-s2.0-0021785280</t>
  </si>
  <si>
    <t>['¬© 1985', 'rights reserved', 'optical fibre', 'novel radio', 'experimentally examined', 'electrical engineers', 'also presented']</t>
  </si>
  <si>
    <t>Magnetic devices | Measurement | Radiowave propagation</t>
  </si>
  <si>
    <t>A novel radio-frequency magnetic probe composed of a small loop antenna and a light emitting diode (LED) linked with an optical fibre is presented, and its characteristics are experimentally examined. In order to confirm its validity, some of the RF field measurements made by the probe are also presented. ¬© 1985, The Institution of Electrical Engineers. All rights reserved.</t>
  </si>
  <si>
    <t>107-108</t>
  </si>
  <si>
    <t>Electronics Letters</t>
  </si>
  <si>
    <t>60024784;60024784;60024784</t>
  </si>
  <si>
    <t>55254841900;7102015955;36785598100</t>
  </si>
  <si>
    <t>Hayashi, K.;Ida, Y.;Arai, K.</t>
  </si>
  <si>
    <t>Japan</t>
  </si>
  <si>
    <t>Kanazawa</t>
  </si>
  <si>
    <t>Kanazawa University</t>
  </si>
  <si>
    <t>Hayashi K.</t>
  </si>
  <si>
    <t>Novel Rf Magnetic Probe Using Led Linked With Optical Fibre</t>
  </si>
  <si>
    <t>10.1049/el:19850074</t>
  </si>
  <si>
    <t>2-s2.0-0021785301</t>
  </si>
  <si>
    <t>['wave environment', 'typical errors', 'possible errors', 'multiple sources', 'multiple plane', 'intensity measurements', 'frequency environment', 'equal electric', 'electronics engineers', 'efm consisting', 'diode load', 'also considered', '3 db']</t>
  </si>
  <si>
    <t>Electric field meters (EFM's) are typically calibrated using single-frequency, single-source standard fields. The response to multiple sources or nonsinusoidal time dependence may be different, however. Possible errors in a multiple-source, multiple-frequency environment are analyzed for an EFM consisting of an electrically short dipole antenna with a diode load and a radio-frequency (RF) filter transmission line. Also considered are errors in the assumption of equal electric and magnetic energy densities in a multiple plane-wave environment. Typical errors of field-intensity measurements are about one to 3 dB, but in some circumstances they can exceed 10 dB. ¬© Copyright ¬© 1985 by The Institute of Electrical and Electronics Engineers, Inc.</t>
  </si>
  <si>
    <t>60023053;60023053</t>
  </si>
  <si>
    <t>56277383900;35578175900</t>
  </si>
  <si>
    <t>Randa, J.;Kanda, Motohisa</t>
  </si>
  <si>
    <t>Gaithersburg</t>
  </si>
  <si>
    <t>National Institute of Standards and Technology</t>
  </si>
  <si>
    <t>Randa J.</t>
  </si>
  <si>
    <t>Multiple-Source, Multiple-Frequency Error of an Electric Field Meter</t>
  </si>
  <si>
    <t>10.1109/TAP.1985.1143461</t>
  </si>
  <si>
    <t>2-s2.0-0021786084</t>
  </si>
  <si>
    <t>['turns ).', 'suitably arranging', 'simple vehicle', 'produced independent', 'network model', 'fields behavior', 'electronics engineers', 'axis directions', 'antenna length', 'antenna ends']</t>
  </si>
  <si>
    <t>The helix is considered as a surface wave antenna. A network model of the infinite structure provides a simple vehicle to view the fields behavior. The far-field polarization properties are examined in detail, and it is shown how they depend on the surface wave structure and the open and feed end configurations. By suitably arranging the antenna ends, perfect endfire polarization purity can be produced independent of antenna length (i.e., number of turns). Inclusion of a dielectric core decreases the cross polarized radiation in off-axis directions. Theoretical and experimental patterns illustrate these results. ¬© Copyright ¬© 1985 by The Institute of Electrical and Electronics Engineers, Inc.</t>
  </si>
  <si>
    <t>60022134;60022134</t>
  </si>
  <si>
    <t>7201481830;7403571081</t>
  </si>
  <si>
    <t>Vaughan, Rodney G.;Andersen, J. Bach</t>
  </si>
  <si>
    <t>Denmark</t>
  </si>
  <si>
    <t>Aalborg</t>
  </si>
  <si>
    <t>Aalborg University</t>
  </si>
  <si>
    <t>Vaughan R.</t>
  </si>
  <si>
    <t>Polarization Properties of the Axial Mode Helix Antenna</t>
  </si>
  <si>
    <t>10.1109/TAP.1985.1143470</t>
  </si>
  <si>
    <t>2-s2.0-0021786085</t>
  </si>
  <si>
    <t>['type waves', 'treated analytically', 'transverse magnetic', 'transverse electric', 'several cases', 'radiation patterns', 'gyrotropic medium', 'gyroelectric guide', 'gyroelectric cylinder', 'field inside', 'electronics engineers', 'dyadic green', 'dipoles radiating', 'cylinder axis', 'arbitrary axis', 'anisotropy axis', 'anisotropic medium']</t>
  </si>
  <si>
    <t>The coupling of electromagnetic waves originating from a dipole to an infinite gyroelectric cylinder is treated analytically. The anisotropy axis of the gyrotropic medium is assumed to coincide with the cylinder axis. An electric dipole type primary excitation, with an arbitrary axis of orientation, is considered and the dyadic Green's function is derived for the gyroelectric cylinder. The field inside the anisotropic medium is expressed as a superposition of transverse magnetic (TM) and transverse electric (TE) type waves and a purely longitudinal wave. Excitation of guided modes along the gyroelectric guide and radiation patterns of dipoles radiating in the proximity of the gyroelectric cylinder are analyzed and computed for several cases. ¬© Copyright ¬© 1985 by The Institute of Electrical and Electronics Engineers, Inc.</t>
  </si>
  <si>
    <t>90-99</t>
  </si>
  <si>
    <t>;;60002947</t>
  </si>
  <si>
    <t>7102355233;7004017835;7003456399</t>
  </si>
  <si>
    <t>Uzunoglu, Nikolaos K.;Cottis, P. G.;Fikioris, John G.</t>
  </si>
  <si>
    <t>Greece</t>
  </si>
  <si>
    <t>Athens</t>
  </si>
  <si>
    <t>National Technical University of Athens</t>
  </si>
  <si>
    <t>Uzunoglu N.</t>
  </si>
  <si>
    <t>Excitation of Electromagnetic Waves in a Gyroelectric Cylinder</t>
  </si>
  <si>
    <t>10.1109/TAP.1985.1143471</t>
  </si>
  <si>
    <t>2-s2.0-0021786698</t>
  </si>
  <si>
    <t>['wiley company', 'widely used', 'tolerable level', 'spillover loss', 'satellite communication', 'relational equation', 'performance characteristics', 'inc .,', 'four reflectors', 'determined uniquely', 'design parameters', 'design method', 'design efficiency', 'design criteria', 'derived based', 'conical horn']</t>
  </si>
  <si>
    <t>We describe a design method for four‚Äêreflector type beam waveguide feeds composed of a conical horn and four reflectors which are widely used for the first‚Äêstage radiation system of earth station antennas in satellite communication. The relational equation between the design parameters is derived based on beam‚Äêmode expansion and we specify the independent design parameters. We derive the relation between the design parameters and such performance characteristics as spillover loss, cross‚Äêpolarization component and frequency. As design criteria (I) we minimize the cross‚Äêpolarization component on the condition of maintaining the spillover loss within a tolerable level, and (II) we minimize the spillover loss on the condition of maintaining the cross‚Äêpolarization component with a tolerable level. In determining the size of reflectors under prescribed mechanical constraints we establish that the design parameters governing the size of the conical horn and the shape of reflectors can be determined uniquely. Examples of application of this design method are presented to show the effect of the design parameters and to increase the design efficiency. Copyright ¬© 1985 Wiley Periodicals, Inc., A Wiley Company</t>
  </si>
  <si>
    <t>109-117</t>
  </si>
  <si>
    <t>Electronics and Communications in Japan (Part I: Communications)</t>
  </si>
  <si>
    <t>60101699;60101699;60101699</t>
  </si>
  <si>
    <t>57190924160;7004304668;7003628822</t>
  </si>
  <si>
    <t>Member, Shinichi Betsudan, Regular;Katagi, Takahashi;Urasaki, Shuji</t>
  </si>
  <si>
    <t>Tokyo</t>
  </si>
  <si>
    <t>Mitsubishi Electric Corporation</t>
  </si>
  <si>
    <t>Member S.</t>
  </si>
  <si>
    <t>Design method of four‚Äêreflector type beam waveguide feeds</t>
  </si>
  <si>
    <t>10.1002/ecja.4410680113</t>
  </si>
  <si>
    <t>2-s2.0-0021787029</t>
  </si>
  <si>
    <t>['¬© 1985', 'western canada', 'twta standardization', 'two separate', 'pyramidal horns', 'orbital locations', 'one spacecraft', 'main spacecraft', 'ground command', 'gain equalization', 'frequency reuse', 'feasibility study', 'dual feed', 'dbs spare', 'coverage efficiencies', 'cost effective', 'contiguous sets', 'bfn ).', '94 %.']</t>
  </si>
  <si>
    <t>Direct Broadcast Satellites covering large countries such as Canada, require more than one spacecraft, located at different orbital positions, as well as the use of multiple shaped beams. This would minimize eclipse requirements over several time zones, provide increased capacity by frequency reuse and permit the use of cost effective ground receivers. Two such satellites are envisaged, one covering Eastern Canada, the other Western Canada, using two different sets of three highly shaped beams. This paper is the result of a feasibility study of a satellite antenna designed such that while at either orbital location it can be reconfigured in orbit, by ground command and hence can save the cost of one additional spare spacecraft. An offset parabolic reflector is proposed for the 12 GHz downlink, with a switched "dual feed" structure, consisting of two separate but contiguous sets of pyramidal horns and their associated beam forming networks (BFN). Only one BFN set is used at any one orbital location. Detailed radiation patterns demonstrate good beamshaping capabilities, with coverage efficiencies of the order of 94%. Other considerations such as the effect of orbital locations, gain equalization and TWTA standardization are discussed. It is concluded that a satellite, reconfigurable in orbit with a "dual feed" antenna, is feasible and cost effective, for a DBS spare as well as for the main spacecraft. ¬© 1985.</t>
  </si>
  <si>
    <t>27-35</t>
  </si>
  <si>
    <t>Acta Astronautica</t>
  </si>
  <si>
    <t>100317072;100317072;100317072;100317072</t>
  </si>
  <si>
    <t>7005654269;24403617300;6505878483;7102386621</t>
  </si>
  <si>
    <t>Sultan, Nizar;(Tory) Payne, W. F.;Musclow, Ralph Richard;Bouchard, Marcel</t>
  </si>
  <si>
    <t>Ottawa</t>
  </si>
  <si>
    <t>Canadian Astronautics Ltd</t>
  </si>
  <si>
    <t>Sultan N.</t>
  </si>
  <si>
    <t>Reconfigurable dual feed antenna for direct broadcast satellites</t>
  </si>
  <si>
    <t>0094-5765(85)90004-9</t>
  </si>
  <si>
    <t>10.1016/0094-5765(85)90004-9</t>
  </si>
  <si>
    <t>2-s2.0-0021787085</t>
  </si>
  <si>
    <t>['¬© 1985', 'visible horizon', 'transionospheric propagation', 'solar flares', 'rights reserved', 'reduce coverage', 'received carrier', 'preliminary way', 'paper examines', 'p .,', 'orbit mass', 'numerical results', 'nighttime scintillation', 'nighttime coverage', 'minimum mass', 'higher frequencies', 'hf band', 'field strength', 'field pattern', 'fade depths', 'extend beyond', 'equatorial region', 'elevation angle', 'electrical characteristics', 'data taken', 'coverage area', 'conditions assumed', 'antenna parametrics', 'antenna diameter', 'absorption caused', '5 ¬∞', '40 percent', '390 œºv', '130 œºv', '1000 œºv']</t>
  </si>
  <si>
    <t>This paper examines in a preliminary way the technical factors associated with the use of the HF band for satellite sound broadcasting. Numerical results are presented for an example geostationary satellite system operating in the 26 MHz band. An analysis of the electrical characteristics and the far-field pattern of a whip antenna used on low-cost HF portable receivers is presented in order to connect receiver noise-limited sensitivity measurements and signal quality objectives with incident field strength requirements. It is shown that a minimum usable circularly polarized field strength of 390 ŒºV/m is required for an elevation angle of 5¬∞ in a noisy urban environment, decreasing to about 130 ŒºV/m above 15¬∞ elevation in a quiet rural area. A simplified satellite mass model is used to estimate the minimum mass of a satellite to provide a field strength of 1000 ŒºV/m at the edge of the coverage area. The optimum antenna size is determined as a function of the antenna parametrics, e.i.r.p., and frequency. For the conditions assumed, the spacecraft on-orbit mass will be on the order of 14 000‚Äì17 000 kg, and the antenna diameter will be about 600 m. The Appendix contains analyses showing that refraction, scintillation, and absorption caused by transionospheric propagation are the principal mechanisms degrading the received signal quality. An analysis using ray tracing techniques shows that refraction will reduce coverage to about 40 percent of the earth's disk during the daytime for periods when the smoothed sunspot number is 100. Nighttime coverage will; because of refraction, extend beyond the visible horizon. Nighttime scintillation in the equatorial region is expected to be severe. Based on an extrapolation of data taken at higher frequencies, the envelope of the received carrier will exhibit Rayleigh statistics with fade depths on the order of 10 dB occurring on the average of one every 10 s and lasting for about 1 s. Absorption of transionospheric signals occurs primarily in the D region of the ionosphere and amounts to a nominal 2 dB of loss. During periods of sudden ionospheric disturbances due to solar flares the absorptive losses may approach 40 dB. ¬© 1985, IEEE. All rights reserved.</t>
  </si>
  <si>
    <t>186-203</t>
  </si>
  <si>
    <t>60016296-100496959</t>
  </si>
  <si>
    <t>Miller, John E.</t>
  </si>
  <si>
    <t>Washington, D.C.;Landover</t>
  </si>
  <si>
    <t>National Aeronautics and Space Administration;ORI Inc</t>
  </si>
  <si>
    <t>60016296;100496959</t>
  </si>
  <si>
    <t>Miller J.</t>
  </si>
  <si>
    <t>HF Satellite Sound Broadcasting‚ÄîA Preliminary Assessment</t>
  </si>
  <si>
    <t>10.1109/JSAC.1985.1146179</t>
  </si>
  <si>
    <t>2-s2.0-0021787410</t>
  </si>
  <si>
    <t>['temporal variability', 'space department', 'sophisticated high', 'receive signals', 'radar antenna', 'latitude ionosphere', 'ionosphere system', 'goose bay', 'better understanding']</t>
  </si>
  <si>
    <t>During the past several years, a program of high-frequency radiowave studies of the high-latitude ionosphere has been developed in the Space Department of the Johns Hopkins University Applied Physics Laboratory. Studies are now being conducted on the formation and motion of high-latitude ionospheric electron density irregularities, using a sophisticated high-frequency radar system installed at Goose Bay, Labrador. The radar antenna is also being used to receive signals from a beacon transmitter located at Thule, Greenland. This information is providing a better understanding of the spatial and temporal variability of high-latitude propagation channels and their relationship to disturbances in the magnetosphere-ionosphere system.</t>
  </si>
  <si>
    <t>38-50</t>
  </si>
  <si>
    <t>Johns Hopkins APL Technical Digest (Applied Physics Laboratory)</t>
  </si>
  <si>
    <t>Greenwald, Raymond A.</t>
  </si>
  <si>
    <t>Baltimore</t>
  </si>
  <si>
    <t>Johns Hopkins University</t>
  </si>
  <si>
    <t>HIGH-FREQUENCY RADIOWAVE PROBING OF THE HIGH-LATITUDE IONOSPHERE.</t>
  </si>
  <si>
    <t>2-s2.0-0021816950</t>
  </si>
  <si>
    <t>['sps satellite', 'rf energy', 'rectifying antenna', 'rectenna ).', 'originally proposed', 'ground rectenna', 'ground receiving', 'geosynchronous sps', 'geosynchronous orbit', 'electricity costs', 'conversion losses', '7 gigawatts']</t>
  </si>
  <si>
    <t>The solar power satellite (SPS) concept was originally proposed as a geosynchronous orbiting system, supplying continuous power to a ground receiving/rectifying antenna (rectenna). The SPS satellite had a 1 km microwave antenna transmitting 6. 7 gigawatts (Gw) of rf energy to a ground rectenna. After conversion losses were considered, this system supplied approximately 5 Gw of power to a commercial utility grid at a cost of 46. 8 mills per kWH. The purpose of this paper is to compare the electricity costs of an optimized SPS system in geosynchronous orbit with an equivalent system based on the moon. The original cost model for the geosynchronous SPS will be modified to provide an equivalent lunar based system.</t>
  </si>
  <si>
    <t>39-52</t>
  </si>
  <si>
    <t>Space Solar Power Review</t>
  </si>
  <si>
    <t>60006711;60006711</t>
  </si>
  <si>
    <t>6602981953;7004987262</t>
  </si>
  <si>
    <t>Kerwin, E. M.;Arndt, G. D.</t>
  </si>
  <si>
    <t>Houston</t>
  </si>
  <si>
    <t>NASA Johnson Space Center</t>
  </si>
  <si>
    <t>Kerwin E.</t>
  </si>
  <si>
    <t>COST COMPARISONS OF SOLAR POWER SATELLITES VERSUS LUNAR BASED POWER SYSTEMS.</t>
  </si>
  <si>
    <t>2-s2.0-0021817371</t>
  </si>
  <si>
    <t>['¬© 1985', 'values chosen', 'three mechanisms', 'technical parameters', 'suitable values', 'satisfactory plan', 'satellite system', 'rights reserved', 'realizable set', 'quality objectives', 'presented along', 'polarized signals', 'obvious need', 'normally well', 'greatest control', 'feeder links', 'feeder link', 'discrimination resulting', 'discrimination due', 'discrimination derived', 'desirable objectives', 'corresponding objectives', 'combat interference', 'broadcasting satellite', 'associated transmitter', 'approaches used']</t>
  </si>
  <si>
    <t>A feeder link is the portion of a broadcasting-satellite system which provides the connection from the earth to the broadcasting satellite. Quality objectives for feeder links are normally well above the corresponding objectives for downlinks. The parameters which affect signal quality are examined. It is shown that the greatest control over the C/N ratio lies with the selection of suitable values for the diameter of the feeder link transmit antenna and the power of its associated transmitter. Three mechanisms are available to combat interference between feeder links: Discrimination resulting from the feeder link transmit antenna pattern, discrimination derived from the satellite receive antenna pattern, and discrimination due to the use of cross-polarized signals. The use of these mechanisms to create a workable feeder link plan is developed in the paper. There are a number of desirable objectives that can be established for a feeder link plan in addition to the obvious need to meet signal quality (C/N) and interference (C/I) requirements. A realizable set of objectives is presented along with the approaches used at the ITU Region 2 planning conference to create a satisfactory plan. The technical parameters which must be agreed on in order to develop a feeder link plan are summarized, and the values chosen for the Region 2 plan are presented. ¬© 1985, IEEE. All rights reserved.</t>
  </si>
  <si>
    <t>181-185</t>
  </si>
  <si>
    <t>Kiebler, John W.</t>
  </si>
  <si>
    <t>National Aeronautics and Space Administration</t>
  </si>
  <si>
    <t>Kiebler J.</t>
  </si>
  <si>
    <t>The Design and Planning of Feeder Links to Broadcasting Satellites</t>
  </si>
  <si>
    <t>10.1109/JSAC.1985.1146175</t>
  </si>
  <si>
    <t>2-s2.0-0021817612</t>
  </si>
  <si>
    <t>['numerical direction', 'noise ratio', 'model sea', 'form expressions', 'finding algorithm', 'errors associated', 'element antenna', 'electronics engineers', 'compact four', 'calculated angles', 'angle errors', 'algorithm consists']</t>
  </si>
  <si>
    <t>A compact four-element antenna, along with a numerical direction-finding algorithm, is analyzed using computer simulations that model sea-echo data obtained with an HF pulsed Doppler radar. The algorithm consists of closed-form expressions and is capable of deriving the angles-of-arrival for one or two signals impinging upon the antenna. Errors associated with the calculated angles are presented as a function of signal-to-noise ratio. In addition, it is demonstrated that preaveraging antenna voltages over independent data samples can decrease the angle errors and extend the range of the radar. Copyright ¬© 1984 by The Institute of Electrical and Electronics Engineers, Inc.</t>
  </si>
  <si>
    <t>18-24</t>
  </si>
  <si>
    <t>GE-23</t>
  </si>
  <si>
    <t>IEEE Transactions on Geoscience and Remote Sensing</t>
  </si>
  <si>
    <t>60027716;60008302;60027716</t>
  </si>
  <si>
    <t>57202313120;7102844779;7401436950</t>
  </si>
  <si>
    <t>Miller, Patricia A.;Lyons, Robin S.;Weber, Bob L.</t>
  </si>
  <si>
    <t>Washington, D.C.;Huntsville</t>
  </si>
  <si>
    <t>National Oceanic and Atmospheric Administration;U.S. Army Space and Missile Defense Command</t>
  </si>
  <si>
    <t>60027716;60008302</t>
  </si>
  <si>
    <t>Miller P.</t>
  </si>
  <si>
    <t>A Compact Direction-Finding Antenna for HF Remote Sensing</t>
  </si>
  <si>
    <t>10.1109/TGRS.1985.289496</t>
  </si>
  <si>
    <t>2-s2.0-0021818221</t>
  </si>
  <si>
    <t>['electronics engineers']</t>
  </si>
  <si>
    <t>A simple geometric derivation is given of the equation for designing an offset dual reflector antenna with perfect rotational symmetry and zero cross polarization. ¬© Copyright ¬© 1985 by The Institute of Electrical and Electronics Engineers, Inc.</t>
  </si>
  <si>
    <t>114-116</t>
  </si>
  <si>
    <t>Shore, Robert A.</t>
  </si>
  <si>
    <t>Hanscom AFB</t>
  </si>
  <si>
    <t>Shore R.</t>
  </si>
  <si>
    <t>A Simple Derivation of the Basic Design Equation for Offset Dual Reflector Antennas with Rotational Symmetry and Zero Cross Polarization</t>
  </si>
  <si>
    <t>10.1109/TAP.1985.1143475</t>
  </si>
  <si>
    <t>2-s2.0-0021819060</t>
  </si>
  <si>
    <t>['hybrid waves', 'grid placed', 'density plasma']</t>
  </si>
  <si>
    <t>The development of a highly unidirectional lower-hybrid wave source would improve the electron current drive efficiency in tokamaks. Lower-hybrid waves launched from a phased wave array are shown to be reflected from a grid placed in a cold, low-density plasma. The antenna-grid combination results in highly unidirectional lower-hybrid waves. ¬© 1985 American Institute of Physics.</t>
  </si>
  <si>
    <t>60007278;60007278;60007278;60007278</t>
  </si>
  <si>
    <t>8626327200;7202981912;57198120326;7101617278</t>
  </si>
  <si>
    <t>McWilliams, R.;Okubo, M.;Platt, R. C.;Sheehan, D. P.</t>
  </si>
  <si>
    <t>Irvine</t>
  </si>
  <si>
    <t>University of California, Irvine</t>
  </si>
  <si>
    <t>McWilliams R.</t>
  </si>
  <si>
    <t>The production of highly unidirectional lower-hybrid waves</t>
  </si>
  <si>
    <t>10.1063/1.865413</t>
  </si>
  <si>
    <t>2-s2.0-0021819143</t>
  </si>
  <si>
    <t>['traffic capacity', 'successive satellites', 'state design', 'six c', 'original series', 'operational network', 'modulation techniques', 'longer life', 'generation 24', 'first launch', 'deploying four', 'continuous incorporation', 'competitive reduction', 'channel spacecraft', 'channel demands', 'band satellites', 'art technology', 'americom introduced']</t>
  </si>
  <si>
    <t>Channel demands on the RCA American domestic satellite communications system have continued to increase rapidly since the first launch in 1975. After deploying four of the first-generation 24-channel spacecraft, Americom introduced an advanced, all-solid-state design in 1982, which has more than twice the traffic capacity of the original series. To supplement the operational network of six C-band satellites, K-band satellites will be introduced in 1985 to serve the small master antenna TV market. Accompanying the continuous incorporation of state-of-the-art technology into successive satellites to achieve increased traffic capacity and longer life, new terrestrial equipment and efficient signal processing/modulation techniques are being exploited to continue the competitive reduction of cost per satellite circuit per year.</t>
  </si>
  <si>
    <t>15-28</t>
  </si>
  <si>
    <t>RCA engineer</t>
  </si>
  <si>
    <t>60007716;60007716</t>
  </si>
  <si>
    <t>7202783429;6602371956</t>
  </si>
  <si>
    <t>Braun, Walter H.;Keigler, John E.</t>
  </si>
  <si>
    <t>Boulogne-Billancourt</t>
  </si>
  <si>
    <t>Thomson, SA</t>
  </si>
  <si>
    <t>Braun W.</t>
  </si>
  <si>
    <t>RCA COMMUNICATIONS SATELLITE NETWORKS.</t>
  </si>
  <si>
    <t>2-s2.0-0021820480</t>
  </si>
  <si>
    <t>['¬© 1985', 'two substrates', 'stripline feed', 'rights reserved', 'prototype aperture', 'one substrate', 'new technique', 'microstrip antenna', 'ground plane', 'fed antenna', 'electrical engineers', 'coupling mechanism']</t>
  </si>
  <si>
    <t>Antennas | Microstrip antennas</t>
  </si>
  <si>
    <t>A new technique for feeding printed antennas is described. A microstrip antenna on one substrate is coupled to a micro-stripline feed on another parallel substrate through an aperture in the ground plane which separates the two substrates. A simple theory explaining the coupling mechanism is presented, as well as measurements of a prototype aperture-fed antenna. ¬© 1985, The Institution of Electrical Engineers. All rights reserved.</t>
  </si>
  <si>
    <t>49-50</t>
  </si>
  <si>
    <t>Pozar, D. M.</t>
  </si>
  <si>
    <t>Microstrip Antenna Aperture-Coupled To A Microstripline</t>
  </si>
  <si>
    <t>10.1049/el:19850034</t>
  </si>
  <si>
    <t>2-s2.0-0021823799</t>
  </si>
  <si>
    <t>['used easily', 'tumor reduction', 'successfully used', 'satisfactory result', 'repeated experiments', 'rectal stenosis', 'monopolar antenna', 'laser coagulator', 'endoscopic surgery', 'electric output', 'digestive tract', 'coaxial cable', 'clearly distinguished', 'bleeding lesions', 'assures us', 'appropriate thickness', '59 patients']</t>
  </si>
  <si>
    <t>On the basis of the ample basic knowledge acquired by repeated experiments, we applied our microwave tissue coagulator in endoscopic surgery, in a total of 59 patients with benign and malignant lesions encountered during a period of two years beginning in July, 1981. Hemostasis was achieved in 96.5% of all the cases with bleeding lesions in the digestive tract. Stenosis was alleviated in 86% of the cases with esophageal or rectal stenosis. Furthermore, the technique was successfully used for hemostasis and tumor reduction in inoperable early cancer cases. Our device is unique in that the electrode is thrust into tissue, which assures us of a satisfactory result. In this point, it must be clearly distinguished from an electrocoagulator or a laser coagulator, which is associated with a risk of injuring intact tissue. The range of coagulation is adjustable by changing the length of the monopolar antenna and electric output, and by employing a coaxial cable of appropriate thickness. In conclusion, our microwave tissue coagulator can be used easily and safely in clinical endoscopic surgery.</t>
  </si>
  <si>
    <t>139-144</t>
  </si>
  <si>
    <t>0013726X</t>
  </si>
  <si>
    <t>Endoscopy</t>
  </si>
  <si>
    <t>60024116;60024116;60024116;;;;;;;</t>
  </si>
  <si>
    <t>7003718456;7006551578;35419810000;35395131800;57217585327;7103002868;6508020737;7406262379;35391343600;56223255300</t>
  </si>
  <si>
    <t>Tabuse, K.;Katsumi, M.;Nagai, Y.;Kobayashi, Y.;Noguchi, H.;Egawa, H.;Aoyama, O.;Mori, K.;Yamaue, H.;Azuma, Y.</t>
  </si>
  <si>
    <t>Wakayama</t>
  </si>
  <si>
    <t>Wakayama Medical University</t>
  </si>
  <si>
    <t>Tabuse K.</t>
  </si>
  <si>
    <t>Microwave tissue coagulation applied clinically in endoscopic surgery</t>
  </si>
  <si>
    <t>10.1055/s-2007-1018484</t>
  </si>
  <si>
    <t>2-s2.0-0021827908</t>
  </si>
  <si>
    <t>['strand spans', 'strand near', 'posterior deutocerebrum', 'pars intercerebralis', 'mechanical stimuli', 'head capsule', 'distal insertion', 'direct elongation', 'centripetal staining', 'central body', 'central arborizations', 'becomes stretched', 'basal segment']</t>
  </si>
  <si>
    <t>antenna | central projections | cobalt staining | locust | proprioceptors</t>
  </si>
  <si>
    <t>Staining deutocerebral nerves in locusts with cobalt chloride revealed a connective tisssue strand innervated by the first side branch of the nervus scapalis medialis. The strand spans the joint between the basal segment of the antenna (scapus) and the head capsule (tentorium), parallel to the levator scapi muscle. It is shortest with the antenna completely elevated and becomes stretched during depression. The four to five neurons innervating the strand near its distal insertion are activated by mechanical stimuli such as direct elongation of the strand or depression of the antenna. As revealed by centripetal staining these neurons have their central arborizations in the posterior deutocerebrum, but their perikarya are located in the protocerebrum, close to the pars intercerebralis and the central body. These morphological and physiological characteristics identify the structure as a mechanoreceptive sense organ of the strand receptor class. Copyright ¬© 1985 Alan R. Liss, Inc.</t>
  </si>
  <si>
    <t>234-240</t>
  </si>
  <si>
    <t>Journal of Comparative Neurology</t>
  </si>
  <si>
    <t>Br√§unig, P.</t>
  </si>
  <si>
    <t>Technical University of Munich</t>
  </si>
  <si>
    <t>Br√§unig P.</t>
  </si>
  <si>
    <t>Mechanoreceptive neurons in an insect brain</t>
  </si>
  <si>
    <t>10.1002/cne.902360207</t>
  </si>
  <si>
    <t>2-s2.0-0021828766</t>
  </si>
  <si>
    <t>['te0n excitation', 'radiation patterns', 'plasma beating', 'launching efficiency', 'good agreement', 'general case', 'experimental results', 'electronics engineers']</t>
  </si>
  <si>
    <t>Radiation patterns for the general case of TE0n excitation of Wengenroth's mode transducing antenna are derived. The antenna seems well suited for application as a launcher for electron cyclotron resonance heating (ECRH) plasma beating. Gain and launching efficiency are calculated. Very good agreement is found between predictions and experimental results for TE01 mode excitation. ¬© Copyright ¬© 1985 by The Institute of Electrical and Electronics Engineers, Inc.</t>
  </si>
  <si>
    <t>26-32</t>
  </si>
  <si>
    <t>;60032179</t>
  </si>
  <si>
    <t>56899357800;7202393720</t>
  </si>
  <si>
    <t>Yang, Hong Sheng;Beyer, James B.</t>
  </si>
  <si>
    <t>Madison</t>
  </si>
  <si>
    <t>University of Wisconsin-Madison</t>
  </si>
  <si>
    <t>Yang H.</t>
  </si>
  <si>
    <t>Radiation Patterns of a Mode Transducing Antenna</t>
  </si>
  <si>
    <t>10.1109/TAP.1985.1143469</t>
  </si>
  <si>
    <t>2-s2.0-0021831691</t>
  </si>
  <si>
    <t>['wiley company', 'wave polarization', 'spatial distribution', 'sar distribution', 'inc .,', 'body parts', 'average sar', 'aperture antennas', 'antenna position', 'antenna gain', '350 mhz']</t>
  </si>
  <si>
    <t>dosimetry | near‚Äêfield exposure | radiofrequency | SAR distribution</t>
  </si>
  <si>
    <t>The spatial distribution of the specific absorption rate (SAR) was measured in a full‚Äêscale model of man using implantable electric field probes. The model was exposed in the near‚Äêfield of linear and aperture antennas at 350 MHz. Effects of the wave polarization, antenna position and antenna gain on the SAR distribution and the average SAR in the whole‚Äêbody and body parts are reported. Copyright ¬© 1985 Wiley‚ÄêLiss, Inc., A Wiley Company</t>
  </si>
  <si>
    <t>115-129</t>
  </si>
  <si>
    <t>1521186X</t>
  </si>
  <si>
    <t>Bioelectromagnetics</t>
  </si>
  <si>
    <t>60028897;60028897;60028897;60028897;60028897</t>
  </si>
  <si>
    <t>56803516700;7006372477;7102344649;6602227823;7004285949</t>
  </si>
  <si>
    <t>Stuchly, Stanislaw S.;Kraszewski, Andrzej;Stuchly, Maria A.;Hartsgrove, George;Adamski, Daniel</t>
  </si>
  <si>
    <t>University of Ottawa</t>
  </si>
  <si>
    <t>Stuchly S.</t>
  </si>
  <si>
    <t>Energy deposition in a model of man in the near field</t>
  </si>
  <si>
    <t>10.1002/bem.2250060204</t>
  </si>
  <si>
    <t>2-s2.0-0021833111</t>
  </si>
  <si>
    <t>['used extensively', 'special cases', 'reflector antennas', 'polar patterns', 'numerically evaluating', 'numerical data', 'modified due', 'modal expansion', 'mesh surfaces', 'mesh configurations', 'mesh cells', 'many satellite', 'lmss ).', 'grid formulation', 'general formulas', 'electronics engineers', 'constructed using', 'bessel expansion', 'aperture modeling']</t>
  </si>
  <si>
    <t>Reflector antennas with mesh surfaces are used extensively in many satellite and ground antenna systems. A strip-aperture modeling of commonly used mesh surfaces is presented which provides considerable versatility in characterizing the mesh cells. The mesh transmission coefficients are constructed using a Floquet-modal expansion in conjuction with two dominant aperture modes. To account for the mesh local coordinates, the Eulerian angle transformation is invoked to obtain the total induced current on the curved reflector surface. General formulas are presented to show how the solid surface induced current is modified due to the transmission through the mesh. The effects of a variety of mesh configurations on both the co-polar and cross-polar patterns of reflector antennas are studied by numerically evaluating the vector diffraction integral using the Jacobi-Bessel expansion. For some special cases, a comparison is made with the results of the commonly used wire-grid formulation. Many of the numerical data are tailored to the dimensions of a conceptually designed mesh deployable offset reflector of the land mobile satellite system (LMSS). ¬© Copyright ¬© 1985 by The Institute of Electrical and Electronics Engineers, Inc.</t>
  </si>
  <si>
    <t>76-90</t>
  </si>
  <si>
    <t>60009037;60000745</t>
  </si>
  <si>
    <t>7102110120;7601396617</t>
  </si>
  <si>
    <t>Rahmat-Samii, Yahya;Lee, Shung Wu</t>
  </si>
  <si>
    <t>Pasadena;Urbana</t>
  </si>
  <si>
    <t>Jet Propulsion Laboratory;University of Illinois Urbana-Champaign</t>
  </si>
  <si>
    <t>Rahmat-Samii Y.</t>
  </si>
  <si>
    <t>Vector Diffraction Analysis of Reflector Antennas with Mesh Surfaces</t>
  </si>
  <si>
    <t>10.1109/TAP.1985.1143477</t>
  </si>
  <si>
    <t>2-s2.0-0021834175</t>
  </si>
  <si>
    <t>Schweizerischer Nationalfonds zur F√∂rderung der Wissenschaftlichen Forschung</t>
  </si>
  <si>
    <t>3.286-0.82</t>
  </si>
  <si>
    <t>SNF</t>
  </si>
  <si>
    <t>['œ ≥', 'œ ≤', 'œ ±', '¬© 1985', 'whole cells', 'transmembrane arrangement', 'thylakoid membranes', 'thylakoid membrane', 'sequence homology', 'sequence analysis', 'second polypeptide', 'rhodospirillum rubmm', 'rhodopseudomonas viridis', 'residue ).', 'regular arrays', 'purple bacteria', 'primary structures', 'particular feature', 'named b1015', 'molar ratio', 'hydrophathy profiles', 'high hydrophobicity', 'high amount', 'harvesting complexes', 'equivalent polypeptide', 'consequently termed', 'carboxypeptidase degradation', 'additional constituent', 'acid polypeptide', '58 amino', '52 %.', '36 amino']</t>
  </si>
  <si>
    <t>amino-acid sequence | Bacterial photosynthesis | light-harvesting pigment-protein complex | light-harvesting polypeptide | Rhodopseudomonas viridis</t>
  </si>
  <si>
    <t>Three low molecular mass polypeptides have been isolated by using the technique of organic solvent extraction of thylakoid membranes or whole cells from Rhodopseudomonas viridis. Their primary structures were determined by long liquid phase sequencer runs, combined with the isolation and sequence analysis of the C-terminal o-iodosobenzoic acid fragment and carboxypeptidase degradation. The polypeptide which consists of 58 amino-acids and is 46% homologous to the antenna polypeptide B880-Œ± from Rhodospirillum rubmm was designated as B1015-Œ± (1 His residue). The sequence homology between the second polypeptide, named B1015-Œ≤ (55 amino acids, 2 His residues) and B880-Œ≤ from Rs. rubrum is 52%. For the third polypeptide consisting of 36 amino acids and exhibiting a high hydrophobicity, no equivalent polypeptide has so far been found in other purple bacteria. The molar ratio of these three organic solvent soluble polypeptides from Rp. viridis was estimated to be 1: 1: 1. Acording-ly, the 36 amino-acid polypeptide is likely to be an additional constituent of the light-harvesting complex B1015, consequently termed as B1015 -Œ≥-According to hydrophathy profiles, the transmembrane arrangement of B1015-Œ± and B1015-√ü within the thylakoid membrane is supposed to be similar. B1015-Œ≥, however, shows a somewhat different hydropathy profile. A particular feature of this polypeptide is its high amount of aromatic amino acids. It is postulated that B1015-Œ≥ is involved in the formation of regular arrays of light-harvesting complexes. ¬© 1985 by Walter de Gruyter &amp; Co.</t>
  </si>
  <si>
    <t>87-98</t>
  </si>
  <si>
    <t>Biological Chemistry Hoppe-Seyler</t>
  </si>
  <si>
    <t>60025858;60025858;60025858;60025858</t>
  </si>
  <si>
    <t>6603669964;7003737832;7006674721;7006345218</t>
  </si>
  <si>
    <t>Brunisholz, Ren√© A.;Jay, Frances;Suter, Franz;Zuber, Herbert</t>
  </si>
  <si>
    <t>Switzerland</t>
  </si>
  <si>
    <t>Zurich ZH,</t>
  </si>
  <si>
    <t>ETH Zurich</t>
  </si>
  <si>
    <t>Brunisholz R.</t>
  </si>
  <si>
    <t>The Light-Harvesting Polypeptides of Rhodopseudomonas Viridis the Complete Amino-Acid Sequences of b1015-Œ±, b1015-Œ≤ and b1015-Œ≥</t>
  </si>
  <si>
    <t>10.1515/bchm3.1985.366.1.87</t>
  </si>
  <si>
    <t>2-s2.0-0021838137</t>
  </si>
  <si>
    <t>['theoretical results', 'state performance', 'simulation results', 'separate receiver', 'perturbation amplitude', 'one input', 'electronics engineers', 'adpative antenna', 'adaptively changing', 'adaptive element']</t>
  </si>
  <si>
    <t>Single port adaptive algorithms have been proposed to circumvent the need to implement a separate receiver for each adaptive element in an adpative antenna. In this paper, transient and steady-state performance of a bounded single port perturbation algorithm is obtained and compared with that of the least mean square (LMS) algorithm. Results are developed both with and without a hardlimiter on one input to the correlator. Techniques for adaptively changing both the algorithm step size and perturbation amplitude are given. Simulation results are presented and compared with theoretical results. ¬© Copyright ¬© 1985 by The Institute of Electrical and Electronics Engineers, Inc.</t>
  </si>
  <si>
    <t>56-63</t>
  </si>
  <si>
    <t>60027165;60028654</t>
  </si>
  <si>
    <t>57191195123;56291559200</t>
  </si>
  <si>
    <t>Farden, David C.;Davis, Richard M.</t>
  </si>
  <si>
    <t>Syracuse;Rochester</t>
  </si>
  <si>
    <t>SRC, Inc.;University of Rochester</t>
  </si>
  <si>
    <t>60028654;60027165</t>
  </si>
  <si>
    <t>Farden D.C.</t>
  </si>
  <si>
    <t>Orthogonal Weight Perturbation Algorithms in Partially Adaptive Arrays</t>
  </si>
  <si>
    <t>10.1109/TAP.1985.1143467</t>
  </si>
  <si>
    <t>2-s2.0-0021850306</t>
  </si>
  <si>
    <t>['¬© 1985', 'short explanation', 'rights reserved', 'radiometric method', 'microstrip arrays', 'measurement system', 'loss horn', 'letter includes', 'electrical engineers']</t>
  </si>
  <si>
    <t>Antennas | Measurement | Radiometry</t>
  </si>
  <si>
    <t>A radiometric method for measuring the efficiency of antennas with respect to a low-loss horn is presented. The letter includes a short explanation of the principle, a description of the measurement system and experimental results related to microstrip arrays. ¬© 1985, The Institution of Electrical Engineers. All rights reserved.</t>
  </si>
  <si>
    <t>111-112</t>
  </si>
  <si>
    <t>60017563;60017563;60017563</t>
  </si>
  <si>
    <t>57225229400;7202294701;7004481850</t>
  </si>
  <si>
    <t>Ashkenazy, J.;Levine, E.;Treves, D.</t>
  </si>
  <si>
    <t>Israel</t>
  </si>
  <si>
    <t>Rehovot</t>
  </si>
  <si>
    <t>Weizmann Institute of Science Israel</t>
  </si>
  <si>
    <t>Ashkenazy J.</t>
  </si>
  <si>
    <t>Radiometric Measurement Of Antenna Efficiency</t>
  </si>
  <si>
    <t>10.1049/el:19850077</t>
  </si>
  <si>
    <t>2-s2.0-0021850479</t>
  </si>
  <si>
    <t>['vacuum tubes', 'spectrum space', 'rf circuits', 'relatively reliable', 'modulation schemes', 'model operation', 'model airplanes', 'mechanical integrity', 'made inexpensive', 'circuit components', 'automobiles near']</t>
  </si>
  <si>
    <t>Engineers and experimentalists began building radio control systems for model airplanes, boats, and automobiles near the end of the vacuum tube radio era. Early designs used primitive transistors for low frequency functions, but depended on vacuum tubes for rf circuits. Consumer popularity came when the whole system could be transistorized and made inexpensive and relatively reliable. Today, spectrum space is reserved by the FCC for model operation. The modulation schemes, however, remain relatively simple, the antenna configurations tenuous, the battery charge levels uncertain, and the mechanical integrity of all circuit components (operated in an environment of high engine vibration levels and 'hard' landings) suspect.</t>
  </si>
  <si>
    <t>58-63</t>
  </si>
  <si>
    <t>Henderson, John G.N.</t>
  </si>
  <si>
    <t>Henderson J.</t>
  </si>
  <si>
    <t>RADIO-CONTROLLED MODELS RELY ON SIMPLE COMMUNICATIONS SYSTEMS.</t>
  </si>
  <si>
    <t>2-s2.0-0021851054</t>
  </si>
  <si>
    <t>['western hemisphere', 'special technologies', 'satellite service', 'pipe radiators', 'paper surveys', 'output multiplexers', 'lightweight high', 'beam antennas', 'band 12', '7 ghz']</t>
  </si>
  <si>
    <t>This paper surveys the special technologies for presently conceived direct broadcast satellite (DBS) projects using high RF power in the band 12.2-12.7 GHz, allocated to the broadcasting-satellite service in the western hemisphere. The technologies include launch vehicles, shaped-beam antennas, traveling wave tubes (TWTs), electronic power conditioners (EPC's) for TWTs, lightweight high-power solar arrays, heat-pipe radiators, and output multiplexers. It is concluded that the technology is available, and only detailed engineering development and testing is required for construction. ¬©1985 IEEE</t>
  </si>
  <si>
    <t>111-125</t>
  </si>
  <si>
    <t>60025209-100541601</t>
  </si>
  <si>
    <t>Cohen, Herbert D.</t>
  </si>
  <si>
    <t>United States;France</t>
  </si>
  <si>
    <t>Los Angeles;Toulouse</t>
  </si>
  <si>
    <t>Northrop Grumman corporation;S. A. MATRA</t>
  </si>
  <si>
    <t>60025209;100541601</t>
  </si>
  <si>
    <t>Cohen H.D.</t>
  </si>
  <si>
    <t>Spacecraft Technology for Broadcasting Satellites‚ÄîAn Update</t>
  </si>
  <si>
    <t>10.1109/JSAC.1985.1146162</t>
  </si>
  <si>
    <t>2-s2.0-0021851075</t>
  </si>
  <si>
    <t>['typical payload', 'structural deformations', 'rigidly attached', 'rights reserved', 'presented shortly', 'pointing performances', 'mechanical decoupling', 'inc .,', 'associated control', 'antenna orientation', '05 deg']</t>
  </si>
  <si>
    <t>Most of the geostationary satellites already developed operate antenna pointing through fine orientation measurement and control of the satellite main body to which each antenna is rigidly attached. The main body orientation is measured by means of infrared Earth observation. Increasing antenna size and power and, sometimes, political constraints enhance the benefit of very accurate antenna pointing (0.05 deg, 3 or at antenna electrical axis level). This typically implies direct measurement of antenna orientation through the use of radio-frequency sensors incorporated in each antenna, mechanical decoupling between antennae to allow for compensation of structural deformations, and mechanical decoupling between each antenna and the satellite main body through the use of antenna pointing mechanisms to allow for high antenna control bandwidth. Concepts of antenna pointing mechanism and associated control for such satellites are presented shortly. Pointing performances of attitude control concepts alternatives are shown for a typical payload. ¬© 1985 American Institute of Aeronautics and Astronautics, Inc., All rights reserved.</t>
  </si>
  <si>
    <t>71-77</t>
  </si>
  <si>
    <t>Journal of Guidance, Control, and Dynamics</t>
  </si>
  <si>
    <t>106793573-117815478;106793573-113570772;106793573-113570772</t>
  </si>
  <si>
    <t>6506367647;6603339223;7003685497</t>
  </si>
  <si>
    <t>Broquet, J.;Claudinon, B.;Bousquet, A.</t>
  </si>
  <si>
    <t>United States;France;France</t>
  </si>
  <si>
    <t>;Gennevilliers;Toulouse</t>
  </si>
  <si>
    <t>Advanced Studies Department;Advanced Studies Department;Matra Space Branch</t>
  </si>
  <si>
    <t>117815478;113570772;106793573</t>
  </si>
  <si>
    <t>Broquet J.</t>
  </si>
  <si>
    <t>Antenna pointing systems for large communications satellites</t>
  </si>
  <si>
    <t>10.2514/3.19937</t>
  </si>
  <si>
    <t>2-s2.0-0021851518</t>
  </si>
  <si>
    <t>['two conductors', 'ridged waveguide', 'ridge extensions', 'radiation pattern', 'poor vswr', 'patterns caused', 'microwave absorber', 'measured vswr', 'maximum separation', 'gain data', 'exponentially extending', 'broadband antenna', 'aperture matching']</t>
  </si>
  <si>
    <t>A description is given of a novel balanced transmission line antenna where the maximum separation between the two conductors is only a fraction of a wavelength at the lowest operating frequency. The balanced transmission line is formed by exponentially extending the ridges of a double-ridged waveguide. The poor VSWR and patterns caused by reflections from the tips of the ridge extensions are improved by a combination of aperture matching and the use of microwave absorber. Measured VSWR, radiation pattern and gain data are presented for this compact, broadband antenna over the 2 to 11 GHz frequency range.</t>
  </si>
  <si>
    <t>28-32</t>
  </si>
  <si>
    <t>Transactions of the South African Institute of Electrical Engineers</t>
  </si>
  <si>
    <t>60013272;60013272</t>
  </si>
  <si>
    <t>7404140488;6602778055</t>
  </si>
  <si>
    <t>Baker, D. E.;van der Neut, C. A.</t>
  </si>
  <si>
    <t>South Africa</t>
  </si>
  <si>
    <t>Pretoria</t>
  </si>
  <si>
    <t>The Council for Scientific and Industrial Research</t>
  </si>
  <si>
    <t>Baker D.</t>
  </si>
  <si>
    <t>COMPACT, APERTURE-MATCHED, BALANCED TRANSMISSION LINE ANTENNA.</t>
  </si>
  <si>
    <t>2-s2.0-0021852825</t>
  </si>
  <si>
    <t>['¬© 1985', 'rights reserved', 'primary pattern', 'field scattered', 'field region', 'electrical engineers']</t>
  </si>
  <si>
    <t>Antennas | Scattering</t>
  </si>
  <si>
    <t>A method is proposed for the computation of the field scattered from a dichroic plate placed in the near-field region of the feeds. The primary pattern of the feed and dichroic plate assembly has been computed. ¬© 1985, The Institution of Electrical Engineers. All rights reserved.</t>
  </si>
  <si>
    <t>100-101</t>
  </si>
  <si>
    <t>60012162;60012162;60012162</t>
  </si>
  <si>
    <t>7003971368;7004085807;7003795630</t>
  </si>
  <si>
    <t>Orta, R.;Tascone, R.;Zich, R.</t>
  </si>
  <si>
    <t>Turin</t>
  </si>
  <si>
    <t>Politecnico di Torino</t>
  </si>
  <si>
    <t>Orta R.</t>
  </si>
  <si>
    <t>Scattering From Finite Extent Frequency Selective Surfaces Illuminated By Arbitrary Sources</t>
  </si>
  <si>
    <t>10.1049/el:19850069</t>
  </si>
  <si>
    <t>2-s2.0-0021855759</t>
  </si>
  <si>
    <t>['total rate', 'theloop circumference', 'sample results', 'resulting integro', 'radiation zone', 'placed opposite', 'incident wave', 'explicit expression', 'energy flux', 'electronics engineers', 'differential equation', 'current excited', 'conducting screen', 'circular loop', 'angular dependence', 'also calculated']</t>
  </si>
  <si>
    <t>The problem of determining the current excited on a circular loop which is placed opposite a small circular aperture in a conducting screen, on which an electromagnetic plane wave is incident, is considered. It is shown that this geometry is unusual in that the resulting integro-differential equation can be reduced to an explicit expression for the current. The total rate of electromagnetic energy flow in the radiation zone is also calculated, as is the angular dependence of the energy flux. Sample results are presented which demonstratethe resonant behavior of the system when the wavelength of the incident wave is equal to theloop circumference. ¬© Copyright ¬© 1985 by The Institute of Electrical and Electronics Engineers, Inc.</t>
  </si>
  <si>
    <t>101-106</t>
  </si>
  <si>
    <t>;60028915</t>
  </si>
  <si>
    <t>7801455113;7004164561</t>
  </si>
  <si>
    <t>Yatom, Haim;Ruppin, Raphael</t>
  </si>
  <si>
    <t>Beer Sheba</t>
  </si>
  <si>
    <t>Nuclear Research Center-Negev</t>
  </si>
  <si>
    <t>Yatom H.</t>
  </si>
  <si>
    <t>Excitation of a Circular Loop Through a Small Aperture</t>
  </si>
  <si>
    <t>10.1109/TAP.1985.1143472</t>
  </si>
  <si>
    <t>2-s2.0-0021855778</t>
  </si>
  <si>
    <t>['two dielectrics', 'transmission characteristics', 'scattered field', 'resonant frequency', 'reflecting antenna', 'predicted results', 'plane wave', 'parametric variations', 'numerical results', 'moment method', 'modal coefficients', 'infinite dielectric', 'grid geometry', 'grid elements', 'general formulation', 'general angle', 'floquet modes', 'dielectric sheet', 'current expansion', 'boundary interface']</t>
  </si>
  <si>
    <t>The scattering of a plane wave from a periodic broken‚Äêwire grid buried in a dielectric sheet is studied for a general angle of incidence and for arbitrary linear polarization. The scattered field is expanded in a set of Floquet modes, and the modal coefficients are obtained through the current expansion for a reflecting antenna. The general formulation of the problem is applicable for grids in an infinite dielectric and when located at the boundary interface of two dielectrics. A moment method is used to determine the current on the grid elements and numerical results for the transmission characteristics of several different grid configurations are presented. In addition, the effect on the resonant frequency of parametric variations in the grid geometry is determined. Predicted results are compared with measured transmission characteristics and show excellent agreement. Published in 1985 by the American Geophysical Union.</t>
  </si>
  <si>
    <t>50-62</t>
  </si>
  <si>
    <t>;</t>
  </si>
  <si>
    <t>7402209437;6604077195</t>
  </si>
  <si>
    <t>Gallagher, J. G.;Brammer, D. J.</t>
  </si>
  <si>
    <t>Gallagher J.</t>
  </si>
  <si>
    <t>Scattering from an infinite array of periodic broken wires buried in a dielectric sheet</t>
  </si>
  <si>
    <t>10.1029/RS020i001p00050</t>
  </si>
  <si>
    <t>2-s2.0-0021857163</t>
  </si>
  <si>
    <t>['purple bacteria', 'protein complexes', 'probably greater', 'much smaller', 'jumps needed', 'harvesting pigment', 'excitation migration', 'elementary units', 'different structure', 'antenna molecules', 'antenna complexes']</t>
  </si>
  <si>
    <t>Assuming the localized energy transfer model for the excitation migration in the antenna of purple bacteria, we have calculated the number of jumps needed for the energy to be trapped, for different structure of the antenna. These computations were done for the Rhodopseudomonas spheroides strain which contains two spectral forms of antenna complexes, and for Rhodospirillum rubrum whose antenna is homogeneous. To correlate our results with the measured fluorescence lifetimes of these bacteria, it is necessary to assume that the number of elementary units, as regards the energy transfer processes, is much smaller than the number of antenna molecules or the number of the supposed minimal antenna-protein complexes. This implies that the elementary antenna unit, as regards the energy transfer mechanism, is probably greater than the currently proposed mininmal size of the light-harvesting pigment-protein complexes.</t>
  </si>
  <si>
    <t>167-175</t>
  </si>
  <si>
    <t>Photobiochemistry and Photobiophysics</t>
  </si>
  <si>
    <t>60008134;60008134</t>
  </si>
  <si>
    <t>7004140450;24494192500</t>
  </si>
  <si>
    <t>Sebban, P.;Barbet, J. C.</t>
  </si>
  <si>
    <t>Paris</t>
  </si>
  <si>
    <t>CNRS Centre National de la Recherche Scientifique</t>
  </si>
  <si>
    <t>Sebban P.</t>
  </si>
  <si>
    <t>Simulation of the energy migration in the antenna of purple bacteria by using the Monte Carlo method</t>
  </si>
  <si>
    <t>2-s2.0-0021858065</t>
  </si>
  <si>
    <t>['¬© 1985', 'using foil', 'urban environments', 'urban areas', 'trees increases', 'technical characteristics', 'signals would', 'sight path', 'serve low', 'second session', 'rural areas', 'rights reserved', 'received using', 'quality portable', 'quality monophonic', 'primarily affected', 'predominant source', 'paper presents', 'multipath fading', 'link margins', 'large buildings', 'geostationary satellite', 'foregoing considerations', 'first session', 'cost portable', 'cost consumer', 'backed insulation', 'automobile reception', 'automobile receivers', '90 probability', '90 percent', '8 db', '79 dbw', '17 db', '15 db']</t>
  </si>
  <si>
    <t>This paper presents the technical factors affecting the design of a geostationary satellite sound broadcasting system operating around 1 GHz to serve low-cost consumer-quality portable and automobile receivers. The technical characteristics for such a system are under study in a number of countries in preparation for the 1985/1988 ITU Space Services Planning Conference. The first session will make appropriate recommendations to the second session on the future regulatory provisions for the service. A medium-quality monophonic or stereophonic service would be provided using frequency modulation. Signals would be received using a simple circularly polarized omnidirectional antenna. Link margins to serve indoor portable receivers and automobile receivers in rural and urban areas are discussed. Building penetration loss for single family dwellings is expected to be about 11.8 dB in 90 percent of the houses not using foil-backed insulation or shadowed by trees, increasing to over 17 dB with foil-backed insulation. Shadowing by trees increases the loss by 12‚Äì15 dB. Apartment and commercial building penetration loss is expected to approach 20 dB. Automobile reception in rural areas will be primarily affected by foliage attenuation due to trees. At a 30¬∞ elevation angle, an attenuation of about 15 dB with probability of 0.90 is expected. In situations where the line-of-sight path is unobstructed, multipath fading of 2.8 dB at 0.90 probability is the predominant source of degradation. Automobile reception in urban areas requires operating margins of 24‚Äì30 dB because of shadowing and multipath by large buildings. Based on the foregoing considerations, an e.i.r.p. from 66 to 79 dBW is required from a geostationary satellite to serve low-cost portable and automobile receivers in rural and urban environments. ¬© 1985, IEEE. All rights reserved.</t>
  </si>
  <si>
    <t>204-210</t>
  </si>
  <si>
    <t>Satellite Sound Broadcasting Around 1 GHz</t>
  </si>
  <si>
    <t>10.1109/JSAC.1985.1146180</t>
  </si>
  <si>
    <t>2-s2.0-0021860175</t>
  </si>
  <si>
    <t>['scattering properties', 'point matching', 'numerical data', 'infinite length', 'free space', 'forced wave', 'electronics engineers', 'dielectric region']</t>
  </si>
  <si>
    <t>A plane wave incident on a thin dielectric strip with infinite length is considered, letting the incident electric field vector be parallel with the edges of the strip. The field is expanded in the dielectric region as the snm of three plane waves (the forced wave and two surface waves). The x-axis and y-axis propagation constants are known for each wave, and Galerkin's method is employed to determine the amplitudes of these waves. Finally, the far-zone scattered field is determined by considering the polarization currents radiating in free space. Numerical data are presented to illustrate the scattering properties of lossless and lossy dielectric strips as a function of the angle of incidence and the width of the strip. The calculations show excellent agreement with an earlier moment method using pulse bases and point matching. ¬© Copyright ¬© 1985 by The Institute of Electrical and Electronics Engineers, Inc.</t>
  </si>
  <si>
    <t>64-68</t>
  </si>
  <si>
    <t>Richmond, Jack H.</t>
  </si>
  <si>
    <t>Columbus</t>
  </si>
  <si>
    <t>The Ohio State University</t>
  </si>
  <si>
    <t>Richmond J.</t>
  </si>
  <si>
    <t>Scattering by Thin Dielectric Strips</t>
  </si>
  <si>
    <t>10.1109/TAP.1985.1143479</t>
  </si>
  <si>
    <t>2-s2.0-0021860389</t>
  </si>
  <si>
    <t>['two categories', 'interference sources', 'indoor unit', 'indoor equipment', 'analysis show', 'acceptable degree']</t>
  </si>
  <si>
    <t>Potential interference sources into direct broadcast satellite (DBS) home receiving equipment and the means of reducing the effects are discussed in this paper. Interference sources are divided into two categories: Those that enter at the receiving antenna microwave equipment, and those that enter at the indoor unit or at the coaxial cable connecting the antenna to indoor equipment. The results of the analysis show that good design practice will control this kind of interference to an acceptable degree. Recommendations to reduce the interference are given. ¬© 1985 IEEE</t>
  </si>
  <si>
    <t>155-166</t>
  </si>
  <si>
    <t>Morris, Frederick W.</t>
  </si>
  <si>
    <t>Morris F.</t>
  </si>
  <si>
    <t>Potential Interference from Terrestrial Sources into Direct Broadcast Satellite Home Receiving Systems</t>
  </si>
  <si>
    <t>10.1109/JSAC.1985.1146172</t>
  </si>
  <si>
    <t>2-s2.0-0021860456</t>
  </si>
  <si>
    <t>['united states', 'three types', 'space segment', 'satellite service', 'provide high', 'programming quality', 'prerecorded cassettes', 'power1 14', 'picture quality', 'least cost', 'home terminal', 'frequency bands', 'earliest service', 'diameter range', 'desirable end', 'dbs ),', 'continued competition', 'challenging perspective', 'best means', 'best choice', '600000 viewers', '60 cm']</t>
  </si>
  <si>
    <t>Three types of direct-to-home broadcast satellite (DBS), or DBS-like,‚Äô‚Äô services are currently being developed or used in the United States. The earliest service to be used depends upon low-power1 5‚Äì10 W 6/4 GHz2 satellite transponders, which operate in the fixed-satellite service (FSS) to provide predominantly unscrambled TV programs to cable head ends and other local terrestrial distribution systems. Some 600000 viewers are using individual 3 m ‚Äúdishes‚Äù to eavesdrop on scores of ‚Äúfree‚Äù channels. The second DBS service to begin operation uses dedicated medium-power1 14/11 GHz FSS transponders, which provide subscription service to some 10000 home terminals equipped with antennas in the 1‚Äì2 m diameter range. Finally, the high-power DBS service, which is under active development using the 17/12 GHz broadcasting-satellite service (BSS) band, can provide high-quality television pictures from dedicated 200 W satellite transponders to inexpensive home terminal antennas as small as 60 cm. Which service‚Äîlow-, medium-, or high-power‚Äîis best? The home terminal equipment cost decreases as the transponder power increases, for the same picture quality and area of coverage. However, more varied and less costly programming is available now in the 6/4 GHz band than in the higher-frequency bands. From the viewer's perspective, continued competition between these services, and with other home video delivery services such as CATV and prerecorded cassettes, should provide the best choice of programming at the least cost. From the more challenging perspective of the DBS system operator, the best means to this desirable end will depend on the number of viewers, on the programming quality, cost, and availability to the operator, on the cost of the space segment, and on the obstrusiveness and cost of the home terminal. ¬©1985 IEEE</t>
  </si>
  <si>
    <t>219-223</t>
  </si>
  <si>
    <t>Clark, John F.</t>
  </si>
  <si>
    <t>Clark J.</t>
  </si>
  <si>
    <t>DBS Television Systems Under Development in the United States of America</t>
  </si>
  <si>
    <t>10.1109/JSAC.1985.1146178</t>
  </si>
  <si>
    <t>2-s2.0-0021860457</t>
  </si>
  <si>
    <t>['simple termination', 'measured performance', 'matching section', 'low vswr', 'improved performance', 'impedance match', 'helix turns', 'free end', 'first turn', 'conductor diameter', 'briefly reviewed', 'also presented', '50 omega']</t>
  </si>
  <si>
    <t>A description is given of the measured performance of an impedance matching section incorporated into the first turn of a peripherally fed helical antenna to transform its impedance to 50 OMEGA . The design of the matching section is briefly reviewed. The measured results show that very low VSWR (1. 2:1) can be achieved over the usable frequency range of the antenna. In addition to showing the basic impedance matching performance, results are also presented to illustrate the effect of the number of helix turns and of the conductor diameter on the impedance match. Antenna pattern data show that improved performance can be achieved by a simple termination at the free end of the helix.</t>
  </si>
  <si>
    <t>33-38</t>
  </si>
  <si>
    <t>Baker, D. E.</t>
  </si>
  <si>
    <t>MEASURED PERFORMANCE OF A BROADBAND MATCHING SECTION FOR PERIPHERALLY FED HELICAL ANTENNAS.</t>
  </si>
  <si>
    <t>2-s2.0-0021860541</t>
  </si>
  <si>
    <t>['specific example', 'small fraction', 'rib antenna', 'pointing accuracy', 'pde model', 'lockheed wrap', 'generic type', 'excellent agreement', 'dynamic characteristics', 'convenient method', 'computatonal requirements', 'antenna signal', 'antenna determine']</t>
  </si>
  <si>
    <t>The Lockheed wrap-rib antenna is one of several designs currently being considered for a variety of Earth-orbiting communications applications. The dynamic characteristics of this generic type of antenna determine the pointing accuracy and the limiting radio frequency (rf) quality of the antenna signal. In this paper, a continuum (partial differential equation or pde) model is developed for the flexible, wrap-rib antenna. The pde model provides a convenient method for obtaining a concisely written representation of the motions of the antenna, a mechanism for gaining physical insight into its dynamics, and a method for performing parametric studies of the antenna. When this pde modeling technique is applied to a specific example, excellent agreement between the pde model and a high-order finite element model is obtained, and with only a small fraction of the modeling and computatonal requirements of finite element methods.</t>
  </si>
  <si>
    <t>Journal of the Astronautical Sciences</t>
  </si>
  <si>
    <t>Schaechter, David B.</t>
  </si>
  <si>
    <t>Bethesda</t>
  </si>
  <si>
    <t>Lockheed Martin Corporation</t>
  </si>
  <si>
    <t>Schaechter D.</t>
  </si>
  <si>
    <t>FREE VIBRATION CONTINUUM MODEL FOR A FLEXIBLE, WRAP-RIB ANTENNA.</t>
  </si>
  <si>
    <t>2-s2.0-0021862185</t>
  </si>
  <si>
    <t>['¬© 1985', 'wing part', 'wing disc', 'type hosts', 'strong correlation', 'situ hybridization', 'second leg', 'results provide', 'recessive loss', 'proximal compartment', 'normal structures', 'normal antp', 'mesothoracic segment', 'leg discs', 'imaginal discs', 'homozygotes survive', 'dominant phenotype', 'detailed analysis', 'antp function', 'anterior spiracles', 'antennal discs', 'also derived']</t>
  </si>
  <si>
    <t>A detailed analysis of the dominant and recessive mutant phenotypes of a recently discovered Antennapedia allele (AntpPW) was carried out. In heterozygous AntpPW flies a dominant homeotic transformation of the antenna into a second leg is observed. In addition, the vibrissae are transformed into a sternopleura, a structure which is also derived from the mesothoracic leg disc. Homozygotes survive until the late third larval instar and show a transformation of the mesothoracic segment into prothoracic and probably head structures. The anterior spiracles and the prothoracic (humeral) imaginal discs are degenerated. When homozygous AntpPW imaginal discs are transplanted into genetically marked wild-type hosts, the transformation of eye-antennal discs is identical to the dominant phenotype in heterozygous AntpPW flies, whereas all leg discs and the haltere disc develop into their normal structures. Surprisingly, the proximal compartment of the wing disc, which normally gives rise to the mesonotum, is transformed into head structures whereas the wing part of the disc is unaffected. These results provide further evidence that in the absence of the normal Antp+ gene product putative head forming genes are expressed in the mesothorax. A strong correlation between the localization of Antp+ transcripts as determined by in situ hybridization in the wild-type, and the sites of mutant defects caused by the recessive loss of Antp function is observed. ¬© 1985.</t>
  </si>
  <si>
    <t>377-386</t>
  </si>
  <si>
    <t>Developmental Biology</t>
  </si>
  <si>
    <t>60015184;60015184</t>
  </si>
  <si>
    <t>6603819397;57203032471</t>
  </si>
  <si>
    <t>Schneuwly, Stephan;Gehring, Walter J.</t>
  </si>
  <si>
    <t>Basel</t>
  </si>
  <si>
    <t>Biozentrum, Universit√§t Basel</t>
  </si>
  <si>
    <t>Schneuwly S.</t>
  </si>
  <si>
    <t>Homeotic transformation of thorax into head: Developmental analysis of a new Antennapedia allele in Drosophila melanogaster</t>
  </si>
  <si>
    <t>0012-1606(85)90041-7</t>
  </si>
  <si>
    <t>10.1016/0012-1606(85)90041-7</t>
  </si>
  <si>
    <t>2-s2.0-0021885094</t>
  </si>
  <si>
    <t>['¬© 1985', 'rod antennas', 'rights reserved', 'reciprocity theorem', 'physical explanation', 'particular application', 'general expression', 'equivalence principle', 'element parameters', 'electrical engineers', 'coupling coefficient', 'array parameters']</t>
  </si>
  <si>
    <t>Antenna arrays | Antennas</t>
  </si>
  <si>
    <t>A general expression is proposed for the coupling of surface wave antennas based on the equivalence principle and on the reciprocity theorem. A particular application is presented for disc-on-rod antennas, and the coupling coefficient is evaluated as a function of frequency, the array parameters and the element parameters. A physical explanation of the results is suggested. ¬© 1985, The Institution of Electrical Engineers. All rights reserved.</t>
  </si>
  <si>
    <t>112-113</t>
  </si>
  <si>
    <t>126790806;60022109;60022109</t>
  </si>
  <si>
    <t>7007155351;7005244140;7006827241</t>
  </si>
  <si>
    <t>Cory, H.;Parini, C. G.;Olver, A. D.</t>
  </si>
  <si>
    <t>United Kingdom;Israel</t>
  </si>
  <si>
    <t>London;Technion City</t>
  </si>
  <si>
    <t>Queen Mary University of London;Technion</t>
  </si>
  <si>
    <t>60022109;126790806</t>
  </si>
  <si>
    <t>Cory H.</t>
  </si>
  <si>
    <t>Longitudinal Coupling Between Elements In A Disc-On-Rod Antenna Array</t>
  </si>
  <si>
    <t>10.1049/el:19850078</t>
  </si>
  <si>
    <t>2-s2.0-0021886594</t>
  </si>
  <si>
    <t>['tap spacing', 'power series', 'paper derives', 'order approximation', 'ith set', 'eigenvalues due', 'covariance matrix', 'associated eigenvalues']</t>
  </si>
  <si>
    <t>By expressing the input autocorrelation function in a power series of bandwidth, this paper derives a small bandwidth first-order approximation for the covariance matrix of the broadband tapped delay line power inversion array. The structure of the associated eigenvalues is then deduced, giving (number of taps)/2 sets of eigenvalues, the eigenvalues in the ith set being proportional to (bandwidth)2(i-l) Thus a simple transformation preprocessor which depends only on the bandwidth, tap spacing, and number of taps is derived for eliminating the spread of eigenvalues due to the use of tapped delay line processing. ¬© 1985 IEEE</t>
  </si>
  <si>
    <t>117-127</t>
  </si>
  <si>
    <t>AES-21</t>
  </si>
  <si>
    <t>IEEE Transactions on Aerospace and Electronic Systems</t>
  </si>
  <si>
    <t>Ko, C. C.</t>
  </si>
  <si>
    <t>Singapore</t>
  </si>
  <si>
    <t>Singapore City</t>
  </si>
  <si>
    <t>National University of Singapore</t>
  </si>
  <si>
    <t>Ko C.</t>
  </si>
  <si>
    <t>Simple Eigenvalue-Equalizing Preprocessor For Broadband Power Inversion Array</t>
  </si>
  <si>
    <t>10.1109/TAES.1985.310545</t>
  </si>
  <si>
    <t>2-s2.0-0021886602</t>
  </si>
  <si>
    <t>['sufficient gain', 'signal measurement', 'reflector utilizing', 'recent years', 'receiving attention', 'proposed figure', 'possible deficiency', 'one technique', 'new class', 'feed elements', 'employ amplifiers', 'electronics engineers', 'circuitry required', 'beam steering', 'arbitrary value', 'appreciable amount', 'antenna systems', 'antenna system', 'antenna gain', 'amplifiers used']</t>
  </si>
  <si>
    <t>In recent years a new class of reflector antennas utilizing array feeds has been receiving attention. An example of this type of antenna is a reflector utilizing a moveable array feed for beam steering. Due to the circuitry required to adjust the weights for the various feed array elements, an appreciable amount of loss can be introduced into the antenna system. One technique to overcome this possible deficiency is to place low noise amplifiers with sufficient gain to overcome the weighting function losses just after each of the feed elements. In the evaluation of signal processing antennas that employ amplifiers the standard antenna gain measurement will not be indicative of the antenna system's performance. In fact, by making only a signal measurement, the antenna gain can be made any arbitrary value by changing the gains of the amplifiers used. In addition, the IEEE Standard Test Procedures for Antennas does not cover the class of antennas where the amplifier becomes part of the antenna system. There exists a need to establish a standard of merit or worth for multi-element antenna systems that involve the use of amplifiers. A proposed figure of merit for evaluating such antenna systems is presented. ¬© Copyright ¬© 1985 by The Institute of Electrical and Electronics Engineers, Inc.</t>
  </si>
  <si>
    <t>Jacobs, Ernest</t>
  </si>
  <si>
    <t>Los Angeles</t>
  </si>
  <si>
    <t>The Aer ospace Corp</t>
  </si>
  <si>
    <t>Jacobs E.</t>
  </si>
  <si>
    <t>A Figure of Merit for Signal Processing Reflector Antennas</t>
  </si>
  <si>
    <t>10.1109/TAP.1985.1143481</t>
  </si>
  <si>
    <t>2-s2.0-0021886620</t>
  </si>
  <si>
    <t>['scale model', 'parts average', 'near field', 'man exposed', 'field exposures', 'energy deposition', 'electronics engineers', 'body average', 'antenna type', '915 mhz', '650 locations']</t>
  </si>
  <si>
    <t>The specific absorption rate (SAR) was measured in over 650 locations in a full-scale model of man exposed in the far and near field of antennas at 350 and 915 MHz. The whole-body average, the body-parts average, and the distributions of the SAR‚Äôs are compared for three wave polarizations for the far and the near-field exposures. Effects on the energy deposition of the antenna type, gain, and location in the near field are discussed. Copyright ¬© 1985 by The Institute of Electrical and Electronics Engineers, Inc.</t>
  </si>
  <si>
    <t>609-616</t>
  </si>
  <si>
    <t>BME-32</t>
  </si>
  <si>
    <t>IEEE Transactions on Biomedical Engineering</t>
  </si>
  <si>
    <t>60000318;60028897;60028897</t>
  </si>
  <si>
    <t>7102344649;7006372477;56803516700</t>
  </si>
  <si>
    <t>Stuchly, Maria A.;Kraszewski, Andrzej;Stuchly, Stanislaw S.</t>
  </si>
  <si>
    <t>Canada;Canada</t>
  </si>
  <si>
    <t>Ottawa;Ottawa</t>
  </si>
  <si>
    <t>University of Ottawa;Radiation Protection Bureau</t>
  </si>
  <si>
    <t>60028897;60000318</t>
  </si>
  <si>
    <t>Stuchly M.</t>
  </si>
  <si>
    <t>Exposure of Human Models in the Near and Far Field‚ÄîA Comparison</t>
  </si>
  <si>
    <t>10.1109/TBME.1985.325600</t>
  </si>
  <si>
    <t>2-s2.0-0021890454</t>
  </si>
  <si>
    <t>943-950</t>
  </si>
  <si>
    <t>Journal of Bacteriology</t>
  </si>
  <si>
    <t>Uffen, R. L.</t>
  </si>
  <si>
    <t>East Lansing</t>
  </si>
  <si>
    <t>Michigan State University</t>
  </si>
  <si>
    <t>Uffen R.</t>
  </si>
  <si>
    <t>Influence of pH, O&lt;inf&gt;2&lt;/inf&gt;, and temperature on the absorption properties of the secondary light-harvesting antenna in members of the family Rhodospirillaceae</t>
  </si>
  <si>
    <t>2-s2.0-0021890908</t>
  </si>
  <si>
    <t>['radar antenna', 'makes use', 'good agreement']</t>
  </si>
  <si>
    <t>The usual spatial power spectra of ocean wave images taken from PPI of a ship radar show an ambiguity in the wave propagation direction. A simple numerical procedure is suggested and realized to remove this ambiguity. It makes use of the data from two consecutive turns of the radar antenna as well as of the wave dispersion law. The results obtained show a good agreement with the ground truth.-Authors</t>
  </si>
  <si>
    <t>1061-1067</t>
  </si>
  <si>
    <t>C1</t>
  </si>
  <si>
    <t>Journal of Geophysical Research</t>
  </si>
  <si>
    <t>60028564;60028564;60028564</t>
  </si>
  <si>
    <t>6603417957;7102671110;6603749645</t>
  </si>
  <si>
    <t>Atanassov, V.;Rosenthal, W.;Ziemer, F.</t>
  </si>
  <si>
    <t>Hamburg</t>
  </si>
  <si>
    <t>Max Planck Institute for Meteorology</t>
  </si>
  <si>
    <t>Atanassov V.</t>
  </si>
  <si>
    <t>Removal of ambiguity of two-dimensional power spectra obtained by processing ship radar images of ocean waves.</t>
  </si>
  <si>
    <t>10.1029/JC090iC01p01061</t>
  </si>
  <si>
    <t>2-s2.0-0021892013</t>
  </si>
  <si>
    <t>['nonionizing radiation', 'measured values', 'four children', 'electronics engineers', 'document levels']</t>
  </si>
  <si>
    <t>Four children from the same school class developed cancer. Because of concern in the community, a field study designed to document levels of environmental, nonionizing radiation was undertaken. Two school sites were investigated, the one with the cluster of cases and the other without known cases of cancer. The measured values of nonionizing radiation at both sites were not different and were well below existing exposure standards. Copyright ¬© 1985 by The Institute of Electrical and Electronics Engineers, Inc.</t>
  </si>
  <si>
    <t>246-248</t>
  </si>
  <si>
    <t>60016733;60016733;60010167;60008334;60008334</t>
  </si>
  <si>
    <t>7101632339;7102738053;7004196236;6603501241;6701523494</t>
  </si>
  <si>
    <t>Daley, Michael L.;Morton, William E.;Chartier, Vernon;Zajac, Herbert;Benitez, Henry</t>
  </si>
  <si>
    <t>United States;United States;United States</t>
  </si>
  <si>
    <t>Portland;Portland;Beaverton</t>
  </si>
  <si>
    <t>Oregon Health &amp; Science University;Bonneville Power Administration;Tektronix Incorporated</t>
  </si>
  <si>
    <t>60016733;60010167;60008334</t>
  </si>
  <si>
    <t>Daley M.L.</t>
  </si>
  <si>
    <t>Community Fear of Nonionizing Radiation: A Field Investigation</t>
  </si>
  <si>
    <t>10.1109/TBME.1985.325538</t>
  </si>
  <si>
    <t>2-s2.0-0021892140</t>
  </si>
  <si>
    <t>['three values', 'three techniques', 'square array', 'side length', 'seven values', 'resonant value', 'power deposition', 'much shorter', 'frequency greater', 'four antennas', 'electronics engineers', 'driving frequency', 'array center', 'antennas driven', 'antenna halflength', '915 mhz', '6 cm', '3 cm']</t>
  </si>
  <si>
    <t>The theory of the linear, insulated antenna embedded in an electrically dense medium is applied to microwave antennas used for hyperthermia cancer therapy. The pattern of power deposition is computed for a square array of four antennas with a side length of 3 cm under the assumption of no coupling among antennas. The driving frequency is set to seven values between 300 and 915 MHz, and the antenna halflength is set to three values: 3 cm, 6 cm, and the resonant value. It is found that antennas much longer or much shorter than the resonant length deposit little power at the array center. It is found that antennas driven at a frequency greater than 600 MHz deposit power in a nonuniform fashion within the array. Three techniques for creating a uniform temperature distribution for hyperthermia are reviewed or introduced. Copyright ¬© 1985 by The Institute of Electrical and Electronics Engineers, Inc.</t>
  </si>
  <si>
    <t>152-157</t>
  </si>
  <si>
    <t>Trembly, B. Stuart</t>
  </si>
  <si>
    <t>Hanover</t>
  </si>
  <si>
    <t>Thayer School of Engineering at Dartmouth</t>
  </si>
  <si>
    <t>Trembly B.S.</t>
  </si>
  <si>
    <t>The Effects of Driving Frequency and Antenna Length on Power Deposition Within a Microwave Antenna Array Used for Hyperthermia</t>
  </si>
  <si>
    <t>10.1109/TBME.1985.325436</t>
  </si>
  <si>
    <t>2-s2.0-0021892150</t>
  </si>
  <si>
    <t>['uniformly 14c', 'triton x', 'simple procedure', 'relative amount', 'proteinase k', 'polypeptide composition', 'molar ratio', 'labile sulfide', 'labeled complex', 'full complement', 'contained polypeptides', 'chlorophyll ratio', 'antenna chlorophylls', 'also described', '70 kda', '7 kda', '18 kda', '16 kda', '130 mol', '100 concentration', '10 kda']</t>
  </si>
  <si>
    <t>A simple procedure is described for the preparation of photosystem I (PSI) particles from Triton X-100-solubilized thylakoid membranes of the unicellular cyanobacterium Synechococcus 6301. The purified PSI complex contained the full complement of antenna chlorophylls, 130 ¬± 5/P700, displayed the electron paramagnetic resonance signals characteristic of iron-sulfur centers X, A, and B, and had a protein/chlorophyll ratio of 2.9. Determination of the polypeptide composition, utilizing a uniformly 14C-labeled complex, showed that it contained polypeptides of 70, 18, 17.7, 16, and 10 kDa, in a molar ratio of 4.0:0.7:1.0:0.5:1.6. The relative amount of the lower molecular weight polypeptides showed progressive decrease with increase in Triton X-100 concentration and time of exposure to detergent. Consequently, it is proposed that in vivo the composition of the complex is [70 kDa]4 [18 kDa]1 [17.7 kDa]1 [16 kDa]1 [10 kDa]2. Relative to 130 mol of chlorophyll a, the PSI complex contained 16 mol of carotenoids, 13.7 ¬± 1.0 g atoms of Fe, and 12.2 ¬± 1.1 g atoms of labile sulfide. The properties of complexes fully depleted of the molecular weight polypeptides by treatment with sodium dodecyl sulfate or with proteinase K are also described.</t>
  </si>
  <si>
    <t>646-654</t>
  </si>
  <si>
    <t>Journal of Biological Chemistry</t>
  </si>
  <si>
    <t>60025038;60025038;60025038;60025038</t>
  </si>
  <si>
    <t>7003870096;7101844846;57203081985;7102455882</t>
  </si>
  <si>
    <t>Lundell, D. J.;Glazer, A. N.;Melis, A.;Malkin, R.</t>
  </si>
  <si>
    <t>Lundell D.J.</t>
  </si>
  <si>
    <t>Characterization of a cyanobacterial photosytem I complex</t>
  </si>
  <si>
    <t>2-s2.0-0021893767</t>
  </si>
  <si>
    <t>['waveguide fed', 'two networks', 'rotman lenses', 'provides beams', 'overlap network', 'original number', 'multiple beams', 'microstrip version', 'low sidelobes', 'intermediate crossovers', 'half db', 'consequently raises', 'beam crossovers', 'approximately equals', 'additional feature', '76 db', '50 %,', '4 one', '10 db']</t>
  </si>
  <si>
    <t>Multiple beams from a linear antenna array can be formed using Ruze or Rotman lenses. A waveguide fed, parallel plate lens has been described, which provides beams with low sidelobes ( less than equivalent to -20db) and beam crossovers approximately equals -10 db. A microstrip version of this lens has also been described, with the additional feature of a beam port overlap network which doubles the number of beams and consequently raises the beam crossovers to approximately equals at the expense of a 3 db loss in the overlap network. Two new networks are described, with 1. 76 db and 1. 25 db loss, respectively, which increase the original number of beams from the lens fed array by 50%, and consequently provide beams with intermediate crossovers. Theoretical analysis predicts the beam crossovers as approximately equals -4 or -4 one-half db for the two networks.</t>
  </si>
  <si>
    <t>33-36</t>
  </si>
  <si>
    <t>Journal of the Institution of Electronic and Radio Engineers</t>
  </si>
  <si>
    <t>Jan</t>
  </si>
  <si>
    <t>Smith, M. S.</t>
  </si>
  <si>
    <t>London</t>
  </si>
  <si>
    <t>University College London</t>
  </si>
  <si>
    <t>Smith M.</t>
  </si>
  <si>
    <t>MULTIPLE BEAM CROSSOVERS FOR A LENS-FED ANTENNA ARRAY.</t>
  </si>
  <si>
    <t>10.1049/jiere.1985.0011</t>
  </si>
  <si>
    <t>2-s2.0-0021896196</t>
  </si>
  <si>
    <t>['recent interest', 'received signals', 'radar targets', 'polarization state', 'passively detect', 'paper shows', 'information contained', 'information associated', 'improved methods', 'existing systems', 'esm function', 'esm analyser', 'electromagnetic wave', 'electromagnetic radiation', 'concentrated research', 'communication signals', 'characterize sources']</t>
  </si>
  <si>
    <t>Recent interest in improved methods to passively detect and characterize sources of electromagnetic radiation and radar targets has concentrated research into the ability of new and existing systems to perform an Electronic Support Measures (ESM) role. Many existing radar and communication systems inherently derive information which could be exploited by an ESM analyser, but, in general, ignore that information associated with the polarization state of signals. This paper shows how a circular antenna array system intended for use with communication signals can be extended to perform an ESM function. In addition the ESM system proposed uses all the information inherently available in the electromagnetic wave, in particular, exploiting the information contained in the polarization state of received signals.</t>
  </si>
  <si>
    <t>Guy, J. R.F.</t>
  </si>
  <si>
    <t>The Hague</t>
  </si>
  <si>
    <t>NATO Consultation, Command and Control Agency</t>
  </si>
  <si>
    <t>Guy J.</t>
  </si>
  <si>
    <t>PROPOSAL TO USE POLARIZATION INFORMATION TO ENHANCE A SIMPLE ESM RECEIVER SYSTEM BASED AROUND A CIRCULAR ANTENNA ARRAY.</t>
  </si>
  <si>
    <t>10.1049/jiere.1985.0010</t>
  </si>
  <si>
    <t>2-s2.0-0021896591</t>
  </si>
  <si>
    <t>['zone closer', 'velocities less', 'turbulent region', 'soliton structure', 'root 2', 'receiving antennas', 'pumping wave', 'prolonged excitations', 'ponderomotive forces', 'first time', 'experimental data', 'emitting antenna', 'electron acceleration', 'characteristic frequencies', 'board receiver', '2 wide']</t>
  </si>
  <si>
    <t>A strong turbulence mechanism is suggested to explain the prolonged excitation delays for characteristic resonance plasma frequencies during the external radio probing of the ionosphere: due to ponderomotive forces, in the zone closer to the emitting antenna the plasma density tends towards zero, and due to modulation striction instability, the development of a turbulent region with the formation of soliton structure and also of cavitons with their subsequent collapse occurs in the field of the pumping wave. The satellite itself crosses the turbulent region and prolonged excitations at characteristic frequencies will be caused by the crossing by the receiving antennas of both stable and unstable solitons moving with velocities less than the satellite's velocity. A mechanism for exciting surface waves in the range f//P//e/ ROOT 2 less than f//0 less than f//U//H//R/ ROOT 2 in the vicinity of the satellite is suggested to explain the electron acceleration which was observed by the Interkosmos-19 artificial earth satellite. Experimental data are shown which have been obtained for the first time by the Interkosmos-19 artificial earth satellite by means of the AVCh-2 wide-band, on-board receiver.</t>
  </si>
  <si>
    <t>95-104</t>
  </si>
  <si>
    <t>Cosmic Research (English translation of Kosmicheskie Issledovaniya)</t>
  </si>
  <si>
    <t>7006727553;7801673887</t>
  </si>
  <si>
    <t>Pulinets, S. A.;Selegei, V. V.</t>
  </si>
  <si>
    <t>Pulinets S.</t>
  </si>
  <si>
    <t>MODIFICATION OF THE IONOSPHERIC PLASMA NEAR AN ARTIFICIAL EARTH SATELLITE DURING EXTERNAL PROBING OF THE IONOSPHERE BY POWERFUL RADIO PULSES.</t>
  </si>
  <si>
    <t>2-s2.0-0021898689</t>
  </si>
  <si>
    <t>['wiley company', 'whistler arrival', 'stored continuously', 'require operator', 'propagation path', 'pll discriminator', 'physical information', 'part exchange', 'occurrence number', 'magnetosphere plasma', 'low latitude', 'inc .,', 'equipment consists', 'electron density', 'electric components', 'automatic measurement']</t>
  </si>
  <si>
    <t>From information about the time‚Äêvariation of the occurrence number of whistlers and its dispersion, we can estimate the physical information about the electron density at the whistler propagation path in the ionosphere and the magnetosphere plasma and the occurrence of the propagation path. The ionospheric exit point of a whistler is clarified by measuring the magnetic and electric components at one measuring point induced on two mutually orthogonal loop antennas and one vertical antenna by the whistler arrival. Conventional whistler direction finders are not automatic and require operator's manipulation and part exchange. A new whistler direction finder has been developed which has enabled automatic direction finding for whistlers. The equipment consists of the whistler detector using the PLL discriminator, A/D converter, and an 8‚Äêbit microcomputer. High‚Äêaccuracy numerical data of 28 whistler waves are stored continuously in 56 Kbyte memories. At a low latitude, the occurrence number of whistlers is small and hence its automatic measurement is indispensable. For this purpose the proposed method provides an effective measurement procedure. Copyright ¬© 1985 Wiley Periodicals, Inc., A Wiley Company</t>
  </si>
  <si>
    <t>95-103</t>
  </si>
  <si>
    <t>Ohta, Kenji</t>
  </si>
  <si>
    <t>Kasugai</t>
  </si>
  <si>
    <t>Chubu University</t>
  </si>
  <si>
    <t>Ohta K.</t>
  </si>
  <si>
    <t>An automatic whistler direction finder</t>
  </si>
  <si>
    <t>10.1002/ecja.4410680611</t>
  </si>
  <si>
    <t>2-s2.0-0021899495</t>
  </si>
  <si>
    <t>['two antennas', 'transmitted signal', 'sweep measurements', 'sent quasi', 'response functions', 'measured data', 'horizontal polarization', '60 mhz']</t>
  </si>
  <si>
    <t>Sweep measurements over a bandwidth of 60 MHz were carried out on a 46. 5 km hop in the 7 GHz band. The transmitted signal is sent quasi-simultaneously on the vertical and horizontal polarization and is received by two antennas and in both polarizations. From the measured data, statistics about the behaviour of the different amplitude frequency-response functions and their correlation can be derived.</t>
  </si>
  <si>
    <t>50-55</t>
  </si>
  <si>
    <t>Technische Mitteilungen PTT (Post-, Telefon- und Telegrafenbetrieben)</t>
  </si>
  <si>
    <t>Liniger, Markus</t>
  </si>
  <si>
    <t>Liniger M.</t>
  </si>
  <si>
    <t>SWEEP MEASUREMENTS OF MULTIPATH EFFECTS ON CROSS-POLARIZED rf-CHANNELS INCLUDING SPACE DIVERSITY.</t>
  </si>
  <si>
    <t>2-s2.0-0021900947</t>
  </si>
  <si>
    <t>3.046-0.76</t>
  </si>
  <si>
    <t>['¬© 1985', 'wing structures', 'wing discs', 'ventral qualities', 'ventral mesothorax', 'transdetermination pattern', 'transdetermination frequency', 'structural inventory', 'serially homologous', 'regeneration process', 'mesothoracic segment', 'leg structures', 'leg discs', 'homeotic mutations', 'homeotic antenna', 'five times', 'eyopt transdetermined', 'eye disc', 'entire segment', 'e .,', 'drosophila melanogaster', 'dorsal qualities', 'dorsal mesothorax', 'corresponding wild', 'antenna disc', '90 %).', '12 days']</t>
  </si>
  <si>
    <t>The effects of homeotic mutations on transdetermination in eye-antenna imaginal discs of Drosophila melanogaster were studied. After 12 days of culture in vivo, antenna discs transformed to ventral mesothorax by AntpNa or AntpZ, transdetermined to notum and wing structures four to five times more frequently than the corresponding wild-type antenna discs. Likewise, eye discs transformed to dorsal mesothorax by eyopt transdetermined to leg structures, also extremely frequently (90%). It seems that, during culture, homeotic antenna as well as homeotic eye discs tend to complete the structural inventory of the mesothoracic segment. Transdetermination in the homeotic disc parts is interpreted as a regeneration process which reestablishes an entire segment, i.e., the ventral mesothoracic portion (leg) in the antenna disc regenerates dorsal mesothoracic parts, and the dorsal mesothoracic portion in the eye disc (wing) regenerates ventral mesothoracic parts, respectively. This implies that antenna and leg discs (ventral qualities) as well as eye and wing discs (dorsal qualities) are serially homologous. The transdetermination frequency of the untransformed eye disc to notum and wing structures is enhanced by Antp to the same extent as is the transdetermination frequency of the antenna disc. The first allotypic wing disc structure formed by the eye disc is notum, followed by structures of the anterior wing compartment and finally by posterior wing structures. No evidence for such a sequence was found in the transdetermination pattern of the antenna disc. ¬© 1985.</t>
  </si>
  <si>
    <t>28-37</t>
  </si>
  <si>
    <t>Schmid, Hans</t>
  </si>
  <si>
    <t>Fribourg</t>
  </si>
  <si>
    <t>University of Fribourg</t>
  </si>
  <si>
    <t>Schmid H.</t>
  </si>
  <si>
    <t>Transdetermination in the homeotic eye-antenna imaginal disc of Drosophila melanogaster</t>
  </si>
  <si>
    <t>10.1016/0012-1606(85)90372-0</t>
  </si>
  <si>
    <t>2-s2.0-0021909181</t>
  </si>
  <si>
    <t>National Institute of Neurological Disorders and Stroke</t>
  </si>
  <si>
    <t>R01NS011788</t>
  </si>
  <si>
    <t>NINDS</t>
  </si>
  <si>
    <t>['¬© 1985', 'tfd ),', 'projection patterns', 'normal eyes', 'nerves derived', 'extra structures', 'extra eye', 'convincing connectivity', 'central brain', 'antennal tissue']</t>
  </si>
  <si>
    <t>A genetically complex mutant, two-faced (tfd), which causes the production of extra eye and antennal tissue on the dorsal head cuticle, has been analyzed for connectivity to and projection patterns in the central brain of nerves derived from these extra structures. It has been found that the extra antennal nerves frequently connect to and achieve normal projections in the brain, whereas no convincing connectivity between the nerves from the extra eye tissue and the brain, has been found. This suggests that the mechanisms by which the nerves derived from normal eyes and antennae achieve central connections may differ. ¬© 1985.</t>
  </si>
  <si>
    <t>60005455;60005455</t>
  </si>
  <si>
    <t>7006115322;6603345491</t>
  </si>
  <si>
    <t>Lipshitz, Howard D.;Kankel, Douglas R.</t>
  </si>
  <si>
    <t>New Haven</t>
  </si>
  <si>
    <t>Yale University</t>
  </si>
  <si>
    <t>Lipshitz H.</t>
  </si>
  <si>
    <t>Developmental interactions between the peripheral and central nervous system in Drosophila melanogaster: Analysis of the mutant, two-faced</t>
  </si>
  <si>
    <t>10.1016/0012-1606(85)90370-7</t>
  </si>
  <si>
    <t>2-s2.0-0021921443</t>
  </si>
  <si>
    <t>['¬© 1985', 'water movements', 'water disturbances', 'vibration receptors', 'smooth hairs', 'sensory neurones', 'respond either', 'physiological properties', 'mechanoreceptors identified', 'like structures', 'hydrodynamic receptors', 'functional significance', 'five types', 'feathered hairs', 'electrophysiological methods', 'different mechanoreceptors', 'different kinds', 'cuticular mechanoreception', 'antennal flagellum']</t>
  </si>
  <si>
    <t>1. 1. Cuticular mechanoreception of the antennal flagellum in the rock lobster Palinurus vulgaris has been studied by scanning electron microscopy and electrophysiological methods. 2. 2. Five types of mechanoreceptors have been identified on the flagellum; the spine-like structures, the feathered hairs, the smooth hairs, the hydrodynamic receptors and the vibration receptors. 3. 3. All the mechanoreceptors identified are innervated by one or several sensory cells which respond either to water movements or to contact of the flagellum with hard objects surrounding the animal. 4. 4. The physiological properties of the sensory neurones have been studied using direct selective mechanical stimulation of the cuticular sensory organs and during different kinds of water disturbances. 5. 5. The functional significance of the different mechanoreceptors is discussed. ¬© 1985.</t>
  </si>
  <si>
    <t>151-158</t>
  </si>
  <si>
    <t>Vedel, J. P.</t>
  </si>
  <si>
    <t>Marseille</t>
  </si>
  <si>
    <t>CNRS-INP 4</t>
  </si>
  <si>
    <t>Vedel J.</t>
  </si>
  <si>
    <t>Cuticular mechanoreception in the antennal flagellum of the rock lobster Palinurus vulgaris</t>
  </si>
  <si>
    <t>10.1016/0300-9629(85)90532-8</t>
  </si>
  <si>
    <t>2-s2.0-0021925856</t>
  </si>
  <si>
    <t>['technological innovations', 'satellite frequency', 'reviewed along', 'potential use', 'paper reviews', 'multipurpose satellites', 'legislative problems', 'geosynchronous communications']</t>
  </si>
  <si>
    <t>As early as 1959 the potential use of satellites for effective international satellite communications was recognized. This paper reviews the activities of the International Telecommunications Satellite Organization (INTELSAT), outlines its accomplishments and technological innovations. Geosynchronous communications, stabilized satellite antennas, satellite frequency re-use, multipurpose satellites, and INTELSAT business services are reviewed along with some political, organizational and legislative problems.</t>
  </si>
  <si>
    <t>22-31</t>
  </si>
  <si>
    <t>0497137X</t>
  </si>
  <si>
    <t>Telecommunication journal</t>
  </si>
  <si>
    <t>Colino, R. R.</t>
  </si>
  <si>
    <t>INTELSAT</t>
  </si>
  <si>
    <t>Colino R.</t>
  </si>
  <si>
    <t>INTELSAT'S TWENTIETH ANNIVERSARY:</t>
  </si>
  <si>
    <t>2-s2.0-0021935525</t>
  </si>
  <si>
    <t>['widely used', 'various forms', 'radar systems', 'analogue techniques', 'analogue beamforming']</t>
  </si>
  <si>
    <t>Analogue beamforming techniques are widely used in radar systems for the formation of single or multiple antenna beams. The attributes, capabilities and potential of the various forms of analogue beamforming are examined and the role of such analogue techniques in the forthcoming digital era is considered.</t>
  </si>
  <si>
    <t>25-33</t>
  </si>
  <si>
    <t>GEC journal of research</t>
  </si>
  <si>
    <t>Wallington, J. R.</t>
  </si>
  <si>
    <t>Farnborough</t>
  </si>
  <si>
    <t>BAE Systems plc</t>
  </si>
  <si>
    <t>Wallington J.</t>
  </si>
  <si>
    <t>ROLE OF ANALOGUE BEAMFORMING IN RADAR.</t>
  </si>
  <si>
    <t>2-s2.0-0021936893</t>
  </si>
  <si>
    <t>Sweep measurements over a bandwidth of 60 MHz were carried out on a 46. 5 km hop in the 7 GHz band. The transmitted signal is sent quasi-simultaneously on the vertical and horizontal polarization and is received by two antennas and in both polarizations. From the measured data (2 million sweeps), statistics about the behavior of the different amplitude frequency-response functions and their correlation are derived.</t>
  </si>
  <si>
    <t>341-345</t>
  </si>
  <si>
    <t>Thailand</t>
  </si>
  <si>
    <t>Bangkok</t>
  </si>
  <si>
    <t>PTT</t>
  </si>
  <si>
    <t>MORE RESULTS ON THE TRANSFER FUNCTIONS OF CROSS-POLARIZED AND DIVERSITY-PROTECTED rf-CHANNELS.</t>
  </si>
  <si>
    <t>2-s2.0-0021942364</t>
  </si>
  <si>
    <t>National Heart, Lung, and Blood Institute</t>
  </si>
  <si>
    <t>R01HL028093</t>
  </si>
  <si>
    <t>NHLBI</t>
  </si>
  <si>
    <t>['young woman', 'wiley blackwell', 'ventricular stimulation', 'spatial relationship', 'rights reserved', 'radiofrequency activation', 'pacemaker resulted', 'implanted receiver', 'directly related', 'direct contact', 'current output', 'coronary sinus', 'catheter positioned', 'burst ventricular', 'atrial pacing', 'antenna loop', 'antenna joop', '5 cm', '0 cm']</t>
  </si>
  <si>
    <t>atrial pacing | coronary sinus | pacemaker | radiofrequency pacing | supraventricular tachycardia</t>
  </si>
  <si>
    <t>A young woman with drug‚Äêrefractory recurrent supraventricular tachycardia was managed by rapid atrial stimulation using a catheter positioned in the coronary sinus. During follow‚Äêup, radiofrequency activation of the pacemaker resulted in burst ventricular and/or atrial pacing, depending on the distance of the transmitter's antenna loop from the receiver. Current output was directly related to the distance of the transmitter's antenna Joop from the receiver and ranged from 20 mA at a distance of 0 cm from the receiver to 1 mA at 5 cm. If possible, coronary sinus lead placement should be avoided for radiofrequency‚Äêactivated atrial burst pacing given the large current output with direct contact of the transmitter's antenna loop to the implanted receiver and the risk for ventricular stimulation. Alteration of the spatial relationship between the transmitter and receiver can be used to decrease current output and prevent ventricular pacing if atrial burst pacing from the coronary sinus is desirable. Copyright ¬© 1985, Wiley Blackwell. All rights reserved</t>
  </si>
  <si>
    <t>399-401</t>
  </si>
  <si>
    <t>Pacing and Clinical Electrophysiology</t>
  </si>
  <si>
    <t>60138417-60003711;60138417-60003711</t>
  </si>
  <si>
    <t>7102234825;6508052799</t>
  </si>
  <si>
    <t>MARCHLINSKI, FRANCIS E.;EYSMANN, SUSAN</t>
  </si>
  <si>
    <t>Philadelphia;Philadelphia</t>
  </si>
  <si>
    <t>Hospital of the University of Pennsylvania;University of Pennsylvania Perelman School of Medicine</t>
  </si>
  <si>
    <t>60138417;60003711</t>
  </si>
  <si>
    <t>MARCHLINSKI F.E.</t>
  </si>
  <si>
    <t>Atrial and Ventricular Burst Pacing from a Coronary Sinus Catheter: Relation to Position of Radiofrequency Transmitter</t>
  </si>
  <si>
    <t>10.1111/j.1540-8159.1985.tb05778.x</t>
  </si>
  <si>
    <t>2-s2.0-0021943953</t>
  </si>
  <si>
    <t>National Institutes of Health</t>
  </si>
  <si>
    <t>ROl EY03408</t>
  </si>
  <si>
    <t>NIH</t>
  </si>
  <si>
    <t>['¬© 1985', 'supernumerary eyes', 'standardly trapezoidal', 'stained sections', 'sometimes found', 'rhabdomeric trapezoids', 'results focuses', 'ommatidial subpopulations', 'ocellar interneurons', 'normal development', 'normal complement', 'neural projections', 'muscle fibers', 'light stimulation', 'image configurations', 'eyeless mutation', 'eye heads', 'extra eyes', 'extra eye', 'electroretinographic recordings', 'ee stocks', 'cuticular epithelia', 'cells usually', 'anatomically standard']</t>
  </si>
  <si>
    <t>Supernumerary compound eyes in Drosophila melanogaster produced by the extra eye (ee) mutation were analyzed with regard to their morphology, physiology, and neural projections. Electron and light microscopy revealed that large extra eyes often possess the normal complement of compound-eye cell types and that these cells usually have standard fine structure. In addition, the array of photoreceptor cell rhabdomeres within individual supernumerary ommatidia is standardly trapezoidal, and ommatidial subpopulations having mirror-image configurations of their rhabdomeric trapezoids are separated by an equator in extra eyes. Light stimulation of supernumerary eyes can elicit photoreceptor depolarization potentials as evidenced by electroretinographic recordings from them. In addition, extra-eye photoreceptor cells have a functional pupillary response to light stimulation. Although the supernumerary eyes can be functionally and anatomically standard, examination of serial, silver-stained sections of extra-eye heads has shown that their photoreceptor axons seldom innervate the brain. This situation obtains even in a case in which the normal, ipsilateral compound eye was removed by the eyeless mutation. In contrast, rare supernumerary antennae occasionally found in ee stocks have receptor cells whose axons innervate ventral brain. In addition to duplications of cuticular epithelia, extra glial cells, muscle fibers, and ocellar interneurons are sometimes found in extra-eye bearing flies. Discussion of these results focuses on a polarity guidance hypothesis which models the growth of adult photoreceptor axons into the brain during normal development. ¬© 1985.</t>
  </si>
  <si>
    <t>180-197</t>
  </si>
  <si>
    <t>60025488;60006173</t>
  </si>
  <si>
    <t>6507370813;7202999588</t>
  </si>
  <si>
    <t>Marcey, David J.;Stark, William S.</t>
  </si>
  <si>
    <t>Salt Lake City;Columbia</t>
  </si>
  <si>
    <t>The University of Utah;University of Missouri</t>
  </si>
  <si>
    <t>Marcey D.</t>
  </si>
  <si>
    <t>The morphology, physiology, and neural projections of supernumerary compound eyes in Drosophila melanogaster</t>
  </si>
  <si>
    <t>10.1016/0012-1606(85)90386-0</t>
  </si>
  <si>
    <t>2-s2.0-0021966151</t>
  </si>
  <si>
    <t>R01NS019191</t>
  </si>
  <si>
    <t>['several neurons', 'pioneer neurons', 'neurons appear', 'neuronal pathways', 'mechanisms used', 'majority pathways', 'leg discs', 'lateral neurons', 'highly reproducible', 'haltere discs', 'different subsets', 'birth time', 'antenna discs']</t>
  </si>
  <si>
    <t>We have followed the formation of neuronal pathways in different imaginal discs of Drosophila. The pattern is highly reproducible for a given disc type but distinct for each type of discs: in leg discs, several neurons are present before metamorphosis and provide two major pathways that are joined by lateral neurons; in the wing and haltere discs, a few pairs of neurons appear after the onset of metamorphosis and pioneer the majority pathways; in antenna discs, no pioneers are detected before massive neuronal differentiation begins. The mechanisms used for axonal guidance seem common to all discs, and the differences between discs can be accounted for simply by differences in the arrangement and birth time of pioneer neurons. Different subsets of pioneer neurons are deleted by mutations such as scute and engrailed.</t>
  </si>
  <si>
    <t>2453-2464</t>
  </si>
  <si>
    <t>Journal of Neuroscience</t>
  </si>
  <si>
    <t>60031970;60031970-60000145;60031970;60031970;60031970</t>
  </si>
  <si>
    <t>7201706839;7006222021;57207651873;6507647869;7103237612</t>
  </si>
  <si>
    <t>Jan, Y. N.;Ghysen, A.;Christoph, I.;Barbel, S.;Jan, L. Y.</t>
  </si>
  <si>
    <t>United States;Belgium</t>
  </si>
  <si>
    <t>San Francisco;Brussels</t>
  </si>
  <si>
    <t>UCSF School of Medicine;Universit√© Libre de Bruxelles</t>
  </si>
  <si>
    <t>60031970;60000145</t>
  </si>
  <si>
    <t>Jan Y.N.</t>
  </si>
  <si>
    <t>Formation of neuronal pathways in the imaginal discs of Drosophila melanogaster</t>
  </si>
  <si>
    <t>10.1523/jneurosci.05-09-02453.1985</t>
  </si>
  <si>
    <t>2-s2.0-0021971389</t>
  </si>
  <si>
    <t>['two methods', 'system parameters', 'structural parameters', 'second method', 'rate sensors', 'parameter identifiability', 'obtaining cramer', 'modal frequencies', 'damping ratios', 'control theory', 'computing variances', 'collocated attitude', 'best identifiability', 'based antenna']</t>
  </si>
  <si>
    <t>The problem of control systems synthesis and parameter identifiability are considered for a large, flexible, space-based antenna. Two methods are considered for control system synthesis, the first of which uses torque actuators and collocated attitude and rate sensors, and the second method is based on the linear-quadratic-Gaussian (LQG) control theory. The predicted performance obtained by computing variances of pointing, surface and feed misalignment errors in the presence of sensor noise indicates that the LQG-based controller yields superior results. Since controller design requires the knowledge of the system parameters, the identifiability of the structural parameters is investigated by obtaining Cramer-Rao lower bounds. The modal frequencies are found to have the best identifiability, followed by damping ratios, and mode-slopes.</t>
  </si>
  <si>
    <t>125-130</t>
  </si>
  <si>
    <t>Transactions of the Canadian Society for Mechanical Engineering</t>
  </si>
  <si>
    <t>Joshi, Suresh M.</t>
  </si>
  <si>
    <t>Norfolk</t>
  </si>
  <si>
    <t>Old Dominion University</t>
  </si>
  <si>
    <t>Joshi S.M.</t>
  </si>
  <si>
    <t>CONTROLLER DESIGN AND PARAMETER IDENTIFIABILITY STUDIES FOR A LARGE SPACE ANTENNA.</t>
  </si>
  <si>
    <t>10.1139/tcsme-1985-0018</t>
  </si>
  <si>
    <t>2-s2.0-0021974436</t>
  </si>
  <si>
    <t>['wiley company', 'several cases', 'previous paper', 'power absorbed', 'plane wave', 'paper deals', 'ocular damage', 'numerical results', 'numerical calculations', 'near field', 'man taking', 'man standing', 'man holding', 'inc .,', 'human body', 'fundamental characteristics', 'eye exceeds', 'dipole antenna', 'calculations using', 'block model', 'authors calculated', 'absorbed powers', 'absorbed power']</t>
  </si>
  <si>
    <t>In a previous paper the authors calculated the power absorbed in the head of man holding a portable radio transmitter. It was found that the local absorbed power level exceeded the provisional safety level for ocular damage. For the calculations, however, the head of man was modeled as an isolated lossy sphere, and the effects of the human body and the ground on the absorbed power were not considered. This paper deals with numerical calculations of the absorbed powers in a realistic block model of a man taking into account the effects of the body and the ground. First, some fundamental characteristics are clarified for the calculations using a block model. Second, the absorbed powers in the head of a block model of a man standing on the ground are calculated for both cases when the model is in a plane‚Äêwave field and in the near field of a dipole antenna. The numerical results are compared with those obtained in the previous paper employing the isolated sphere model. It is found from the results that the effects of the body and the ground are less in the near field of an antenna very close to the head than in the field of a plane wave, and that the local specific absorption rate in the eye exceeds the provisional safety level for ocular damage on several cases. Copyright ¬© 1985 Wiley Periodicals, Inc., A Wiley Company</t>
  </si>
  <si>
    <t>104-111</t>
  </si>
  <si>
    <t>60000264;60000264</t>
  </si>
  <si>
    <t>6602707745;57190922024</t>
  </si>
  <si>
    <t>Uebayashi, Shinji;Members, Yoshifumi Amemiya, Regular</t>
  </si>
  <si>
    <t>Nagoya</t>
  </si>
  <si>
    <t>Nagoya University</t>
  </si>
  <si>
    <t>Uebayashi S.</t>
  </si>
  <si>
    <t>Power deposition in a block model of man exposed to the near field of a Œª/2 dipole antenna</t>
  </si>
  <si>
    <t>10.1002/ecja.4410680612</t>
  </si>
  <si>
    <t>2-s2.0-0021975193</t>
  </si>
  <si>
    <t>['video signals', 'satellite links', 'safety system', 'radio communications', 'performance criteria', 'new recommendation', 'maritime communications', 'international telecommunications', 'digital coding', 'definition television', 'channel arrangements', 'broadcasting studios', 'baseband inter']</t>
  </si>
  <si>
    <t>A REVIEW is given of some of the international technical standards activities and Recommendations of the International Radio Consultative Committee (CCIR) for radio communications. A new Recommendation for the digital coding of television signals provides a basis for a single world standard for video signals in broadcasting studios, recording, and exchange of programs. Work is underway on high-definition television and a standard for satellite direct broadcasting downlink. Fixed satellite earth-station antenna standards (developed earlier), and performance criteria for satellite links in the integrated services digital network are being improved. Digital microwave radio relay standards include allowable bit error ratio, channel arrangements, and baseband inter-connection. Mobile service Recommendations include system standards for VHF/UHF automated radiotelephony, a future global maritime distress and safety system, and radio paging codes and formats. Standards for the use of ARQ in HF and maritime communications, and the use of Universal Coordinated Time (UTC) in international telecommunications, are based on CCIR Recommendations.¬© 1985 IEEE</t>
  </si>
  <si>
    <t>IEEE Communications Magazine</t>
  </si>
  <si>
    <t>Kirby, Richard C.</t>
  </si>
  <si>
    <t>Kirby R.</t>
  </si>
  <si>
    <t>International Standards in Radio Communication</t>
  </si>
  <si>
    <t>10.1109/MCOM.1985.1092421</t>
  </si>
  <si>
    <t>2-s2.0-0021975659</t>
  </si>
  <si>
    <t>['whiplike sensillum', 'uncertain function', 'several respects', 'may relate', 'mating systems', 'mate successfully', 'internal morphology', 'hidden hairs', 'functional dimorphism', 'functional differences', 'four types', 'external differences', 'euphydryas editha', 'electron microscopy', 'discussed briefly', 'antennal structure', 'antennal sensilla', 'acts mainly', '80 ).']</t>
  </si>
  <si>
    <t>Males of Euphydryas editha (Lepidoptera: Nymphalidae) need their antennae to mate successfully, but females do not. Antennal structure was investigated in the hope of explaining this functional dimorphism, which is opposite to that in other butterflies (e.g., Myers, '68; Grula and Taylor, '80). No external differences between the sexes were observed with electron microscopy. There are four types of antennal sensilla: the spine, which acts mainly as a mechanoreceptor, shallow dish hairs and hidden hairs, which are chemoreceptors, and a whiplike sensillum of uncertain function. The internal morphology of male and female antennae differs in several respects which may relate to functional differences. The mating systems of butterflies are discussed briefly to explain our results and those of others. Copyright ¬© 1985 Wiley‚ÄêLiss, Inc.</t>
  </si>
  <si>
    <t>Journal of Morphology</t>
  </si>
  <si>
    <t>6602356154;7101963320;57198010604</t>
  </si>
  <si>
    <t>Odendaal, F. J.;Ehrlich, P. R.;Thomas, F. C.</t>
  </si>
  <si>
    <t>Odendaal F.</t>
  </si>
  <si>
    <t>Structure and function of the antennae of Euphydryas editha (Lepidoptera: Nymphalidae)</t>
  </si>
  <si>
    <t>10.1002/jmor.1051840102</t>
  </si>
  <si>
    <t>2-s2.0-0021989553</t>
  </si>
  <si>
    <t>['¬© 1985', 'stoichiometrically different', 'site structures', 'rps .)', 'resonance raman', 'new classification', 'high absorbance', 'dweller bacteriochlorophylls', 'complexes might', 'classification distinguishes', 'biochemical data', 'b 850', 'antenna complexes', 'also shown', 'also exhibit', 'absorbing antennae', '800 ns', '800 nm', '800 complexes']</t>
  </si>
  <si>
    <t>Resonance Raman spectroscopy provided evidence that high 800 nm-absorbing antennae from Rhodopseudomonas (Rps.) acidophila and Rps. palustris have similar structures around their dweller bacteriochlorophylls. These host-site structures are different from those of B 850-800 complexes from Chromatiaceae, which also exhibit a high absorbance at 800 nm. As also shown by previous biochemical data, these complexes might be stoichiometrically different from other antenna complexes, having one more BChl per minimal size unit of protein. A new classification of B 850-800 complexes is proposed, on the basis of resonance Raman and biochemical data: this classification distinguishes a class of B 850-800 S (involving the B 850-800 complexes from sulfur purple bacteria), two classes of B 850-800 NS (involving the B 850-800 complexes from non sulfur purple bacteria) and a class of H 800 complexes (involving the B 850-800 complexes from non sulfur purple bacteria exhibiting a high absorbance at 800 nm). ¬© 1985, by the Japanese Biochemical Society.</t>
  </si>
  <si>
    <t>349-354</t>
  </si>
  <si>
    <t>0021924X</t>
  </si>
  <si>
    <t>Journal of Biochemistry</t>
  </si>
  <si>
    <t>60019615;60019615;60019615</t>
  </si>
  <si>
    <t>7103125115;6602629335;7201814095</t>
  </si>
  <si>
    <t>Robert, Bruno;Andrianambinintsoa, Sandra;Lutz, Marc</t>
  </si>
  <si>
    <t>Gif-sur-Yvette</t>
  </si>
  <si>
    <t>CEA Saclay</t>
  </si>
  <si>
    <t>Robert B.</t>
  </si>
  <si>
    <t>Structural characterization of high 800 nm-absorbing light-harvesting complexes from rhodospirillales from their resonance raman spectra</t>
  </si>
  <si>
    <t>10.1093/oxfordjournals.jbchem.a135288</t>
  </si>
  <si>
    <t>2-s2.0-0021995458</t>
  </si>
  <si>
    <t>['tem approximation', 'one component', 'obtained using', 'line junction', 'francis group', 'exact analysis', 'equivalent circuit', 'dominant modes', 'coaxial lines', 'aperture field']</t>
  </si>
  <si>
    <t>An exact analysis of a radial-line/coaxial-line junction is presented. An equivalent is deduced for the junction for the case where only the dominant modes can propagate in the radial and coaxial lines. The expressions for the equivalent circuit are in terms of the unknown coaxial aperture electric field. It is shown that only one component of the equivalent circuit is affected to any extent by approximation of the aperture field. Expressions for the equivalent circuit are then obtained using the TEM approximation. Finally, two modified junctions are considered. ¬© 1985 Taylor &amp; Francis Group, LLC.</t>
  </si>
  <si>
    <t>91-104</t>
  </si>
  <si>
    <t>International Journal of Electronics</t>
  </si>
  <si>
    <t>Williamson, A. G.</t>
  </si>
  <si>
    <t>New Zealand</t>
  </si>
  <si>
    <t>Auckland</t>
  </si>
  <si>
    <t>The University of Auckland</t>
  </si>
  <si>
    <t>Williamson A.</t>
  </si>
  <si>
    <t>Radial-line/coaxial-line junctions: Analysis and equivalent circuits</t>
  </si>
  <si>
    <t>10.1080/00207218508939005</t>
  </si>
  <si>
    <t>2-s2.0-0021996835</t>
  </si>
  <si>
    <t>['temporomandibular joint', 'symptomatic subject', 'pathologic anatomy', 'magnetic resonance', 'joint meniscus', 'exquisite detail', 'clearly visible', 'arthrographic confirmation', 'anterior displacment']</t>
  </si>
  <si>
    <t>Magnetic resonance (MR) imaging of the temporomandibular joint was performed in two subjects using a 1.5 T experimental imaging system equipped with a 6.5 cm surface coil antenna. Normal and pathologic anatomy were demonstrated with exquisite detail. Anterior displacment of the joint meniscus was clearly visible in the symptomatic subject, consistent with arthrographic confirmation.</t>
  </si>
  <si>
    <t>829-830</t>
  </si>
  <si>
    <t>Radiology</t>
  </si>
  <si>
    <t>60023653;60023653;60023653;;;;;;</t>
  </si>
  <si>
    <t>57213417231;24757318700;7203026598;57203083307;22982967600;7101628524;7103162947;7005882614;55527316400</t>
  </si>
  <si>
    <t>Roberts, D.;Schenck, J.;Joseph, P.;Foster, T.;Hart, H.;Pettigrew, J.;Kundel, H. L.;Edelstein, W.;Haber, B.</t>
  </si>
  <si>
    <t>National Institute of Dental and Craniofacial Research (NIDCR)</t>
  </si>
  <si>
    <t>Roberts D.</t>
  </si>
  <si>
    <t>Temporomandibular joint: Magnetic resonance imaging</t>
  </si>
  <si>
    <t>10.1148/radiology.154.3.3969490</t>
  </si>
  <si>
    <t>2-s2.0-0022002251</t>
  </si>
  <si>
    <t>National Cancer Institute</t>
  </si>
  <si>
    <t>R01CA034686</t>
  </si>
  <si>
    <t>NCI</t>
  </si>
  <si>
    <t>['¬© 1985', 'thermistor temperatures', 'thermal field', 'thermal distributions', 'temperatures measured', 'temperature probes', 'temperature error', 'temperature differentials', 'stereotaxic implantation', 'smearing due', 'significantly accentuated', 'routinely observed', 'optical probe', 'optic sensor', 'nonperfused phantom', 'nonelectromagnetic environment', 'maximum difference', 'major source', 'fluoroptic sensor', 'flow cell', 'experiments performed', 'axial length', 'air surface', 'additionally confirmed', '2 probes']</t>
  </si>
  <si>
    <t>Fluoroptic | Hyperthermia | Interstitial microwave | Temperature measurement | Thermal conduction</t>
  </si>
  <si>
    <t>Two temperature probes (a fluoroptic sensor and a metallic thermistor), which are both suitable for stereotaxic implantation, were used in comparative thermometry studies during interstitial microwave heating of the brain in vivo. Thermal distributions having large temperature gradients (5-10¬∞C/cm) were routinely observed. The temperature differentials (ŒîT) between the 2 probes were position dependent within the thermal field. The maximum difference in temperatures measured, using the 2 probes along identical tracks without a catheter, ranged between 0.5¬∞C and 1.8¬∞C. Near the brain/air surface, the thermistor measured lower temperatures than the optical probe; however, medial to the antenna, the thermistor temperatures were higher than the optic sensor. The measured temperature discrepancies are the result of smearing due to thermal conduction along the axial length of the metallic thermistor probe. These effects are significantly accentuated when the temperature probes are tracked in catheters. Experiments performed in a nonperfused phantom, heated with the interstitial microwave antenna, demonstrated similar conductive effects. Studies in a nonelectromagnetic environment (flow cell-thermal step gradient) additionally confirmed that thermal conductive artifacts were the major source of temperature error. ¬© 1985.</t>
  </si>
  <si>
    <t>951-962</t>
  </si>
  <si>
    <t>International Journal of Radiation Oncology, Biology, Physics</t>
  </si>
  <si>
    <t>60032838;60032838;60032838</t>
  </si>
  <si>
    <t>7102777830;35475361200;7005622646</t>
  </si>
  <si>
    <t>Lyons, Bernard E.;Samulski, Thaddeus V.;Britt, Richard H.</t>
  </si>
  <si>
    <t>Stanford</t>
  </si>
  <si>
    <t>Stanford University School of Medicine</t>
  </si>
  <si>
    <t>Lyons B.</t>
  </si>
  <si>
    <t>Temperature measurements in high thermal gradients: I. The effects of conduction</t>
  </si>
  <si>
    <t>0360-3016(85)90118-X</t>
  </si>
  <si>
    <t>10.1016/0360-3016(85)90118-X</t>
  </si>
  <si>
    <t>2-s2.0-0022002791</t>
  </si>
  <si>
    <t>['¬© 1985', 'various loci', 'tetradecenyl acetate', 'response characteristics', 'ostrinia nubilatis', 'observed response', 'male moths', 'gradient characteristics', 'epithelial layer', 'direct evidence', 'antennal axis', '1 mm']</t>
  </si>
  <si>
    <t>Summation and gradient characteristics of the electroantennogram (EAG) responses of male moths of the European corn borer (Ostrinia nubilatis) to their pheromone, (Z)-11-tetradecenyl acetate, were studied. Direct evidence that the summation of the locally elicited EAGs contribute to the overall response amplitude is presented; if two simultaneously stimulated loci were separated by more than 1 mm, the observed response was the summation of the two independent local EAGs. Configuration of the local EAG response was obtained at various loci of the antenna. It was demonstrated that a gradient in the amplitude of the local EAG exists along the antennal axis and that this gradient has its origin in the epithelial layer of the antenna. Several possible morphological and physiological factors affecting the response characteristics were considered. ¬© 1985.</t>
  </si>
  <si>
    <t>32-39</t>
  </si>
  <si>
    <t>Pesticide Biochemistry and Physiology</t>
  </si>
  <si>
    <t>Nagai, Toshio</t>
  </si>
  <si>
    <t>Agriculture et Agroalimentaire Canada</t>
  </si>
  <si>
    <t>Nagai T.</t>
  </si>
  <si>
    <t>Summation and gradient characteristics of local electroantennogram response of the European corn borer, Ostrinia nubilalis</t>
  </si>
  <si>
    <t>10.1016/0048-3575(85)90110-5</t>
  </si>
  <si>
    <t>2-s2.0-0022005116</t>
  </si>
  <si>
    <t>['three resonators', 'substrate œµ', 'segmentation method', 'second case', 'rectangular patch', 'reasonable agreement', 'nonradiating edges', 'impedance bandwidths', 'impedance bandwidth', 'function approach', 'four edges', 'experimental results', '815 mhz', '480 mhz']</t>
  </si>
  <si>
    <t>Two novel configurations for increasing the impedance bandwidth of the microstrip patch antennas are described. One of these configurations uses two additional resonators which are gap-coupled to the nonradiating edges of a rectangular patch, whereas in the second case, four additional resonators are gap-coupled to the four edges of a rectangular patch. Green's function approach and segmentation method are used for analysis. The experimental results are in reasonable agreement with analysis and impedance bandwidths of 480 MHz and 815 MHz are obtained for the three resonators and five resonators configurations, respectively (in S-band with substrate Œµ&lt;inf&gt;r&lt;/inf&gt; = 2.55 and thickness = 0.318 cm). ¬© 1985 IEEE</t>
  </si>
  <si>
    <t>173-178</t>
  </si>
  <si>
    <t>60009697-60000221</t>
  </si>
  <si>
    <t>Kumar, Girish</t>
  </si>
  <si>
    <t>Canada;United States</t>
  </si>
  <si>
    <t>Winnipeg;Boulder</t>
  </si>
  <si>
    <t>University of Manitoba;University of Colorado Boulder</t>
  </si>
  <si>
    <t>60009697;60000221</t>
  </si>
  <si>
    <t>Kumar G.</t>
  </si>
  <si>
    <t>Nonradiating Edges and Four Edges Gap-Coupled Multiple Resonator Broad-Band Microstrip Antennas</t>
  </si>
  <si>
    <t>10.1109/TAP.1985.1143563</t>
  </si>
  <si>
    <t>2-s2.0-0022010107</t>
  </si>
  <si>
    <t>['topped beam', 'simultaneously adjusted', 'shaped region', 'radial positions', 'nonshaped region', 'individually controlled', 'experimental validation', 'deep nulls', 'certain roots']</t>
  </si>
  <si>
    <t>A technique is introduced which uses the conventional polynomial representation of the antenna pattern produced by an equispaced linear array. Certain roots are displaced from the unit circle radially, to fill a portion of the pattern, which before this displayed lobes interspersed by deep nulls. The angular and radial positions of all the roots are simultaneously adjusted so that the amplitude of each ripple in the shaped region and the height of each sidelobe in the nonshaped region are individually controlled. Applications to a cosec**2 theta multiplied by cos theta pattern and to a flat-topped beam are presented. Experimental validation is offered.</t>
  </si>
  <si>
    <t>63-68</t>
  </si>
  <si>
    <t>1 pt H</t>
  </si>
  <si>
    <t>IEE Proceedings H: Microwaves Optics and Antennas</t>
  </si>
  <si>
    <t>Feb</t>
  </si>
  <si>
    <t>60027550;60027550;60027550</t>
  </si>
  <si>
    <t>7004675898;57220065537;7101778980</t>
  </si>
  <si>
    <t>Orchard, H. J.;Elliott, R. S.;Stern, G. J.</t>
  </si>
  <si>
    <t>University of California, Los Angeles</t>
  </si>
  <si>
    <t>Orchard H.J.</t>
  </si>
  <si>
    <t>OPTIMISING THE SYNTHESIS OF SHAPED BEAM ANTENNA PATTERNS.</t>
  </si>
  <si>
    <t>10.1049/ip-h-2.1985.0013</t>
  </si>
  <si>
    <t>2-s2.0-0022010216</t>
  </si>
  <si>
    <t>['theoretically shown', 'simple structure', 'paper proposes', 'optical waveguides', 'magnitude compared', 'electronics engineers', 'design theory', 'conventional ones', 'branching regions', 'branching angles', 'antenna coupled']</t>
  </si>
  <si>
    <t>This paper proposes a simple structure (antenna coupled Y- junction) which reduces radiation losses of Y-junctions in 3-D optical waveguides by decreasing refractive indexes near the branching regions. A principle to reduce radiation losses and a design theory are presented for the new Y-junction by using geometrical optics. It is theoretically shown that losses of the properly designed 3-D Y-junctions can be reduced by around an order of magnitude compared to those of conventional ones when the branching angles are large. Copyright ¬© 1985 by The Institute of Electrical and Electronics Engineers, Inc.</t>
  </si>
  <si>
    <t>168-173</t>
  </si>
  <si>
    <t>IEEE Journal of Quantum Electronics</t>
  </si>
  <si>
    <t>60008435;60008435;60008435</t>
  </si>
  <si>
    <t>6701762026;35515530700;35462051700</t>
  </si>
  <si>
    <t>Hanaizumi, Osamu;Miyagi, Mitsunobu;Kawakami, Shojiro</t>
  </si>
  <si>
    <t>Sendai</t>
  </si>
  <si>
    <t>Tohoku University</t>
  </si>
  <si>
    <t>Hanaizumi O.</t>
  </si>
  <si>
    <t>Wide Y-Junctions with Low Losses in Three-Dimensional Dielectric Optical Waveguides</t>
  </si>
  <si>
    <t>10.1109/JQE.1985.1072619</t>
  </si>
  <si>
    <t>2-s2.0-0022010240</t>
  </si>
  <si>
    <t>['single parameter', 'reflector antenna', 'parameter describes', 'offset conditions', 'new description', 'main reflector', 'image space', 'illuminating beam', 'concave hemisphere', 'axial illumination', 'angle subtended', 'amplitude shaping']</t>
  </si>
  <si>
    <t>A new description of the profiles of the main reflector and subreflector of a dual-reflector antenna is given in terms of a single parameter, the angle subtended by the normal to the main reflector and the axis of the system. It is shown that the same parameter describes the nature of the focusing in both the illuminating beam and the image space. Hence, quite general illumination, focusing and main reflector profiles can be considered. The results are illustrated for subreflectors in the concave hemisphere and paraboloid, for axial illumination and offset conditions, and the application of the method to amplitude shaping or the Abbe sine condition is discussed.</t>
  </si>
  <si>
    <t>47-52</t>
  </si>
  <si>
    <t>Cornbleet, S.</t>
  </si>
  <si>
    <t>Guildford</t>
  </si>
  <si>
    <t>University of Surrey</t>
  </si>
  <si>
    <t>Cornbleet S.</t>
  </si>
  <si>
    <t>GENERAL DESIGN OF TWO-REFLECTOR ANTENNAS.</t>
  </si>
  <si>
    <t>10.1049/ip-h-2.1985.0009</t>
  </si>
  <si>
    <t>2-s2.0-0022010257</t>
  </si>
  <si>
    <t>['unit circle', 'overdetermined case', 'excess numbers', 'antenna elements']</t>
  </si>
  <si>
    <t>A modification of Prony's method, in which an attempt is made to constrain the roots of the polynomial to the unit circle, is used to resolve a number of plane waves illuminating a uniformly spaced line array. A least squares method based on the eigenstructure of a certain correlation matrix is developed to handle the overdetermined case when there are excess numbers of antenna elements. Angle estimate variance is compared to the Cramer-Rao lower bound and with the forward-backward linear predictor method.</t>
  </si>
  <si>
    <t>53-57</t>
  </si>
  <si>
    <t>Hudson, J. E.</t>
  </si>
  <si>
    <t>Loughborough</t>
  </si>
  <si>
    <t>Loughborough University</t>
  </si>
  <si>
    <t>Hudson J.E.</t>
  </si>
  <si>
    <t>DECOMPOSITION OF ANTENNA SIGNALS INTO PLANE WAVES.</t>
  </si>
  <si>
    <t>10.1049/ip-h-2.1985.0010</t>
  </si>
  <si>
    <t>2-s2.0-0022010556</t>
  </si>
  <si>
    <t>['wave bands', 'upconversion system', 'unconventional approach', 'two emitter', 'tuned receivers', 'spurious sensitivities', 'source capacitance', 'production costs', 'order intermodulation', 'novel type', 'novel method', 'noise match', 'new type', 'linear double', 'gain pairs', 'gain distribution', 'electronics engineers', 'driven variable', 'distortion performance', 'conventional varactor', 'conventional 40omhz', 'constant level', 'completely eliminated', 'complete long', 'channel selectivity', 'band switches', 'automatically optimizes', 'amplitude control', '100db range']</t>
  </si>
  <si>
    <t>A new type of monolithic AM receiver has been designed and integrated in a conventional 40OMHz-fT bipolar process. Adjustments and band switches are completely eliminated, and production costs can be reduced considerably thanks to the unconventional approach, which uses an upconversion system. A wideband, low-noise and low-distortion input amplifier providing a noise match to the source capacitance (antenna and cable) is followed by a low-pass filter suppressing the image and spurious sensitivities. The complete long-wave and medium-wave bands are converted to a 10.7MHz intermediate frequency in a linear double-balanced switching mixer, driven from a low-phase-noise negative resistance oscillator with a novel type of amplitude control. Channel selectivity is obtained by low-cost quartz filters. The i.f. amplifier is realized with negative-feedback current amplifiers alternated by two emitter-driven variable-gain pairs. A low-level envelope detector completes the circuit. A constant level of the audio signal together with a constant AGC speed are obtained by a novel method which automatically optimizes the gain distribution with respect to noise and distortion performance. The properties of the complete receiver favorably compete with those of conventional varactor-tuned receivers. The dynamic range exceeds 120dB and is free of second- and third-order intermodulation over an 80 and 100dB range, respectively. Copyright ¬© 1985 by The Institute of Electrical and Electronics Engineers, Inc.</t>
  </si>
  <si>
    <t>CE-31</t>
  </si>
  <si>
    <t>IEEE Transactions on Consumer Electronics</t>
  </si>
  <si>
    <t>60006288;60006288</t>
  </si>
  <si>
    <t>7004108361;7004772283</t>
  </si>
  <si>
    <t>Nordholt, E. H.;Nauta, H. C.</t>
  </si>
  <si>
    <t>Delft</t>
  </si>
  <si>
    <t>Delft University of Technology</t>
  </si>
  <si>
    <t>Nordholt E.H.</t>
  </si>
  <si>
    <t>A New Integrated High-Performance am Receiver for Car Radio</t>
  </si>
  <si>
    <t>10.1109/TCE.1985.289876</t>
  </si>
  <si>
    <t>2-s2.0-0022011360</t>
  </si>
  <si>
    <t>['reflector antennas', 'paraboloidal surfaces', 'near field', 'key feature', 'government agencies', 'extensive use', '50 companies']</t>
  </si>
  <si>
    <t>The numerical electromagnetics code (NEC) reflector antenna code has been sent to over 50 companies, government agencies, and universities. It is known to be in extensive use by several of these organizations. The theory and computational techniques used in the code, which has the capability for both near field and far field computations for reflector antennas with paraboloidal surfaces are described. A key feature of the code is its capability to calculate complete 360¬∞ patterns for a general reflector rim shape. ¬© 1985 IEEE</t>
  </si>
  <si>
    <t>189-194</t>
  </si>
  <si>
    <t>60007742-60003500</t>
  </si>
  <si>
    <t>Lee, Shu Hong</t>
  </si>
  <si>
    <t>Clarksburg;Columbus</t>
  </si>
  <si>
    <t>Comsat Laboratories;The Ohio State University</t>
  </si>
  <si>
    <t>60007742;60003500</t>
  </si>
  <si>
    <t>Lee S.</t>
  </si>
  <si>
    <t>Aperture Integration and GTD Techniques Used in the NEC Reflector Antenna Code</t>
  </si>
  <si>
    <t>10.1109/TAP.1985.1143548</t>
  </si>
  <si>
    <t>2-s2.0-0022011476</t>
  </si>
  <si>
    <t>['‚ äîwide', 'three headings', 'long line', 'brief account', 'band matching']</t>
  </si>
  <si>
    <t>A brief account of some concepts and developments in my experience with antennas is presented under three headings: A‚Äîwide-band matching to a long line; B‚Äîsmall antennas; C‚Äîplanar arrays. They cover the half-century from 1935 to date. ¬© 1985 IEEE</t>
  </si>
  <si>
    <t>144-151</t>
  </si>
  <si>
    <t>Wheeler, Harold A.</t>
  </si>
  <si>
    <t>Wheeler H.</t>
  </si>
  <si>
    <t>Antenna Topics in My Experience</t>
  </si>
  <si>
    <t>10.1109/TAP.1985.1143554</t>
  </si>
  <si>
    <t>2-s2.0-0022011477</t>
  </si>
  <si>
    <t>['pattern synthesis', 'optimal solution', 'null constraints', 'noise ratio', 'maximum gain', 'look direction', 'constrained maximization', 'also shown', 'also investigated']</t>
  </si>
  <si>
    <t>The optimal solution to the problem of minimizing the complex weight vector norm subject to a ‚Äúlook direction‚Äù and null constraints in array pattern synthesis is given. It is also shown that several constrained optimization problems in pattern synthesis, viz, constrained maximization of signal-to-noise ratio (SNR), constrained pattern gain maximization, and constrained least squares pattern synthesis are, in fact, equivalent. Reduction of the maximum gain in the look direction and the occurrence of main-lobe angular shifts which are inherent in constrained pattern synthesis are also investigated. ¬© 1985 IEEE</t>
  </si>
  <si>
    <t>215-217</t>
  </si>
  <si>
    <t>60011664-60021366;60011664</t>
  </si>
  <si>
    <t>57203083282;6701712174</t>
  </si>
  <si>
    <t>Ng, T. S.;Paoloni, Frank J.</t>
  </si>
  <si>
    <t>United States;Australia</t>
  </si>
  <si>
    <t>Lowell;Wollongong</t>
  </si>
  <si>
    <t>M/A-COM (MACOM);University of Wollongong</t>
  </si>
  <si>
    <t>60021366;60011664</t>
  </si>
  <si>
    <t>Ng T.</t>
  </si>
  <si>
    <t>Optimization with Controlled Null Placement in Antenna Array Pattern Synthesis</t>
  </si>
  <si>
    <t>10.1109/TAP.1985.1143549</t>
  </si>
  <si>
    <t>2-s2.0-0022011623</t>
  </si>
  <si>
    <t>['vehicular antennas', 'radar targets', 'missile antennas', 'measuring full', 'later changed', 'human involvement', 'historical accounts', 'electroscience laboratory', 'early history', 'cw technique', 'antenna laboratory']</t>
  </si>
  <si>
    <t>The early history of the Antenna Laboratory (the name was later changed to the ElectroScience Laboratory) of The Ohio State University is sketched. The development of scale model antenna techniques is described, as applied to measuring the patterns of aircraft and missile antennas. Other projects included one for measuring full-scale antenna patterns of vehicular antennas for the U.S. Army and another on the development of a CW technique for studying the reflections from radar targets. Emphasized is the importance of including in historical accounts of the works of engineering the human involvement of the engineers who create them. ¬© 1985 IEEE</t>
  </si>
  <si>
    <t>137-143</t>
  </si>
  <si>
    <t>Sinclair, George</t>
  </si>
  <si>
    <t>Concord</t>
  </si>
  <si>
    <t>Sinclair Radio Laboratories Ltd.</t>
  </si>
  <si>
    <t>Sinclair G.</t>
  </si>
  <si>
    <t>Early History of the OSU ElectroScience Laboratory</t>
  </si>
  <si>
    <t>10.1109/TAP.1985.1143545</t>
  </si>
  <si>
    <t>2-s2.0-0022011624</t>
  </si>
  <si>
    <t>['uniform theory', 'solution indicates', 'single face', 'rigorous solution', 'face component', 'diffracted field', 'currents induced']</t>
  </si>
  <si>
    <t>In certain wedge diffraction problems, it is advantageous to know the part of the diffracted field created by the currents induced on a single face of the wedge. The rigorous solution to the corresponding canonical problem is derived. This solution indicates which part of the uniform theory of diffraction (UTD) solution for the wedge-diffracted field should be taken to describe its single-face component. ¬© 1985 IEEE</t>
  </si>
  <si>
    <t>221-223</t>
  </si>
  <si>
    <t>Michaeli, Arie</t>
  </si>
  <si>
    <t>Haifa</t>
  </si>
  <si>
    <t>RAFAEL Armament Development Authority Ltd.</t>
  </si>
  <si>
    <t>Michaeli A.</t>
  </si>
  <si>
    <t>Contribution of a Single Face to the Wedge Diffracted Field</t>
  </si>
  <si>
    <t>10.1109/TAP.1985.1143557</t>
  </si>
  <si>
    <t>2-s2.0-0022011747</t>
  </si>
  <si>
    <t>['solutions described', 'similar systems', 'sidelobe levels', 'reflector systems', 'pattern symmetry', 'easily extended', 'dual reflector', 'developed method', 'antennas listed']</t>
  </si>
  <si>
    <t>Optimum beam scanning in offset single reflector (paraboloid) and dual reflector (Cassegrain and Gregorian) antennas is considered. Analytical, computationally efficient solutions and results are presented for the optimum feed position, the constant beam direction feed loci, and the optimum feed position locus. Examples are presented to verify that the analysis technique yields the optimum feed position, which exhibits better gain, pattern symmetry, and sidelobe levels when compared with other feed positions producing beams scanned to the same direction. The solutions described were obtained under the ray optics approximation and a ‚Äúreceive mode‚Äù analysis. Although the developed method was applied to the antennas listed above, it can be easily extended to other n-reflector systems, shaped reflector antennas, lenses, and other similar systems. ¬© 1985 IEEE</t>
  </si>
  <si>
    <t>179-188</t>
  </si>
  <si>
    <t>60007742;60007742</t>
  </si>
  <si>
    <t>6603073501;6601995313</t>
  </si>
  <si>
    <t>Krichevsky, Vladimir;DiFonzo, Daniel F.</t>
  </si>
  <si>
    <t>Clarksburg</t>
  </si>
  <si>
    <t>Comsat Laboratories</t>
  </si>
  <si>
    <t>Krichevsky V.</t>
  </si>
  <si>
    <t>Optimum Beam Scanning in Offset Single and Dual Reflector Antennas</t>
  </si>
  <si>
    <t>10.1109/TAP.1985.1143547</t>
  </si>
  <si>
    <t>2-s2.0-0022011807</t>
  </si>
  <si>
    <t>['‚ àùtic1', 'studied experimentally', 'rf voltage', 'rf power', 'resonance decreases', 'resonance closest', 'power balance', 'ion particle', 'increasing density', 'increase linearly', 'highest density', 'high power', 'fueling efficiency', 'end cell', 'cyclotron frequency']</t>
  </si>
  <si>
    <t>Fueling and heating of tandem mirror end cells by rf at the ion-cyclotron frequency have been studied experimentally in the Phaedrus Tandem Mirror. The end cell density is found to increase linearly with rf voltage. The total plasma energy is observed to increase with rf power with no evidence of saturation at high power. The plasma axial length decreases with increasing rf power down to a length of approximately the distance between the two resonance locations in the end cell. The highest density and average ion energy are achieved with the resonance closest to the midplane. It is necessary to assume that the rf electric field at the resonance decreases with increasing density and with distance from the antenna in order to model the ion particle and power balance. The particle and power balance model predicts that dense, hot end cells may be maintained with E+‚àº1V/cm and a fueling efficiency of a few percent when the resonance is close to the midplane because of better ion confinement and small plasma volume. Monte Carlo simulation of the trapping process shows that E2+ ‚àùTic1.5 is required to maintain a given rf trapping efficiency. ¬© 1985 American Institute of Physics.</t>
  </si>
  <si>
    <t>734-742</t>
  </si>
  <si>
    <t>60032179-60022195;60032179;60032179;60032179;60032179;60032179-60022195;60032179-60025209</t>
  </si>
  <si>
    <t>6603994341;6603739347;7005599085;7005081677;7006072211;57190696173;57204229141</t>
  </si>
  <si>
    <t>Golovato, S. N.;Breun, R. A.;Ferron, J. R.;Goulding, R. H.;Hershkowitz, N.;Horne, S. F.;Yujiri, L.</t>
  </si>
  <si>
    <t>Madison;Los Angeles;Cambridge</t>
  </si>
  <si>
    <t>University of Wisconsin-Madison;Northrop Grumman corporation;Massachusetts Institute of Technology</t>
  </si>
  <si>
    <t>60032179;60025209;60022195</t>
  </si>
  <si>
    <t>Golovato S.</t>
  </si>
  <si>
    <t>Fueling and heating of tandem mirror end cells using rf at the ion-cyclotron frequency</t>
  </si>
  <si>
    <t>10.1063/1.865085</t>
  </si>
  <si>
    <t>2-s2.0-0022012025</t>
  </si>
  <si>
    <t>['producing ƒí', 'printed antennas', 'plane patterns', 'phenomenon arises', 'nearly omnidirectional', 'layer surface', 'horizon ).', 'emphasis placed', 'complex plane', 'branch point']</t>
  </si>
  <si>
    <t>Radiation from printed antennas is investigated with emphasis placed on producing ƒí- and H-plane radiation patterns that are as nearly omnidirectional as possible. This is achieved using criteria which are derived for a nonzero radiation field extending down to the layer surface (radiation into the horizon). It is determined that this phenomenon arises when a surface wave pole coincides with a branch point in the complex plane. A simple ray optics interpretation is given for the phenomenon, and graphs are presented to easily enable design of printed antenna geometry to achieve nearly omnidirectional ƒí- or H-plane patterns. ¬© 1985 IEEE</t>
  </si>
  <si>
    <t>195-205</t>
  </si>
  <si>
    <t>60027550-60025778;60027550</t>
  </si>
  <si>
    <t>7004468161;7404289310</t>
  </si>
  <si>
    <t>Alex√≥poulos, Nic√≥laos G.;Jackson, David R.</t>
  </si>
  <si>
    <t>Los Angeles;Ann Arbor</t>
  </si>
  <si>
    <t>University of California, Los Angeles;University of Michigan, Ann Arbor</t>
  </si>
  <si>
    <t>60027550;60025778</t>
  </si>
  <si>
    <t>Alex√≥poulos N.</t>
  </si>
  <si>
    <t>Criteria for Nearly Omnidirectional Radiation Patterns for Printed Antennas</t>
  </si>
  <si>
    <t>10.1109/TAP.1985.1143561</t>
  </si>
  <si>
    <t>2-s2.0-0022012357</t>
  </si>
  <si>
    <t>['soil conductivity', 'resolving capability', 'reconstructed image', 'real pulse', 'propagation velocity', 'holographic approach', 'fine resolution', 'essential parameter', 'electromagnetic wave', 'echo data', 'dielectric constant', 'controlling parameters', 'antenna beamwidth']</t>
  </si>
  <si>
    <t>The resolving capability of underground imaging radar employing a multifrequency holographic approach is characterized in terms of controlling parameters such as the synthetic aperture length, soil conductivity and dielectric constant, and antenna beamwidth. The propagation velocity of electromagnetic wave in soil, which varies from soil to soil, is an essential parameter for reconstructing object images using the holographic approach. Hence, a method of estimating the propagation velocity and also the depth of an object from a pulse-echo image based on the minimum squared error is proposed. The result of underground object image reconstruction from real pulse-echo data is reported to demonstrate high estimation accuracy of the propagation velocity and fine resolution of the reconstructed image. ¬© 1985 IEEE</t>
  </si>
  <si>
    <t>152-159</t>
  </si>
  <si>
    <t>60007887;60007887</t>
  </si>
  <si>
    <t>7004089481;35402633000</t>
  </si>
  <si>
    <t>Osumi, Noriyoshi;Ueno, Keiichi</t>
  </si>
  <si>
    <t>Musashino</t>
  </si>
  <si>
    <t>Musashino Electrical Communication Lab</t>
  </si>
  <si>
    <t>Osumi N.</t>
  </si>
  <si>
    <t>Microwave Holographic Imaging of Underground Objects</t>
  </si>
  <si>
    <t>10.1109/TAP.1985.1143559</t>
  </si>
  <si>
    <t>2-s2.0-0022012358</t>
  </si>
  <si>
    <t>131-137</t>
  </si>
  <si>
    <t>Kraus, John D.</t>
  </si>
  <si>
    <t>Kraus J.</t>
  </si>
  <si>
    <t>Antennas Since Hertz and Marconi</t>
  </si>
  <si>
    <t>10.1109/TAP.1985.1143550</t>
  </si>
  <si>
    <t>2-s2.0-0022012705</t>
  </si>
  <si>
    <t>['various cases', 'value problem', 'radiation pattern', 'numerical results', 'matrix methods', 'form representation', 'electromagnetic field', 'anisotropic region', 'also included', 'algebraic complexity']</t>
  </si>
  <si>
    <t>The radiation from a dipole in the presence of a grounded general gyromagnetic-electric (gyrotropic) layer is investigated. The use of matrix methods in conjunction with Fourier transformation techniques greatly facilitates the formulation of the boundary-value problem, reducing the algebraic complexity to a minimum, and provides a closed-form representation of the electromagnetic field over the anisotropic region. Numerical results in plots, related to the radiation pattern of the structure, are also included for various cases. ¬© 1985 IEEE</t>
  </si>
  <si>
    <t>165-172</t>
  </si>
  <si>
    <t>60002947;60002947</t>
  </si>
  <si>
    <t>7004716169;7102355233</t>
  </si>
  <si>
    <t>Tsalamengas, John L.;Uzunoglu, Nikolaos K.</t>
  </si>
  <si>
    <t>Tsalamengas J.</t>
  </si>
  <si>
    <t>Radiation from a Dipole in the Proximity of a General Anisotropic Grounded Layer</t>
  </si>
  <si>
    <t>10.1109/TAP.1985.1143564</t>
  </si>
  <si>
    <t>2-s2.0-0022012856</t>
  </si>
  <si>
    <t>['array radars']</t>
  </si>
  <si>
    <t>Phased-array radars can track or search for objects without moving its antenna. To steer the beam it relies on wave interactions among signals from a multitude of small antenna elements. This article describes principles of operation of the device.</t>
  </si>
  <si>
    <t>94-102</t>
  </si>
  <si>
    <t>Scientific American</t>
  </si>
  <si>
    <t>Brookner, Eli</t>
  </si>
  <si>
    <t>Brookner E.</t>
  </si>
  <si>
    <t>PHASED-ARRAY RADARS.</t>
  </si>
  <si>
    <t>10.1038/scientificamerican0285-94</t>
  </si>
  <si>
    <t>2-s2.0-0022012883</t>
  </si>
  <si>
    <t>['transient field', 'simple way', 'natural frequencies', 'let u']</t>
  </si>
  <si>
    <t>Let u(x, t) be the transient field in the exterior of a star-shaped reflecting scatterer. A simple way to compute the resonances (natural frequencies) and their multiplicities is given. ¬© 1985 IEEE</t>
  </si>
  <si>
    <t>223-225</t>
  </si>
  <si>
    <t>Ramm, A. G.</t>
  </si>
  <si>
    <t>Manhattan</t>
  </si>
  <si>
    <t>Kansas State University</t>
  </si>
  <si>
    <t>Ramm A.</t>
  </si>
  <si>
    <t>Extraction of Resonances from Transient Fields</t>
  </si>
  <si>
    <t>10.1109/TAP.1985.1143543</t>
  </si>
  <si>
    <t>2-s2.0-0022013265</t>
  </si>
  <si>
    <t>['œ ≥', 'whose grooves', 'rectangular horn', 'numerical machining', 'horn described', 'good approximation', 'distribution cos', 'different beamwidths', 'corrugated horns', 'commonly obtained', 'circular horn', 'circular aperture']</t>
  </si>
  <si>
    <t>We describe a rectangular horn with radiation characteristics similar to those commonly obtained with corrugated horns of circular aperture. The horn described here consists of four identical plates, whose grooves can be obtained (straightforwardly and accurately) by numerical machining. Measurements from 8.7 to 12.2 GHz show that the horn aperture illumination is given to a good approximation by the distribution cos (Œ±x) cos (Œ≥y) in agreement with a previous asymptotic theory. An advantage of this horn over a circular horn is that different beamwidths are obtainable in the two principal planes. ¬© 1985 IEEE</t>
  </si>
  <si>
    <t>160-164</t>
  </si>
  <si>
    <t>Dragone, Corrado</t>
  </si>
  <si>
    <t>Murray</t>
  </si>
  <si>
    <t>Nokia Bell Labs</t>
  </si>
  <si>
    <t>Dragone C.</t>
  </si>
  <si>
    <t>A Rectangular Horn of Four Corrugated Plates</t>
  </si>
  <si>
    <t>10.1109/TAP.1985.1143562</t>
  </si>
  <si>
    <t>2-s2.0-0022013266</t>
  </si>
  <si>
    <t>['¬© 1985', 'strut radiation', 'sidelobes caused', 'rights reserved', 'experimentally tested', 'electrical engineers']</t>
  </si>
  <si>
    <t>Antennas | Reflector antennas | Strut radiation</t>
  </si>
  <si>
    <t>Different strut configurations have been experimentally tested on a 3 m Cassegrain antenna model in order to reduce the far-out sidelobes caused by strut radiation. ¬© 1985, The Institution of Electrical Engineers. All rights reserved.</t>
  </si>
  <si>
    <t>203-204</t>
  </si>
  <si>
    <t>Schindler, G.</t>
  </si>
  <si>
    <t>UB Nachrichtentechnik und Sicherungstechnik</t>
  </si>
  <si>
    <t>Schindler G.</t>
  </si>
  <si>
    <t>Reduction Of Sidelobe Level By Improved Strut Design For Low F/Jd Cassegrain Antennas</t>
  </si>
  <si>
    <t>10.1049/el:19850143</t>
  </si>
  <si>
    <t>2-s2.0-0022013323</t>
  </si>
  <si>
    <t>['symmetric system', 'special properties', 'scattering interaction', 'resistive sheet', 'mm solutions', 'mm ).', 'mie solution', 'leontovich ),', 'internal resonances', 'integral equation', 'impedance boundary', 'general geometry', 'coated spheres', 'coated bodies']</t>
  </si>
  <si>
    <t>Integral equation formulations are presented for characterizing the electromagnetic (EM) scattering interaction for nonmetallic surfaced bodies. Three different boundary conditions are considered for the surfaces: namely, the impedance (Leontovich), the resistive sheet, and its dual, the magnetically conducting sheet boundary. The integral equation formulations presented for a general geometry are specialized for bodies of resolution and solved with the method of moments (MM). The current expansion functions, which are chosen, result in a symmetric system of equations. This system is expressed in terms of two Galerkin matrix operators that have special properties. The solutions of the integral equation for the impedance boundary at internal resonances of the associated perfectly conducting scatterer are examined. The results are compared with the Mie solution for impedance-coated spheres and with the MM solutions of the electric, magnetic, and combined field formulations for impedance-coated bodies. ¬© 1985 IEEE</t>
  </si>
  <si>
    <t>206-214</t>
  </si>
  <si>
    <t>60030821;60030821</t>
  </si>
  <si>
    <t>7003286486;7101874824</t>
  </si>
  <si>
    <t>Medgyesi-Mitschang, Louis N.;Putnam, John M.</t>
  </si>
  <si>
    <t>Chicago</t>
  </si>
  <si>
    <t>Boeing Corporation</t>
  </si>
  <si>
    <t>Medgyesi-Mitschang L.</t>
  </si>
  <si>
    <t>Integral Equation Formulations for Imperfectly Conducting Scatterers</t>
  </si>
  <si>
    <t>10.1109/TAP.1985.1143560</t>
  </si>
  <si>
    <t>2-s2.0-0022013329</t>
  </si>
  <si>
    <t>['¬© 1985', 'rights reserved', 'reflective manner', 'overall reduction', 'letter describes', 'electrical engineers', 'circulators could']</t>
  </si>
  <si>
    <t>Antennas | Antennas arrays</t>
  </si>
  <si>
    <t>The letter describes how a single Butler matrix network together with some circulators could be used in a reflective manner to produce multiple beams from a circular array antenna. An overall reduction in the number of signal processing components is achieved, compared to the conventional approach using two Butler matrices. ¬© 1985, The Institution of Electrical Engineers. All rights reserved.</t>
  </si>
  <si>
    <t>209-211</t>
  </si>
  <si>
    <t>Proposal To Use Reflected Signals Through A Single Butler Matrix To Produce Multiple Beams From A Circular Array Antenna</t>
  </si>
  <si>
    <t>10.1049/el:19850147</t>
  </si>
  <si>
    <t>2-s2.0-0022013594</t>
  </si>
  <si>
    <t>['strong dependence', 'still present', 'princeton act', 'plasma edge', 'plasma density', 'laser signal', 'induced changes', 'hybrid waves', 'hybrid wave', 'high levels', 'frequency shifts', 'complete loss', 'antenna phasing']</t>
  </si>
  <si>
    <t>Lower-hybrid waves are studied in the Princeton ACT-I steady-state toroidal plasma device using a radially scanning CO2 laser scattering system with both amplitude and phase sensitive detection techniques. Clearly defined resonance cones launched from external electrostatic antennas are seen to disappear as the plasma density is raised. Scaling of a lower-hybrid wave (LHW) laser signal with radio-frequency (rf) power in the presence of resonance cones shows nonlinearities associated with rf-induced changes in the effective laser scattering volume. Absolute fluctuation level estimates suggest that this occurs when eŒ¶/Te‚â•1. Wave-front curvature effects can cause a complete loss of resonance cone laser signals, even though probes indicate that cones are still present. Measurements of the wave k‚ä• spectrum in the plasma show direct evidence for electron Landau filtering of the original wave k‚à• spectrum launched from the antenna at the plasma edge, and strong dependence on antenna phasing. Finally, frequency shifts and loss of the resonance cone signal are associated with high levels of plasma density edge turbulence. ¬© 1985 American Institute of Physics.</t>
  </si>
  <si>
    <t>716-733</t>
  </si>
  <si>
    <t>60018020-60006164;60018020;60018020</t>
  </si>
  <si>
    <t>7003326203;7404759730;56144605100</t>
  </si>
  <si>
    <t>Wurden, G. A.;Wong, K. L.;Ono, M.</t>
  </si>
  <si>
    <t>Princeton;Los Alamos</t>
  </si>
  <si>
    <t>Princeton Plasma Physics Laboratory;Los Alamos National Laboratory</t>
  </si>
  <si>
    <t>60018020;60006164</t>
  </si>
  <si>
    <t>Wurden G.</t>
  </si>
  <si>
    <t>Lower-hybrid wave resonance cone detection via CO&lt;inf&gt;2&lt;/inf&gt;-laser scattering</t>
  </si>
  <si>
    <t>10.1063/1.865084</t>
  </si>
  <si>
    <t>2-s2.0-0022013952</t>
  </si>
  <si>
    <t>['several amplifiers', 'random errors', 'expressions apply', 'expected value', 'excitation coefficients', 'case degradation', 'active arrays']</t>
  </si>
  <si>
    <t>Expressions are given for the expected value, variance, and worst-case degradation of the equivalent isotropically radiated power (EIRP) of an antenna array subject to random errors in the excitation coefficients. These expressions apply to passive as well as active arrays fed with several amplifiers. An example is presented that demonstrates the applicability of the analysis to active arrays. ¬© 1985 IEEE</t>
  </si>
  <si>
    <t>217-221</t>
  </si>
  <si>
    <t>Zaghloul, Amir I.</t>
  </si>
  <si>
    <t>Zaghloul A.</t>
  </si>
  <si>
    <t>Statistical Analysis of EIRP Degradation in Antenna Arrays</t>
  </si>
  <si>
    <t>10.1109/TAP.1985.1143551</t>
  </si>
  <si>
    <t>2-s2.0-0022013984</t>
  </si>
  <si>
    <t>['particular emphasis', 'inductive technique', 'inductive method', 'conductivity mapping']</t>
  </si>
  <si>
    <t>This is a mini-review of the H/I inductive method of conductivity mapping. Particular emphasis will be placed on the use of the H/I inductive technique in determining the effective earth conductivity beneath an existing or proposed extremely low frequency (ELF) transmitting antenna system. ¬© 1985 IEEE</t>
  </si>
  <si>
    <t>227-231</t>
  </si>
  <si>
    <t>Bannister, Peter R.</t>
  </si>
  <si>
    <t>Bannister P.</t>
  </si>
  <si>
    <t>Mini-Review of H/I Inductive Method of Conductivity Mapping</t>
  </si>
  <si>
    <t>10.1109/TAP.1985.1143552</t>
  </si>
  <si>
    <t>2-s2.0-0022014120</t>
  </si>
  <si>
    <t>['wide range', 'using satellite', 'stable path', 'similar results', 'sight signal', 'rician channel', 'received waveform', 'propagation characteristics', 'presented parametrically', 'nonfading situations', 'multipath reflections', 'limited coverage', 'heavy fading', 'fading link', 'fade margin', 'envelope statistics', 'coherent detection', 'also given', 'aided links']</t>
  </si>
  <si>
    <t>Excess path loss due to multipath severely restricts the performance of power limited mobile networks such as those using satellite-aided links. To reduce multipath related losses, the higher elevation angle of the spacecraft can be exploited by utilizing mobile antennas which reduce the strength of the multipath reflections in favor of the line-of-sight signal. The presence of a strong and stable path in a fading link will change the envelope statistics of the received waveform from Rayleigh to a more favorable Rician distribution. It is determined that the excess path loss, or fade margin, of a Rician channel when coherent detection of binary phase shift keying (BPSK) or quaternary phase shift keying (QPSK) signals is considered. The results are presented parametrically such that they can he applied to a wide range of propagation characteristics from heavy fading to nonfading situations. Furthermore, similar results are also given for the case where only limited coverage is provided. ¬© 1985 IEEE</t>
  </si>
  <si>
    <t>41-44</t>
  </si>
  <si>
    <t>IEEE Transactions on Vehicular Technology</t>
  </si>
  <si>
    <t>Davarian, Faramarz</t>
  </si>
  <si>
    <t>Pasadena</t>
  </si>
  <si>
    <t>Jet Propulsion Laboratory</t>
  </si>
  <si>
    <t>Davarian F.</t>
  </si>
  <si>
    <t>Fade Margin Calculation for Channels Impaired by Rician Fading</t>
  </si>
  <si>
    <t>10.1109/T-VT.1985.24033</t>
  </si>
  <si>
    <t>2-s2.0-0022014183</t>
  </si>
  <si>
    <t>['specific data', 'sky c', 'satellite links', 'margin values', 'article presents']</t>
  </si>
  <si>
    <t>The design of satellite links at Ku-band must begin with site-specific data, individual user availability, and signal quality requirements. This article presents an aid for the design of several major system parameter tradeoffs that must be determined, given an accepted video transmission plan. Specifically, theoretical and experimental data published on US communications satellites is combined to suggest user guidelines for arriving at practical link margin values. Once margin values are determined, a clear-sky C/N operating point can be established.</t>
  </si>
  <si>
    <t>288-291</t>
  </si>
  <si>
    <t>SMPTE Journal</t>
  </si>
  <si>
    <t>Grimes, Robert A.</t>
  </si>
  <si>
    <t>Melbourne</t>
  </si>
  <si>
    <t>Engineering &amp; Technical Services Inc</t>
  </si>
  <si>
    <t>Grimes R.</t>
  </si>
  <si>
    <t>SATELLITE GROUND STATION LINK MARGIN CONSIDERATIONS FOR KU-BAND VIDEO TRANSMISSIONS.</t>
  </si>
  <si>
    <t>10.5594/J14082</t>
  </si>
  <si>
    <t>2-s2.0-0022024647</t>
  </si>
  <si>
    <t>['vlf propagation', 'south direction', 'propagation constant', 'phase perturbations', 'minus 0', 'ionosphere waveguide', 'heating beam', '5 degree', '200 mw', '15 degree', '05 db']</t>
  </si>
  <si>
    <t>Observations have been made of the effects on short path VLF propagation of a patch of auroral ionosphere heated by a powerful HF transmitter. Under stable propagation conditions (that is, in the absence of significant modal interference), typical amplitude and phase perturbations of plus or minus 0. 05 db and plus or minus 0. 5 degree have been obtained with effective radiated powers of 200 MW and an effective antenna beam width of 15 degree . A series of computations have been made of the effect of HF ionospheric heating on the propagation constant of the earth-ionosphere waveguide. The effects of a moving localized ionospheric disturbance on VLF propagation have also been investigated by deflecting the heating beam in the north-south direction.</t>
  </si>
  <si>
    <t>2861-2875</t>
  </si>
  <si>
    <t>A3</t>
  </si>
  <si>
    <t>60017695;60017695;60017695;60017695</t>
  </si>
  <si>
    <t>57221296920;7005243495;7005877450;6603039377</t>
  </si>
  <si>
    <t>Barr, R.;Rietveld, M. T.;Stubbe, P.;Kopka, H.</t>
  </si>
  <si>
    <t>Max Planck Institute for Solar System Research</t>
  </si>
  <si>
    <t>Barr R.</t>
  </si>
  <si>
    <t>DIFFRACTION OF VLF RADIO WAVES BY A PATCH OF IONOSPHERE ILLUMINATED BY A POWERFUL HF TRANSMITTER.</t>
  </si>
  <si>
    <t>10.1029/JA090iA03p02861</t>
  </si>
  <si>
    <t>2-s2.0-0022024702</t>
  </si>
  <si>
    <t>['¬© 1985', 'rights reserved', 'exact analysis', 'electrical engineers']</t>
  </si>
  <si>
    <t>Antennas | Complex resonant frequency | Hankel transform method | Microstrip antennas</t>
  </si>
  <si>
    <t>An exact analysis of double-tuned circular disc resonators/ radiators is described. This method is based on the Hankel transform domain analysis and is numerically quite efficient. Several numerical examples are compared with available experimental data. ¬© 1985, The Institution of Electrical Engineers. All rights reserved.</t>
  </si>
  <si>
    <t>277-279</t>
  </si>
  <si>
    <t>60031126;60021208;60021208</t>
  </si>
  <si>
    <t>57194916471;7402835988;57199796531</t>
  </si>
  <si>
    <t>Arak1, K.;Ueda, H.;Takahashi, M.</t>
  </si>
  <si>
    <t>Tokyo;Tokyo</t>
  </si>
  <si>
    <t>Tokyo Institute of Technology;KDDI Corporation</t>
  </si>
  <si>
    <t>60031126;60021208</t>
  </si>
  <si>
    <t>Arak1 K.</t>
  </si>
  <si>
    <t>Hankel transform domain analysis of complex resonant frequencies of double-tuned circular disc microstrip resonators/radiators</t>
  </si>
  <si>
    <t>10.1049/el:19850199</t>
  </si>
  <si>
    <t>2-s2.0-0022024762</t>
  </si>
  <si>
    <t>['typical linear', 'test antenna', 'prescribed accuracy', 'minimum distance', 'form expressions', 'far fields', 'exact analysis', 'deriving closed', 'aperture type', 'also employed']</t>
  </si>
  <si>
    <t>An exact analysis for deriving closed-form expressions for the coefficients of free-space spherical modes radiated by typical linear, array, and aperture type of antennas is presented. This analysis is employed to determine the number of spherical modes required to reconstruct the near/ far fields (NF/FF) with a prescribed accuracy. The analysis developed together with the theory of probe-compensated spherical scanning is also employed to arrive at a criterion for the minimum distance of separation between the probe and test antenna which will enable accurate nonprobe corrected spherical scanning possible. ¬© 1985 IEEE</t>
  </si>
  <si>
    <t>350-354</t>
  </si>
  <si>
    <t>60025757;60025757;60025757</t>
  </si>
  <si>
    <t>7006389495;57196879945;6508321145</t>
  </si>
  <si>
    <t>Narasimhan, M. S.;Christopher, S.;Varadarangan, K.</t>
  </si>
  <si>
    <t>Chennai</t>
  </si>
  <si>
    <t>Indian Institute of Technology Madras</t>
  </si>
  <si>
    <t>Narasimhan M.</t>
  </si>
  <si>
    <t>Modal Behavior of Spherical Waves from a Source of EM Radiation with Application to Spherical Scanning</t>
  </si>
  <si>
    <t>10.1109/TAP.1985.1143576</t>
  </si>
  <si>
    <t>2-s2.0-0022024813</t>
  </si>
  <si>
    <t>['unknown coefficients', 'tackled using', 'source models', 'nonlocal parameters', 'matrix inversion', 'larger number', 'iterative scheme', 'iteration process', 'different types', 'current distribution', 'cumbersome process', 'convergence criteria', 'convenient means', 'boundary conditions', 'also discussed', 'acceleration procedure']</t>
  </si>
  <si>
    <t>The cylindrical antenna problem has been tackled using the spectral iteration technique. An iterative scheme is employed for improving on an initially assumed form of the current distribution. Use is made of the fast Fourier transform (FFT) algorithm, and the cumbersome process of matrix inversion is circumvented. Consequently, this method is capable of handling a larger number of unknown coefficients in the expansion of the current distribution. Furthermore, it provides a convenient means of testing for the satisfaction of the boundary conditions on the surface of the antenna. Convergence criteria for the iteration process have been established and the use of an acceleration procedure is illustrated. Different types of source models have been investigated, and the convergence of both local and nonlocal parameters is also discussed. ¬© 1985 IEEE</t>
  </si>
  <si>
    <t>251-258</t>
  </si>
  <si>
    <t>60014097;60014097</t>
  </si>
  <si>
    <t>7006898765;57198008972</t>
  </si>
  <si>
    <t>Bokhari, S. A.;Balakrishnan, N.</t>
  </si>
  <si>
    <t>Indian Institute of Science</t>
  </si>
  <si>
    <t>Bokhari S.A.</t>
  </si>
  <si>
    <t>Analysis of Cylindrical Antennas-A Spectral Iteration Technique</t>
  </si>
  <si>
    <t>10.1109/TAP.1985.1143569</t>
  </si>
  <si>
    <t>2-s2.0-0022024838</t>
  </si>
  <si>
    <t>['¬© 1985', 'temperature measurement', 'rights reserved', 'new type', 'new applicator', 'microwave radiometry', 'microwave performance', 'frequency study', 'electrical engineers', 'clinical applications', 'circular aperture']</t>
  </si>
  <si>
    <t>Biomedical electronics | Microstrip | Microwave antennas | Microwave circuits and systems</t>
  </si>
  <si>
    <t>A new type of microstrip slot applicator with a circular aperture has been designed for clinical applications in microwave hyperthermia treatment and microwave radiometry for temperature measurement. We present the frequency study of the microwave performance of this new applicator, measured on a lossy medium according to its parameters (substrate, circular aperture etc.). ¬© 1985, The Institution of Electrical Engineers. All rights reserved.</t>
  </si>
  <si>
    <t>304-305</t>
  </si>
  <si>
    <t>60008134;60008134;112936250</t>
  </si>
  <si>
    <t>6603655976;7004583077;6603920038</t>
  </si>
  <si>
    <t>Ledee, R.;Chive, M.;Plancot, M.</t>
  </si>
  <si>
    <t>Paris;Lille</t>
  </si>
  <si>
    <t>CNRS Centre National de la Recherche Scientifique;Centre Bourgogne</t>
  </si>
  <si>
    <t>60008134;112936250</t>
  </si>
  <si>
    <t>Ledee R.</t>
  </si>
  <si>
    <t>Microstrip microslot antennas for biomedical applications; frequency analysis of different parameters of this type of applicator</t>
  </si>
  <si>
    <t>10.1049/el:19850217</t>
  </si>
  <si>
    <t>2-s2.0-0022024871</t>
  </si>
  <si>
    <t>['scalar conical', 'pyramidal horns', 'numerical examples', 'explicit formula', 'amplitude center']</t>
  </si>
  <si>
    <t>An explicit formula is derived for locating the amplitude center of planar apertures radiating scalar fields. Numerical examples are given which shows the validity of the formula for scalar conical and pyramidal horns. ¬© 1985 IEEE</t>
  </si>
  <si>
    <t>330-335</t>
  </si>
  <si>
    <t>6507296308;7405341137</t>
  </si>
  <si>
    <t>Panicali, Antonio Roberto;Nakamura, Mario Massao</t>
  </si>
  <si>
    <t>Panicali A.</t>
  </si>
  <si>
    <t>On the Amplitude Center of Radiating Apertures</t>
  </si>
  <si>
    <t>10.1109/TAP.1985.1143572</t>
  </si>
  <si>
    <t>2-s2.0-0022026136</t>
  </si>
  <si>
    <t>['waveguide antenna', 'transmission coefficient', 'tokamak plasmas', 'surface impedance', 'ridged waveguide', 'plasma parameters', 'nonplasma loss', 'loop antenna', 'fast wave', 'also discussed']</t>
  </si>
  <si>
    <t>Excitation of ion cyclotron resonance frequency waves in tokamak plasmas by using the waveguide antenna is investigated. To obtain the surface impedance of the plasma, the wave propagation equation for the fast wave is solved. The reflection/transmission coefficient is calculated for the parallel plates launcher that simulates the ridged waveguide. Dependence of the transmission coefficient on geometrical and plasma parameters is studied. It is found that the transmission coefficient can be of the order of 10%, comparable to that of the loop antenna. Nonplasma loss of the launcher is also discussed.</t>
  </si>
  <si>
    <t>301-310</t>
  </si>
  <si>
    <t>Fusion Technology</t>
  </si>
  <si>
    <t>60015658;60015658;60015658</t>
  </si>
  <si>
    <t>13306390500;35352798500;7005509402</t>
  </si>
  <si>
    <t>Itoh, Kimitaka;Itoh, Sanae Inoue;Fukuyama, Atsushi</t>
  </si>
  <si>
    <t>Kashiwa</t>
  </si>
  <si>
    <t>Japan Atomic Energy Agency</t>
  </si>
  <si>
    <t>Itoh K.</t>
  </si>
  <si>
    <t>EXCITATION OF ION CYCLOTRON RESONANCE FREQUENCY WAVES IN TOKAMAKS BY WAVEGUIDE LAUNCHER.</t>
  </si>
  <si>
    <t>10.13182/FST85-A24547</t>
  </si>
  <si>
    <t>2-s2.0-0022026241</t>
  </si>
  <si>
    <t>['thermal expansion', 'thermal distortion', 'shape control', 'rights reserved', 'prescribing temperatures', 'overall distortion', 'orbital heating', 'nonuniform heating', 'matrix equation', 'main structure', 'inc .,', 'ideal shape', 'discrete formulation', 'differential equations', 'control locations', 'control elements', 'continuous formulation', 'analytical procedure', '50 reduction']</t>
  </si>
  <si>
    <t>An analytical procedure for the static shape control of flexible space structures is described. The procedure is based on prescribing temperatures in control elements which have much higher coefficients of thermal expansion than the main structure. The temperatures at the control elements are determined so as to minimize the overall distortion of the structure from its ideal shape. A matrix equation is derived and solved for the optimum control temperatures. The paper contains two formulations of the procedure: one for continuous structures governed by differential equations, and the other for discrete (finite element modeled) structures. The equations from the continuous formulation have been applied to shape control of a simple beam distorted by nonuniform heating. Use of only seven control elements was able to achieve a factor of 50 reduction in thermal distortion. The discrete formulation has been implemented in a general-purpose finite element structural analysis computer program and demonstrated for shape control of a 55-m radiometer antenna reflector subjected to orbital heating. Results for the antenna were obtained for four different sets of control locations. Reductions in distortion of up to factor of three were realized. ¬© 1985 American Institute of Aeronautics and Astronautics, Inc., All rights reserved.</t>
  </si>
  <si>
    <t>450-457</t>
  </si>
  <si>
    <t>AIAA Journal</t>
  </si>
  <si>
    <t>An analytical investigation of shape control of large space structures by applied temperatures</t>
  </si>
  <si>
    <t>10.2514/3.8934</t>
  </si>
  <si>
    <t>2-s2.0-0022026248</t>
  </si>
  <si>
    <t>['radiator match', 'practical scan', 'firm basis', 'cylindrical array', 'axial dipoles', 'array performance', 'also discussed', 'accurate prediction']</t>
  </si>
  <si>
    <t>The design and construction of a cylindrical array of axial dipoles is described. Dipole pattern amplitude measurements performed over practical scan and frequency ranges show excellent agreement with theoretically predicted results. Dipole pattern phase, feed line effects and radiator match are also discussed. These results provide strong evidence of the correctness of the analysis and numerical results presented in Part I of this paper, and furnish a firm basis for accurate prediction of array performance. ¬© 1985 IEEE</t>
  </si>
  <si>
    <t>273-278</t>
  </si>
  <si>
    <t>60006168;60108318;60001247</t>
  </si>
  <si>
    <t>6601919880;7005831705;6604010206</t>
  </si>
  <si>
    <t>Herper, John C.;Hessel, Alexander;Tomasic, Boris</t>
  </si>
  <si>
    <t>New York;Blue Bell;</t>
  </si>
  <si>
    <t>NYU Tandon School of Engineering;Unisys Corporation;Hanscom AFB</t>
  </si>
  <si>
    <t>60108318;60006168;60001247</t>
  </si>
  <si>
    <t>Herper J.</t>
  </si>
  <si>
    <t>Element Pattern of an Axial Dipole in a Cylindrical Phased Array, Part II: Element Design and Experiments</t>
  </si>
  <si>
    <t>10.1109/TAP.1985.1143579</t>
  </si>
  <si>
    <t>2-s2.0-0022026391</t>
  </si>
  <si>
    <t>['wide range', 'two bands', 'theoretical performance', 'sometimes called', 'small size', 'single band', 'radiating systems', 'mirror samples', 'mirror antenna', 'light weight', 'implement dual', 'greatly enhance', 'fabrication techniques', 'discussed along', 'difficult part', 'design theory', 'design parameters', 'capacitive susceptance', 'band half', 'band configurations', 'aspect angles', 'aspect angle', 'additional advantage']</t>
  </si>
  <si>
    <t>The mirror antenna, sometimes called an inverse Cassegrain antenna, is used in modern radar systems where efficient wide angle scan is required in combination with light weight and small size. Although previous applications have been single band, an additional advantage of the mirror antenna is that it is practical to implement dual-band configurations which can greatly enhance the capability of radar or other radiating systems. The most difficult part of a dual-band mirror antenna design is the 90¬∞ polarization rotating mirror (half-wave plate). The challenge is to achieve effective performance at two bands and maintain that performance over a wide range of aspect angle. Basic mirror antenna operation and design and fabrication techniques for a dual-band half-wave plate mirror are described. The solution for design parameters is derived for perfect 90¬∞ polarization rotation at a given aspect angle for each of the two bands. The design approach includes a process for optimizing the design for the full desired range of aspect angles. Practical fabrication considerations are discussed along with inclusion of the effects of capacitive susceptance of a protective mirror coating in the design theory. Theoretical performance is compared with measurements of mirror samples. ¬© 1985 IEEE</t>
  </si>
  <si>
    <t>286-294</t>
  </si>
  <si>
    <t>100456136;60027271</t>
  </si>
  <si>
    <t>7202304899;7102110331</t>
  </si>
  <si>
    <t>Howard, Dean D.;Cross, David C.</t>
  </si>
  <si>
    <t>Washington, D.C.;Alexandria</t>
  </si>
  <si>
    <t>Naval Research Laboratory;Locus, Inc</t>
  </si>
  <si>
    <t>60027271;100456136</t>
  </si>
  <si>
    <t>Howard D.</t>
  </si>
  <si>
    <t>Mirror Antenna Dual-Band Lightweight Mirror Design</t>
  </si>
  <si>
    <t>10.1109/TAP.1985.1143571</t>
  </si>
  <si>
    <t>2-s2.0-0022026392</t>
  </si>
  <si>
    <t>['refractivity profile', 'observed performance', 'near horizontal', 'interference produced', 'ground reflection', 'first 8', 'antenna pattern', '1 km']</t>
  </si>
  <si>
    <t>The effects on microwave radar performance of a horizontally stratified refractive index within the first 8 m of the earth‚Äôs surface are considered. The radar propagation paths examined are near horizontal and about 1 km in length. The effects of several assumed refractivity profiles. On the antenna pattern and on the interference produced by ground reflection are shown. Field test results compare the predicted radar performance obtained from a knowledge of the refractivity profile with the observed performance. ¬© 1985 IEEE</t>
  </si>
  <si>
    <t>337-346</t>
  </si>
  <si>
    <t>Smith, Jack</t>
  </si>
  <si>
    <t>El Paso</t>
  </si>
  <si>
    <t>The University of Texas at El Paso</t>
  </si>
  <si>
    <t>Smith J.</t>
  </si>
  <si>
    <t>Stratified Refractivity Effects on Microwave Propagation Near the Earth‚Äôs Surface</t>
  </si>
  <si>
    <t>10.1109/TAP.1985.1143578</t>
  </si>
  <si>
    <t>2-s2.0-0022026393</t>
  </si>
  <si>
    <t>['thus enabling', 'results obtained', 'representative set', 'radiation resistance', 'radiation pattern', 'microstrip antennas', 'explicitly take', 'dielectric material', 'detailed set', 'current distribution', 'complete evaluation', 'applicable also']</t>
  </si>
  <si>
    <t>An approach to the analysis of microstrip antennas which is applicable also to relatively thick substrates using the relevant Green‚Äôs function is presented. The Green‚Äôs function is derived and closed form expressions for various antenna characteristics which explicitly take into account the presence of the dielectric material are obtained in terms of the electric surface current density. For rectangular microstrip elements near resonance the current distribution is approximated using lossless transmission line analysis, thus enabling the complete evaluation of the characteristics of the element near resonance. The results obtained in this approach for the radiation resistance, surface wave resistance, radiation pattern, directivity, and bandwidth are presented in a detailed set of graphs for a representative set of parameters. ¬© 1985 IEEE</t>
  </si>
  <si>
    <t>301-311</t>
  </si>
  <si>
    <t>7003500098;23032510000;7004481850</t>
  </si>
  <si>
    <t>Perlmutter, P.;Shtrikman, S.;Treves, David</t>
  </si>
  <si>
    <t>Perlmutter P.</t>
  </si>
  <si>
    <t>Electric Surface Current Model for the Analysis of Microstrip Antennas with Application to Rectangular Elements</t>
  </si>
  <si>
    <t>10.1109/TAP.1985.1143581</t>
  </si>
  <si>
    <t>2-s2.0-0022026445</t>
  </si>
  <si>
    <t>['wide band', 'three components', 'sunlit ionosphere', 'sun close', 'sounding rockets', 'situ experiments', 'reflection level', 'northern norway', 'measured simultaneously', 'magnetic fields', 'heating wave', 'heating freqeuency', 'heating facility', 'experimental results', 'continuous measurements', 'coherent spectra', '4 khz', '16 khz']</t>
  </si>
  <si>
    <t>The HEating ROcket project HERO comprised the first in situ experiments to measure artificial ionospheric modifications at F layer heights set up by radio waves transmitted from the Heating facility at Ramfjord near Tromso in northern Norway. Four instrumented payloads were launched on sounding rockets from Andoya Rocket Range during the autumn of 1982 into a sunlit ionosphere with the sun close to the horizon. The payloads recorded modifications, in particular, the presence of electron plasma waves near the reflection level of the heating wave. The amplitude and phase of the three components of the electric and magnetic fields of the heating wave were measured simultaneously as a function of altitude. Coherent spectra of the three electric field components of the locally generated electron plasma waves were obtained in a 50-kHz-wide band. At the same time, quasi-continuous measurements were made on several fixed frequencies from 4 kHz to 16 kHz below the heating freqeuency and in the VLF-range using linear dipole antennas. The experimental results are presented and discussed.</t>
  </si>
  <si>
    <t>2851-2860</t>
  </si>
  <si>
    <t>60017695;60017695;60017695;60017695;60017695;60017695;60017695;60017695</t>
  </si>
  <si>
    <t>24541190200;23047010300;6602711637;57196615459;55939607800;6602341185;6603019468;23156433400</t>
  </si>
  <si>
    <t>Rose, G.;Grandal, B.;Neske, E.;Ott, W.;Spenner, K.;Holtet, J.;Maseide, K.;Troim, J.</t>
  </si>
  <si>
    <t>Rose G.</t>
  </si>
  <si>
    <t>EXPERIMENTAL RESULTS FROM THE HERO PROJECT: IN SITU MEASUREMENTS OF IONOSPHERIC MODIFICATIONS USING SOUNDING ROCKETS.</t>
  </si>
  <si>
    <t>10.1029/JA090iA03p02851</t>
  </si>
  <si>
    <t>2-s2.0-0022026627</t>
  </si>
  <si>
    <t>['tokamak plasma', 'thermal motion', 'thecompressional wave', 'suitable manner', 'studied near', 'restrictions taking', 'resonance surface', 'power damped', 'power coupled', 'perturbed field', 'parallel scalelength', 'new formulas', 'functional provides', 'different regimes', 'converted wave', 'computer handling', 'compressional type', 'case œª']</t>
  </si>
  <si>
    <t>The electromagnetic perturbation produced through a set of antennas in a tokamak plasma is studied near the ion cyclotron resonances and the two-ion hybrid resonance. Using an appropriate variational principle, it is possible to derive the perturbed field (thecompressional wave and the converted torsional wave) with the help of relatively smooth test functions of the compressional type. The method produces conditions under which the variational functional L, an extremum with respect to the perturbation, can be written in a suitable manner for computer handling. Moreover, this functional provides an expression for the power damped by the thermal motion of particles, and in the two-ion hybrid regime it provides the power coupled to the converted wave. The ion cyclotron resonance leads to different regimes for the ratio of the parallel scalelength, Œª, of the field and the intrinsic parallel scale of the resonance, Œªc, with Œªc‚âàv‚à•/‚àá‚à•œâcl1/2. The usual WKB formulas used by previous authors appear to be limited to the case Œª &lt; Œªconly, and new formulas are given for Œª ‚â• Œªc. In the mode conversion case, the method generalizes Budden‚Äôs results, with restrictions taking into account the non-uniformity effects along the resonance surface. ¬© 1985 IOP Publishing Ltd.</t>
  </si>
  <si>
    <t>283-297</t>
  </si>
  <si>
    <t>Nuclear Fusion</t>
  </si>
  <si>
    <t>60009386;60009386</t>
  </si>
  <si>
    <t>6602471891;6701899463</t>
  </si>
  <si>
    <t>Gambier, D. J.;Samain, A.</t>
  </si>
  <si>
    <t>Fontenay-aux-Roses</t>
  </si>
  <si>
    <t>CEA Fontenay aux Roses</t>
  </si>
  <si>
    <t>Gambier D.</t>
  </si>
  <si>
    <t>Variational theory of ion cyclotron resonance heating in tokamak plasmas</t>
  </si>
  <si>
    <t>10.1088/0029-5515/25/3/005</t>
  </si>
  <si>
    <t>2-s2.0-0022026790</t>
  </si>
  <si>
    <t>['system design', 'scintillation process', 'scintillation fade', 'portsmouth polytechnic', 'phase scintillations', 'paper introduces', 'paper gives', 'includes estimates', 'fade rate', 'experimental results', 'engineering applications', 'downlink path', 'cumulative distributions', 'also dealt', '786 ghz']</t>
  </si>
  <si>
    <t>This paper gives a summary of the theory and experimental results obtained by Portsmouth Polytechnic on the subject of amplitude and phase scintillations on a downlink path through the atmosphere during the Orbital Test Satellite campaign of research at 11,786 GHz and emphasis is given to engineering applications. The paper introduces a summary of relevant theoretical studies, inclusive of antenna aperture smoothing, which facilitates the understanding of the scintillation process and the use of the experimental results in system design and planning. The results include chart recording observations, spectra of the scintillations and correlation with meteorological conditions together with results of cumulative distributions of scintillation fade, fade rate and intensity. The subject of propagation-induced phase noise is also dealt with and includes estimates of the phase noise due to turbulence and precipitation as well as an outline of the experimental techniques used to measure the f. m. noise of the beacons.</t>
  </si>
  <si>
    <t>87-96</t>
  </si>
  <si>
    <t>60025475;60025475;60025475;60025475</t>
  </si>
  <si>
    <t>7005360728;55944873500;7004401840;7003271052</t>
  </si>
  <si>
    <t>Vilar, E.;Haddon, J.;Lo, P.;Moulsley, T. J.</t>
  </si>
  <si>
    <t>Portsmouth</t>
  </si>
  <si>
    <t>University of Portsmouth</t>
  </si>
  <si>
    <t>Vilar E.</t>
  </si>
  <si>
    <t>Measurement and modelling of amplitude and phase scintillations in an earth-space path</t>
  </si>
  <si>
    <t>10.1049/jiere.1985.0033</t>
  </si>
  <si>
    <t>2-s2.0-0022027057</t>
  </si>
  <si>
    <t>['two sources', 'time required', 'test antenna', 'similar set', 'scan completely', 'reasonable degree', 'rather long', 'probe array', 'probe antenna', 'parabolic reflector', 'one introduces', 'numerical simulation', 'near field', 'mutual coupling', 'multiple reflections', 'measurement duration', 'inaccuracy inherent', 'important concerns', 'classical near', 'array used', 'antenna using', 'accuracy achieved']</t>
  </si>
  <si>
    <t>Near field measurement techniques in conjunction with near-field to far-field transformation algorithms are widely used today. Two of the most important concerns are, firstly, the degree of accuracy achieved, and secondly, the measurement duration. Although high degrees of accuracy can be obtained, the time required to scan completely the near field of an antenna using the classical near-field measurement techniques is rather long. The modulated scattering technique would offer a means to reduce this time by a factor of 10 to 100 while maintaining a reasonable degree of accuracy. Using this technique, however, one introduces further sources of inaccuracy such as the mutual coupling between the elements of the array used to probe the test antenna, and the further limitation of the available measurement dynamic range. In this paper, these two sources of inaccuracy inherent in this technique or other techniques which use a similar set-up, are explored. Multiple reflections between the test antenna and the probe array are ignored. A parabolic reflector is chosen as the test antenna, and an array of dipoles is chosen as the probe antenna in the numerical simulation. ¬© 1985 IEEE</t>
  </si>
  <si>
    <t>279-285</t>
  </si>
  <si>
    <t>60006662;60006662;60006662</t>
  </si>
  <si>
    <t>7006219534;56796502600;35249271900</t>
  </si>
  <si>
    <t>Mostafavi, Masoud;Bolomey, Jean Charles;Picard, Dominique</t>
  </si>
  <si>
    <t>SUPELEC Campus de Gif</t>
  </si>
  <si>
    <t>Mostafavi M.</t>
  </si>
  <si>
    <t>Far-Field Accuracy Investigation Using Modulated Scattering Technique for Fast Near-Field Measurements</t>
  </si>
  <si>
    <t>10.1109/TAP.1985.1143566</t>
  </si>
  <si>
    <t>2-s2.0-0022027150</t>
  </si>
  <si>
    <t>['weighting distribution', 'sf passband', 'quadratic type', 'linear array', 'line source', 'inverse taper', 'drops abruptly', '3 instead']</t>
  </si>
  <si>
    <t>The principal solution type of spatial frequency transfer function (SFTF) for a linear antenna system, e.g., line source or linear array, is constant (flat) over its entire spatial frequency (SF) passband and drops abruptly to zero at the edges of the band. Such a SFTF is obtainable with cross-correlation (multiplicative) techniques. The associated power pattern, of the sin (Lu)/Lu type, has high sidelobes diminishing asymptotically as u-1. Moreover, the weighting distribution for the line source has an inverse taper with end point singularities. A modified principal solution SFTF, flat over most of the SF passband but with a smoothly varying transition function of the quadratic-linear-quadratic type at the edges of the passband is introduced. This engenders a power pattern whose sidelobes diminish asymptotically as u-3 instead of u-1. The line source weighting distributions, moreover, are continuous and free of singularities, making physical realizability no longer a problem. ¬© 1985 IEEE</t>
  </si>
  <si>
    <t>312-320</t>
  </si>
  <si>
    <t>60014171;60014171</t>
  </si>
  <si>
    <t>7005164716;7102255360</t>
  </si>
  <si>
    <t>Macphie, Robert H.;Mansour, Raafat R.</t>
  </si>
  <si>
    <t>Waterloo</t>
  </si>
  <si>
    <t>University of Waterloo</t>
  </si>
  <si>
    <t>Macphie R.</t>
  </si>
  <si>
    <t>Cross-Correlation Antenna Systems with Modified Principal Solution Spatial Frequency Transfer Functions</t>
  </si>
  <si>
    <t>10.1109/TAP.1985.1143575</t>
  </si>
  <si>
    <t>2-s2.0-0022027172</t>
  </si>
  <si>
    <t>['yig ),', 'wire transducers', 'waves spend', 'theoretical predictions', 'spin waves', 'results agree', 'range 3', 'physical separation', 'output signals', 'new form', 'measurements made', 'magnetoelastic interaction', 'longer time', 'longer delays', 'insertion loss', 'good coupling', 'electronics engineers', 'elastic waves', 'elastic domain', 'acoustic reflections', '4 ghz', '31 db', '1200 ns']</t>
  </si>
  <si>
    <t>A new form of linearly dispersive microwave delay line is described, in which fine-wire transducers are mounted directly inside a magnetically saturated rod of yttrium iron garnet (YIG), through small diameter holes laser drilled in the rod. The delay line operates by utilizing the magnetoelastic interaction between spin waves and elastic waves with frequency dispersion controlled by a special nonlinear axial magnetic field profile synthesized by an appropriate pole piece geometry. Principal features include: physical separation between the input and output signals; longer delays than in the traditional ‚Äúsingle ended‚Äù delay line because the waves spend a longer time in the elastic domain; no acoustic reflections at the ends of the rod and good coupling between the antennas and the material. Measurements made on the first designed YIG delay line of this type are reported. Results agree with theoretical predictions. It has been possible to delay a 10 ns pulse of 1200 ns over the range 3.2-3.4 GHz with an insertion loss of 31 dB. Copyright ¬© 1985 by The Institute of Electrical and Electronics Engineers, Inc.</t>
  </si>
  <si>
    <t>1156-1163</t>
  </si>
  <si>
    <t>60022195;60022195</t>
  </si>
  <si>
    <t>7003747005;23039501700</t>
  </si>
  <si>
    <t>Borgeaud, Maurice;Morgenthaler, Frederic R.</t>
  </si>
  <si>
    <t>Massachusetts Institute of Technology</t>
  </si>
  <si>
    <t>Borgeaud M.</t>
  </si>
  <si>
    <t>An improved two-port magnetoelastic delay line</t>
  </si>
  <si>
    <t>10.1109/TMAG.1985.1063662</t>
  </si>
  <si>
    <t>2-s2.0-0022027557</t>
  </si>
  <si>
    <t>['wire heights', 'parametric study', 'frequencies ranging', 'earth conductivities', 'current responses', '100 mhz', '10 khz']</t>
  </si>
  <si>
    <t>A parametric study of the current responses on a long horizontal wire over the ground with frequencies ranging from 10 kHz to 100 MHz, earth conductivities of 10-1,10-2, and 10‚Äì3S/m, and wire heights of 10, 5, and 1 m. These current responses for typical wire lengths are given for a grazing incident plane wave and an incident lateral wave. ¬© 1985 IEEE</t>
  </si>
  <si>
    <t>233-243</t>
  </si>
  <si>
    <t>Chen, Kenneth C.</t>
  </si>
  <si>
    <t>Albuquerque</t>
  </si>
  <si>
    <t>Sandia National Laboratories, New Mexico</t>
  </si>
  <si>
    <t>Chen K.</t>
  </si>
  <si>
    <t>Time Harmonic Solutions for a Long Horizontal Wire Over the Ground with Grazing Incidence</t>
  </si>
  <si>
    <t>10.1109/TAP.1985.1143570</t>
  </si>
  <si>
    <t>2-s2.0-0022027805</t>
  </si>
  <si>
    <t>['two waves', 'subtractive frequencies', 'situ generation', 'simultaneous fundamental', 'resonant frequencies', 'reflections resulting', 'may alleviate', 'harmonic heating', 'fusion device', 'direct injection', 'appropriate choice']</t>
  </si>
  <si>
    <t>The injection of two primary waves, with possibly different frequencies, into a plasma can result in strong nonlinear interactions if the additive or subtractive frequencies of the two waves is equal to the two-ion-hybrid or lower hybrid frequencies. The in situ generation of waves at the linear-resonant frequencies effectively constitutes an 'internal antenna,' which may alleviate the undesirable surface interactions and reflections resulting from the direct injection of waves at the linear-resonant frequencies into a plasma. It is shown that simultaneous fundamental, second-harmonic, and third-harmonic heating can be achieved in a fusion device by an appropriate choice of frequencies for the two primary waves.</t>
  </si>
  <si>
    <t>296-300</t>
  </si>
  <si>
    <t>Sperling, J. L.</t>
  </si>
  <si>
    <t>Canton</t>
  </si>
  <si>
    <t>L-3 Communications</t>
  </si>
  <si>
    <t>Sperling J.</t>
  </si>
  <si>
    <t>NONLINEAR GENERATION OF WAVES AT LINEAR RESONANCES.</t>
  </si>
  <si>
    <t>10.13182/FST85-A24546</t>
  </si>
  <si>
    <t>2-s2.0-0022027974</t>
  </si>
  <si>
    <t>['¬© 1985', 'tapered subseries', 'spectral variability', 'rights reserved', 'radar operated', 'pointed toward', 'october 1982', 'may 1983', 'intensity maximum', 'gaussian shape', 'executed near', 'dutch coast', 'clutter volume', 'beam cluster', '5650 mhz', '30 h']</t>
  </si>
  <si>
    <t>From October 1982 through May 1983 an extensive weather clutter registration program was executed near the Dutch coast. Coherent echo series of 2 s were obtained from a cluster of adjacent antenna pencil beams every 10 or 15 min., mainly between 16:00 and 08:30 h and on the weekends. The beam cluster was pointed toward the intensity maximum of the clutter volume. The radar operated at 5650 MHz. Spectra with 10 Hz Doppler resolution have been computed by averaging over 19 discrete Fourier transforms of overlapping and tapered subseries of 200 echo vectors. To quantify the deviation from a Gaussian shape a spectral variability is defined which is computed for every estimated spectrum. It is found that the deviation from Gaussian is considerable in about one-fourth of the spectra. A selection of ‚Äútypical worst case‚Äù spectra is presented. ¬© 1985, IEEE. All rights reserved.</t>
  </si>
  <si>
    <t>208-219</t>
  </si>
  <si>
    <t>60001882;60019984</t>
  </si>
  <si>
    <t>7102517282;56903010800</t>
  </si>
  <si>
    <t>Janssen, Louis H.;Vander Spek, Gerard A.</t>
  </si>
  <si>
    <t>Netherlands;Netherlands</t>
  </si>
  <si>
    <t>The Hague;Hengelo</t>
  </si>
  <si>
    <t>Nederlandse Organisatie voor toegepast natuurwetenschappelijk onderzoek- TNO;Thales Nederland B.V.</t>
  </si>
  <si>
    <t>60019984;60001882</t>
  </si>
  <si>
    <t>Janssen L.</t>
  </si>
  <si>
    <t>The Shape of Doppler Spectra from Precipitation</t>
  </si>
  <si>
    <t>10.1109/TAES.1985.310618</t>
  </si>
  <si>
    <t>2-s2.0-0022028073</t>
  </si>
  <si>
    <t>['various trade', 'uniformly valid', 'truncation errors', 'spatial regions', 'solution avoids', 'simple modification', 'problems associated', 'presented along', 'periodic array', 'numerical results', 'modal solution', 'low sidelobe', 'element pattern', 'asymptotic approach', 'asymptotic appproaches', 'accurate knowledge']</t>
  </si>
  <si>
    <t>Cylindrical array antennas are attractive for applications requiring uniform 360¬∞ azimuthal pattern performance. For very low sidelobe or precise angle measurement designs, an accurate knowledge of the mutually coupled element pattern becomes important. A modal solution is presented for an element pattern in a periodic array of axial dipole radiators placed coaxially over a circular cylindrical ground. This solution avoids the problems associated with asymptotic appproaches and displays a number of advantages: 1) it is exact, subject only to truncation errors; 2) it is uniformly valid in all spatial regions for both rectangular and, with a simple modification, for triangular isosceles lattice configurations; and 3) it provides absolute gain information. The analysis is presented along with numerical results for representative parameter values, selected to illustrate the various trade-offs. Comparison with published data employing the asymptotic approach and with planar array results is given. ¬© 1985 IEEE</t>
  </si>
  <si>
    <t>259-272</t>
  </si>
  <si>
    <t>Element Pattern of an Axial Dipole in a Cylindrical Phased Array, Part I: Theory</t>
  </si>
  <si>
    <t>10.1109/TAP.1985.1143580</t>
  </si>
  <si>
    <t>2-s2.0-0022028150</t>
  </si>
  <si>
    <t>['tuning phase', 'takes note', 'source directed', 'situ technique', 'relative array', 'reference phase', 'reasonably stable', 'phase measurements', 'phase estimates', 'following parameters', 'fed phased', 'errors associated', 'band space', 'array elements', 'array element', 'array antenna']</t>
  </si>
  <si>
    <t>An in-situ technique to estimate the following parameters of a phased-array antenna is described: 1) the relative array-element excitation voltages, 2) the array-element tuning phases, and 3) the RF phase shifts at the array elements. This technique has several significant features. First, it involves the use of two auxiliary antennas. One is a remote continuous wave (CW) source directed at the phased-array antenna. The other is a passive antenna mounted close to the phased-array antenna. Its output is used to produce a reference phase for phase measurements. Second, it contains a technique to reduce the errors in phase estimates. Third, it takes note that beam steering uses phase sums of the form (Œ¶k+ Œ¶kl), where Œ¶kis the tuning phase for the kth array elemenet and Œ¶klis an RF phase shift of the array element, and pays special attention to reduce the errors associated with the estimates of these sums. Fourth, it assumes the use of a reasonably stable and strong CW source of commerically available quality. No other assumptions are made. Experimental results obtained with a 295-element S-band space-fed phased-array antenna are given. ¬© 1985 IEEE</t>
  </si>
  <si>
    <t>244-250</t>
  </si>
  <si>
    <t>60018714;60018714;60018714</t>
  </si>
  <si>
    <t>7004256343;6508129799;7404554589</t>
  </si>
  <si>
    <t>Hung, Eric K.L.;Fines, N. Ross;Turner, Ross M.</t>
  </si>
  <si>
    <t>Communications Research Centre</t>
  </si>
  <si>
    <t>Hung E.</t>
  </si>
  <si>
    <t>A Technique to Estimate the Relative Gains, Tuning Phases, and RF Phase Shifts of the Elements of a Phased-Array Radar</t>
  </si>
  <si>
    <t>10.1109/TAP.1985.1143568</t>
  </si>
  <si>
    <t>2-s2.0-0022028295</t>
  </si>
  <si>
    <t>['‚ àär', 'wraparound antenna', 'wavelength patch', 'solved taking', 'radiation patterns', 'printed radiator', 'microstrip antennas', 'metallic cylinder', 'fourier domain', 'far field', 'dielectric layer', 'cylindrical bodies', 'calculated asymptotically']</t>
  </si>
  <si>
    <t>An approach to the analysis of microstrip antennas on cylindrical bodies is presented. The printed radiator is replaced by as assumed surface current distribution, and the fields are solved taking into account the presence of the dielectric layer and the metallic cylinder. Calculation takes place in the Fourier domain. The far field, calculated asymptotically from this solution, is used to get the radiation patterns of the wraparound antenna for any dielectric and the half-wavelength patch for ‚àär= 1. ¬© 1985 IEEE</t>
  </si>
  <si>
    <t>295-300</t>
  </si>
  <si>
    <t>57225229400;23032510000;7004481850</t>
  </si>
  <si>
    <t>Ashkenazy, Joseph;Shtrikman, S.;Treves, David</t>
  </si>
  <si>
    <t>Electric Surface Current Model for the Analysis of Microstrip Antennas on Cylindrical Bodies</t>
  </si>
  <si>
    <t>10.1109/TAP.1985.1143573</t>
  </si>
  <si>
    <t>2-s2.0-0022029293</t>
  </si>
  <si>
    <t>['space vehicles', 'radiation efficiency', 'radiated power', 'linear antennas', 'field pattern', 'antenna immersed', 'acoustic waves']</t>
  </si>
  <si>
    <t>Generation of electro-acoustic waves by an antenna immersed in a plasma medium affects the radiation efficiency of the antenna. Microstrip antennas mounted on space vehicles and satellites encounter ionized medium during their voyage in space. The generation of the electro acoustic waves by a linearly-polarized microstrip antenna and its effect on radiation efficiency of the antenna is studied in this paper. A well-established hydrodynamic theory and vector wave function technique is used to derive the expression for field pattern and radiated power by the antenna. The radiation efficiency for the antenna for different plasma frequency is computed and compared with radiation efficiency of linear antennas in plasma.</t>
  </si>
  <si>
    <t>61-63</t>
  </si>
  <si>
    <t>Mar-Apr</t>
  </si>
  <si>
    <t>101363702;101363702;101363702;101363702</t>
  </si>
  <si>
    <t>7005277188;7409950864;6506658694;36042421800</t>
  </si>
  <si>
    <t>Arora, C. L.;Deepak Bhatnagar, ;Gujar, Narendra K.;Gupta, R. K.</t>
  </si>
  <si>
    <t>Jaipur</t>
  </si>
  <si>
    <t>Electromagnetics Lab</t>
  </si>
  <si>
    <t>Arora C.</t>
  </si>
  <si>
    <t>EFFECT OF GENERATION OF ELECTRO-ACOUSTIC WAVES ON RADIATION EFFICIENCY OF MICROSTRIP ANTENNA IN A PLASMA MEDIUM.</t>
  </si>
  <si>
    <t>10.1080/03772063.1985.11436491</t>
  </si>
  <si>
    <t>2-s2.0-0022034637</t>
  </si>
  <si>
    <t>['radiation pattern', 'radiation intensity', 'prescribed direction', 'certain surfaces']</t>
  </si>
  <si>
    <t>Synthesis of conformal antenna arrays that yield a radiation pattern which is optimum in the sense that the radiation intensity is the greatest in a prescribed direction, for a given source norm, has been discussed. Optimum radiation patterns have been obtained for arrays which are conformal to certain surfaces.</t>
  </si>
  <si>
    <t>52-56</t>
  </si>
  <si>
    <t>55574185943;7003614950</t>
  </si>
  <si>
    <t>Kumar, A.;Shastry, S. V.K.</t>
  </si>
  <si>
    <t>Kumar A.</t>
  </si>
  <si>
    <t>SYNTHESIS OF CONFORMAL ANTENNA ARRAYS.</t>
  </si>
  <si>
    <t>10.1080/03772063.1985.11436487</t>
  </si>
  <si>
    <t>2-s2.0-0022034788</t>
  </si>
  <si>
    <t>['thus avoiding', 'thickness goes', 'surface field', 'surface currents', 'surface current', 'oblate spheroid', 'naturally within', 'induced current', 'field approach', 'current distribution', 'complex resonances']</t>
  </si>
  <si>
    <t>In this paper we derive the surface-current distribution on a perfectly conducting circular disc. The current is obtained by calculating the limit of the surface currents on an oblate spheroid as the thickness goes to zero. The null-field approach is used. We show that it is possible to calculate all quantities in terms of the spherical basis functions, thus avoiding the cumbersome spheroidal basis functions. Furthermore, it is shown that the correct edge behavior appears very naturally within the formulation. We compute the surface field on the disc for a plane incident wave, the surface current (eigencurrents) at the complex resonances of the disc, and the induced current on a subterranean disc excited by a circular antenna loop on the ground.</t>
  </si>
  <si>
    <t>507-516</t>
  </si>
  <si>
    <t>Canadian journal of physics</t>
  </si>
  <si>
    <t>Apr</t>
  </si>
  <si>
    <t>Kristensson, Gerhard</t>
  </si>
  <si>
    <t>Gothenburg</t>
  </si>
  <si>
    <t>Institute of Theoretical Physics, Goteborg</t>
  </si>
  <si>
    <t>Kristensson G.</t>
  </si>
  <si>
    <t>CURRENT DISTRIBUTION ON A CIRCULAR DISC.</t>
  </si>
  <si>
    <t>10.1139/p85-080</t>
  </si>
  <si>
    <t>2-s2.0-0022042096</t>
  </si>
  <si>
    <t>['transmission line', 'radiating edges', 'radiating apertures', 'patch shapes', 'others indicated', 'mutual coupling', 'microstrip configurations', 'finally incorporated', 'equivalent circuit', 'direction perpendicular', 'complex eigenvalues']</t>
  </si>
  <si>
    <t>A transmission line model for microstrip configurations, for which separation of variables is possible, is presented. For this, the patch is modeled as a transmission line joining the radiating apertures. Each section of the transmission line is replaced by a pi -network. The effect of aperatures in the direction perpendicular to the direction of propagation is included through the complex eigenvalues. The effect of mutual coupling between the radiating edges can be described using variational technique and finally incorporated in the equivalent circuit of the structure. Application of the transmission line method appears to be large. Some patch shapes have been analyzed and others indicated.</t>
  </si>
  <si>
    <t>93-98</t>
  </si>
  <si>
    <t>60004750;60004750</t>
  </si>
  <si>
    <t>7402673635;56224976000</t>
  </si>
  <si>
    <t>Bhattacharyya, A. K.;Garg, R.</t>
  </si>
  <si>
    <t>Kharagpur</t>
  </si>
  <si>
    <t>Indian Institute of Technology Kharagpur</t>
  </si>
  <si>
    <t>Bhattacharyya A.K.</t>
  </si>
  <si>
    <t>GENERALISED TRANSMISSION LINE MODEL FOR MICROSTRIP PATCHES.</t>
  </si>
  <si>
    <t>10.1049/ip-h-2.1985.0019</t>
  </si>
  <si>
    <t>2-s2.0-0022043470</t>
  </si>
  <si>
    <t>['two beams', 'formally analyzed']</t>
  </si>
  <si>
    <t>Covariance of narrow-band noise among two simultaneous beams, looking toward different directions with identical power patterns, for a phased array system is formally analyzed. It is shown that the noise correlation coefficient as a function of the angle of separation between two beams is the same as the normalized beam power pattern. This result is independent of the way the beams are formed, in particular these conclusions for both the total power beam systems and the correlator beam systems are examined in detail. ¬© 1985 IEEE</t>
  </si>
  <si>
    <t>455-458</t>
  </si>
  <si>
    <t>Singal, Ashok K.</t>
  </si>
  <si>
    <t>Mumbai</t>
  </si>
  <si>
    <t>Tata Institute of Fundamental Research, Mumbai</t>
  </si>
  <si>
    <t>Singal A.</t>
  </si>
  <si>
    <t>Covariance of Narrow-Band Noise in Multiple Beams of a Phased-Array System</t>
  </si>
  <si>
    <t>10.1109/TAP.1985.1143592</t>
  </si>
  <si>
    <t>2-s2.0-0022043532</t>
  </si>
  <si>
    <t>['wires displaced', 'wire scatterers', 'wire scatterer', 'vertical wires', 'rotational sense', 'radiation performance', 'maximum value', 'incident wave', 'experimental results', 'circular polarization', 'backscattering wave', 'backscattering direction', 'arrays consisting', 'aperture area', 'also shown', '8 times', '375 ghz']</t>
  </si>
  <si>
    <t>A crossed-wire scatterer has the wires displaced in the backscattering direction, and is able to scatter an incident wave of circular polarization in such a way that the backscattering wave has the same rotational sense as that of the incident wave. The radiation performance of the scatterer is improved by bending the horizontal and the vertical wires. Arrays consisting of crossed-wire scatterers are constructed and the backscattering cross sections (BSCS‚Äôs) are calculated. It is revealed that the increase in the current amplitude due to the mutual effects among the array elements contributes to enhancement in the BSCS. It is also shown that a maximum value of the BSCS of an array of 3 x 3 bent crossed-wire scatterers is 1.8 times as large as that of a dihedral corner reflector which has the same aperture area. The BSCS‚Äôs as a function of the angle of incidence are presented with experimental results at a frequency of 9.375 GHz. ¬© 1985 IEEE</t>
  </si>
  <si>
    <t>409-415</t>
  </si>
  <si>
    <t>60030526;60030526;60030526</t>
  </si>
  <si>
    <t>55633340100;7103051323;56405174700</t>
  </si>
  <si>
    <t>Nakano, Hisamatsu;Yoshizawa, Akihiro;Yamauchi, Junji</t>
  </si>
  <si>
    <t>Hosei University</t>
  </si>
  <si>
    <t>Nakano H.</t>
  </si>
  <si>
    <t>Characteristics of a Crossed-Wire Scatterer Without a Junction Point for an Incident Wave of Circular Polarization</t>
  </si>
  <si>
    <t>10.1109/TAP.1985.1143602</t>
  </si>
  <si>
    <t>2-s2.0-0022043573</t>
  </si>
  <si>
    <t>['transverse electric', 'optical theorem', 'numerical examples', 'magnetic cases', 'interior resonance', 'hollow dielectric', 'error defined', 'electromagnetic fields', 'directly applied', 'computational accuracy', 'complicated geometries', 'analytic solution']</t>
  </si>
  <si>
    <t>The computation of low frequency scattering of electromagnetic fields by solid/hollow dielectric or conducting cylinders using the boundary element method (BEM) is considered. A general computer program has been developed for both transverse electric and magnetic cases. Numerical examples are given for conducting circular cylinders, and solid and hollow dielectric cylinders. The computational accuracy is checked by comparing the results with the analytic solution or computing an error defined from the optical theorem. In addition some problems at an interior resonance of the scatterer are discussed. The method can be directly applied to more complicated geometries. ¬© 1985 IEEE</t>
  </si>
  <si>
    <t>383-389</t>
  </si>
  <si>
    <t>60002787;60002787</t>
  </si>
  <si>
    <t>56008405700;7102072704</t>
  </si>
  <si>
    <t>Yashiro, Ken'ichiro;Ohkawa, Sumio</t>
  </si>
  <si>
    <t>Chiba</t>
  </si>
  <si>
    <t>Chiba University</t>
  </si>
  <si>
    <t>Yashiro K.</t>
  </si>
  <si>
    <t>Boundary Element Method for Electromagnetic Scattering from Cylinders</t>
  </si>
  <si>
    <t>10.1109/TAP.1985.1143587</t>
  </si>
  <si>
    <t>2-s2.0-0022043574</t>
  </si>
  <si>
    <t>['resonant frequencies', 'patch array', 'particular attention', 'parametric dependence', 'overall solution', 'numerical solution', 'method used', 'matrix elements', 'good correlation', 'excited microstrip', 'establish confidence', 'edge condition']</t>
  </si>
  <si>
    <t>Numerical solution of plane wave reflection from an infinite, planar rectangular microstrip-patch array on a grounded dielectric substrate is presented and compared to phased array simulator measurements with a good correlation. In the theory, particular attention is paid to the edge condition and to the convergence of the matrix elements which was accelerated by the Poisson summation technique, as well as to the rate of convergence of the overall solution. The agreement of the values of the resonant frequencies, the associated Q values, and their parametric dependence on geometry and frequency, establish confidence in the application of the method used, to prediction of performance of probe-excited microstrip-patch phased arrays. ¬© 1985 IEEE</t>
  </si>
  <si>
    <t>426-435</t>
  </si>
  <si>
    <t>60005304;60005304;60108318;60108318;60108318</t>
  </si>
  <si>
    <t>6603030657;6506193607;7409791535;6602805535;7005831705</t>
  </si>
  <si>
    <t>Hanfling, Jerome D.;Usoff, Joseph M.;Liu, Chung CYTZ;Shmoys, Jerry;Hessel, Alexander</t>
  </si>
  <si>
    <t>New York;Waltham</t>
  </si>
  <si>
    <t>NYU Tandon School of Engineering;Raytheon</t>
  </si>
  <si>
    <t>60108318;60005304</t>
  </si>
  <si>
    <t>Hanfling J.</t>
  </si>
  <si>
    <t>Plane Wave Reflection from Microstrip-Patch Arrays‚ÄîTheory and Experiment</t>
  </si>
  <si>
    <t>10.1109/TAP.1985.1143599</t>
  </si>
  <si>
    <t>2-s2.0-0022043669</t>
  </si>
  <si>
    <t>['¬© 1985', 'two co', 'sine function', 'rights reserved', 'probability function', 'finding antenna', 'electrical engineers', 'direction indications', 'channel signals', 'beam shape', 'antenna array', 'analytical results']</t>
  </si>
  <si>
    <t>Direction finding | Radar and radio navigation | Signal processing | Sonar</t>
  </si>
  <si>
    <t>The case of a direction-finding antenna (or an antenna array) with a beam shape which can be approximated by a cosine or a sine function is considered, and a probability function is found for the direction indications when two co-channel signals are present under Rayleigh fading conditions. Simulated case studies are described and compared with the analytical results. ¬© 1985, The Institution of Electrical Engineers. All rights reserved.</t>
  </si>
  <si>
    <t>90-93</t>
  </si>
  <si>
    <t>IEE Proceedings F: Communications Radar and Signal Processing</t>
  </si>
  <si>
    <t>60010818-118843590</t>
  </si>
  <si>
    <t>Archer, M.</t>
  </si>
  <si>
    <t>United Kingdom;United Kingdom</t>
  </si>
  <si>
    <t>Canterbury;Stevenage</t>
  </si>
  <si>
    <t>University of Kent;Space &amp; Communications Division</t>
  </si>
  <si>
    <t>60010818;118843590</t>
  </si>
  <si>
    <t>Archer M.</t>
  </si>
  <si>
    <t>Probability of direction indications for two unresolved signals</t>
  </si>
  <si>
    <t>10.1049/ip-f-1.1985.0017</t>
  </si>
  <si>
    <t>2-s2.0-0022043670</t>
  </si>
  <si>
    <t>['teflon lenses', 'simpler horns', 'particular emphasis', 'higher frequencies', 'feed horns', 'dual mode', 'clearly preferable', '495 ghz', '230 ghz']</t>
  </si>
  <si>
    <t>Measurements of diplexers, lenses and feed horns for the frequency ranges 220-230 GHz and 460-495 GHz are reported, with particular emphasis on component insertion losses. At both frequencies best results are obtained using polarization diplexers and Teflon lenses. Scalar feed horns are clearly preferable at 230 GHz while technological problems appear to indicate that simpler horns (dual mode, pyramidal) should be used at higher frequencies.</t>
  </si>
  <si>
    <t>99-106</t>
  </si>
  <si>
    <t>60001754;60001754;60001754</t>
  </si>
  <si>
    <t>6602109154;57219249254;7005069996</t>
  </si>
  <si>
    <t>Ediss, G. A.;Wang, S. J.;Keen, N. J.</t>
  </si>
  <si>
    <t>Bonn</t>
  </si>
  <si>
    <t>Max Planck Institute for Radio Astronomy</t>
  </si>
  <si>
    <t>Ediss G.A.</t>
  </si>
  <si>
    <t>QUASIOPTICAL COMPONENTS FOR 230 GHz AND 460 GHz.</t>
  </si>
  <si>
    <t>10.1049/ip-h-2.1985.0020</t>
  </si>
  <si>
    <t>2-s2.0-0022043701</t>
  </si>
  <si>
    <t>['¬© 1985', 'wave array', 'sparse deployment', 'rights reserved', 'novel combination', 'new element', 'microstrip patch', 'electrical engineers', 'dielectric sphere', 'constructional detail', 'basic action', 'antenna depth', 'analysis illustrate']</t>
  </si>
  <si>
    <t>Antenna arrays | Antennas | Microstrip</t>
  </si>
  <si>
    <t>A novel combination of a microstrip patch and dielectric sphere is described. Measurements and analysis illustrate the basic action and the use of this new element in a millimetre-wave array. Improved radiation pattern control and sparse deployment of elements, at a cost of some increase in antenna depth and constructional detail, are the main features identified. ¬© 1985, The Institution of Electrical Engineers. All rights reserved.</t>
  </si>
  <si>
    <t>356-357</t>
  </si>
  <si>
    <t>60009658;60009658;60009658</t>
  </si>
  <si>
    <t>7403015676;6602536785;7403018268</t>
  </si>
  <si>
    <t>Hall, C. M.;Andrasic, G.;James, J. R.</t>
  </si>
  <si>
    <t>Swindon</t>
  </si>
  <si>
    <t>Defence College of Management and Technology</t>
  </si>
  <si>
    <t>Hall C.</t>
  </si>
  <si>
    <t>Microstrip Planar Arrays With Dielectric Sphere Overlays</t>
  </si>
  <si>
    <t>10.1049/el:19850251</t>
  </si>
  <si>
    <t>2-s2.0-0022044049</t>
  </si>
  <si>
    <t>['¬© 1985', 'seven elements', 'rights reserved', 'parasitic elements', 'element array', 'electrical engineers', 'approximately 0']</t>
  </si>
  <si>
    <t>Adaptive arrays | Antennas</t>
  </si>
  <si>
    <t>A reactively steered adaptive array has a single driven element with closely coupled parasitic elements. Adjustable reactive terminations on the parasitic elements are the adaptively controlled variables. The results of a simulation study show that the best element spacing is approximately 0.2Œª, that the optimum array size is seven elements, and that this seven-element array can steer three nulls. ¬© 1985, The Institution of Electrical Engineers. All rights reserved.</t>
  </si>
  <si>
    <t>383-384</t>
  </si>
  <si>
    <t>Dinger, R.</t>
  </si>
  <si>
    <t>Crane</t>
  </si>
  <si>
    <t>Naval Surface Warfare Center Crane Division</t>
  </si>
  <si>
    <t>Dinger R.</t>
  </si>
  <si>
    <t>Simulation Study Of Reactively Steered Adaptive Arrays</t>
  </si>
  <si>
    <t>10.1049/el:19850273</t>
  </si>
  <si>
    <t>2-s2.0-0022044274</t>
  </si>
  <si>
    <t>['turnstile elements', 'radiation characteristics', 'numerically analyzed']</t>
  </si>
  <si>
    <t>Radiation characteristics of a type of spherical triangular array composed of turnstile elements are numerically analyzed and discussed. It is found that the spherical array proposed here is able to scan its beam up to large angle without variation of the directivity and the circular polarization property. ¬© 1985 IEEE</t>
  </si>
  <si>
    <t>472-476</t>
  </si>
  <si>
    <t>60008435;60008435;60011107</t>
  </si>
  <si>
    <t>35548438100;56843454200;7004205007</t>
  </si>
  <si>
    <t>Horiguchi, Susumu;Ishizone, Takayuki;Mushiake, Yasuto</t>
  </si>
  <si>
    <t>Sendai;Sendai</t>
  </si>
  <si>
    <t>Tohoku Institute of Technology;Tohoku University</t>
  </si>
  <si>
    <t>60011107;60008435</t>
  </si>
  <si>
    <t>Horiguchi S.</t>
  </si>
  <si>
    <t>Radiation Characteristics of Spherical Triangular Array Antenna</t>
  </si>
  <si>
    <t>10.1109/TAP.1985.1143596</t>
  </si>
  <si>
    <t>2-s2.0-0022044606</t>
  </si>
  <si>
    <t>['surrounding medium', 'practical problems', 'possibly lossy', 'positioned symmetrically', 'particular attention', 'magnetic bodies', 'infinitely thin', 'include pairs', 'either known', 'complex permittivity', 'complementary concept', 'arbitrary values']</t>
  </si>
  <si>
    <t>The well known Booker's concept of complementary electromagnetic structures is valid for plane, infinitely thin, perfectly conducting complementary screens situated in a homogeneous lossless medium. It is shown in the paper that the concept can be extended to include pairs of arbitrarily shaped dielectric and/or magnetic bodies, possibly lossy, of arbitrary values of complex permittivity and permeability, positioned symmetrically with respect to the plane of the structure. In this manner, further practical problems can be solved by reducing them to problems the solutions of which is either known or can be obtained more easily. Particular attention is devoted to quasi-TEM transmission lines. The complementary concept is extended to include the surrounding medium as well.</t>
  </si>
  <si>
    <t>60068815;60068815</t>
  </si>
  <si>
    <t>7006225695;7003325954</t>
  </si>
  <si>
    <t>Popovic, B. D.;Nesic, A.</t>
  </si>
  <si>
    <t>Serbia</t>
  </si>
  <si>
    <t>Belgrade</t>
  </si>
  <si>
    <t>University of Belgrade</t>
  </si>
  <si>
    <t>Popovic B.D.</t>
  </si>
  <si>
    <t>SOME EXTENSIONS OF THE CONCEPT OF COMPLEMENTARY ELECTROMAGNETIC STRUCTURES.</t>
  </si>
  <si>
    <t>10.1049/ip-h-2.1985.0026</t>
  </si>
  <si>
    <t>2-s2.0-0022044920</t>
  </si>
  <si>
    <t>123-126</t>
  </si>
  <si>
    <t>Karwowski, A.</t>
  </si>
  <si>
    <t>Poland</t>
  </si>
  <si>
    <t>Wroclaw</t>
  </si>
  <si>
    <t>Wroc≈Çaw University of Science and Technology</t>
  </si>
  <si>
    <t>Karwowski A.</t>
  </si>
  <si>
    <t>Low-frequency approach to the problem of a vertical wire antenna above an imperfect ground</t>
  </si>
  <si>
    <t>2-s2.0-0022045160</t>
  </si>
  <si>
    <t>['¬© 1985', 'uniformly thick', 'rights reserved', 'reflector antenna', 'model describing', 'electrical engineers', 'dust accretion', 'cover part', 'checked experimentally', 'aperture field', 'accretion layers']</t>
  </si>
  <si>
    <t>Antennas | Dust deposits | Microwave antennas | Polarisation</t>
  </si>
  <si>
    <t>A model describing the effect of a sand/dust accretion on the aperture field and gain of a reflector antenna is checked experimentally and extended to predict enhanced crosspolarisation. The largest effects theoretically occur for accretion layers that are uniformly thick but only cover part of the reflector. ¬© 1985, The Institution of Electrical Engineers. All rights reserved.</t>
  </si>
  <si>
    <t>379-380</t>
  </si>
  <si>
    <t>60008524;60008524</t>
  </si>
  <si>
    <t>7005333428;55952532900</t>
  </si>
  <si>
    <t>Bashir, S. O.;Mcewan, N. J.</t>
  </si>
  <si>
    <t>Bradford</t>
  </si>
  <si>
    <t>University of Bradford</t>
  </si>
  <si>
    <t>Bashir S.</t>
  </si>
  <si>
    <t>Crosspolarisation And Gain Reduction Due To Sand Or Dust On Microwave Reflector Antennas</t>
  </si>
  <si>
    <t>10.1049/el:19850270</t>
  </si>
  <si>
    <t>2-s2.0-0022045202</t>
  </si>
  <si>
    <t>['polarization properties', 'induced dipole', 'frequency dependence', 'electrochemical polarization', 'customary fashion', 'complex resistivity', 'complex form', 'cole form', 'also influenced']</t>
  </si>
  <si>
    <t>A homogeneous spherical body with a frequency dependent complex resistivity is placed in a uniform time varying magnetic field. It is shown that the induced magnetic dipole has a complex form that depends on the ratio of the diameter to the internal skin depth in a customary fashion. But the frequency dependence of the induced dipole is also influenced by the polarization properties of the material. A Cole-Cole form for the complex resistivity is employed to characterize the electrochemical polarization. ¬© 1985 IEEE</t>
  </si>
  <si>
    <t>465-467</t>
  </si>
  <si>
    <t>60010065;60010065</t>
  </si>
  <si>
    <t>7103195054;6602713653</t>
  </si>
  <si>
    <t>Wait, James R.;Debroux, Patrick</t>
  </si>
  <si>
    <t>Tucson</t>
  </si>
  <si>
    <t>The University of Arizona</t>
  </si>
  <si>
    <t>Wait J.R.</t>
  </si>
  <si>
    <t>The Induced Magnetic Dipole of a Polarized Sphere</t>
  </si>
  <si>
    <t>10.1109/TAP.1985.1143586</t>
  </si>
  <si>
    <t>2-s2.0-0022045251</t>
  </si>
  <si>
    <t>['¬© 1985', 'rights reserved', 'physical society', 'one obtains', 'energy density', 'directly correlated']</t>
  </si>
  <si>
    <t>We discuss the detection of stochastic background gravitational radiation with resonant mechanical antennas. Using a pair of antennas of the precisely same frequency, one obtains a low detection threshold for energy density of the radiation, when outputs from the phase-sensitive detectors following each antenna are directly correlated. ¬© 1985, THE PHYSICAL SOCIETY OF JAPAN. All rights reserved.</t>
  </si>
  <si>
    <t>1270-1273</t>
  </si>
  <si>
    <t>Journal of the Physical Society of Japan</t>
  </si>
  <si>
    <t>60025272;60025272;60025272</t>
  </si>
  <si>
    <t>7103211355;57205011869;36090992900</t>
  </si>
  <si>
    <t>Hirakawa, Hiromasa;Owa, Soichi;Iso, Ken ichi</t>
  </si>
  <si>
    <t>The University of Tokyo</t>
  </si>
  <si>
    <t>Hirakawa H.</t>
  </si>
  <si>
    <t>Theory of the Detection of Background Gravitational Radiation</t>
  </si>
  <si>
    <t>10.1143/JPSJ.54.1270</t>
  </si>
  <si>
    <t>2-s2.0-0022045461</t>
  </si>
  <si>
    <t>['wave ratio', 'wall admittances', 'voltage standing', 'reactance due', 'radiating apertures', 'mutual coupling', 'input impedance']</t>
  </si>
  <si>
    <t>Input impedance and bandwidth of an annular ring microstrip antenna have been determined by modeling the antenna as a section of radial line loaded with wall admittances. The effect of mutual coupling between the radiating apertures has been taken into account. The theoretically calculated values of input impedance for TM12-mode are compared with measurements. The agreement is good. Higher order modes have been found to be present in the vicinity of TM-mode. The reactance due to these modes can be utilized to increase the voltage standing-wave ratio (VSWR) bandwidth of the antenna. ¬© 1985 IEEE</t>
  </si>
  <si>
    <t>369-374</t>
  </si>
  <si>
    <t>Bhattacharyya, Arun K.;Garg, Ramesh</t>
  </si>
  <si>
    <t>Bhattacharyya A.</t>
  </si>
  <si>
    <t>Input Impedance of Annular Ring Microstrip Antenna Using Circuit Theory Approach</t>
  </si>
  <si>
    <t>10.1109/TAP.1985.1143584</t>
  </si>
  <si>
    <t>2-s2.0-0022045634</t>
  </si>
  <si>
    <t>['particular feed', 'directive gain', 'conventional method']</t>
  </si>
  <si>
    <t>The directive gain of a parabolic reflector antenna is maximized by optimizing the feed aperture distribution. The feed aperture distribution is specified by a set of N basis functions weighted by coefficients to be determined. This approach is different from the conventional method where, given a particular feed, the directive gain is maximized by subjecting the reflector aperture parameters to optimization. ¬© 1985 IEEE</t>
  </si>
  <si>
    <t>458-462</t>
  </si>
  <si>
    <t>60000745;60000745</t>
  </si>
  <si>
    <t>57198786472;7401934487</t>
  </si>
  <si>
    <t>Gilbert, Roland A.;Lo, Yuen T.</t>
  </si>
  <si>
    <t>Urbana</t>
  </si>
  <si>
    <t>University of Illinois Urbana-Champaign</t>
  </si>
  <si>
    <t>Gilbert R.</t>
  </si>
  <si>
    <t>Maximization of the Directive Gain of a Parabolic Reflector Antenna</t>
  </si>
  <si>
    <t>10.1109/TAP.1985.1143604</t>
  </si>
  <si>
    <t>2-s2.0-0022045841</t>
  </si>
  <si>
    <t>['specific problem', 'mutual coupling', 'microstrip array', 'array elements', 'analyzed using', 'analysis technique']</t>
  </si>
  <si>
    <t>An analysis technique for a microstrip array is presented. The array elements and mutual coupling between elements are analyzed by a method of moments (MM) solution of the exact integral equation. The combination of the microstrip array elements, plus the microstrip transmission line feed network is analyzed using a generalized Thevenin theorem. The method is applied to the specific problem of the series fed microstrip. array. ¬© 1985 IEEE</t>
  </si>
  <si>
    <t>397-403</t>
  </si>
  <si>
    <t>60003500;60025209</t>
  </si>
  <si>
    <t>7203066664;6603262594</t>
  </si>
  <si>
    <t>Newman, Edward H.;Tehan, John E.</t>
  </si>
  <si>
    <t>Los Angeles;Columbus</t>
  </si>
  <si>
    <t>Northrop Grumman corporation;The Ohio State University</t>
  </si>
  <si>
    <t>60025209;60003500</t>
  </si>
  <si>
    <t>Newman E.</t>
  </si>
  <si>
    <t>Analysis of a Microstrip Array and Feed Network</t>
  </si>
  <si>
    <t>10.1109/TAP.1985.1143601</t>
  </si>
  <si>
    <t>2-s2.0-0022045960</t>
  </si>
  <si>
    <t>['wave ratio', 'vswr ),', 'voltage standing', 'mutual coupling', 'ground plane', 'also configured', '50 ¬∞']</t>
  </si>
  <si>
    <t>Measured center element gain patterns, voltage standing-wave ratio (VSWR), and mutual coupling for passively terminated arrays of horizontally polarized loop-fed slotted cylinder antennas over a ground plane are given. A seven-element hexagonal array is investigated in detail. The element gain pattern is shown to have a null at broadside with omnidirectional coverage along a constant cone angle from broadside. Maximum gain occurs close to 50¬∞ from broadside which provides for wide-angle phased array scanning capability. The antennas are also configured in a linear array geometry, to investigate mutual coupling effects on the element gain pattern as the number of elements is varied. The element gain pattern is shown to converge for a relatively few number of elements and there is no indication of nndesired blind spots. ¬© 1985 IEEE</t>
  </si>
  <si>
    <t>375-382</t>
  </si>
  <si>
    <t>Fenn, Alan J.</t>
  </si>
  <si>
    <t>Fenn A.</t>
  </si>
  <si>
    <t>Arrays of Horizontally Polarized Loop-Fed Slotted Cylinder Antennas</t>
  </si>
  <si>
    <t>10.1109/TAP.1985.1143597</t>
  </si>
  <si>
    <t>2-s2.0-0022046037</t>
  </si>
  <si>
    <t>['¬© 1985', 'rights reserved', 'reflector antenna', 'radiation integral', 'polar geometry', 'electrical engineers', 'efficient algorithm']</t>
  </si>
  <si>
    <t>Electromagnetic waves | Numerical techniques</t>
  </si>
  <si>
    <t>An efficient algorithm for calculation of the radiation integral is described. The process is presented in the form of a crosscorrelation which is carried out by utilising the fast Fourier transform. Applications to a plane-polar geometry and to the reflector antenna are considered and the results of simulations are presented as validation of the process. ¬© 1985, The Institution of Electrical Engineers. All rights reserved.</t>
  </si>
  <si>
    <t>343-344</t>
  </si>
  <si>
    <t>Bennett, J. C.</t>
  </si>
  <si>
    <t>Sheffield</t>
  </si>
  <si>
    <t>The University of Sheffield</t>
  </si>
  <si>
    <t>Bennett J.</t>
  </si>
  <si>
    <t>Fast Algorithm For Calculation Of Radiation Integral And Its Application To Plane-Polar Near-Field/Far-Field Transformation</t>
  </si>
  <si>
    <t>10.1049/el:19850242</t>
  </si>
  <si>
    <t>2-s2.0-0022046072</t>
  </si>
  <si>
    <t>['test antenna', 'technique presented', 'sufficiently accurate', 'new technique', 'field data', 'far field', 'analytically simple']</t>
  </si>
  <si>
    <t>A new technique of transforming the probe uncompensated near-field data to the near or far field is presented, which is useful in nearfield antenna measurements, when the probe antenna scans over an arbitrary surface enclosing the test antenna. The technique presented is analytically simple and sufficiently accurate. ¬© 1985 IEEE</t>
  </si>
  <si>
    <t>467-472</t>
  </si>
  <si>
    <t>60025757;60025757</t>
  </si>
  <si>
    <t>7006389495;57202125888</t>
  </si>
  <si>
    <t>Narasimhan, M. S.;Ravishankar, S.</t>
  </si>
  <si>
    <t>Probe Uncompensated Near-Field to Far-Field Transformation for Scanning Over an Arbitrary Surface</t>
  </si>
  <si>
    <t>10.1109/TAP.1985.1143593</t>
  </si>
  <si>
    <t>2-s2.0-0022046138</t>
  </si>
  <si>
    <t>['solved numerically', 'integral equation', 'excitation frequency', 'air filled', '45 ghz']</t>
  </si>
  <si>
    <t>An integral equation is formulated for a coaxially fed annular aperture antenna. The integral equation in terms of the unknown tangential aperture electric field is solved numerically by the Method of Moments. The coaxial feed line is air filled while the exterior region consists of i) air, ii) fat or bone, and iii) muscle. Results are given for the aperture electric field, apparent input admittance, and contours of constant power absorption when the excitation frequency is 2.45 GHz. ¬© 1985 IEEE.</t>
  </si>
  <si>
    <t>314-319</t>
  </si>
  <si>
    <t>IEEE Transactions on Microwave Theory and Techniques</t>
  </si>
  <si>
    <t>60020547;60005837;</t>
  </si>
  <si>
    <t>7003263401;7201550943;6504127134</t>
  </si>
  <si>
    <t>Nevels, R. D.;Butler, C. M.;Yablon, W.</t>
  </si>
  <si>
    <t>College Station;Houston</t>
  </si>
  <si>
    <t>Texas A&amp;M University;University of Houston</t>
  </si>
  <si>
    <t>60020547;60005837</t>
  </si>
  <si>
    <t>Nevels R.D.</t>
  </si>
  <si>
    <t>The Annular Slot Antenna in a Lossy Biological Medium</t>
  </si>
  <si>
    <t>10.1109/TMTT.1985.1133083</t>
  </si>
  <si>
    <t>2-s2.0-0022046235</t>
  </si>
  <si>
    <t>['¬© 1985', 'stepper motors', 'software packages', 'signal source', 'polarization positioners', 'phase may', 'microwave receiver', 'drive azimuth', 'directly controlled', 'different formats', 'different applications', 'crosspolar patterns', 'cost facility', 'contour mapping', 'computer using', 'computer programs']</t>
  </si>
  <si>
    <t>A fully automated antenna radiation pattern measurement system, based on an ITT 2020 microcomputer, is described. Stepper motors, directly controlled by the computer using a simple open loop system, are used to drive azimuth and polarization positioners. During measurement the computer programs the signal source, collects pattern data from the microwave receiver and converts, displays and stores it. Copolar and crosspolar patterns in amplitude and phase may be measured and, after storing, recalled and displayed in a variety of different formats. Software packages for radiation pattern measurement and contour mapping are described and typical results presented. This low-cost facility is accurate and versatile and software can readily be modified for different applications. ¬© 1985.</t>
  </si>
  <si>
    <t>97-107</t>
  </si>
  <si>
    <t>Journal of Microcomputer Applications</t>
  </si>
  <si>
    <t>60010818;60010818</t>
  </si>
  <si>
    <t>56020461500;7006590477</t>
  </si>
  <si>
    <t>Langley, R. J.;Papaioannou, D.</t>
  </si>
  <si>
    <t>Canterbury</t>
  </si>
  <si>
    <t>University of Kent</t>
  </si>
  <si>
    <t>Langley R.</t>
  </si>
  <si>
    <t>An automated antenna test range controlled by a microcomputer</t>
  </si>
  <si>
    <t>0745-7138(85)90009-0</t>
  </si>
  <si>
    <t>10.1016/0745-7138(85)90009-0</t>
  </si>
  <si>
    <t>2-s2.0-0022047497</t>
  </si>
  <si>
    <t>['wiley company', 'simple form', 'results obtained', 'result obtained', 'reflector antennas', 'radiation pattern', 'present method', 'possible systematically', 'physical optics', 'peripheral line', 'pattern near', 'mirror normal', 'main beam', 'inc .,', 'geometrical theory', 'empirical manner', 'edge point', 'edge current', 'coordinate system', 'circular disk', 'axis region', 'arbitrary pattern', 'accurately calculating']</t>
  </si>
  <si>
    <t>A method is proposed for accurately calculating the radiation pattern of reflector antennas in the entire angular range from the main beam direction to the off axis region. The principle of the method is similar to the physical optics diffraction theory, and consists of the result obtained by conventional physical optics corrected with the contribution from the edge current calculated by the geometrical theory of diffraction. However, the edge current is expressed in a simple form by means of a local coordinate system defined by the peripheral line and the mirror normal at each edge point and of the incident electromagnetic vector components in reference to this coordinate system. Therefore, it is possible to treat an arbitrarily shaped mirror surface and an antenna with a primary radiator using an arbitrary pattern. It is confirmed that the results obtained by the present method approach those obtained by the physical optics method near the main beam and those obtained by the geometrical theory of diffraction at the off axis. Accuracy is tested by applying the present method to the problem of diffraction from a circular disk for which a rigorous solution exists. The present method makes unnecessary the distinction of the use of physical optics (main beam) and the geometrical theory of diffraction (off axis) performed so far, in an empirical manner. It is possible systematically to obtain the pattern near the first‚Äêthird side lobes where two methods may be connected. Copyright ¬© 1985 Wiley Periodicals, Inc., A Wiley Company</t>
  </si>
  <si>
    <t>93-102</t>
  </si>
  <si>
    <t>Ando, Makoto</t>
  </si>
  <si>
    <t>Tokyo Institute of Technology</t>
  </si>
  <si>
    <t>Ando M.</t>
  </si>
  <si>
    <t>Radiation pattern analysis of reflector antennas</t>
  </si>
  <si>
    <t>10.1002/ecja.4410680411</t>
  </si>
  <si>
    <t>2-s2.0-0022047860</t>
  </si>
  <si>
    <t>['¬© 1985', 'tantalate crystal', 'rights reserved', 'receiver using', 'receiver electronics', 'practical application', 'passive fiber', 'paper describes', 'optic link', 'optic cable', 'noise ratio', 'mounted directly', 'least 2', 'laser light', 'khz bandwidth', 'frequency response', 'fields generated', 'electrooptic lithium', 'electrical signal', 'dynamic range', 'band antenna', 'avoid pickup', 'avalanche photodiode', 'anechoic chamber', '8 nm', '5 db', '100 mhz', '0 ghz']</t>
  </si>
  <si>
    <t>Antenna | electromagnetic interference | electrooptic modulator | electrooptics | fiber-optic link | optical fibers</t>
  </si>
  <si>
    <t>This paper describes a practical application of a technique for coupling an antenna to a receiver using a passive fiber-optic link. This technique should avoid pickup and electromagnetic perturbations normally associated with the use of electrically conductive cables. Laser light (632.8 nm) is modulated at the antenna by an electrooptic lithium-tantalate crystal and is then transmitted with a fiber-optic cable to the receiver electronics. Using an avalanche photodiode, the amplitude modulated optical signal is converted to an electrical signal. The crystal is mounted directly on an antenna without amplifiers or other electrically powered components. Using a broad-band antenna with fields generated in an anechoic chamber and a standard TEM cell, the frequency response as measured dropped 3 dB per 1.0 GHz from 100 MHz to at least 2.0 GHz, with a signal-to-noise ratio of 5 dB with a 1.0-V/m field and a 1.0-kHz bandwidth. A dynamic range of at least 60 dB is shown. ¬© 1985, IEEE. All rights reserved.</t>
  </si>
  <si>
    <t>316-321</t>
  </si>
  <si>
    <t>Journal of Lightwave Technology</t>
  </si>
  <si>
    <t>60076690;60023053</t>
  </si>
  <si>
    <t>7101647453;6602303011</t>
  </si>
  <si>
    <t>Wyss, Jerry C.;Sheeran, Stephen T.</t>
  </si>
  <si>
    <t>Santa Barbara;Gaithersburg</t>
  </si>
  <si>
    <t>General Research Corporation;National Institute of Standards and Technology</t>
  </si>
  <si>
    <t>Wyss J.C.</t>
  </si>
  <si>
    <t>A Practical Optical Modulator and Link for Antennas</t>
  </si>
  <si>
    <t>10.1109/JLT.1985.1074173</t>
  </si>
  <si>
    <t>2-s2.0-0022050304</t>
  </si>
  <si>
    <t>['transverse field', 'particular representation', 'longitudinal direction', 'inhomogeneous region', 'horizontal dipoles', 'cartesian components']</t>
  </si>
  <si>
    <t>The problem of a dipole above an inhomogeneous half space is considered. Both the permittivity and the permeability are assumed to be functions of the longitudinal direction in the inhomogeneous region. The direct field representation in terms of longitudinal or transverse field components is studied. Excitations by vertical magnetic dipoles, vertical electric dipoles, as well as horizontal dipoles, are considerd. A particular representation of the transverse field, for horizontal dipole excitation, in Cartesian components is given.</t>
  </si>
  <si>
    <t>127-130</t>
  </si>
  <si>
    <t>Mohsen, A.</t>
  </si>
  <si>
    <t>Egypt</t>
  </si>
  <si>
    <t>Giza</t>
  </si>
  <si>
    <t>Cairo University</t>
  </si>
  <si>
    <t>Mohsen A.</t>
  </si>
  <si>
    <t>Representation of the electromagnetic fields of a dipole above an inhomogeneous half space</t>
  </si>
  <si>
    <t>10.1049/ip-h-2.1985.0025</t>
  </si>
  <si>
    <t>2-s2.0-0022054011</t>
  </si>
  <si>
    <t>['test vehicle', 'special antennas', 'sirens mounted', 'results showing', 'recommended locations', 'mobile antennas', 'frequency bands', 'frequencies representing', 'discrete frequencies', 'also measured', 'also included', '975 mhz', '866 mhz', '413 mhz']</t>
  </si>
  <si>
    <t>Power gain radiation patterns of mobile antennas mounted in six different locations on a test vehicle were measured with and without typical lights and sirens mounted on the roof. The measurements were performed at frequencies representing the frequency bands of 25 to 50, 150 to 174, 400 to 512, and 806 to 866 MHz. In addition, special antennas consisting of three disguised antennas operating at discrete frequencies of 40.27, 162.475, and 416.975 MHz and one slot antenna operating at 413 MHz were also measured. Plots of power gain radiation patterns are given for the mobile antennas mounted in six different locations on the test vehicle and for the special antennas. Results showing the effects of poor grounding characteristics are also included. Recommended locations for mounting the mobile antennas are given for specific frequency bands. ¬© 1985 IEEE</t>
  </si>
  <si>
    <t>Jesch, Ramon L.</t>
  </si>
  <si>
    <t>Jesch R.L.</t>
  </si>
  <si>
    <t>Measured Vehicular Antenna Performance</t>
  </si>
  <si>
    <t>10.1109/T-VT.1985.24042</t>
  </si>
  <si>
    <t>2-s2.0-0022056590</t>
  </si>
  <si>
    <t>['pitch rotation', 'paper details', 'orbit performance', 'command operations', 'apple spacecraft', 'also included']</t>
  </si>
  <si>
    <t>This paper details the VHF antenna system used in APPLE spacecraft for telemetry, tracking and command operations. Also included is the in-orbit performance and measurement of the system during the pitch rotation of the spacecraft.</t>
  </si>
  <si>
    <t>150-152</t>
  </si>
  <si>
    <t>IETE Technical Review (Institution of Electronics and Telecommunication Engineers)</t>
  </si>
  <si>
    <t>May</t>
  </si>
  <si>
    <t>60023345;60023345;60023345;60023345</t>
  </si>
  <si>
    <t>7402277666;6603641531;57198159368;7007185648</t>
  </si>
  <si>
    <t>Pal, S.;Lakshmeesha, V. K.;Mahadevan, V.;Nicholas, L.</t>
  </si>
  <si>
    <t>Pal S.</t>
  </si>
  <si>
    <t>APPLE VHF ANTENNA SYSTEM.</t>
  </si>
  <si>
    <t>10.1080/02564602.1985.11437748</t>
  </si>
  <si>
    <t>2-s2.0-0022057967</t>
  </si>
  <si>
    <t>['wider dissemination', 'transceivers operating', 'transceiver antenna', 'thirds muscle', 'points close', 'internal electric', 'internal e', 'increased shielding', 'immediate vicinity', 'four frequencies', 'field probes', 'field distribution', 'energy deposition', 'absorbed energy', '800 mhz']</t>
  </si>
  <si>
    <t>The internal electric (E) field and energy deposition in a full-size adult male mannequin in the immediate vicinity of 1.5 W body-mounted communication transceivers have been measured. Transceivers operating at the four frequencies 50, 150, 450, and 800 MHz, and placed at various locations vis-√†-vis the body were used. The mannequin was filled with two-thirds muscle-simulant biological phantom mixtures at each of the four frequencies. The complex permittivities (‚àä*) of these mixtures were confirmed by measurement. The internal E-field distribution was measured by three-dimensional implantable E-field probes. Relatively superficial energy depositions were obtained at points close to the location of the transceiver antenna for the two higher frequencies with energy depositions typically less than 1‚Äì2 W/kg. Considerably reduced energy depositions were measured at the two lower frequencies on account of in-depth and wider dissemination of the absorbed energy and the relatively high ‚àä* of the tissues which results in an increased shielding of the body. ¬© 1985 IEEE</t>
  </si>
  <si>
    <t>55-62</t>
  </si>
  <si>
    <t>60025488;60025488;60025488</t>
  </si>
  <si>
    <t>7005582088;7403046351;7103082601</t>
  </si>
  <si>
    <t>Chatterjee, Indira;Gu, Yong Gong;Gandhi, Om P.</t>
  </si>
  <si>
    <t>Salt Lake City</t>
  </si>
  <si>
    <t>The University of Utah</t>
  </si>
  <si>
    <t>Chatterjee I.</t>
  </si>
  <si>
    <t>Quantification of Electromagnetic Absorption in Humans from Body-Mounted Communication Transceivers</t>
  </si>
  <si>
    <t>10.1109/T-VT.1985.24037</t>
  </si>
  <si>
    <t>2-s2.0-0022058052</t>
  </si>
  <si>
    <t>['simple model', 'instrumentation van', 'high antennas', 'height dependence', 'erectable 27', 'accommodate low', '800 mhz']</t>
  </si>
  <si>
    <t>Signal levels around and within four suburban houses were measured at 800 MHz. The measurements were made from an instrumentation van having erectable 27-ft and 12.5-ft-high antennas. The dependence of attenuation on the height of antennas is needed in designing portable radio communication systems that can accommodate low-power radio communication sets. The height dependence of the trends in the data are consistent with the simple model of reflection from the ground. ¬© 1985 IEEE</t>
  </si>
  <si>
    <t>108-115</t>
  </si>
  <si>
    <t>100619554;100619554;60021378</t>
  </si>
  <si>
    <t>7403241218;7403021599;7102947533</t>
  </si>
  <si>
    <t>Cox, Donald C.;Murray, Roy R.;Norris, A. W.</t>
  </si>
  <si>
    <t>Murray;Holmdel</t>
  </si>
  <si>
    <t>Nokia Bell Labs;Wireless Commun. Research Department</t>
  </si>
  <si>
    <t>60021378;100619554</t>
  </si>
  <si>
    <t>Cox D.</t>
  </si>
  <si>
    <t>Antenna Height Dependence of 800 MHz Attenuation Measured in Houses</t>
  </si>
  <si>
    <t>10.1109/T-VT.1985.24043</t>
  </si>
  <si>
    <t>2-s2.0-0022058846</t>
  </si>
  <si>
    <t>['subarray nulling', 'subarray configuration', 'nulls may', 'major impact', 'graphical explanation', 'field pattern', 'antenna pattern']</t>
  </si>
  <si>
    <t>The generation of nulls in an antenna pattern by controlling the phase and amplitude of the subarray output signals is investigated. Although the nulls may be formed with any number of subarrays, the subarray configuration and desired null location have a major impact on the distortion in the far-field pattern that results. The distortion problem resulting from subarray nulling is well-known, but little theoretical analysis has been done to explain the cause of the distortion. A theoretical and graphical explanation of why the distortionoccurs is offered. ¬© 1985 IEEE</t>
  </si>
  <si>
    <t>505-509</t>
  </si>
  <si>
    <t>Haupt, Randy L.</t>
  </si>
  <si>
    <t>Haupt R.</t>
  </si>
  <si>
    <t>Null Synthesis With Phase And Amplitude Controls At The Subarray Outputs</t>
  </si>
  <si>
    <t>10.1109/TAP.1985.1143619</t>
  </si>
  <si>
    <t>2-s2.0-0022059190</t>
  </si>
  <si>
    <t>['theoretical predictions', 'model consisting', 'microstrip antenna', 'investigated experimentally', 'experimental data', 'characteristic impedance', 'band radiator']</t>
  </si>
  <si>
    <t>A previously derived theory is applied to a microstrip antenna with a reactive loadto produce a dual-band radiator. A model consisting of a rectangular patch radiator loaded with a variable length short-circuited coaxial stub was investigated experimentally. Comparisons of theoretical predictions and experimental data are made for the impedance and resonantfrequencies as a function of the position of the load, the length of the stub, and the characteristic impedance of the stub. ¬© 1985 IEEE</t>
  </si>
  <si>
    <t>556-561</t>
  </si>
  <si>
    <t>60005837;60005837;60005837</t>
  </si>
  <si>
    <t>7202452162;7202859727;7402507033</t>
  </si>
  <si>
    <t>Richards, William F.;Davidson, Shayla E.;Long, Stuart A.</t>
  </si>
  <si>
    <t>University of Houston</t>
  </si>
  <si>
    <t>Richards W.</t>
  </si>
  <si>
    <t>Dual-Band Reactively Loaded Microstrip Antenna</t>
  </si>
  <si>
    <t>10.1109/TAP.1985.1143617</t>
  </si>
  <si>
    <t>2-s2.0-0022059437</t>
  </si>
  <si>
    <t>['side maxima', 'procedure due', 'perspective plots', 'optical axis', 'minima disappear', 'intensity distribution', 'fresnel number', 'fresnel diffraction', 'elliptical aperture', 'corresponding diagrams', 'circular aperture', 'central maxima', 'also given']</t>
  </si>
  <si>
    <t>The Fresnel diffraction of a coherent light beam due to an elliptical aperture with the axial ratio ({\epsilon}) between 1.0 and 0.5 is investigated. The computations are based on an procedure due to Hopkins. Perspective plots of the intensity distribution diagrams are generated for Fresnel number (F) = 5 and the axial ratio ({\epsilon}) = 1.0, 0.5, respectively. The results are compared with the corresponding diagrams for the circular aperture. With the decreasing axial ratio, it is observed that the central maxima and minima disappear in contrast to that of the circular aperture, whereas one finds a modulation in the central region along with the side maxima. Also given are the plots of the intensity distribution on the optical axis. ¬© 1985 IEEE</t>
  </si>
  <si>
    <t>572-575</t>
  </si>
  <si>
    <t>Kathur1A, Yash P.</t>
  </si>
  <si>
    <t>Darmstadt</t>
  </si>
  <si>
    <t>Technische Universit√§t Darmstadt</t>
  </si>
  <si>
    <t>Kathur1A Y.P.</t>
  </si>
  <si>
    <t>Radiation Patterns of an Elliptical Aperture in the Fresnel Region</t>
  </si>
  <si>
    <t>10.1109/TAP.1985.1143612</t>
  </si>
  <si>
    <t>2-s2.0-0022059673</t>
  </si>
  <si>
    <t>['¬© 1985', 'squid amplifier', 'main characteristics', 'high acoustic', 'following features', 'fet amplifier', 'experimental chamber', 'cryogenic system', 'another order', '900 hz', '5000 kg', '250 db']</t>
  </si>
  <si>
    <t>cryogenics | cryostats | gravitational wave experiments</t>
  </si>
  <si>
    <t>The main characteristics of a large cryostat constructed by the gravitational wave group of the University of Rome, to cool down to liquid helium temperature Weber-type gravitational wave antennas, 3 m long and weighing up to 5000 kg, are presented. The cryogenic system has the following features: continuous operation time with an interval of 1 day every 54 days to refill the cryostat; small temperature gradients in the experimental chamber where the antenna is located, and very high acoustic and seismic insulation giving attenuation of 250 dB at the antenna detection frequency of 900 Hz. The system, installed at CERN, is now operating. Using a FET amplifier, the antenna is able to detect gravitational wave bursts with a metric tensor perturbation at the earth of the order of 3 √ó 10-18. Another order of magnitude will be gained by using a d.c. SQUID amplifier. ¬© 1985.</t>
  </si>
  <si>
    <t>234-237</t>
  </si>
  <si>
    <t>Cryogenics</t>
  </si>
  <si>
    <t>60021660;60032350;60032350;60027509;60027509</t>
  </si>
  <si>
    <t>6603642397;7005568912;7003738313;7003636273;7103269533</t>
  </si>
  <si>
    <t>Bronzini, F.;Coccia, E.;Modena, I.;Rapagnani, P.;Ricci, F.</t>
  </si>
  <si>
    <t>Italy;Italy;Italy</t>
  </si>
  <si>
    <t>Rome;Rome;Rome</t>
  </si>
  <si>
    <t>Sapienza Universit√† di Roma;Universit√† degli Studi di Roma "Tor Vergata";Istituto Nazionale di Fisica Nucleare - INFN</t>
  </si>
  <si>
    <t>60032350;60027509;60021660</t>
  </si>
  <si>
    <t>Bronzini F.</t>
  </si>
  <si>
    <t>Cryogenic system of the Rome group gravitational wave experiment</t>
  </si>
  <si>
    <t>10.1016/0011-2275(85)90201-2</t>
  </si>
  <si>
    <t>2-s2.0-0022059690</t>
  </si>
  <si>
    <t>['¬© 1985', 'x 10', 'upper limit', 'room temperature', 'rights reserved', 'physical society', 'energy density', '6 khz', '50 hours', '5 jm']</t>
  </si>
  <si>
    <t>We present the result of a preliminary experiment determining an upper limit of the density of the background gravitational radiation at 8.6 kHz. The outputs of a pair of resonant antennas operating at room temperature are directly correlated retaining their phases. After 50 hours of observation, the energy density of the radiation is found to be (1.0¬±1.2)x 10-5 Jm-3Hz-1. ¬© 1985, THE PHYSICAL SOCIETY OF JAPAN. All rights reserved.</t>
  </si>
  <si>
    <t>1697-1699</t>
  </si>
  <si>
    <t>60025272;60025272;60025272;60025272</t>
  </si>
  <si>
    <t>36090992900;57205011869;7004058311;7103211355</t>
  </si>
  <si>
    <t>Iso, Ken ichi;Owa, Soichi;Tsubono, Kimio;Hirakawa, Hiromasa</t>
  </si>
  <si>
    <t>Iso K.</t>
  </si>
  <si>
    <t>Search for Background Gravitational Radiation</t>
  </si>
  <si>
    <t>10.1143/JPSJ.54.1697</t>
  </si>
  <si>
    <t>2-s2.0-0022059798</t>
  </si>
  <si>
    <t>['œ ∏)', 'two quantities', 'scattering process', 'scattered field', 'scanning angle', 'radio camera', 'loop scanned', 'interference caused', 'front distortions', 'energy reradiated', 'direct field', 'developed showing', 'desired images', 'assumptions underlying', 'array gain']</t>
  </si>
  <si>
    <t>An adaptive antenna array system large enongh to obtain angular resolving power comparable to common optical systems is called a radio camera. Following an adaptive beam forming procedure the beam is open-loop scanned to get the desired images. Multipath and scattering of the energy reradiated from the target induce phase-front distortions. A theory has been developed showing that the loss in array gain due to the scattered field can be described by a simple relationship involving only two quantities: the strength S of the scattered field relative to the direct field and a spatial correlation function {\rho}{(\theta)} associated with the scattering process. The argument Œ∏ is the scanning angle. The array gain is G(Œ∏) = G(0)S[1-{\rho}(Œ∏)]. A series of experiments has been conducted to test the assumptions underlying the development of the theory, which appears to vindicate them. The theory and experiments are described. The theory is then used to determine the degradation in radio camera scanning performance for several important cases of interference caused by reflections. ¬© 1985 IEEE</t>
  </si>
  <si>
    <t>481-487</t>
  </si>
  <si>
    <t>60102562;</t>
  </si>
  <si>
    <t>7102870158;6603730124</t>
  </si>
  <si>
    <t>Steinberg, Bernard D.;Yadin, Eli</t>
  </si>
  <si>
    <t>Philadelphia</t>
  </si>
  <si>
    <t>School of Engineering and Applied Science</t>
  </si>
  <si>
    <t>Steinberg B.D.</t>
  </si>
  <si>
    <t>Effect Of Multipath And Scattering On Array Gain Of A Large Adaptive Beam Forming Phased Array</t>
  </si>
  <si>
    <t>10.1109/TAP.1985.1143624</t>
  </si>
  <si>
    <t>2-s2.0-0022059819</t>
  </si>
  <si>
    <t>['transverse slots', 'slot antennas', 'slot antenna', 'radiation efficiency', 'matched load', 'laboratory measurements', 'good agreement', 'explicit expressions', 'dominant mode', 'computed values']</t>
  </si>
  <si>
    <t>Transverse slots in the 'upper' plate of a dielectric-loaded parallel plane waveguide (H-guide) operating in the dominant mode (zero cutoff frequency) are proposed as slot antennas. A new theoretical approach to the analysis of a single-slot antenna is presented, leading to explicit expressions for the antenna input impedance and radiation efficiency. The computed values of the VSWR and radiation efficiency are in good agreement with laboratory measurements. The radiation efficiency of a single slot exceeds 10 percent in the 8-11 GHz frequency band, reaching a 50-percent theoretically predicted maximum at the slot resonance frequency, when the guide is terminated by a matched load. Experimental checks prove that the leakage, or parasitic, radiation power level is less than minus 40 db relative to the measured radiated power.</t>
  </si>
  <si>
    <t>428-433</t>
  </si>
  <si>
    <t>MTT-33</t>
  </si>
  <si>
    <t>60005681;60005681</t>
  </si>
  <si>
    <t>6602727515;7004654512</t>
  </si>
  <si>
    <t>Kisliuk, M.;Axelrod, A.</t>
  </si>
  <si>
    <t>Tel Aviv-Yafo</t>
  </si>
  <si>
    <t>Tel Aviv University</t>
  </si>
  <si>
    <t>Kisliuk M.</t>
  </si>
  <si>
    <t>THEORETICAL AND EXPERIMENTAL STUDY OF A NOVEL H-GUIDE TRANSVERSE SLOT ANTENNA.</t>
  </si>
  <si>
    <t>10.1109/tmtt.1985.1133025</t>
  </si>
  <si>
    <t>2-s2.0-0022059917</t>
  </si>
  <si>
    <t>['symmetric paraboloids', 'presented formulation', 'polar isolation', 'physical optics', 'offset angle', 'gtd ).', 'geometrical theory', 'forward radiation', 'angle radiation', 'also capable']</t>
  </si>
  <si>
    <t>Complete radiation pattern of a focus-fed offset paraboloid is presented. Forward radiation is computed by physical optics, and wide-angle radiation is calculated by using the geometrical theory of diffraction (GTD). The presented formulation is also capable of calculating the patterns of symmetric paraboloids. Effects of the offset angle and the feed pattern asymmetry on the cross-polar isolation are presented. ¬© 1985 IEEE</t>
  </si>
  <si>
    <t>566-570</t>
  </si>
  <si>
    <t>≈ûafak, Mehmet</t>
  </si>
  <si>
    <t>Turkey</t>
  </si>
  <si>
    <t>Ankara</t>
  </si>
  <si>
    <t>Hacettepe √úniversitesi</t>
  </si>
  <si>
    <t>≈ûafak M.</t>
  </si>
  <si>
    <t>Complete Radiation Pattern Of A Focus-Fed Offset Paraboloidal Reflector</t>
  </si>
  <si>
    <t>10.1109/TAP.1985.1143607</t>
  </si>
  <si>
    <t>2-s2.0-0022060120</t>
  </si>
  <si>
    <t>['treat arrays', 'substrate parameters', 'specific low', 'specific elements', 'scan blindnesses', 'reflection coefficient', 'orthogonality properties', 'model based', 'input resistance', 'infinite substrate', 'idealized model', 'ground plane', 'free space', 'floquet modes', 'element spacing', 'current sheets']</t>
  </si>
  <si>
    <t>Simple and general relations characterizing the behavior of infinite phased arrays of printed antenna elements are derived from a model based on infinite current sheets. The Green's function of an electric current source on a grounded dielectric slab is used in various limiting forms to treat arrays in free space, arrays above a ground plane, arrays on a semi-infinite substrate, and arrays on a grounded dielectric slab. Current sheets are selected,using the orthogonality properties of the Floquet modes of the infinite array Green's function, to excite only a few specific low-order Floquet modes. Results from this idealized model, in the form of reflection coefficient magnitudes and input resistance, are compared with rigorous moment method solutions for specific elements (dipoles and microstrip patches). It is shown how the dominant scanning characteristics of a printed phased array, such as reflection coefficient and input resistance trends, scan blindnesses, and grating lobe effects, are dictated more by factors such as element spacing and substrate parameters than by the particular element type itself. ¬© 1985 IEEE</t>
  </si>
  <si>
    <t>498-504</t>
  </si>
  <si>
    <t>Pozar, David M.</t>
  </si>
  <si>
    <t>General Relations for a Phased Array of Printed Antennas Derived from Infinite Current Sheets</t>
  </si>
  <si>
    <t>10.1109/TAP.1985.1143620</t>
  </si>
  <si>
    <t>2-s2.0-0022060121</t>
  </si>
  <si>
    <t>['whether either', 'using reciprocity', 'target lies', 'principle measure', 'far fields', 'far field', 'compact range', 'antenna irrespective']</t>
  </si>
  <si>
    <t>Using reciprocity we find that a compact range can in principle measure the same return from a target as would be measured by an antenna irrespective of whether either the antenna or the target lies in the other's near or far field. Although the results depend upon the capability of the compact range to emulate the antenna's near or far fields, ¬© 1985 IEEE</t>
  </si>
  <si>
    <t>575-577</t>
  </si>
  <si>
    <t>Thornber, K. K.</t>
  </si>
  <si>
    <t>Thornber K.K.</t>
  </si>
  <si>
    <t>An Analytical Treatment Of The Compact Range</t>
  </si>
  <si>
    <t>10.1109/TAP.1985.1143618</t>
  </si>
  <si>
    <t>2-s2.0-0022060215</t>
  </si>
  <si>
    <t>['verify time', 'performed primarily', 'large antenna', 'inexpensive method', 'field criterion', 'experimental results', 'collimation distance', 'applications motivated']</t>
  </si>
  <si>
    <t>A need for an accurate but inexpensive method for measuring time delays of large ground antennas for very long baseline interferometry (VLBI) applications motivated the development of the collimation-tower technique described. Supporting analytical work that was performed primarily to verify time-delay measurement results obtained for a large antenna when the transmitter was at a collimation distance of 1/25 of the usual 2D2{/lambda} far-field criterion is discussed. Comparisons of theoretical and experimental results are given. ¬© 1985 IEEE</t>
  </si>
  <si>
    <t>549-556</t>
  </si>
  <si>
    <t>60009037;60029311;60009037</t>
  </si>
  <si>
    <t>7004706857;7005574913;15057189500</t>
  </si>
  <si>
    <t>Otoshi, Tom Y.;Rusch, Willard V.T.;Young, Lawrence E.</t>
  </si>
  <si>
    <t>Los Angeles;Pasadena</t>
  </si>
  <si>
    <t>University of Southern California;Jet Propulsion Laboratory</t>
  </si>
  <si>
    <t>60029311;60009037</t>
  </si>
  <si>
    <t>Otoshi T.Y.</t>
  </si>
  <si>
    <t>Vlbi Collimation-Tower Technique For Time-Delay Studies Of A Large Ground-Station Communications Antenna</t>
  </si>
  <si>
    <t>10.1109/TAP.1985.1143625</t>
  </si>
  <si>
    <t>2-s2.0-0022060477</t>
  </si>
  <si>
    <t>['thin layer', 'surrounding medium', 'properties described', 'conductive sheet', 'combination resistive']</t>
  </si>
  <si>
    <t>To simulate a thin layer of material whose permittivity and permeability both differ from the values for the surrounding medium, a combination resistive and conductive sheet is define and its properties described. ¬© 1985 IEEE</t>
  </si>
  <si>
    <t>577-579</t>
  </si>
  <si>
    <t>Senior, Thomas B.A.</t>
  </si>
  <si>
    <t>Ann Arbor</t>
  </si>
  <si>
    <t>University of Michigan, Ann Arbor</t>
  </si>
  <si>
    <t>Senior T.</t>
  </si>
  <si>
    <t>Combined Resistive And Conductive Sheets</t>
  </si>
  <si>
    <t>10.1109/TAP.1985.1143616</t>
  </si>
  <si>
    <t>2-s2.0-0022061005</t>
  </si>
  <si>
    <t>['varying ellipticity', 'surface curvature', 'shadow boundaries', 'rim interactions', 'rim distance', 'rim discontinuity', 'relatively insensitive', 'published results', 'ptd formulation', 'physical theory', 'oblique illumination', 'including second', 'illumination angle', 'formulation based', 'fock ansatz', 'experimental data', 'equivalent currents', 'elliptic cones', 'elliptic cone', 'elliptic boundaries', 'diffraction contribution', 'cone angle', 'circular cones']</t>
  </si>
  <si>
    <t>A formulation based on the physical theory of diffraction (PTD) is presented for finite conical surfaces with circular and elliptic cross sections. The base-rim discontinuity is represented by equivalent currents, including second-order terms extended for elliptic boundaries. Tip-rim interactions are examined as a function of the tip-rim distance, cone angle, and illumination angle for circular cones; and their implication for elliptic cones is noted. The diffraction contribution from tip-rim interactions is shown to be dependent on the cone angle and the illumination angle but to be relatively insensitive to the tip-rim distance. The Fock Ansatz is used to enlarge the validity of the PTD formulation to cases where nonspecnlar effects arising from surface curvature and shadow boundaries are significant. The formulation is applied to cones with varying ellipticity for axial and oblique illumination. Correlation is made with published results for circular cones and with experimental data for an elliptic cone. ¬© 1985 IEEE</t>
  </si>
  <si>
    <t>488-497</t>
  </si>
  <si>
    <t>;115568942</t>
  </si>
  <si>
    <t>16485714400;56782610700</t>
  </si>
  <si>
    <t>Wang, Dau Sing;Medgyesi-Mttschang, Louis N.</t>
  </si>
  <si>
    <t>St Louis</t>
  </si>
  <si>
    <t>Mcdonneu Douglas Research Laboratories</t>
  </si>
  <si>
    <t>Wang D.</t>
  </si>
  <si>
    <t>Electromagnetic Scattering from Finite Circular and Elliptic Cones</t>
  </si>
  <si>
    <t>10.1109/TAP.1985.1143621</t>
  </si>
  <si>
    <t>2-s2.0-0022061063</t>
  </si>
  <si>
    <t>F04611-83-C-0013</t>
  </si>
  <si>
    <t>['upon arrival', 'transmitting antenna', 'transmitter floods', 'target star', 'still close', 'star system', 'signal back', 'rights reserved', 'reaching one', 'optical detectors', 'one week', 'microwave energy', 'microwave antennas', 'logic circuits', 'high acceleration', 'form images', 'beamed microwaves', '115 g']</t>
  </si>
  <si>
    <t>Starwisp is an interstellar flyby probe of wire mesh sail with microcircuits at each intersection. It is pushed by beamed microwaves at high acceleration and reaches a coast velocity near light speed while still close to the transmitting antenna. Upon arrival at the target star, the transmitter floods the star system with microwave energy. Using the wires as microwave antennas, the microcircuits collect energy to power their optical detectors and logic circuits to form images of the planets in the system. The phase of the microwaves at each point of the mesh is sensed and used to form a retrodirective phased array that beams a signal back to Earth. A minimal Starwisp would be a 1 km mesh sail weighing 16 g and carrying 4 g of microcircuits. It would be accelerated at 115 g by a 10 GW microwave beam, reaching one-fifth of the speed of light in one week. Upon arrival at Alpha Centauri 21 years later, Starwisp would collect sufficient microwave power to send back high-resolution television pictures during its flythrough of the system. ¬© American Institute of Aeronautics and Astronautics, Inc., 1985, All rights reserved.</t>
  </si>
  <si>
    <t>345-350</t>
  </si>
  <si>
    <t>60021939-60021706</t>
  </si>
  <si>
    <t>Forward, Robert L.</t>
  </si>
  <si>
    <t>Malibu;Edwards AFB</t>
  </si>
  <si>
    <t>HRL Laboratories;Edwards Air Force Base</t>
  </si>
  <si>
    <t>60021939;60021706</t>
  </si>
  <si>
    <t>Forward R.</t>
  </si>
  <si>
    <t>Starwisp: An ultra-light interstellar probe</t>
  </si>
  <si>
    <t>10.2514/3.25754</t>
  </si>
  <si>
    <t>2-s2.0-0022061313</t>
  </si>
  <si>
    <t>['surface conditions', 'subsatellite longitude', 'geostationary orbit', 'emission characteristics', 'detailed computations', 'copyright 1985', 'conservative estimates', 'computed results', 'antenna temperature']</t>
  </si>
  <si>
    <t>The microwave antenna temperature of the earth has been computed for the case of a communication satellite antenna viewing the earth from geostationary orbit. An earth‚Äêcoverage beam is assumed and detailed computations are performed to account for varying land‚Äêocean fractions within the field of view. Emission characteristics of the earth's atmosphere and surface are used with an accurate radiative transfer program to compute observed brightness temperatures. Values of 250 to 290 K commonly used for antenna temperature in satellite communication noise calculations are found to be over conservative estimates, with more realistic values lying in the 60‚Äì240 K range depending on frequency and subsatellite longitude. These values also depend on assumptions concerning antenna beam coverage. Variations in atmospheric and surface conditions, and variations in antenna beam shape (as distinct from coverage), affect the computed results by less than ‚âÉ 10 K. Copyright 1985 by the American Geophysical Union.</t>
  </si>
  <si>
    <t>591-599</t>
  </si>
  <si>
    <t>7006231742;7408615086</t>
  </si>
  <si>
    <t>Njoku, Eni G.;Smith, Ernest K.</t>
  </si>
  <si>
    <t>Njoku E.</t>
  </si>
  <si>
    <t>Microwave antenna temperature of the earth from geostationary orbit</t>
  </si>
  <si>
    <t>10.1029/RS020i003p00591</t>
  </si>
  <si>
    <t>2-s2.0-0022061591</t>
  </si>
  <si>
    <t>['¬© 1985', 'topside environment', 'rfi effects', 'rf aspects', 'results obtained', 'quality performance', 'paper traces', 'operating environment', 'navy design', 'naval engineers', 'mechanical design', 'maintain pace', 'key factor', 'external communications', 'emi ).', 'electromagnetic interference', 'detailed analysis', 'design objectives', 'design evolution', 'design efforts', 'critical element', 'construction materials', 'combat system', 'american society']</t>
  </si>
  <si>
    <t>External communications is a critical element in the U.S. Navy design and utilization of a ship's combat system. The communications antenna system is a key factor in attainment of reliable circuit performance and reduction of electromagnetic interference (EMI). To maintain pace with improved ship manufacturing techniques and construction materials, along with design efforts to reduce topside generated EMI/RFI effects, an improved antenna design must also evolve. With the ever increasing complexity in the integration of the topside environment, the RF aspects of the antenna designs must be augmented by detailed analysis of the operating environment and the mechanical design if the goals of reliability and quality performance are to be achieved. The Naval Electronic Systems Command has developed a new ‚ÄúBroadband HF Communications Antenna.‚Äù This paper traces the design evolution and describes the processes in determining current design deficiencies, the design objectives to correct these deficiencies and the results obtained. ¬© 1985 by the American Society of Naval Engineers</t>
  </si>
  <si>
    <t>279-286</t>
  </si>
  <si>
    <t>Naval Engineers Journal</t>
  </si>
  <si>
    <t>7006517174;6602994322;7201774248;7101693909</t>
  </si>
  <si>
    <t>BIONDI, ROY J.;PRIDE, RICHARD W.;MURRAY, HAROLD D.;WHEELER, PAUL K.</t>
  </si>
  <si>
    <t>BIONDI R.</t>
  </si>
  <si>
    <t>LIGHTWEIGHT BROADBAND HF COMMUNICATIONS ANTENNA (LWCA)</t>
  </si>
  <si>
    <t>10.1111/j.1559-3584.1985.tb01362.x</t>
  </si>
  <si>
    <t>2-s2.0-0022061642</t>
  </si>
  <si>
    <t>['transient analysis', 'technique one', 'suitably terminating', 'straightforward convolution', 'short duration', 'novel method', 'linear portion', 'electromagnetic systems', 'electromagnetic system', 'domain green', 'develop time', 'arbitrary excitation', 'analyze responses']</t>
  </si>
  <si>
    <t>A novel method for transient analysis of electromagnetic systems with multiple lumped nonlinear loads is presented. The uniqueness of this approach is that we develop time-domain Green's fnnctions for the multiport linear part of the electromagnetic system by suitably terminating the ports. This ensures a short duration of Green's functions. Hence the amount of frequency-domain data necessary to obtain the time-domain Green's functions is modest. The application of this technique to an arbitrary excitation is just a straightforward convolution. With this technique one can analyze responses of systems with arbitrary nonlinear loads (even with memory) as we have at any time instant Thevenin's equivalent of the linear portion of the electromagnetic system. Examples are presented to illustrate the application of this technique to multiport nonlinearly loaded antennas. ¬© 1985 IEEE</t>
  </si>
  <si>
    <t>533-539</t>
  </si>
  <si>
    <t>60001777;60001777</t>
  </si>
  <si>
    <t>7005436133;55650323300</t>
  </si>
  <si>
    <t>Djordjevic, Antonue R.;Sarkar, Tapan K.</t>
  </si>
  <si>
    <t>Rochester</t>
  </si>
  <si>
    <t>Rochester Institute of Technology</t>
  </si>
  <si>
    <t>Djordjevic A.</t>
  </si>
  <si>
    <t>Transient Analysis Of Electromagnetic Systems With Multiple Lumped Nonlinear Loads</t>
  </si>
  <si>
    <t>10.1109/TAP.1985.1143611</t>
  </si>
  <si>
    <t>2-s2.0-0022061664</t>
  </si>
  <si>
    <t>['series representation', 'numerical results', 'integral form', 'c ,,,.', 'c ,,']</t>
  </si>
  <si>
    <t>A calculation of the directivity of a planar array involves a coefficient C,,,w. hich is given in an integral form in the literature. A series representation for C,,,. is derived here, which allows efficient numerical. evaloation. Numerical results and comments on the behavior of C,, are discussed. ¬© 1985 IEEE</t>
  </si>
  <si>
    <t>570-571</t>
  </si>
  <si>
    <t>Lam, Peter T.</t>
  </si>
  <si>
    <t>On The Calculation Of The Directivity Of Planar Array Feeds For Satellite Reflector Applications</t>
  </si>
  <si>
    <t>10.1109/TAP.1985.1143608</t>
  </si>
  <si>
    <t>2-s2.0-0022061687</t>
  </si>
  <si>
    <t>['slice generator', 'simple formula']</t>
  </si>
  <si>
    <t>A simple formula is given for the magnetic field around an infinitely long dipole antenna which is valid over the entire spherical wavefront which is moving out from the slice generator. ¬© 1985 IEEE</t>
  </si>
  <si>
    <t>562-563</t>
  </si>
  <si>
    <t>Gurrola, Eric M.</t>
  </si>
  <si>
    <t>Gurrola E.M.</t>
  </si>
  <si>
    <t>On The Near-Wavefront Behavior Of The Magnetic Field Of An Infinitely Long Antenna</t>
  </si>
  <si>
    <t>10.1109/TAP.1985.1143614</t>
  </si>
  <si>
    <t>2-s2.0-0022061989</t>
  </si>
  <si>
    <t>['wind environment', 'magnetic measurements', 'fast memory', 'electronics engineers', 'electric measurements', 'band system', 'analog wide', '6 mhz', '5 mhz', '30 hz']</t>
  </si>
  <si>
    <t>The AMPTE IRM plasma wave instrumentation is designed to provide basic information on the plasma wave activity in the magne-tosphere/solar-wind environment and inside the artificial plasma clouds which will be created in space. The instruments use one long electric dipole antenna and two magnetic search coil sensors in order to cover frequency ranges from dc to 5.6 MHz for the electric measurements and from about 30 Hz to 1.5 MHz for the magnetic measurements. A set of spectrum analyzers along with a fast memory and an analog wide-band system are used to determine wave intensities and to identify wave modes. Copyright ¬© 1985 by The Institute of Electrical and Electronics Engineers, Inc.</t>
  </si>
  <si>
    <t>267-273</t>
  </si>
  <si>
    <t>60074065;60024324;60024324;60029575;60015481;60074065;60074065;115568191;60024324;60029575;60074065</t>
  </si>
  <si>
    <t>55941038500;7408242054;7007153701;6701751133;7004452985;7006257447;7006803573;6504817581;6507968750;6507786326;6506243548</t>
  </si>
  <si>
    <t>H√§usler, B.;Anderson, R. R.;Gurnett, D. A.;Koons, H. C.;Holzworth, R. H.;Bauer, O. H.;Treumann, R.;Gnaiger, K.;Odem, D.;Harbridge, W. B.;Eberl, F.</t>
  </si>
  <si>
    <t>Germany;United States;United States;United States;Germany</t>
  </si>
  <si>
    <t>Garching bei Munchen;El Segundo;Iowa City;Seattle;Garching bei Munchen</t>
  </si>
  <si>
    <t>Max Planck Institute for Physics and Astrophysics;Aerospace Corporation, USA;University of Iowa;University of Washington;Kurt Gnaiger Mikroelektronik</t>
  </si>
  <si>
    <t>60074065;60029575;60024324;60015481;115568191</t>
  </si>
  <si>
    <t>H√§usler B.</t>
  </si>
  <si>
    <t>The Plasma Wave Instrument On Board the AMPTE IRM Satellite</t>
  </si>
  <si>
    <t>10.1109/TGRS.1985.289526</t>
  </si>
  <si>
    <t>2-s2.0-0022064486</t>
  </si>
  <si>
    <t>['technical feasibility', 'system identification', 'rights reserved', 'results establish', 'paper considers', 'inc .,', 'figure estimation', 'experiment objective', 'distributed sensing', 'date identify', 'control purposes', 'combined shuttle', 'based primarily']</t>
  </si>
  <si>
    <t>Study results obtained to date identify the requirements for a large space system flight experiment. This paper considers the dynamics and control of an offset feed wrap-rib antenna attached to the Shuttle for such an experiment. Results reported herein are based primarily on the analysis and simulation of the combined Shuttle and antenna flexible dynamics model, and the Shuttle Vernier Reaction Control Subsystem. These results establish the technical feasibility of the Shuttle-attached antenna flight experiment. Static and dynamic disturbances examined do not cause significant dynamic interactions to the experiment. Shuttle vernier jets can be used for control purposes or as controlled excitation sources for experiment. Interface between the Shuttle and the antenna can be rigid or actively decoupled depending on the experiment objective. Key large space systems control technologies such as distributed sensing and actuation, system identification, figure estimation and control, and control for slew or reconfiguration can be validated with the experiment configuration described herein. ¬© 1985 American Institute of Aeronautics and Astronautics, Inc., All rights reserved.</t>
  </si>
  <si>
    <t>344-353</t>
  </si>
  <si>
    <t>60009037;60009037-117814101;60009037-117814101</t>
  </si>
  <si>
    <t>57192293859;7406589248;6507792916</t>
  </si>
  <si>
    <t>Wang, Shyh Long;Lin, Yu Hwan;Charles ih, Che Hang</t>
  </si>
  <si>
    <t>Pasadena;</t>
  </si>
  <si>
    <t>Jet Propulsion Laboratory;Automation and Energy Systems Division</t>
  </si>
  <si>
    <t>60009037;117814101</t>
  </si>
  <si>
    <t>Wang S.L.</t>
  </si>
  <si>
    <t>Dynamics and control of a Shuttle-attached antenna experiment</t>
  </si>
  <si>
    <t>10.2514/3.19986</t>
  </si>
  <si>
    <t>2-s2.0-0022064632</t>
  </si>
  <si>
    <t>['¬© 1985', 'test articles', 'space station', 'realizable procedure', 'problem areas', 'paper proposes', 'operational test', 'large aperture', 'large antenna', 'high frequency', 'following experiments', 'electrical performance', 'assembling process', 'assembled antenna']</t>
  </si>
  <si>
    <t>The large assembly antenna in space can meet future requirements of both high frequency and large aperture. This paper proposes an experiment on assembling a large antenna at the Space Station, and discusses a realizable procedure of the experiment. The objective of this experiment is that a large antenna of a 10-m diameter is assembled in space and at the same time problems occurring in the assembling process are clarified by conducting the following experiments: assembly of test articles by manipulators, measurement of both mechanical and electrical performance of the assembled antenna, test of the pointing control system, and operational test. In the operational test, the weather radar development test and the large aperture microwave radiometer development test are conducted. Furthermore, the problem areas and items of further study are discussed in this paper. ¬© 1985.</t>
  </si>
  <si>
    <t>335-344</t>
  </si>
  <si>
    <t>105409527;105409527;60022990;60022990;60022990;60022990;60022990</t>
  </si>
  <si>
    <t>35466077200;8324800300;55722460800;7003917905;6504827656;36808670600;55725305000</t>
  </si>
  <si>
    <t>Iida, Takashi;Okamoto, Ken'ichi;Ohkami, Yoshiaki;Kibe, Seishiro;Koshishi, Hajime;Naka, Masao;Yamamoto, Hiromichi</t>
  </si>
  <si>
    <t>Chofu;Tokyo</t>
  </si>
  <si>
    <t>Japan Aerospace Exploration Agency;Radio Research Laboratories</t>
  </si>
  <si>
    <t>60022990;105409527</t>
  </si>
  <si>
    <t>Iida T.</t>
  </si>
  <si>
    <t>A space station experiment on large antenna assembly and measurement</t>
  </si>
  <si>
    <t>0094-5765(85)90067-0</t>
  </si>
  <si>
    <t>10.1016/0094-5765(85)90067-0</t>
  </si>
  <si>
    <t>2-s2.0-0022066647</t>
  </si>
  <si>
    <t>['using moon', 'quick determination', 'paper brings', 'noise source', 'merit g', 'indian context', 'experimental details', 'direct calculation', 'antenna gain', 'also presented']</t>
  </si>
  <si>
    <t>The satellite earth station is characterized by its figure of merit G/T, a ratio of antenna gain to effective system noise temperature. The direct calculation of G/T does not model the actual operating conditions. Thus, a need for direct measurement arises. This paper brings out the choice of Moon for satellite earth station G/T measurement in Indian context. The experimental details and results for G/T of INSAT-1 satellite control earth station, using standard noise source Cassiopeia and Moon are given. A set of nomograms is also presented here for quick determination of G/T using Moon as noise source.</t>
  </si>
  <si>
    <t>73-77</t>
  </si>
  <si>
    <t>May-Jun</t>
  </si>
  <si>
    <t>16030876000;6507688608</t>
  </si>
  <si>
    <t>Garg, V. K.;Rauthan, D. B.</t>
  </si>
  <si>
    <t>Garg V.</t>
  </si>
  <si>
    <t>CHOICE OF MOON FOR G/T MEASUREMENT.</t>
  </si>
  <si>
    <t>10.1080/03772063.1985.11436496</t>
  </si>
  <si>
    <t>2-s2.0-0022066826</t>
  </si>
  <si>
    <t>['varying sinr', 'typical curves', 'thus increases', 'signal powers', 'several effects', 'received signal', 'noise ratio', 'interference frequency', 'hopping frequency', 'frequency hopping', 'frequency hopped', 'array output', 'adaptive array']</t>
  </si>
  <si>
    <t>The performance of an LMS adaptive array with a frequency hopped, spread spectrum desired signal and a CW interference signal is examined. It is shown that frequency hopping has several effects on an adaptive array. It causes the array to modulate both the amplitude and the phase of the received signal. Also, it causes the array output SINR (signal-to-interference-plus-noise ratio) to vary with time and thus increases the bit error probability for the received signal. Typical curves of the desired signal modulation and the time-varying SINR at the array output are presented. It is shown how the array performance depends on hopping frequency, frequency jump size, interference frequency, signal arrival angles, and signal powers. ¬© 1985 IEEE</t>
  </si>
  <si>
    <t>360-371</t>
  </si>
  <si>
    <t>60003500;60003500</t>
  </si>
  <si>
    <t>7004574349;35611381200</t>
  </si>
  <si>
    <t>Acar, Levent;Compton, R. T.</t>
  </si>
  <si>
    <t>Acar L.</t>
  </si>
  <si>
    <t>The Performance of an LMS Adaptive Array with Frequency Hopped Signals</t>
  </si>
  <si>
    <t>10.1109/TAES.1985.310566</t>
  </si>
  <si>
    <t>2-s2.0-0022067012</t>
  </si>
  <si>
    <t>['zero frequency', 'used poisson', 'thicker layers', 'space wavelength', 'source approach', 'small compared', 'shorter wavelength', 'observation distances', 'mode series', 'modal approach', 'loss tangent', 'long wavelengths', 'intermediate range', 'integration method', 'integral forms', 'image series', 'image method', 'hybrid technique', 'hybrid method', 'form expressions', 'force numerical', 'following techniques', 'electronics engineers', 'dipole antennas', 'conducting media', 'becomes necessary']</t>
  </si>
  <si>
    <t>The electromagnetic fields due to dipole antennas in a bounded conducting medium modeling the sea have been formulated in integral forms and solved with the following techniques: The brute-force numerical-integration method; the modal approach by finding the residues for the integrals; the image-source approach by using the steepest descent method; and the hybrid technique with the combination of the two latter approaches. Quasi-static field approximations can be applied when the loss tangent of the conducting media is very large and the observation distances are small compared to the free-space wavelength. For very long wavelengths or for sufficiently thin layer thickness the normal mode approach is more useful, for shorter wavelength or for thicker layers, the image method is more efficient and accurate, whereas in the intermediate range the hybrid method then becomes necessary. We have also derived closed-form expressions for the fields at zero frequency in an image series expansion form and used Poisson's series to convert this image series into a mode series for the case when both the receiver and transmitter are located at the interface. Copyright ¬© 1985 by The Institute of Electrical and Electronics Engineers, Inc.</t>
  </si>
  <si>
    <t>325-333</t>
  </si>
  <si>
    <t>60022195-60077590;60022195;60015481</t>
  </si>
  <si>
    <t>7004110635;7202290923;7103290950</t>
  </si>
  <si>
    <t>Habashy, Tarek M.;Kong, Jin Au;Tsang, Leung</t>
  </si>
  <si>
    <t>Cambridge;Cambridge;Seattle</t>
  </si>
  <si>
    <t>Schlumberger-Doll Research Center;Massachusetts Institute of Technology;University of Washington</t>
  </si>
  <si>
    <t>60077590;60022195;60015481</t>
  </si>
  <si>
    <t>Habashy T.</t>
  </si>
  <si>
    <t>Quasi-Static Electromagnetic Fields Due to Dipole Antennas in Bounded Conducting Media</t>
  </si>
  <si>
    <t>10.1109/TGRS.1985.289535</t>
  </si>
  <si>
    <t>2-s2.0-0022067192</t>
  </si>
  <si>
    <t>['typical calculations', 'results compared', 'observed values', 'large diameter', 'high gain', 'hereafter referred', 'general expression', 'estimate medium']</t>
  </si>
  <si>
    <t>Antenna gain degradation (hereafter referred to as 'medium-to-aperture coupling loss') is a phenomenon commonly observed in troposcatter circuits using very high gain (large diameter) antenna. Authors have attempted to develop a general expression to estimate medium-to-aperture coupling loss for unidentical antenna using scattering cross-section in terms of structure parameter C//n**2. Typical calculations have been carried out and results compared with the observed values of medium-to-aperture coupling loss on Delhi-Pilani troposcatter operating at 4. 7 GHz using identical set of antennae.</t>
  </si>
  <si>
    <t>89-92</t>
  </si>
  <si>
    <t>56229486700;35464438500;7006094353;7401453208</t>
  </si>
  <si>
    <t>Mohan, Mahendra;Banerjee, P. K.;Pasricha, P. K.;Reddy, B. M.</t>
  </si>
  <si>
    <t>Mohan M.</t>
  </si>
  <si>
    <t>ESTIMATION OF ANTENNA GAIN DEGRADATION USING HEIGHT PROFILES OF C&lt;inf&gt;n&lt;/inf&gt;&lt;sup&gt;2&lt;/sup&gt;.</t>
  </si>
  <si>
    <t>10.1080/03772063.1985.11436500</t>
  </si>
  <si>
    <t>2-s2.0-0022068604</t>
  </si>
  <si>
    <t>['¬© 1985', 'would permit', 'technical journal', 'satellites along', 'measured data', 'good agreement', 'geosynchronous arc', 'calculated values', 'astigmatic launchers', '29 degrees', '100 ghz']</t>
  </si>
  <si>
    <t>Astigmatic launchers that would permit a single earth station antenna to communicate with all the satellites along the geosynchronous arc have been fabricated and measured at a frequency of 100 GHz. Good agreement between measured data and calculated values has been obtained for astigmatic corrections required by feeds displaced 18 and 29 degrees from the focus. ¬© 1985 AT&amp;T Technical Journal</t>
  </si>
  <si>
    <t>1019-1031</t>
  </si>
  <si>
    <t>AT&amp;T Technical Journal</t>
  </si>
  <si>
    <t>May‚ÄêJune 1985</t>
  </si>
  <si>
    <t>Semplak, R. A.</t>
  </si>
  <si>
    <t>Semplak R.</t>
  </si>
  <si>
    <t>100‚ÄêGHz Measurements of Two Astigmatic Launchers</t>
  </si>
  <si>
    <t>10.1002/j.1538-7305.1985.tb00452.x</t>
  </si>
  <si>
    <t>2-s2.0-0022069060</t>
  </si>
  <si>
    <t>['used effectively', 'paper shows', 'ones without', 'omnidirectional patterns', 'mechanical shift', 'electronics engineers', 'certain values', 'almost identical', '1a ).']</t>
  </si>
  <si>
    <t>This paper shows how the mechanical panel displacement technique can be used effectively in order to smooth out omnidirectional patterns of TFD TV panel antenna arroys fed by progressive phase shift currents (Fig. 1a). Two former HP-86 computer programs have been modified (1) for obtaining horizontal far field radiation patterns as well as the corresponding gain figures for different val ues of mechanical shift with or without simul taneous progressive current phase shift. It has been shown that certain values of mechanical, together with progressive feed phase shiftting lead toa ‚Äúcompensation effect‚Äù in such a way that the results are almost identical to the ones without any of them. Copyright ¬© 1985 by The Institute of Electrical and Electronics Engineers, Inc.</t>
  </si>
  <si>
    <t>27-33</t>
  </si>
  <si>
    <t>BC-31</t>
  </si>
  <si>
    <t>IEEE Transactions on Broadcasting</t>
  </si>
  <si>
    <t>60026438;60026438</t>
  </si>
  <si>
    <t>6507433912;6507664961</t>
  </si>
  <si>
    <t>Pantsios, C. F.;Pantsios, F. A.</t>
  </si>
  <si>
    <t>Venezuela</t>
  </si>
  <si>
    <t>Caracas</t>
  </si>
  <si>
    <t>Universidad Sim√≥n Bol√≠var</t>
  </si>
  <si>
    <t>Pantsios C.F.</t>
  </si>
  <si>
    <t>Smoothing of omnidirectional horizontal radiation patterns of TFD TV panel antenna arrays with progressive current phase shift feeding</t>
  </si>
  <si>
    <t>10.1109/TBC.1985.266561</t>
  </si>
  <si>
    <t>2-s2.0-0022071003</t>
  </si>
  <si>
    <t>['would like', 'united states', 'unique resource', 'taken place', 'suggested technical', 'starting point', 'standard band', 'september 20', 'policy alternatives', 'nibbling away', 'might review', 'luncheon address', 'long run', 'literally begins', 'listening audience', 'late sort', 'largest expansion', 'good time', 'future growth', 'fm broadcasting', 'fade away', 'electronics engineers', 'design internationally', 'broader change', 'begin today', 'alternatives include', '-- allowing']</t>
  </si>
  <si>
    <t>This paper was delivered as a luncheon address before the IEEE Broadcast Symposium in Washington, DC, September 20, 1985. It includes a series of suggested technical and policy alternatives to aid the viability of AM Radio at a time when AM was losing major portions of its listening audience to FM broadcasting. These alternatives include: ‚ÄòImproving aging antenna systems ‚ÄòAM/FM program duplication ‚ÄòImproved AM receivers ‚ÄòChanges to FCC ‚Äúduopoly‚Äù rules ‚ÄòUse of synchronous transmitters ‚ÄòChanges to ‚Äúclear channel‚Äù rules ‚ÄòNoise suppression in the AM band Before I begin today I would like to request ‚Äúa thousand pardons‚Äù from the lawyers, economists, lobbyists, politicans, and judges who might review these comments and exclaim ‚ÄúYou can't do that!‚Äù Today's speech is more philosophical than a revelation of impending new FCC policy. The standard band and AM Radio have been, and is, a unique resource for our nation and all the people of the world. In the U.S. AM provided the starting point for what has become a great and multifaceted electronic industry. It has indeed served us well, but it is time to examine it now before it literally begins to fade away. The Commission has been very busy of late sort of nibbling away at some troublesome technical rules in AM. These include such matters as: --Allowing AM signalling --Easing the remote control rules --Deregulating antenna proofs --Eliminating audio proofs --New nighttime operation for daytimers --Authorization of intermediate power levels --Class IV power increases, etc. All of these have taken place in just the past two years that I have served in the Mass Media Bureau. And we are now preparing to go to Geneva next year and design internationally the largest expansion of AM Radio in the past 50 years. Our success in that conference and good domestic decisions after we return are critical to the future growth of AM throughout our hemisphere. So it is a good time to pause, reflect, and begin to think about what broader change should be considered for United States AM broadcasting in the long run. Copyright ¬© 1985 by The Institute of Electrical and Electronics Engineers, Inc.</t>
  </si>
  <si>
    <t>25-26</t>
  </si>
  <si>
    <t>Time For A New Look At AM Radio</t>
  </si>
  <si>
    <t>10.1109/TBC.1985.266551</t>
  </si>
  <si>
    <t>2-s2.0-0022071844</t>
  </si>
  <si>
    <t>['¬© 1985', 'superior performance', 'rights reserved', 'results confirm', 'radar antenna', 'paper presents', 'modified forward', 'method used', 'method compared', 'electrical engineers', 'detailed evaluation', 'brief review', 'arrival estimation', 'angular separation']</t>
  </si>
  <si>
    <t>Radar and radionavigation</t>
  </si>
  <si>
    <t>The paper presents the results of a detailed evaluation of the modified forward-backward linear prediction (FBLP) method used for angle of arrival estimation in a low-angle tracking radar environment. The results are based on real radar data pertaining to an angular separation of less than one standard beamwidth between the direct and image components impinging on the radar antenna. The results confirm the superior performance of this method compared to a conventional FFT beamformer. The paper also includes a brief review of the modified FBLP method. ¬© 1985, The Institution of Electrical Engineers. All rights reserved.</t>
  </si>
  <si>
    <t>159-174</t>
  </si>
  <si>
    <t>60031828;60031828;60018714</t>
  </si>
  <si>
    <t>7101764513;6506050418;7006562937</t>
  </si>
  <si>
    <t>Haykin, S.;Greenlay, T.;Litva, J.</t>
  </si>
  <si>
    <t>Hamilton;Ottawa</t>
  </si>
  <si>
    <t>McMaster University;Communications Research Centre</t>
  </si>
  <si>
    <t>60031828;60018714</t>
  </si>
  <si>
    <t>Haykin S.</t>
  </si>
  <si>
    <t>Performance evaluation of the modified FBLP method for angle of arrival estimation using real radar multipath data</t>
  </si>
  <si>
    <t>10.1049/ip-f-1.1985.0038</t>
  </si>
  <si>
    <t>2-s2.0-0022075315</t>
  </si>
  <si>
    <t>['qualitative understanding', 'maximum scattering', 'illuminated section', 'guyed structures', 'experimental measurements', 'design purposes', 'defined cone', 'cone region', 'case situations', '50 meters', '20 db']</t>
  </si>
  <si>
    <t>With economical factors favoring the use of guyed structures for terrestrial microwave radio system towers of heights above 40 to 50 meters, situations are arising where information on antenna-pattern degradation due to guy wire scattering is required for route-design purposes. A qualitative understanding can be gained of the worst-case situations, where the wire runs near to, and directly in front of, the antenna, by regarding the illuminated section of guy as a long linearly phased cylindrical source. This produces a well-defined cone of maximum scattering, having the guy as its axis. Experimental measurements, and an approximate analytical study based on the above concept, show that within the cone region, antenna sidelobes may be degraded by as much as 20 dB.</t>
  </si>
  <si>
    <t>181-188</t>
  </si>
  <si>
    <t>Jun</t>
  </si>
  <si>
    <t>60006359;60006359;60006359</t>
  </si>
  <si>
    <t>7202338079;6508026127;7006303190</t>
  </si>
  <si>
    <t>Davies, W. S.;Hurren, S. J.;Copeland, P. R.</t>
  </si>
  <si>
    <t>Telstra</t>
  </si>
  <si>
    <t>Davies W.S.</t>
  </si>
  <si>
    <t>ANTENNA PATTERN DEGRADATION DUE TO TOWER GUY WIRES ON MICROWAVE RADIO SYSTEMS.</t>
  </si>
  <si>
    <t>10.1049/ip-h-2.1985.0034</t>
  </si>
  <si>
    <t>2-s2.0-0022075435</t>
  </si>
  <si>
    <t>['two plates', 'test objects', 'test object', 'surrounding field', 'surface currents', 'small objects', 'roughly taken', 'related configurations', 'paper presents', 'normally neglected', 'geometrical separation', 'field strength', 'electrical field', 'dimensional situations', 'christoffel transformation', 'characteristic impedances', 'applied voltage', 'antenna mismatch']</t>
  </si>
  <si>
    <t>To facilitate field test procedures several regulations recommend the use of parallel plate antennas or related configurations. The electrical field between the two plates is calculated from the applied voltage and the geometrical separation of the two plates. The field distortion caused by test objects is normally neglected for small objects or only roughly taken into account by special correction factors. In reality the test object induces an antenna mismatch and creates new field components because of reflections and surface currents. The surrounding field is not uniform but is a function of the test object's geometry. The paper presents an approach for the evaluation of these phenomena by calculating mismatch problems and static field distributions in two-dimensional situations. For this purpose the configuration of antenna and test object is transformed into a parallel plate configuration without boundary effects by the method of conformal mapping together with the Schwarz-Christoffel Transformation. The results-characteristic impedances, v.s.w.r.-ratios, static field distributions, minima and maxima of field strength-are presented.</t>
  </si>
  <si>
    <t>210-216</t>
  </si>
  <si>
    <t>120568822;120568822</t>
  </si>
  <si>
    <t>6603264342;55144572600</t>
  </si>
  <si>
    <t>Anke, D.;Busch, D.</t>
  </si>
  <si>
    <t>Universitat der Bundeswehr Munchen</t>
  </si>
  <si>
    <t>Anke D.</t>
  </si>
  <si>
    <t>Parallel plate antennas: field distortion caused by test objects</t>
  </si>
  <si>
    <t>10.1049/jiere.1985.0070</t>
  </si>
  <si>
    <t>2-s2.0-0022075905</t>
  </si>
  <si>
    <t>['wave illumination', 'various current', 'square lattice', 'selected concentric', 'ring structures', 'ring radii', 'particular case', 'outer ring', 'mode amplitudes', 'modal analysis', 'mean radius', 'frequency dependence', 'different inner', 'crosspolar effects', 'copolar transmission', 'considered owing', 'authors present']</t>
  </si>
  <si>
    <t>The authors present the results of a modal analysis of the current distribution around the circumference of thin concentric rings arranged on both square and equilateral triangular lattices. The particular case of plane-wave illumination at 45 degree incidence is considered owing to its relevance to oblique-incidence diplexer systems. Measured and predicted transmisson curves, together with computer curves illustrating the frequency dependence of various current-mode amplitudes, are plotted for selected concentric-ring structures, each with the same mean radius for the outer ring, but with different inner-ring radii. The results relate individual current modes to features in the observed transmission curves. They confirm that the copolar transmission and lower reflection bands can be modelled with only one current mode in each ring. Crosspolar effects are discussed for incidence on the square lattice.</t>
  </si>
  <si>
    <t>176-180</t>
  </si>
  <si>
    <t>7201840709;35562114200</t>
  </si>
  <si>
    <t>Parker, E. A.;Vardaxoglou, J. C.</t>
  </si>
  <si>
    <t>Parker E.A.</t>
  </si>
  <si>
    <t>PLANE-WAVE ILLUMINATION OF CONCENTRIC-RING FREQUENCY-SELECTIVE SURFACES.</t>
  </si>
  <si>
    <t>10.1049/ip-h-2.1985.0033</t>
  </si>
  <si>
    <t>2-s2.0-0022075955</t>
  </si>
  <si>
    <t>['waveguide dimensions', 'surface currents', 'radiation field', 'profiled one', 'phase variation', 'phase centers', 'optimum phase', 'moment method', 'equation formulation', 'determined numerically', 'corrugation number', 'corrugation geometry', 'corrugated flange', 'computed fields', 'coaxial waveguides', 'center location', 'also determined']</t>
  </si>
  <si>
    <t>For small primary feeds the radiation field is determined numerically, using an integral-equation formulation for the surface currents and its solution by a moment method. The computed fields are used to determine the feed-phase centers, as defined to minimize the phase variation of the field over a selected angular region, or to maximize the reflector gain factor. Both circular and coaxial waveguides, with and without a corrugated flange, are considered. For the corrugation geometry, the commonly used rectangular shape and a trapezoidally-profiled one are studied. It is shown that the location and the uniqueness of the feed-phase center depend on waveguide dimensions, the corrugation number, their location and shape. For an optimum phase-center location, the resulting phase errors, over a selected angular region, are also determined.</t>
  </si>
  <si>
    <t>207-214</t>
  </si>
  <si>
    <t>60009697;60009697</t>
  </si>
  <si>
    <t>8092251400;7004922524</t>
  </si>
  <si>
    <t>Shafai, L.;Kishk, A. A.</t>
  </si>
  <si>
    <t>Winnipeg</t>
  </si>
  <si>
    <t>University of Manitoba</t>
  </si>
  <si>
    <t>Shafai L.</t>
  </si>
  <si>
    <t>PHASE CENTRE OF SMALL PRIMARY FEEDS AND ITS EFFECTS ON THE FEED PERFORMANCE.</t>
  </si>
  <si>
    <t>10.1049/ip-h-2.1985.0038</t>
  </si>
  <si>
    <t>2-s2.0-0022076708</t>
  </si>
  <si>
    <t>UM</t>
  </si>
  <si>
    <t>['previous circuitry', 'obtain resonance', 'francis group', 'fecl ),']</t>
  </si>
  <si>
    <t>A modification is introduced to the previous circuitry of Maclean for an active loop monopole antenna in order to obtain resonance for a significantly lower wire length. For the fed-emitter collector loop (FECL), it is proposed to connect the collector to either the base or the emitter through a resistor. ¬© 1985 Taylor &amp; Francis Group, LLC.</t>
  </si>
  <si>
    <t>933-939</t>
  </si>
  <si>
    <t>6701492696;7103051886</t>
  </si>
  <si>
    <t>Saoudy, S. A.;Hamid, M.</t>
  </si>
  <si>
    <t>Saoudy S.</t>
  </si>
  <si>
    <t>Resonant length of the active loop dipole antenna</t>
  </si>
  <si>
    <t>10.1080/00207218508939088</t>
  </si>
  <si>
    <t>2-s2.0-0022076879</t>
  </si>
  <si>
    <t>['¬© 1985', 'targets detected', 'rights reserved', 'one half', 'one fifth', 'numerical computation', 'final value', 'estimation algorithm', 'electrical engineers', 'directed estimator', 'detection test', 'cumulative variable', 'antenna aperture', 'angular position']</t>
  </si>
  <si>
    <t>Radar and Radionavigation</t>
  </si>
  <si>
    <t>The paper is devoted to the problem of estimating the angular position of targets detected by using the sequential-probability ratio test. An estimation algorithm, which uses the final value of the cumulative variable of the detection test, has been analysed by assuming a scanning step equal to one half the ‚Äô 3 dB antenna mainbeam aperture. The estimation algorithm is carried out by a decision-directed estimator. Its performance has been evalued by numerical computation; the estimate is affected by a negligible bias error and the error standard deviation is lower than one fifth of the antenna aperture. ¬© 1985, The Institution of Electrical Engineers. All rights reserved.</t>
  </si>
  <si>
    <t>133-138</t>
  </si>
  <si>
    <t>60028868;60028868;60028868;60028868</t>
  </si>
  <si>
    <t>7103074007;55664126200;7102724070;57190803929</t>
  </si>
  <si>
    <t>Corsini, G.;Mese, E. Dalle;Marchetti, G.;Verrazzani, L.</t>
  </si>
  <si>
    <t>Pisa</t>
  </si>
  <si>
    <t>Universit√† di Pisa</t>
  </si>
  <si>
    <t>Corsini G.</t>
  </si>
  <si>
    <t>Bearing estimation of radar targets using the SPRT statistic</t>
  </si>
  <si>
    <t>10.1049/ip-f-1.1985.0034</t>
  </si>
  <si>
    <t>2-s2.0-0022077023</t>
  </si>
  <si>
    <t>['using real', 'satellite ephemerides', 'primary among', 'planned ),', 'ocs uploads', 'ocs improvements', 'navigation service', 'monitor stations', 'ground antennas', 'global network', 'early 1985', 'continuously estimate', 'clock phases', 'analysis shows', 'also expected', 'aerospace corporation', '90 percent', '1985 institute']</t>
  </si>
  <si>
    <t>In early 1985, an improved ground Operational Control System (OCS) will maintain the navigation service. Primary among the OCS improvements over past GPS navigation systems is a global network of ground antennas (to upload satellite navigation data) and tracking/monitor stations. In addition, a refined Kalman filter will continuously estimate the Global Positioning System (GPS) satellite ephemerides and clock phases and frequencies. Although the user‚ÄêGPS interface remains unaltered, the accuracy of the GPS navigation service is expected to improve by a factor of three. Using real and simulated GPS pseudo range radiometric tracking data, The Aerospace Corporation has completed a detailed error analysis which shows that the satellite clock noise contributes more than 90 percent of the total satellite‚Äêto‚Äêuser pseudo range error. If the number of OCS uploads is increased to three per day (as planned), then the accuracy of the navigation service is also expected to improve by nearly a factor of three because the clock‚Äênoise contribution to the range error increases linearly with time. Also, this analysis shows the consequence of satellite ephermeris uncertainties in the GPS navigation application. 1985 Institute of Navigation</t>
  </si>
  <si>
    <t>169-185</t>
  </si>
  <si>
    <t>Navigation</t>
  </si>
  <si>
    <t>Summer 1985</t>
  </si>
  <si>
    <t>60001262;60029575;60029575;60029575;60029575</t>
  </si>
  <si>
    <t>57196930749;55426904200;56635860900;7006829053;6602364186</t>
  </si>
  <si>
    <t>BOWEN, R.;SWANSON, P. L.;WINN, F. B.;RHODUS, N. W.;FEESS, W. A.</t>
  </si>
  <si>
    <t>El Segundo;</t>
  </si>
  <si>
    <t>Aerospace Corporation, USA;United States Air Force</t>
  </si>
  <si>
    <t>60029575;60001262</t>
  </si>
  <si>
    <t>BOWEN R.</t>
  </si>
  <si>
    <t>Global Positioning System Operational Control System Accuracies</t>
  </si>
  <si>
    <t>10.1002/j.2161-4296.1985.tb00900.x</t>
  </si>
  <si>
    <t>2-s2.0-0022078289</t>
  </si>
  <si>
    <t>['vessel requires', 'tabular summary', 'systems available', 'safe course', 'propagation velocities', 'paper provides', 'paper presents', 'operational modes', 'moving aircraft', 'measurement ambiguities', 'key specifications', 'inherent limitations', 'generic categories', 'frequency allocation', 'different combination', 'characteristic capabilities', 'accurately position', '1985 institute']</t>
  </si>
  <si>
    <t>The requirement to accurately position and track a moving aircraft, vehicle or vessel requires the user to select from an often bewildering array of commercial positioning systems. Each offers a different combination of range, accuracy, dynamics, operational modes and inherent limitations. This paper presents a tabular summary of the available commercial systems and their key specifications. Supporting text uses the transmitted frequency band to divide the systems into generic categories with generally common performance. Within each group, the characteristic capabilities and limitations are discussed. Topics include GDOP, calibration, multipath, skywave, propagation velocities, frequency allocation and measurement ambiguities. The reader will find the paper provides the basic navigation aids required to chart a safe course through the maze of systems available. 1985 Institute of Navigation</t>
  </si>
  <si>
    <t>139-148</t>
  </si>
  <si>
    <t>SAMPSON, STEPHEN R.</t>
  </si>
  <si>
    <t>San Diego</t>
  </si>
  <si>
    <t>Cubic Corporation</t>
  </si>
  <si>
    <t>SAMPSON S.</t>
  </si>
  <si>
    <t>A Survey of Commercially Available Positioning Systems</t>
  </si>
  <si>
    <t>10.1002/j.2161-4296.1985.tb00897.x</t>
  </si>
  <si>
    <t>2-s2.0-0022079439</t>
  </si>
  <si>
    <t>['¬© 1985', 'solar panels', 'preliminary experiments', 'numerical analysis', 'noneffective bondings', 'low conductivity', 'honeycomb structures', 'etc .)', 'defect volume', 'defect acts', 'basic idea', 'air filling', 'accurately tested']</t>
  </si>
  <si>
    <t>Complex honeycomb space structures (i.e. antennas, solar panels, etc.) must be inspected and accurately tested before flight. The thermography can be employed with success for the detection of the position of defects (delaminations, noneffective bondings, cracks, etc.) and for the evaluation of their size and geometry in all the cases in which the defect acts as a thermal resistance due to the low conductivity of the air filling the defect volume. The basic idea is to create in the specimen a heat flow distribution that is altered by the presence of the defect. The surface temperature distribution is then measured by means of a thermograph and is correlated with the presence of the defect. A numerical analysis and preliminary experiments have been carried out which show the feasibility of the method as applied to honeycomb structures. ¬© 1985.</t>
  </si>
  <si>
    <t>405-414</t>
  </si>
  <si>
    <t>60017293;60017293</t>
  </si>
  <si>
    <t>7006070627;6602834153</t>
  </si>
  <si>
    <t>Monti, R.;Mannara, G.</t>
  </si>
  <si>
    <t>Naples</t>
  </si>
  <si>
    <t>Universit√† degli Studi di Napoli Federico II</t>
  </si>
  <si>
    <t>Monti R.</t>
  </si>
  <si>
    <t>Nondestructive testing of honeycomb structures by computerized, thermographic systems</t>
  </si>
  <si>
    <t>10.1016/0094-5765(85)90046-3</t>
  </si>
  <si>
    <t>2-s2.0-0022079875</t>
  </si>
  <si>
    <t>['thus one', 'therefore carry', 'placing nulls', 'phased array', 'electronics engineers', 'difference patterns', 'difference pattern', 'desired signal', 'current amplitudes', 'amplitude control']</t>
  </si>
  <si>
    <t>A method of placing nulls in directions of any unwanted radio frequency interference (RFI) sources in the difference pattern of a phased array by controlling the current amplitudes is discussed. Thus one can now achieve pattern nulling in both the sum and difference patterns by amplitude control and can therefore carry out the minimization of RFI noise independently of the maximization of the desired signal. The method therefore provides an efficient alternative approach to the design of adaptive phased arrays. Copyright ¬© 1985 by The Institute of Electrical and Electronics Engineers, Inc.</t>
  </si>
  <si>
    <t>669-671</t>
  </si>
  <si>
    <t>Vu, T. B.</t>
  </si>
  <si>
    <t>Sydney</t>
  </si>
  <si>
    <t>UNSW Sydney</t>
  </si>
  <si>
    <t>Vu T.</t>
  </si>
  <si>
    <t>Pattern Nulling in Difference Pattern by Amplitude Control</t>
  </si>
  <si>
    <t>10.1109/TAP.1985.1143645</t>
  </si>
  <si>
    <t>2-s2.0-0022079883</t>
  </si>
  <si>
    <t>['summation forms', 'slot antenna', 'resonant length', 'reflection coefficient', 'radiation pattern', 'printed dipole', 'present formulation', 'moment method', 'isolated antennas', 'input impedance', 'infinite substrate', 'generalized impedance', 'electronics engineers', 'current distributions', 'admittance matrix', 'accurate determination']</t>
  </si>
  <si>
    <t>The printed dipole or slot antenna on a semi-infinite substrate and infinite phased arrays of these elements are investigated. The solution is based on the moment method in the Fourier transform domain. The generalized impedance or admittance matrix can be expressed in rapidly converging infinite-integral or infinite-summation forms, allowing the accurate determination of the current distributions. Using the present formulation, the input impedance, resonant length, and radiation pattern for the isolated antennas, and the reflection coefficient for infinite phased arrays, are calculated. Copyright ¬© 1985 by The Institute of Electrical and Electronics Engineers, Inc.</t>
  </si>
  <si>
    <t>600-607</t>
  </si>
  <si>
    <t>60014313;60014313;60014313</t>
  </si>
  <si>
    <t>7003938202;7006061921;7006791463</t>
  </si>
  <si>
    <t>Kominami, Masanobu;Pozar, David M.;Schaubert, Daniel H.</t>
  </si>
  <si>
    <t>Kominami M.</t>
  </si>
  <si>
    <t>Dipole and Slot Elements and Arrays on Semi-Infinite Substrates</t>
  </si>
  <si>
    <t>10.1109/TAP.1985.1143638</t>
  </si>
  <si>
    <t>2-s2.0-0022079904</t>
  </si>
  <si>
    <t>['substitution method', 'processed using', 'polar near', 'outdoor far', 'orbiting jupiter', 'measuring probe', 'galileo spacecraft', 'gain antenna', 'field patterns', 'field measurements', 'electronics engineers', 'deployable high', 'constructed far', 'computational steps', 'bessel expansion', 'advanced incrementally']</t>
  </si>
  <si>
    <t>Certain unique features of a recently constructed plane-polar near-field measurement facility for determining the far-field patterns of large and fragile spaceborne antennas are described. In this facility, the horizontally positioned antenna rotates about its axis while the measuring probe is advanced incrementally in a fixed radial direction. The near-field measured data is then processed using a Jacobi-Bessel expansion to obtain the antenna far fields. A summary of the measurement and computational steps is given. Comparisons between the outdoor far-field measurements and the constructed far-field patterns from the near-field measured data are provided for different antenna sizes and frequencies. Application of the substitution method for the absolute gain measurement is discussed. In particular, results are shown for the 4.8-m mesh-deployable high-gain antenna of the Galileo spacecraft which has the mission of orbiting Jupiter in 1988. Copyright ¬© 1985 by The Institute of Electrical and Electronics Engineers, Inc.</t>
  </si>
  <si>
    <t>638-648</t>
  </si>
  <si>
    <t>60009037;60009037</t>
  </si>
  <si>
    <t>7102110120;7102802294</t>
  </si>
  <si>
    <t>Rahmat-Samii, Yahya;Gatti, Mark S.</t>
  </si>
  <si>
    <t>Far-Field Patterns of Spaceborne Antennas from Plane-Polar Near-Field Measurements</t>
  </si>
  <si>
    <t>10.1109/TAP.1985.1143649</t>
  </si>
  <si>
    <t>2-s2.0-0022079942</t>
  </si>
  <si>
    <t>['theoretical predictions', 'simulations support', 'desired signal', 'authors introduce']</t>
  </si>
  <si>
    <t>The authors introduce a new adaptive array beamformer that works well even when the desired signal and the interference are coherent. Present adaptive beamformers fail to operate in these cases. The results of simulations support the theoretical predictions.</t>
  </si>
  <si>
    <t>527-536</t>
  </si>
  <si>
    <t>ASSP-33</t>
  </si>
  <si>
    <t>IEEE Transactions on Acoustics, Speech, and Signal Processing</t>
  </si>
  <si>
    <t>60012708;60012708</t>
  </si>
  <si>
    <t>7003596870;7102843718</t>
  </si>
  <si>
    <t>Shan, Tie Jun;Kailath, Thomas</t>
  </si>
  <si>
    <t>Shan T.J.</t>
  </si>
  <si>
    <t>ADAPTIVE BEAMFORMING FOR COHERENT SIGNALS AND INTERFERENCE.</t>
  </si>
  <si>
    <t>10.1109/tassp.1985.1164583</t>
  </si>
  <si>
    <t>2-s2.0-0022079954</t>
  </si>
  <si>
    <t>['numerical results', 'flat earth', 'electronics engineers', 'current distribution', 'circular disk', 'antenna impedance']</t>
  </si>
  <si>
    <t>The sinusoidal-Galerkin moment method is developed for a vertical monopole antenna at the center of a circular disk over the flat earth. Numerical results are included for antenna impedance and current distribution. Copyright ¬© 1985 by The Institute of Electrical and Electronics Engineers, Inc.</t>
  </si>
  <si>
    <t>633-637</t>
  </si>
  <si>
    <t>Richmond J.H.</t>
  </si>
  <si>
    <t>Monopole Antenna on Circular Disk Over Flat Earth</t>
  </si>
  <si>
    <t>10.1109/TAP.1985.1143641</t>
  </si>
  <si>
    <t>2-s2.0-0022079980</t>
  </si>
  <si>
    <t>['truncation amount', 'radiation characteristics', 'phase relation', 'one arm', 'numerically demonstrated', 'feed points', 'electronics engineers', 'either sense', 'circular polarization', 'axial ratio']</t>
  </si>
  <si>
    <t>The radiation characteristics of a two-wire spiral antenna in which the one arm is truncated are evaluated on the basis of the analyzed current distribution. It is numerically demonstrated that either sense of circular polarization is generated by changing the phase relation of feed points. The variation in the axial ratio is examined as a function of truncation amount of the one arm. Copyright ¬© 1985 by The Institute of Electrical and Electronics Engineers, Inc.</t>
  </si>
  <si>
    <t>676-678</t>
  </si>
  <si>
    <t>60030526;101245684;60082079</t>
  </si>
  <si>
    <t>55633340100;7403255155;56405174700</t>
  </si>
  <si>
    <t>Nakano, Hisamatsu;Hirose, K.;Yamauchi, Junji</t>
  </si>
  <si>
    <t>Japan;Japan;Japan</t>
  </si>
  <si>
    <t>Tokyo;Tokyo;Tokyo</t>
  </si>
  <si>
    <t>Tokyo Metropolitan College of Technology;Hosei University;Nihon Dengyo Kosaku Co., Ltd.</t>
  </si>
  <si>
    <t>60082079;60030526;101245684</t>
  </si>
  <si>
    <t>Numerical Analysis of Asymmetrical Spiral Antenna</t>
  </si>
  <si>
    <t>10.1109/TAP.1985.1143647</t>
  </si>
  <si>
    <t>2-s2.0-0022081754</t>
  </si>
  <si>
    <t>['time domain', 'sinusoidal signal', 'practical antenna', 'francis group', 'fields created', 'field created', 'electric dipole', 'current radiator']</t>
  </si>
  <si>
    <t>In this paper, the fields created by a hertzian electric quadrupole fed by a non-sinusoidal signal are analysed in the time domain. The results are compared with those obtained for an electric dipole and are applied to the study of the field created by the practical antenna, the large-current radiator. ¬© 1985 Taylor &amp; Francis Group, LLC.</t>
  </si>
  <si>
    <t>921-931</t>
  </si>
  <si>
    <t>60027844;60027844</t>
  </si>
  <si>
    <t>57208309497;57207871862</t>
  </si>
  <si>
    <t>Gomez, Rafael;Morente, Juan A.</t>
  </si>
  <si>
    <t>Spain</t>
  </si>
  <si>
    <t>Granada</t>
  </si>
  <si>
    <t>Universidad de Granada</t>
  </si>
  <si>
    <t>Gomez R.</t>
  </si>
  <si>
    <t>Analysis of electric quadrupole radiation in the time domain: Application to large-current radiators</t>
  </si>
  <si>
    <t>10.1080/00207218508939087</t>
  </si>
  <si>
    <t>2-s2.0-0022081883</t>
  </si>
  <si>
    <t>['wang responds', 'significantly increase', 'radial distance', 'monotonic function', 'end effect', 'electrostatic analysis', 'different result', 'diameter ratio', 'cylindrical antennas', 'computational error', 'commenter believes', 'charge distribution', 'arbitrary systems']</t>
  </si>
  <si>
    <t>The commenter believes that P. K. Wang's results for the charge distribution on the cylinder end surfaces reflect a computational error. From their experience in the analysis of the end effect of cylindrical antennas, they expected the charge distribution, to be a monotonic function of the radial distance. In contrast to this, oscillations are present in this distribution which significantly increase with increasing cylinder height-to-diameter ratio. To solve this problem, the commenter has run his program for the electrostatic analysis of arbitrary systems of revolution for these same cases, and gets a different result. Wang responds with an explanation of the discrepancy, maintaining that his results are correct.</t>
  </si>
  <si>
    <t>683-684</t>
  </si>
  <si>
    <t>AP-33</t>
  </si>
  <si>
    <t>Djordjevic, Antonije R.</t>
  </si>
  <si>
    <t>Djordjevic A.R.</t>
  </si>
  <si>
    <t>COMMENTS, WITH REPLY, ON CALCULATION OF ELECTROSTATIC FIELDS SURROUNDING FINITE CIRCULAR CYLINDRICAL CONDUCTORS' BY P. K. WANG.</t>
  </si>
  <si>
    <t>10.1109/tap.1985.1143629</t>
  </si>
  <si>
    <t>2-s2.0-0022082168</t>
  </si>
  <si>
    <t>['simulation results', 'shown theoretically', 'phase differences', 'maximum entropy', 'inverse cube', 'incoherent sources', 'electronics engineers', 'desired resolution', 'coherent sources', 'angle domain']</t>
  </si>
  <si>
    <t>Performance of maximum entropy (ME) processing in the space-angle domain is analyzed. The effects on the ME images of phase differences between coherent sources, observed in simulation results, are explained. The effect of noise on the resolution of incoherent sources is analyzed. It is shown theoretically that the minimum required signal-to-noise power ratio at the output of the array is proportional to the inverse cube of the desired resolution. Copyright ¬© 1985 by The Institute of Electrical and Electronics Engineers, Inc.</t>
  </si>
  <si>
    <t>594-599</t>
  </si>
  <si>
    <t>100340160;60102562</t>
  </si>
  <si>
    <t>57198005717;7102870158</t>
  </si>
  <si>
    <t>Luthra, Ajay K.;Steinberg, Bernard D.</t>
  </si>
  <si>
    <t>Philadelphia;Conshohocken</t>
  </si>
  <si>
    <t>School of Engineering and Applied Science;Interspec Inc</t>
  </si>
  <si>
    <t>60102562;100340160</t>
  </si>
  <si>
    <t>Luthra A.K.</t>
  </si>
  <si>
    <t>Analysis of Maximum Entropy Processing in the Space-Angle Domain: Two Target Case</t>
  </si>
  <si>
    <t>10.1109/TAP.1985.1143633</t>
  </si>
  <si>
    <t>2-s2.0-0022082170</t>
  </si>
  <si>
    <t>['two rings', 'tm12 mode', 'theoretical predictions', 'single feed', 'ring array', 'impedance transformers', 'impedance transformer', 'electronics engineers', 'design procedure', 'annular rings']</t>
  </si>
  <si>
    <t>Analysis of an array of concentric annular ring microstrip antennas is presented. The feasibility of such an array is based on the observation that annular rings with different mean radii can be designed to resonate at the same frequency for the TM12 mode. The ring array can be excited by means of a single feed by interconnecting two consecutive rings with an impedance transformer. The design procedure for the rings and the impedance transformers for a particular amplitude distribution is discussed. An experiment with an array of two rings has been performed and is found to agree with the theoretical predictions. Copyright ¬© 1985 by The Institute of Electrical and Electronics Engineers, Inc.</t>
  </si>
  <si>
    <t>655-659</t>
  </si>
  <si>
    <t>A Microstrip Array of Concentric Annular Rings</t>
  </si>
  <si>
    <t>10.1109/TAP.1985.1143636</t>
  </si>
  <si>
    <t>2-s2.0-0022082230</t>
  </si>
  <si>
    <t>['various aspects', 'satellite reception', 'practical considerations', 'practical applications', 'noise converter', 'new technology', 'new technologies', 'growing number', 'gallium arsenide', 'dbs affects', 'broadcasting industry', 'article examines']</t>
  </si>
  <si>
    <t>This article examines the rapidly emerging direct broadcast satellite (DBS) service as a medium which promises to deliver not only consumer satellite service but a host of new technologies as well. Various aspects of the new technology are discussed, including the development of antennae, the role of gallium arsenide in the low-noise converter for satellite reception, and the practical considerations of interfacing with a growing number of home video services. The practical applications of the service are reviewed as DBS affects the future of the broadcasting industry.</t>
  </si>
  <si>
    <t>683-685</t>
  </si>
  <si>
    <t>Fraser, R. Dennis</t>
  </si>
  <si>
    <t>Elk Grove Village</t>
  </si>
  <si>
    <t>ALCOA-NEC Communications Corp</t>
  </si>
  <si>
    <t>Fraser R.D.</t>
  </si>
  <si>
    <t>DIRECT BROADCAST HOME TERMINALS - A STATUS REPORT.</t>
  </si>
  <si>
    <t>10.5594/J07942</t>
  </si>
  <si>
    <t>2-s2.0-0022082248</t>
  </si>
  <si>
    <t>['vertically stratified', 'two half', 'transmission operators', 'space problem', 'solution reduces', 'remaining two', 'fourier transform', 'field everywhere', 'expansion functions', 'electronics engineers', 'dimensional variation', 'dimensional problem', 'basis set', 'analytic approach']</t>
  </si>
  <si>
    <t>The solution of the response of a source on top of a horizontally stratified half-space is well-known. However, when the half-space is vertically stratified, the problem can only be solved with numerical methods like the finite element method. Here a semi-analytic approach to solve such a problem is presented. The three-dimensional variation of the problem is reduced to two-dimensional variation by Fourier transform in one coordinate variable. The remaining two-dimensional problem is solved by finding the eigensolution in each of the half-spaces. The eigensolutions of each region are found from the partial differential equation directly using the same basis set of expansion functions. This makes the calculation of the reflection and transmission operators very efficient. The reflection and transmission operators account for the mode-conversion, reflection, and transmission of the waves. With the reflection and transmission operators, the field everywhere can be calculated. The solution reduces to that of the Sommerfeld's half-space problem when the two half-spaces are homogeneous. Copyright ¬© 1985 by The Institute of Electrical and Electronics Engineers, Inc.</t>
  </si>
  <si>
    <t>649-654</t>
  </si>
  <si>
    <t>Chew, Weng Cho</t>
  </si>
  <si>
    <t>Schlumberger-Doll Research Center</t>
  </si>
  <si>
    <t>Chew W.</t>
  </si>
  <si>
    <t>Response of a Source on Top of a Vertically Stratified Half-Space</t>
  </si>
  <si>
    <t>10.1109/TAP.1985.1143634</t>
  </si>
  <si>
    <t>2-s2.0-0022082478</t>
  </si>
  <si>
    <t>['unique characteristics', 'ideal feed', 'give rise', 'electronics engineers']</t>
  </si>
  <si>
    <t>The corrugated conical horn is considered to be an ideal feed for low sidelobe reflector antennas because of its unique characteristics. Analysis is carried out to show that low flare horns are preferred over high flare horns to give rise to low sidelobe performance for a given offset reflector antenna system. Copyright ¬© 1985 by The Institute of Electrical and Electronics Engineers, Inc.</t>
  </si>
  <si>
    <t>660-662</t>
  </si>
  <si>
    <t>60021176;60021176;115993581</t>
  </si>
  <si>
    <t>7005499104;57224853542;15072911900</t>
  </si>
  <si>
    <t>Venkatachalam, P. A.;Gunasekaran, N.;Raghavan, K.</t>
  </si>
  <si>
    <t>India;India</t>
  </si>
  <si>
    <t>Chennai;Chennai</t>
  </si>
  <si>
    <t>Anna University;Electromagnetics</t>
  </si>
  <si>
    <t>60021176;115993581</t>
  </si>
  <si>
    <t>Venkatachalam P.A.</t>
  </si>
  <si>
    <t>An Offset Reflector Antenna with Low Sidelobes</t>
  </si>
  <si>
    <t>10.1109/TAP.1985.1143630</t>
  </si>
  <si>
    <t>2-s2.0-0022083516</t>
  </si>
  <si>
    <t>['three configurations', 'substrate thickness', 'short sections', 'segmentation method', 'reasonable agreement', 'radiation pattern', 'radiating edges', 'nonradiating edges', 'microstrip line', 'impedance bandwidths', 'impedance bandwidth', 'function approach', 'four edges', 'experimental results', 'electronics engineers', 'directly coupled', 'additional resonators', '810 mhz', '605 mhz', '55 ).', '548 mhz', '318 cm']</t>
  </si>
  <si>
    <t>Three new configurations for increasing the impedance bandwidth of the microstrip patch antennas are described. In these configurations, additional resonators are directly coupled through short sections of microstrip line to the radiating edges, nonradiating edges, and all the four edges of the rectangular patch antennas, respectively. Green's function approach and segmentation method are used for the analysis. The experimental results are in reasonable agreement with the analysis and impedance bandwidths of 548 MHz, 605 MHz, and 810 MHz are obtained for these three configurations, respectively in S-band (substrate thickness = 0.318 cm and √è¬µr = 2.55). The variation in the radiation pattern over this impedance bandwidth is discussed. Copyright ¬© 1985 by The Institute of Electrical and Electronics Engineers, Inc.</t>
  </si>
  <si>
    <t>588-593</t>
  </si>
  <si>
    <t>7202418704;7402592343</t>
  </si>
  <si>
    <t>Kumar, Girish;Gupta, Kuldip C.</t>
  </si>
  <si>
    <t>Directly Coupled Multiple Resonator Wide-Band Microstrip Antennas</t>
  </si>
  <si>
    <t>10.1109/TAP.1985.1143639</t>
  </si>
  <si>
    <t>2-s2.0-0022083575</t>
  </si>
  <si>
    <t>['small arrays', 'electronics engineers', 'efficiency incurred', 'calculated results', 'aperture efficiency']</t>
  </si>
  <si>
    <t>A formula is given for aperture efficiency of finite Taylor nÃÑ arrays, using the array coefficients developed by Villeneuve. Calculated results are given that show the loss in efficiency incurred by small arrays. Copyright ¬© 1985 by The Institute of Electrical and Electronics Engineers, Inc.</t>
  </si>
  <si>
    <t>666-669</t>
  </si>
  <si>
    <t>Hansen, R. C.</t>
  </si>
  <si>
    <t>Hansen R.</t>
  </si>
  <si>
    <t>Aperture Efficiency of Villeneuve nÃÑ Arrays</t>
  </si>
  <si>
    <t>10.1109/TAP.1985.1143640</t>
  </si>
  <si>
    <t>2-s2.0-0022083702</t>
  </si>
  <si>
    <t>['system problems', 'monopulse ssr', 'improving performance', 'better antennas', 'article outlines', 'also described']</t>
  </si>
  <si>
    <t>This article outlines the principles of secondary surveillance radar (SSR) and describes some of the system problems which have led to the developments of monopulse SSR as a way of improving performance. Further improvements have been obtained through the use of better antennas, which are also described.</t>
  </si>
  <si>
    <t>463-466</t>
  </si>
  <si>
    <t>IEE Review</t>
  </si>
  <si>
    <t>Stevens, M. C.</t>
  </si>
  <si>
    <t>Cossor Electronics Ltd</t>
  </si>
  <si>
    <t>Stevens M.</t>
  </si>
  <si>
    <t>NEW DEVELOPMENTS IN SECONDARY-SURVEILLANCE RADAR.</t>
  </si>
  <si>
    <t>10.1049/ep.1985.0286</t>
  </si>
  <si>
    <t>2-s2.0-0022083720</t>
  </si>
  <si>
    <t>['value method', 'scattering objects', 'reradiation behaviour', 'radiation characteristics', 'francis group', 'different types', 'derived using', 'cylindrical shell', 'azimuthal directions']</t>
  </si>
  <si>
    <t>The scattering by a plane wave incident on an infinitely long cylindrical shell is derived using the boundary-value method. The cylindrical shell is assumed to have an inhomogeneous dielectric profile in both the radial and azimuthal directions or a circular cylindrical coordinate system. The validity of the solution is verified by comparison with the method of moments. Different types of inhomogeneities are investigated and the resulting echo width as well as the scattered field pattern indicate significant variations which could be used to improve the radiation characteristics of antennas and the reradiation behaviour of scattering objects. ¬© 1985 Taylor &amp; Francis Group, LLC.</t>
  </si>
  <si>
    <t>949-962</t>
  </si>
  <si>
    <t>7005949569;7103051886</t>
  </si>
  <si>
    <t>Elsherbeni, A. Z.;Hamid, M.</t>
  </si>
  <si>
    <t>Elsherbeni A.</t>
  </si>
  <si>
    <t>Scattering by a cylindrical dielectric shell with inhomogeneous permittivity profile</t>
  </si>
  <si>
    <t>10.1080/00207218508939090</t>
  </si>
  <si>
    <t>2-s2.0-0022084010</t>
  </si>
  <si>
    <t>['yagi arrays', 'wiley company', 'thus fading', 'theoretically studied', 'specified polarization', 'small vessels', 'simplified since', 'serious problem', 'satellite even', 'satellite direction', 'reserved direction', 'radiation patterns', 'present structure', 'polarization control', 'opposite sense', 'multipath fading', 'model experiment', 'major axes', 'inc .,', 'finite reflector', 'electrical characteristics', 'controlled electronically', 'calculated results', 'becomes large', 'axial ratio', 'antenna source', 'antenna movement', 'antenna dimensions', 'antenna design', 'antenna attitude']</t>
  </si>
  <si>
    <t>The multipath fading in maritime satellite communications is a serious problem in any future system using the INMARSAT for small vessels. In this paper, a polarization controlling antenna consisting of a pair of Yagi arrays with a reflector is used. By adjustment of the antenna source, the polarization of the direction of incidence of the sea return wave (reserved direction) is synthesized so that the axial ratio is identical to that of the sea return wave but is in the opposite sense and the major axes are orthogonal to each other. Thus fading is reduced. In the present structure, the axial ratio remains desirable in the direction of the satellite even if it becomes large in the reserved direction due to polarization control. Hence polarization loss is small. Further, the mechanical attitude control system can be simplified since the antenna movement is controlled electronically. In the antenna design, the reflector can be treated as an infinite ground plane as long as it is larger than two wavelength square. First, the antenna dimensions are determined. Next, the source for the specified polarization, the axial ratio in the satellite direction and the radiation patterns are calculated for an antenna attitude. The model experiment has been performed for confirmation of the calculated results. The effect of the finite reflector on the electrical characteristics of the antenna is theoretically studied. Copyright ¬© 1985 Wiley Periodicals, Inc., A Wiley Company</t>
  </si>
  <si>
    <t>84-93</t>
  </si>
  <si>
    <t>60025997;60025997</t>
  </si>
  <si>
    <t>7202500800;7005495467</t>
  </si>
  <si>
    <t>Okubo, Shigeru;Tokumaru, Shinobu</t>
  </si>
  <si>
    <t>Keio University</t>
  </si>
  <si>
    <t>Okubo S.</t>
  </si>
  <si>
    <t>A pair of yagi antennas for controlling polarization</t>
  </si>
  <si>
    <t>10.1002/ecja.4410680710</t>
  </si>
  <si>
    <t>2-s2.0-0022085660</t>
  </si>
  <si>
    <t>['time interpolation', 'steering angles', 'signal bandwidth', 'sensor signals', 'sampling rate', 'sampling frequency', 'n sensors', 'linear combination', 'linear antenna', 'limited extent', 'electronics engineers', 'easily put', 'distribution function', 'beamformer performance', 'beam system', 'beam patterns', 'azimuthal level', 'autocorrelation function', 'antenna dimensions', 'always possible']</t>
  </si>
  <si>
    <t>With Shannon sampling rates at the sensors of a linear antenna, it is not always possible to achieve a beam system with complete azimuth coverage. Furthermore, it is not possible to compensate an antenna system platform's own motion in such a way as to be able to build up a beam system fixed in space. Even the method of increasing the sampling rate for the sensors to an impracticably high value would only solve these problems to a limited extent. On the other hand, a solution which is easily put into practice is offered by time interpolation between adjacent sample points of the sensor signals. Therefore we have investigated this method in detail. The beam patterns are formed by special linear combination of the autocorrelation function (ACF) of the sensor signals. This kind of linear combination is applicable to all types of interpolation between adjacent sample points. For one special type of interpolation, namely linear interpolation, an azimuthal level-distribution function which specifies the maximum antenna reception sensitivity for all steering angles is stated for a linear antenna having N sensors. With this function, it is possible to estimate the influence of the sampling frequency) signal center frequency; signal bandwidth, and antenna dimensions on the antenna/beamformer performance. Copyright ¬© 1985 by The Institute of Electrical and Electronics Engineers, Inc.</t>
  </si>
  <si>
    <t>260-268</t>
  </si>
  <si>
    <t>IEEE Journal of Oceanic Engineering</t>
  </si>
  <si>
    <t>60078402;60078402;60078402</t>
  </si>
  <si>
    <t>7004722114;56838797100;7402330932</t>
  </si>
  <si>
    <t>Rathjen, Dirk;B√ºdecker, G√ºtz;Siegel, Manfred</t>
  </si>
  <si>
    <t>Bremen</t>
  </si>
  <si>
    <t>Atlas Elektronik GmbH</t>
  </si>
  <si>
    <t>Rathjen D.</t>
  </si>
  <si>
    <t>Omnidirectional Beam Forming for Linear Antennas by Means of Interpolated Signals</t>
  </si>
  <si>
    <t>10.1109/JOE.1985.1145104</t>
  </si>
  <si>
    <t>2-s2.0-0022086946</t>
  </si>
  <si>
    <t>['‚ äêconnectivity', 'wireless transistor', 'wiley company', 'terrestrial network', 'switch board', 'satellite network', 'preceding problems', 'paper discusses', 'minimum number', 'introduce anew', 'inc .,', 'ground station', 'enable communications', 'conventional idea', 'computation times', 'communication network', 'cannot communicate', 'appears suitable', '2 )?']</t>
  </si>
  <si>
    <t>The vulnerability of an integrated communication network composed of a terrestrial network and a satellite network is discussed in a graph‚Äêtheoretic manner. A ground switching station (a switch board) is abstracted as a vertex, a wire and an antenna, respectively, for a communication with a satellite as an edge of a graph. As a measure of the vulnerability of a communication network we introduce anew the concept of ‚ÄúS‚Äêconnectivity.‚Äù Although the concept of S‚Äêconnectivity is obtained by generalizing the conventional idea of vertex‚Äêconnectivity, since it takes into consideration the difference in the reliability between a satellite as a wireless transistor and a ground station controlled by software, it appears suitable as a means to determine the vulnerability of a communication network consisting of a terrestrial network and a satellite network. This paper discusses: (1) What is the S‚Äêconnectivity when antennas that transmit to and receive from a satellite, are used on each ground station? (2) If ground stations exist which cannot communicate through the terrestrial network, at which stations should antennas be installed to enable communications with the minimum number of antennas via satellite? (3) When the number of edges of a terrestrial network is fixed, what kind of terrestrial network maximizes the S‚Äêconnectivity? (4) What are the computation times of algorithms for solving the preceding problems (1) and (2)? Copyright ¬© 1985 Wiley Periodicals, Inc., A Wiley Company</t>
  </si>
  <si>
    <t>19-28</t>
  </si>
  <si>
    <t>1520684X</t>
  </si>
  <si>
    <t>Systems and Computers in Japan</t>
  </si>
  <si>
    <t>60024322;60024322;60024322;60024751</t>
  </si>
  <si>
    <t>35561899700;7202640559;7005476496;7404692851</t>
  </si>
  <si>
    <t>Hagihara, Ken'Ichi;Masuzawa, Toshimltsu;Tokura, Nobuki;Ikeda, Mitsuji</t>
  </si>
  <si>
    <t>Nagoya;Suita</t>
  </si>
  <si>
    <t>Nagoya Institute of Technology;Osaka University</t>
  </si>
  <si>
    <t>60024751;60024322</t>
  </si>
  <si>
    <t>Hagihara K.</t>
  </si>
  <si>
    <t>Vulnerability of a communication network with a satellite</t>
  </si>
  <si>
    <t>10.1002/scj.4690160403</t>
  </si>
  <si>
    <t>2-s2.0-0022087154</t>
  </si>
  <si>
    <t>['wire antennas', 'wiley company', 'used adequately', 'slice generator', 'paper considers', 'numerical solution', 'numerical calculation', 'nonphysical oscillations', 'moment method', 'magnetic current', 'integral equations', 'inc .,', 'feed formula', 'calculated numerically', 'boundary condition', 'antenna surface', 'annular ring', 'analyzed numerically']</t>
  </si>
  <si>
    <t>Antennas having highly complicated configuration can be analyzed numerically by the recently proposed moment method and/or remarkably improved computer system, and many analyzed results have also been reported. However, on the other hand, some problems, such as convergence in the moment method, numerical solution of a current distribution feed point, and nonphysical oscillations at an edge, have been pointed out. Although in the analysis of wire antennas, assumptions of slice generator, finite gap generator, or annular ring of magnetic current are used adequately as a feed, it is necessary to know how different is the numerical calculation between them. This paper considers an integral equation obtained with a boundary condition at antenna surface and axis, and an integral equation obtained using an axis current approximation. These integral equations were calculated numerically for a linear dipole antenna applying the moment method. As a result, the difference of numerical solution by a difference of feed formula was clarified. Copyright ¬© 1985 Wiley Periodicals, Inc., A Wiley Company</t>
  </si>
  <si>
    <t>65-74</t>
  </si>
  <si>
    <t>60019983;60019983</t>
  </si>
  <si>
    <t>6603068221;35608208100</t>
  </si>
  <si>
    <t>Sakitani, Akihlde;Egashira, Shigeru</t>
  </si>
  <si>
    <t>Saga</t>
  </si>
  <si>
    <t>Saga University</t>
  </si>
  <si>
    <t>Sakitani A.</t>
  </si>
  <si>
    <t>Considerations on feed expressions for the numerical analysis of antennas</t>
  </si>
  <si>
    <t>10.1002/ecja.4410680708</t>
  </si>
  <si>
    <t>2-s2.0-0022087243</t>
  </si>
  <si>
    <t>['phase shifters', 'paper considers', 'output snr', 'optimal processor', 'look direction', 'electronics engineers', 'array gain', 'antenna array']</t>
  </si>
  <si>
    <t>The paper considers the random phase errors in the phase shifters which are used in an antenna array to steer the beam in the look direction, and analyzes the effect of these errors on the performance of the optimal processor which maximizes the output SNR by deriving the expressions for the output signal power, residual interference power, output SNR, and the array gain as a function of the variance of these errors. The paper also considers the phase quantization error which arises in the digital phase shifters and shows how the performance of the optimal processor depends on the number of bits of the digital phase shifters. Copyright ¬© 1985 by The Institute of Electrical and Electronics Engineers, Inc.</t>
  </si>
  <si>
    <t>278-284</t>
  </si>
  <si>
    <t>Godara, Lal Chand</t>
  </si>
  <si>
    <t>Canberra</t>
  </si>
  <si>
    <t>University of Canberra</t>
  </si>
  <si>
    <t>Godara L.C.</t>
  </si>
  <si>
    <t>The Effect of Phase-Shifter Errors on the Performance of an Antenna-Array Beamformer</t>
  </si>
  <si>
    <t>10.1109/JOE.1985.1145105</t>
  </si>
  <si>
    <t>2-s2.0-0022087244</t>
  </si>
  <si>
    <t>['separation distance', 'scattering medium', 'rao bound', 'optimum range', 'hence loss', 'delay estimates', 'causing angular', 'bias introduced', 'bearing measurements', 'array aperture']</t>
  </si>
  <si>
    <t>The effects of a scattering medium on the performance of time delay estimation are considered. The medium is assumed to exhibit angular scattering, causing angular (as well as delay) dispersion and hence loss of signal coherence across the array aperture. Both the variance (via and Cramer-Rao bound) and the bias introduced in the time-delay estimates are studied. The results have been converted to bearing and range error standard deviation and bias. It is found from these studies that there is an optimum range of values for the separation distance between the sensors in the design of an array for time delay estimation, for range and bearing measurements.</t>
  </si>
  <si>
    <t>313-325</t>
  </si>
  <si>
    <t>0011748X</t>
  </si>
  <si>
    <t>Defence Science Journal</t>
  </si>
  <si>
    <t>Jul</t>
  </si>
  <si>
    <t>60032730;60032730;60032730</t>
  </si>
  <si>
    <t>55427713700;57190236484;7202826120</t>
  </si>
  <si>
    <t>Prasad, S.;Narayanan, M. S.;Desai, S. R.</t>
  </si>
  <si>
    <t>Indian Institute of Technology Delhi</t>
  </si>
  <si>
    <t>Prasad S.</t>
  </si>
  <si>
    <t>TIME DELAY ESTIMATION PERFORMANCE IN A SCATTERING MEDIUM.</t>
  </si>
  <si>
    <t>10.14429/dsj.35.6025</t>
  </si>
  <si>
    <t>2-s2.0-0022087930</t>
  </si>
  <si>
    <t>['u waveguide', 'tchebyscheff distributions', 'slot array', 'rg 96', 'radiation efficiency', 'feed structure', 'element array', 'design considerations', 'also mentioned', '5 ghz']</t>
  </si>
  <si>
    <t>The paper presents analysis and design of edge-slot array in RG 96/U waveguide at 28. 5 GHz. The array has been synthesized for Taylor's and Tchebyscheff distributions and variation of radiation efficiency with number of elements has been computed for various side lobe levels. The design of a 20-element array with optimum radiation efficiency of 64% has been discussed. Design considerations for feed structure to achieve frequency scanning is also mentioned in brief.</t>
  </si>
  <si>
    <t>148-151</t>
  </si>
  <si>
    <t>Jul-Aug</t>
  </si>
  <si>
    <t>60023311;60023311</t>
  </si>
  <si>
    <t>7005435644;57206313054</t>
  </si>
  <si>
    <t>Pandharipande, V. M.;Vivekanandan, J.</t>
  </si>
  <si>
    <t>Hyderabad</t>
  </si>
  <si>
    <t>Osmania University</t>
  </si>
  <si>
    <t>Pandharipande V.</t>
  </si>
  <si>
    <t>KU-BAND EDGE SLOT ARRAY WITH OPTIMUM EFFICIENCY FOR FREQUENCY SCANNING APPLICATIONS.</t>
  </si>
  <si>
    <t>10.1080/03772063.1985.11436517</t>
  </si>
  <si>
    <t>2-s2.0-0022088587</t>
  </si>
  <si>
    <t>['three types', 'square deviation', 'signal model', 'problem formulation', 'parameters associated', 'new processor', 'new approach', 'frequency band', 'exact presteering', 'electronics engineers', 'direction response', 'digital implementation', 'desired look', 'coarse presteering', 'basic approach', 'band time', 'band processors', 'actual scenario']</t>
  </si>
  <si>
    <t>In this paper, a new approach to the design of broad-band time-domain element space antenna array processors is presented. The basic approach is based on the idea of minimizing the mean-square deviation between the desired look-direction response and the response of the processor over a frequency band of interest. With this approach, three types of presteering can be handled: No presteering, coarse presteering, and exact presteering. The elimination of presteering time delays is important in a digital implementation of antenna array processors. The relationship that the new processor has to other broad-band processors is explored and the significance of the parameters associated with the new processor is established. Furthermore, the approach presented enables various types of errors and mismatches between signal model and actual scenario to be incorporated in the problem formulation. Copyright ¬© 1985 by The Institute of Electrical and Electronics Engineers, Inc.</t>
  </si>
  <si>
    <t>231-240</t>
  </si>
  <si>
    <t>60010571;60010571</t>
  </si>
  <si>
    <t>7102842938;7005144794</t>
  </si>
  <si>
    <t>Er, Meng Hwa;Cantoni, Antonio</t>
  </si>
  <si>
    <t>Callaghan</t>
  </si>
  <si>
    <t>The University of Newcastle, Australia</t>
  </si>
  <si>
    <t>Er M.H.</t>
  </si>
  <si>
    <t>A New Approach to the Design of Broad-Band Element Space Antenna Array Processors</t>
  </si>
  <si>
    <t>10.1109/JOE.1985.1145099</t>
  </si>
  <si>
    <t>2-s2.0-0022089278</t>
  </si>
  <si>
    <t>['step length', 'stage decoupling', 'sidelobe suppression', 'seismic processing', 'profiling multi', 'possess stage', 'paper reports', 'line algorithms', 'layered media', 'diverse fields', 'direction signals', 'direction signal', 'desired response', 'arbitrary size', 'antenna arrays']</t>
  </si>
  <si>
    <t>The requirement for processing of data from multi-element sensors exists in numerous and diverse fields, such as in passive sonar signal processing of hydrophone array data; for sidelobe suppression in antenna arrays; in seismic processing for profiling multi-layered media. This paper reports the development of an algorithm for the processing of data from an array of broad-band sensors using lattice type processor. The problem is to enhance the look-direction signal in the presence of spatially distributed interference sources and sensor self noise by employing a multi-channel processor subject to the constraint that it has a desired response for look-direction signals. The multi-channel lattice algorithm proposed here possess stage by stage decoupling, and do not involve an arbitrary size of the step length, unlike conventional tapped-delay-line algorithms.</t>
  </si>
  <si>
    <t>287-294</t>
  </si>
  <si>
    <t>6507106891;56897622400</t>
  </si>
  <si>
    <t>Murukutla, N. L.M.;Durrani, T. S.</t>
  </si>
  <si>
    <t>Murukutla N.</t>
  </si>
  <si>
    <t>ADAPTIVE LATTICE ALGORITHMS FOR PASSIVE ARRAY DATA.</t>
  </si>
  <si>
    <t>10.14429/dsj.35.6023</t>
  </si>
  <si>
    <t>2-s2.0-0022089475</t>
  </si>
  <si>
    <t>['vector separation', 'systematic errors', 'system show', 'short baselines', 'level accuracy', 'experiments made', 'estimated effects', 'eastern california', 'baselines longer', 'baseline interferometry', '7 plus', '1984 indicate']</t>
  </si>
  <si>
    <t>Very-long-baseline interferometry (VLBI) has been used to make precise measurements of the vector separation between widely separated antennas. The system for acquiring and processing VLBI data known as Mark-III is described. Tests of the system show it to have millimeter-level accuracy on short baselines; measurements of baselines longer than a few-hundred kilometers suggest that accuracy is limited by the uncertainty in the calibration of tropospheric path delay to the level of a few centimeters. VLBI experiments conducted between 1976 and 1983 have demonstrated the stability of the North American plate by showing that there is no change in the distance between eastern California and Massachusetts at the level of a few millimeters per year or greater. Experiments made from 1980 to 1984 indicate that the distance from Massachusetts to Sweden is increasing by 1. 7 plus or minus 1 cm/year where the quoted standard deviation includes the estimated effects of systematic errors.</t>
  </si>
  <si>
    <t>438-449</t>
  </si>
  <si>
    <t>60006337;60006337;60006337;60006337;60006337;60006337;60006337;60006337;60006337;60006337;60006337;60006337;60006337;60006337;60006337</t>
  </si>
  <si>
    <t>7403216618;6602110379;55740847000;7004647945;7004586388;6603669377;7202380948;7403580012;7006535680;7402924823;6507604140;24360834200;7402815984;6505631380;7404484474</t>
  </si>
  <si>
    <t>Clark, Thomas A.;Corey, Brian E.;Davis, James L.;Elgered, Gunnar;Herring, Thomas A.;Hinteregger, Hans F.;Knight, Curtis A.;Levine, James I.;Lundqvist, Goran;Ma, Chopo;Nesman, Edwin F.;Phillips, Robert B.;Rogers, Alan E.E.;Ronnarg, Bernt O.;Ryan, James W.</t>
  </si>
  <si>
    <t>Greenbelt</t>
  </si>
  <si>
    <t>NASA Goddard Space Flight Center</t>
  </si>
  <si>
    <t>Clark T.</t>
  </si>
  <si>
    <t>PRECISION GEODESY USING THE MARK-III VERY-LONG-BASELINE INTERFEROMETER SYSTEM.</t>
  </si>
  <si>
    <t>10.1109/TGRS.1985.289433</t>
  </si>
  <si>
    <t>2-s2.0-0022089840</t>
  </si>
  <si>
    <t>['various free', 'using madey', 'stimulated emission', 'optical klystron', 'electron laser', 'dispersive sections']</t>
  </si>
  <si>
    <t>Spontaneous and stimulated emission calculations are made for various free-electron laser (FEL) configurations by using Madey's (1979) theorem. An analogy is provided between the FEL and a phased antenna array, and it is used to simplify the calculations. Relations for the spontaneous and stimulated emission are derived for the uniform wiggler FEL, the optical klystron, the case of N wiggler sections cascaded through dispersive sections, and for harmonics in a planar wiggler FEL.</t>
  </si>
  <si>
    <t>944-951</t>
  </si>
  <si>
    <t>QE-21</t>
  </si>
  <si>
    <t>7007034286;7005977184</t>
  </si>
  <si>
    <t>Grover, Lov K.;Pantell, Richard H.</t>
  </si>
  <si>
    <t>Grover L.K.</t>
  </si>
  <si>
    <t>SIMPLIFIED ANALYSIS OF FREE-ELECTRON LASERS USING MADEY'S THEOREM.</t>
  </si>
  <si>
    <t>10.1109/jqe.1985.1072775</t>
  </si>
  <si>
    <t>2-s2.0-0022090092</t>
  </si>
  <si>
    <t>['wire antenna', 'similar results', 'passive unloaded', 'noise properties', 'noise power', 'n ratio', 'loaded antennas', 'computer simulation', 'computer results', 'briefly outlined']</t>
  </si>
  <si>
    <t>Computer simulation of noise properties of passive unloaded and loaded antennas is briefly outlined. Computer results of noise power to K//oT ratio are reported here for linear and folded dipole antennas. Similar results can be obtained other type of antennas. An expression is derived for S/N ratio of a wire antenna in general.</t>
  </si>
  <si>
    <t>136-139</t>
  </si>
  <si>
    <t>60013543;60013543</t>
  </si>
  <si>
    <t>35789204100;56241602300</t>
  </si>
  <si>
    <t>Saini, S. P.S.;Sharma, G. K.</t>
  </si>
  <si>
    <t>Pilani</t>
  </si>
  <si>
    <t>Central Electronics Engineering Research Institute India</t>
  </si>
  <si>
    <t>Saini S.</t>
  </si>
  <si>
    <t>S/N RATIO COMPUTATION IN WIRE ANTENNAS USING THE MATRIX METHOD.</t>
  </si>
  <si>
    <t>10.1080/03772063.1985.11436512</t>
  </si>
  <si>
    <t>2-s2.0-0022090598</t>
  </si>
  <si>
    <t>['significantly reduces', 'model suggests', 'main lobe', 'linear array', 'given direction', 'equispaced receivers', 'electronics engineers', 'efficient scheme', 'delays required', 'conventional time', 'coarse quantization', 'certain directions', 'beam pattern', 'also considered', 'additions required']</t>
  </si>
  <si>
    <t>In conventional time-domain beam forming with sampled receiver outputs, the delays required to steer a beam in a given direction can only be approximated to within the nearest half sampling interval. For a linear array of equispaced receivers, and for certain directions, these errors give rise to high isolated sidelobes in the beam pattern. A model, describing this beam pattern is used to predict the number, position, and height of these sidelobes. Degradation of the height of the main lobe is also considered. For coarse quantization, and in the absence of interpolation, the model suggests a recursive beamlormer structure which significantly reduces the number of additions required. A simple interpolation scheme which reduces the height of these sidelobes is dismissed and an efficient scheme for implementing such interpolation is given. Copyright ¬© 1985 by The Institute of Electrical and Electronics Engineers, Inc.</t>
  </si>
  <si>
    <t>269-277</t>
  </si>
  <si>
    <t>Gray, Douglas A.</t>
  </si>
  <si>
    <t>Edinburgh</t>
  </si>
  <si>
    <t>Defence Science and Technology Group</t>
  </si>
  <si>
    <t>Gray D.</t>
  </si>
  <si>
    <t>Effect of Time-Delay Errors on the Beam Pattern of a Linear Array</t>
  </si>
  <si>
    <t>10.1109/JOE.1985.1145114</t>
  </si>
  <si>
    <t>2-s2.0-0022092258</t>
  </si>
  <si>
    <t>['¬© 1985', 'surprising lack', 'supporting analysis', 'rights reserved', 'integral radome', 'esm systems', 'electrical engineers', 'diameter antenna', 'detailed understanding', 'complete antenna', 'backing cavity', '52 mm', '0 ghz']</t>
  </si>
  <si>
    <t>Antennas</t>
  </si>
  <si>
    <t>The reason for the popularity of the cavity-backed spiral antenna in ESM systems is discussed, together with the surprising lack of supporting analysis and detailed understanding of its operation. In the absence of any published mathematical analysis of the complete antenna, the function and principle of operation of the three main antenna components‚Äîthe spiral radiator, backing cavity and balun transformer‚Äîare described using elementary reasoning. Finally, as an illustration of the quality of performance presently achievable from these antennas, the performances of three particular spiral antenna designs are discussed; a reduced-size square antenna covering the frequency band 0.4-4.0 GHz, a 52 mm-diameter antenna covering the standard band 2.0-18.0 GHz, and an in-line 16 mm-diameter antenna and integral radome for the 18.0 to 40.0 GHz band, where the output is in double ridge waveguide. ¬© 1985, The Institution of Electrical Engineers. All rights reserved.</t>
  </si>
  <si>
    <t>245-251</t>
  </si>
  <si>
    <t>Morgan, T. E.</t>
  </si>
  <si>
    <t>Grove</t>
  </si>
  <si>
    <t>Marconi Space and Defence Systems</t>
  </si>
  <si>
    <t>Morgan T.</t>
  </si>
  <si>
    <t>Spiral antennas for ESM</t>
  </si>
  <si>
    <t>10.1049/ip-f-1.1985.0057</t>
  </si>
  <si>
    <t>2-s2.0-0022092990</t>
  </si>
  <si>
    <t>['¬© 1985', 'spreading resistance', 'skin effect', 'relaxation region', 'planar structure', 'ir laser', 'displacement current', 'contact radius', 'carrier inertia', '1 œºm']</t>
  </si>
  <si>
    <t>Responsitivity of an antenna-coupled Schottky diode is discussed using equivalent circuits, taking into account that the conductivity of the metal is in the relaxation region and that the spreading resistance of the semiconductor is affected by the skin effect, carrier inertia and displacement current. It is concluded that an antenna-coupled Schottky diode fabricated in a planar structure is able to detect the IR laser if the device is fabricated using n-Ge (n = 1015cm-3) with a contact radius of 0.1 Œºm. ¬© 1985.</t>
  </si>
  <si>
    <t>599-606</t>
  </si>
  <si>
    <t>60004176;60004176</t>
  </si>
  <si>
    <t>7403247020;7004555963</t>
  </si>
  <si>
    <t>Inoue, N.;Yasuoka, Y.</t>
  </si>
  <si>
    <t>Yokosuka</t>
  </si>
  <si>
    <t>National Defense Academy of Japan</t>
  </si>
  <si>
    <t>Inoue N.</t>
  </si>
  <si>
    <t>Responsivity of antenna-coupled schottky diodes</t>
  </si>
  <si>
    <t>0020-0891(85)90012-0</t>
  </si>
  <si>
    <t>10.1016/0020-0891(85)90012-0</t>
  </si>
  <si>
    <t>2-s2.0-0022093356</t>
  </si>
  <si>
    <t>['theoretical analysis', 'successful experiments', 'substrate parameters', 'radiation pattern', 'radiation characteristics', 'feed technique', 'experimental results', 'close agreement']</t>
  </si>
  <si>
    <t>The input and radiation characteristics of circular microstrip antennas operated at higher order modes to generate conical patterns are studied. The effects of varying the substrate parameters on characteristics such as radiation pattern, directivity, bandwidth, efficiency, and location of the feedpoint to match a 50 ohm line are investigated. A multi-feed technique to operate the antenna at any particular higher order mode is proposed. Successful experiments have used this technique to operate the antenna at the desired higher order modes and the experimental results are in close agreement with the theoretical analysis.</t>
  </si>
  <si>
    <t>108-112</t>
  </si>
  <si>
    <t>Canadian electrical engineering journal</t>
  </si>
  <si>
    <t>7202418704;8092251400</t>
  </si>
  <si>
    <t>Kumar, G.;Shafai, L.</t>
  </si>
  <si>
    <t>GENERATION OF CONICAL PATTERNS FROM CIRCULAR PATCH ANTENNAS AND THEIR PERFORMANCE.</t>
  </si>
  <si>
    <t>10.1109/CEEJ.1985.6594438</t>
  </si>
  <si>
    <t>2-s2.0-0022093577</t>
  </si>
  <si>
    <t>['substantial improvement', 'parabolic dish', 'antenna performance']</t>
  </si>
  <si>
    <t>A bstract‚ÄîThe radiation characteristics of a parabolic dish with a loaded peripheral flange are examined in detail in order to assess the effectiveness of such a loading in further reducing the backward scattered field. Uniformly valid diffraction coefficients are developed to deal with both isotropic and anisotropic surface impedances. It is shown that substantial improvement of the antenna performance can be obtained in a wide rear angular sector, and the optimal loading conditions are determined. ¬© 1985 IEEE</t>
  </si>
  <si>
    <t>755-762</t>
  </si>
  <si>
    <t>60017293;100338805;60032350</t>
  </si>
  <si>
    <t>7006499276;7003785247;9276356900</t>
  </si>
  <si>
    <t>Bucci, Ovidio M.;Gennarelli, Claudio;Palumbo, Luigi</t>
  </si>
  <si>
    <t>Rome;Naples;Naples</t>
  </si>
  <si>
    <t>Sapienza Universit√† di Roma;Universit√† degli Studi di Napoli Federico II;Istituto Universitario Navale</t>
  </si>
  <si>
    <t>60032350;60017293;100338805</t>
  </si>
  <si>
    <t>Bucci O.M.</t>
  </si>
  <si>
    <t>Parabolic Antennas with a Loaded Flange</t>
  </si>
  <si>
    <t>10.1109/TAP.1985.1143667</t>
  </si>
  <si>
    <t>2-s2.0-0022097456</t>
  </si>
  <si>
    <t>['two designs', 'total number', 'tilt angle', 'space plane', 'simply construct', 'required azimuth', 'one graph', 'maximum scan', 'given rsb', 'element geometry', 'either minimizes', 'either minimize', 'clearly shows', 'clearly show', 'array antennas']</t>
  </si>
  <si>
    <t>A new graphical technique is presented for determining the optimal face tilt and element packing geometry for planar, phased-array antennas with scan limits specified in earth‚Äôs coordinates. The technique, although very simple to implement, is instructive in that it clearly shows, on one graph, the relationships between required azimuth and elevation scan limits, the element packing geometry, the grating lobe locations, grating lobe scan boundaries, the maximum off-axis scan angle, and the array face tilt angle. The technique can be used to design the array to either minimize the maximum scan off-axis scan requirement or to minimize the total number of elements in the array. Examples are presented that clearly show the two designs are not the same. It is shown that the grating lobe scan boundary (GLB) for a particular array geometry can easily be constructed in sine-space by drawing unit circles centered at six grating lobe locations nearest to the origin of the sine-space plane. Equations are presented for drawing the required scan boundary (RSB) in earth‚Äôs coordinates for the array with its face tilted back from the vertical. The ability to simply construct the RSB and GLB on the same sine-space plot makes it very simple to choose the tilt angle and element geometry that either minimizes the area in the GLB or the maximum off-axis scan requirement for a given RSB. ¬© 1985 IEEE</t>
  </si>
  <si>
    <t>719-726</t>
  </si>
  <si>
    <t>Corey, Larry E.</t>
  </si>
  <si>
    <t>Atlanta</t>
  </si>
  <si>
    <t>Georgia Tech Research Institute</t>
  </si>
  <si>
    <t>Corey L.E.</t>
  </si>
  <si>
    <t>A Graphical Technique for Determining Optimal Array Antenna Geometry</t>
  </si>
  <si>
    <t>10.1109/TAP.1985.1143654</t>
  </si>
  <si>
    <t>2-s2.0-0022097457</t>
  </si>
  <si>
    <t>['would preclude', 'waveguide elements', 'square root', 'rf design', 'plt ).', 'paper describes', 'mechanical design', 'launching rf', 'large size', 'dielectric constant', 'conceptual design', 'antenna capable', '800 mhz']</t>
  </si>
  <si>
    <t>This paper describes the conceptual design of a Fast Wave Current Drive (FWCD) alumina ceramic loaded coupler for the Princeton Large Torus (PLT). An antenna capable of launching RF at 800 MHz was required. While phased waveguide arrays allow the coupling of correctly phased waves to the plasma, their large size (when used in air or vacuum) would preclude their application for PLT. However, the utilization of a dielectric loaded waveguide results in a reduction in size of waveguide elements by the square root of the dielectric constant. A description of the various approaches considered during the RF design, mechanical design, and component fabrication studies is included.</t>
  </si>
  <si>
    <t>420-424</t>
  </si>
  <si>
    <t>1 pt 2(A)</t>
  </si>
  <si>
    <t>60025209;60025209;60025209;60025209;60025209;60025209;60025209;60025209</t>
  </si>
  <si>
    <t>6506643203;7005112503;57223707469;6603402124;7801613268;7003274290;57214065438;57212657753</t>
  </si>
  <si>
    <t>Herbermann, R.;Albanese, V.;Favale, A.;Gralnick, S.;Micich, R.;Rathke, J.;Rose, J.;Anderson, T.</t>
  </si>
  <si>
    <t>Northrop Grumman corporation</t>
  </si>
  <si>
    <t>Herbermann R.</t>
  </si>
  <si>
    <t>CONCEPTUAL DESIGN OF A FAST WAVE CURRENT DRIVE (FWCD) COUPLER FOR THE PLT.</t>
  </si>
  <si>
    <t>10.13182/fst85-a40080</t>
  </si>
  <si>
    <t>2-s2.0-0022098107</t>
  </si>
  <si>
    <t>['weak point', 'thermal environment', 'substantial amounts', 'structural integrity', 'severe radiation', 'rf system', 'rf power', 'recent advances', 'properly chosen', 'maintain electrical', 'filled waveguides', 'dielectric materials', 'antenna radomes']</t>
  </si>
  <si>
    <t>In recent advances in radiofrequency (RF) heating have led to the use of substantial amounts of RF power for startup and heating. The RF heating system requires a number of ceramics for coaxial feedthrough insulation, antenna radomes, windows, and ceramic-filled waveguides. These dielectric materials should maintain electrical and structural integrity in a severe radiation and thermal environment. It is becoming more evident that the ceramic materials could be the weak point in the performance of the RF system, unless they are properly chosen.</t>
  </si>
  <si>
    <t>553-558</t>
  </si>
  <si>
    <t>El-Guebaly, Laila A.</t>
  </si>
  <si>
    <t>El-Guebaly L.A.</t>
  </si>
  <si>
    <t>MATERIALS PROBLEMS FOR HIGHLY IRRADIATED ICRH LAUNCHERS IN FUSION REACTORS.</t>
  </si>
  <si>
    <t>10.13182/fst85-a40097</t>
  </si>
  <si>
    <t>2-s2.0-0022098194</t>
  </si>
  <si>
    <t>['reflector focus', 'reflector antenna', 'measured results', 'log periodic', 'frequency varies', 'frequency range', 'fed reflector', 'defocusing results', 'defocusing loss']</t>
  </si>
  <si>
    <t>Log periodic designs are a well established wide-band antenna technology, but one in which the phase center travels along the structure as the frequency varies. When a log periodic antenna is used as a feed for a reflector antenna, the phase center location cannot be maintained at the reflector focus over the frequency range and defocusing results. The purpose of this analysis is to quantify the defocusing loss for a log periodic-fed reflector. The analysis presented compares favorably with measured results. ¬© 1985 IEEE</t>
  </si>
  <si>
    <t>809-812</t>
  </si>
  <si>
    <t>Dybdal, Robert B.</t>
  </si>
  <si>
    <t>Dybdal R.</t>
  </si>
  <si>
    <t>Defocusing Loss for a Log Periodic-Fed Reflector</t>
  </si>
  <si>
    <t>10.1109/TAP.1985.1143659</t>
  </si>
  <si>
    <t>2-s2.0-0022098993</t>
  </si>
  <si>
    <t>['radiation theory', 'radiation characteristics', 'ground plane', 'first part', 'experimental results', 'antennas slots']</t>
  </si>
  <si>
    <t>In the first part of this paper the theory of radiation from discontinuities in the ground plane of a dielectric image line has been described. In this second part experimental verifications of the radiation theory as well as millimeter-wave antennas realized on the basis of the theory are described. In the antennas slots and holes in the ground plane of the dielectric image line are used as discontinuities. Experimental results for the radiation characteristics are discussed. ¬© 1985 IEEE</t>
  </si>
  <si>
    <t>697-706</t>
  </si>
  <si>
    <t>60075697;60014264</t>
  </si>
  <si>
    <t>7003495221;35589308200</t>
  </si>
  <si>
    <t>Solbach, Klaus;Wolff, Ingo</t>
  </si>
  <si>
    <t>Germany;Germany</t>
  </si>
  <si>
    <t>Nurnberg;Duisburg</t>
  </si>
  <si>
    <t>AEG;Universit√§t Duisburg-Essen</t>
  </si>
  <si>
    <t>Solbach K.</t>
  </si>
  <si>
    <t>Dielectric Image Line Groove Antennas for Millimeter Waves, Part II: Experimental Verification</t>
  </si>
  <si>
    <t>10.1109/TAP.1985.1143664</t>
  </si>
  <si>
    <t>2-s2.0-0022098994</t>
  </si>
  <si>
    <t>['weather radars', 'usually sited', 'take advantage', 'shield heights', 'scanning beams', 'proper siting', 'natural terrain', 'made shields', 'government work', 'geometric optic', 'fine resolution', 'diffraction theory', 'conveniently satisfied', 'clutter fences', 'cannot eliminate', 'brings attention', 'antenna characteristics', '40 db']</t>
  </si>
  <si>
    <t>Weather radars are usually sited so they can survey as large an area as possible. A large surveillance area is achieved by placing the antenna as high as practical but then the radar can be blind to weather targets near the ground because of ground clutter interference. There are applications where it is necessary to have fine resolution of low altitude divergence and wind shear near the ground in regions of weak weather reflectivity. This requirement can be most conveniently satisfied when surveillance is near the radar, but it brings attention to the problem of reducing ground clutter. Although cancelers help to reduce ground target echoes, they cannot eliminate them, and reduction for scanning beams is limited to about 40 dB. Proper siting to take advantage of natural terrain and man-made shields (clutter fences) can further reduce ground clutter. Criteria are developed that relate ground target illumination to antenna characteristics, shield heights, and the distance to the shield. Both geometric optic and diffraction theory are used to estimate the effectiveness of shields. U.S. Government work not protected by U.S. copyright</t>
  </si>
  <si>
    <t>685-689</t>
  </si>
  <si>
    <t>60025916;60025916</t>
  </si>
  <si>
    <t>56914807700;7006640608</t>
  </si>
  <si>
    <t>Doviak, Richard J.;Zrniƒá, Dusan S.</t>
  </si>
  <si>
    <t>Norman</t>
  </si>
  <si>
    <t>NOAA National Severe Storms Laboratory</t>
  </si>
  <si>
    <t>Doviak R.</t>
  </si>
  <si>
    <t>Siting of Doppler Weather Radars to Shield Ground Targets</t>
  </si>
  <si>
    <t>10.1109/TAP.1985.1143652</t>
  </si>
  <si>
    <t>2-s2.0-0022099082</t>
  </si>
  <si>
    <t>['standard medium', 'saline solutions', 'rational function', 'previous investigators', 'order three', 'normalized impedance', 'measurement technique', 'material using', 'impedance measured', 'good agreement', 'general technique', 'frequencies using', 'constitutive parameters', 'alcohol 1']</t>
  </si>
  <si>
    <t>A general technique is presented for measuring the electrical constitutive parameters of a material using a monopole (dipole) antenna. A normalized impedance that is only a function of the dimensionless parameter kh (wavenumber-length) is defined for the antenna. The normalized impedance is expressed as a rational function, and the coefficients in this function are determined from a measurement of the impedance in a standard medium. The impedance measured in a material with unknown constitutive parameters is used with the rational function to form a polynomial in kh. The constitutive parameters of the medium are determined from a root of this polynomial. The measurement technique is implemented for a rational function of order three. The constitutive parameters of the alcohol 1-butanol and saline solutions were measured over a range of frequencies using the technique with cylindrical and conical monopole antennas. The measured constitutive parameters are in good agreement with those determined by previous investigators. ¬© 1985 IEEE</t>
  </si>
  <si>
    <t>783-792</t>
  </si>
  <si>
    <t>60021032;60021032</t>
  </si>
  <si>
    <t>7406739047;6602809811</t>
  </si>
  <si>
    <t>Smith, Glenn S.;Nordgard, John D.</t>
  </si>
  <si>
    <t>Georgia Institute of Technology</t>
  </si>
  <si>
    <t>Smith G.S.</t>
  </si>
  <si>
    <t>Measurement of the Electrical Constitutive Parameters of Materials Using Antennas</t>
  </si>
  <si>
    <t>10.1109/TAP.1985.1143657</t>
  </si>
  <si>
    <t>2-s2.0-0022099320</t>
  </si>
  <si>
    <t>['wave coupling', 'use cost', 'observed loading', 'net result', 'net change', 'many configurations', 'magnetic flux', 'load experienced', 'including chevrons', 'faraday shields', 'faraday shield', 'effects experimentally', 'easily cooled', 'coupled loads', 'configurations exist', 'concentric rings', 'characteristic inductance', 'always reduced']</t>
  </si>
  <si>
    <t>The Faraday shields for ion cyclotron antennas must transmit magnetic waves and absorb little rf power. To investigate these properties, we have constructed 27 Faraday shields in many configurations, including chevrons, tubes, straps, concentric rings, various layered shields, conventionally leafed straps, and replicas of the Faraday shields for ASDEX, the Joint European Torus (JET), TEXTOR, and Alcator-C. We have measured the magnetic flux and observed loading at various operating resistances by using dielectric sheets or magnetic-coupled loads. Each Faraday shield effects a net change in the characteristic inductance of the antenna, resulting in a reduction of wave coupling. However, the load experienced by the antenna is not always reduced because the Faraday shield itself acts as a load. We differentiate between these effects experimentally. The net result of the study is that the Faraday shields now in use cost up to a factor of 50% of coupling. This, of course, reduces the power handling capability by 50% as well. However, configurations exist that are easily cooled and result in a reduction of less than 5% in loading.</t>
  </si>
  <si>
    <t>392-399</t>
  </si>
  <si>
    <t>60024266;60024266;60024266;60024266;60024266</t>
  </si>
  <si>
    <t>7402222174;6603847803;7004436911;6603612527;7404968364</t>
  </si>
  <si>
    <t>Hoffman, D. J.;Becraft, W. R.;Baity, F. W.;Caughman, J. B.O.;Tsai, C. C.</t>
  </si>
  <si>
    <t>Oak Ridge</t>
  </si>
  <si>
    <t>Oak Ridge National Laboratory</t>
  </si>
  <si>
    <t>Hoffman D.J.</t>
  </si>
  <si>
    <t>MATERIAL AND ELECTROMAGNETIC PROPERTIES OF FARADAY SHIELDS FOR ION CYCLOTRON HEATING ANTENNAS.</t>
  </si>
  <si>
    <t>10.13182/fst85-a40076</t>
  </si>
  <si>
    <t>2-s2.0-0022099349</t>
  </si>
  <si>
    <t>['unified view', 'tapered feeds', 'reflector aperture', 'positive shift', 'phase asynchronism', 'parabolic reflector', 'negative shift', 'maximum directivity', 'fresnel number', 'focal shift', 'focal point', 'axially displacing', 'always achieved']</t>
  </si>
  <si>
    <t>Given a parabolic reflector, the maximum directivity is not always achieved by placing the feed at the focal point. Depending on the nature of the feed, the maximum directivity can be obtained by axially displacing the feed either toward or away from the reflector. For low-tapered feeds, the shift should be toward the reflector. This result is similar to an optical phenomenon called the focal shift. We find that this positive shift depends mainly on the Fresnel number of the reflector. For highly tapered feeds, the shift should be away from the reflector. This negative shift becomes significant when the reflector aperture is small, in units of wavelength. A unified view is presented to explain both the positive shift and the negative shift in terms of spillover, aperture illumination efficiency and phase asynchronism. For a system with optimum aperture edge taper, no focal shift can exist. ¬© 1985 IEEE</t>
  </si>
  <si>
    <t>744-748</t>
  </si>
  <si>
    <t>60000745;60000745;60000745;60029311</t>
  </si>
  <si>
    <t>7202062608;7601396617;7202365940;7005574913</t>
  </si>
  <si>
    <t>Ling, Hao;Lee, Shung Wu;Lam, Peter T.C.;Rusch, Willard V.T.</t>
  </si>
  <si>
    <t>Los Angeles;Urbana</t>
  </si>
  <si>
    <t>University of Southern California;University of Illinois Urbana-Champaign</t>
  </si>
  <si>
    <t>60029311;60000745</t>
  </si>
  <si>
    <t>Ling H.</t>
  </si>
  <si>
    <t>Focal Shifts in Parabolic Reflectors</t>
  </si>
  <si>
    <t>10.1109/TAP.1985.1143666</t>
  </si>
  <si>
    <t>2-s2.0-0022099420</t>
  </si>
  <si>
    <t>['wave region', 'substrate material', 'slot discontinuity', 'part paper', 'part 11', 'millimeterwave antennas', 'groove discontinuities', 'first part', 'equivalent circuits', 'equivalent circuit', 'electromagnetic fields', 'cylindrical holes']</t>
  </si>
  <si>
    <t>Dielectric image line groove antennas are very useful for the application in the millimeter-wave region. In this first part of a two-part paper, three different types of groove discontinuities under a dielectric image line for application in millimeterwave antennas are investigated: the equivalent circuits of 1) a slot discontinuity in a metallic ground plane and 2) a slot discontinuity in the metallization of a substrate material under a dielectric image line are derived theoretically using an approximation for the electromagnetic fields of the slots. 3) The equivalent circuit of cylindrical holes in a metallic ground plane under a dielectric image line is derived from measurements. The results are used to synthesize millimeterwave dielectric image line antenna arrays as described in part 11 of the paper. ¬© 1985 IEEE</t>
  </si>
  <si>
    <t>690-697</t>
  </si>
  <si>
    <t>Dielectric Image Line Groove Antennas for Millimeter Waves, Part I: Theoretical Background</t>
  </si>
  <si>
    <t>10.1109/TAP.1985.1143655</t>
  </si>
  <si>
    <t>2-s2.0-0022099421</t>
  </si>
  <si>
    <t>['vibration modes', 'threshold levels', 'rights reserved', 'platform modes', 'mode shapes', 'frame bending', 'experimental data', 'cable stiffness']</t>
  </si>
  <si>
    <t>The modes of vibration of planar radial rib and hoop hexagonal platforms have been characterized by both experiment and analysis. The sensitivity of mode shapes and frequencies to cable stiffness and preload is presented. Primary vibration modes of the radial rib platform involve beam bending. Vibration modes of the hoop platform exhibit beam bending, frame bending, and torsion. Linear finite element analysis correlates well with experimental data. Threshold stiffness values have been identified above which changes in cable stiffness do not affect the first few platform modes. Above the threshold levels of cable stiffness, nodes are formed at the cable to beam attachment points, which precludes cable slackening due to vibrations in these modes. ¬© American Institute of Aeronautics and Astronautics, Inc., 1985, All rights reserved.</t>
  </si>
  <si>
    <t>450-456</t>
  </si>
  <si>
    <t>Belvin, W. Keith</t>
  </si>
  <si>
    <t>Belvin W.</t>
  </si>
  <si>
    <t>Vibration characteristics of hexagonal radial rib and hoop platforms</t>
  </si>
  <si>
    <t>10.2514/3.25771</t>
  </si>
  <si>
    <t>2-s2.0-0022099732</t>
  </si>
  <si>
    <t>['time coincidence', 'stepping receivers', 'scanning antennas', 'representative basis', 'reconnaissance equipments', 'previous studies', 'predicted results', 'parametric windows', 'paper give', 'key factor', 'interception relates', 'intercept time', 'intercept problem', 'formulas summarized', 'electronic warfare', 'better representation']</t>
  </si>
  <si>
    <t>Intercept time is a key factor in the performance of electronic warfare (EW) surveillance and reconnaissance equipments. Interception relates to the probability of time coincidence of two or more parametric windows; scanning antennas, sweeping or stepping receivers and frequency-agile emitters give examples of such windows, where alignment or coincidence is required before detection can occur. Formulas summarized in the paper give a representative basis to the calculation of intercept time statistics, as well as allowing the duration of an intercept to be evaluated. Predicted results from computer modeling indicate that these new formulas give a better representation of the intercept problem than that give in previous studies.</t>
  </si>
  <si>
    <t>215-222</t>
  </si>
  <si>
    <t>IEE proceedings. Part F. Communications, radar and signal processing</t>
  </si>
  <si>
    <t>100676506;100676506</t>
  </si>
  <si>
    <t>7003891054;55476111700</t>
  </si>
  <si>
    <t>Self, A. G.;Smith, B. G.</t>
  </si>
  <si>
    <t>Cobham</t>
  </si>
  <si>
    <t>Smith Associates Consulting System Engineers Ltd</t>
  </si>
  <si>
    <t>Self A.</t>
  </si>
  <si>
    <t>INTERCEPT TIME AND ITS PREDICTION.</t>
  </si>
  <si>
    <t>10.1049/ip-f-1.1985.0052</t>
  </si>
  <si>
    <t>2-s2.0-0022099926</t>
  </si>
  <si>
    <t>['¬© 1985', 'theoretical basis', 'rights reserved', 'multipath propagation', 'exact disposition', 'electrical engineers', 'derive beamformers', 'conformai arrays', 'calibration scheme', 'array elements', 'array antennas']</t>
  </si>
  <si>
    <t>Antenna phased arrays | Antennas</t>
  </si>
  <si>
    <t>The theoretical basis for a calibration scheme for phased-array antennas is presented. A modified beamforming matrix is produced that will correct for the effects of multipath propagation. An extension of this is that, since it is not necessary to know the exact disposition of the array elements, the same scheme can be used to derive beamformers for conformai arrays. ¬© 1985, The Institution of Electrical Engineers. All rights reserved.</t>
  </si>
  <si>
    <t>639-640</t>
  </si>
  <si>
    <t>Long, N. R.W.</t>
  </si>
  <si>
    <t>Long N.</t>
  </si>
  <si>
    <t>Correcting Phased Arrays For Multipath Or For Conformal Topography</t>
  </si>
  <si>
    <t>10.1049/el:19850453</t>
  </si>
  <si>
    <t>2-s2.0-0022100905</t>
  </si>
  <si>
    <t>['used successfully', 'technique uses', 'second defocused', 'satellite transmitters', 'reflector antennas', 'radio holography', 'phase retrieval', 'numerical simulations', 'noise ratio', 'misell algorithm', 'high signal', 'give information', '22 ghz']</t>
  </si>
  <si>
    <t>Methods of phase retrieval from simulated intensity information have been tested for use in the radio holography of reflector antennas. In numerical simulations the Misell algorithm has been used successfully to retrieve the aperture phase distribution from two numerically simulated power polar diagrams, one in focus and the second defocused. The technique uses no auxilliary reference antenna. However, it does need a high signal to noise ratio, typically 50 dB if a 60 x 60 array is to be measured to a precision such that the gain is within 1 percent of ideal. It should be most useful where no direct phase measurements are possible and ground-based or satellite transmitters can be used as sources. The use of astronomical maser sources (22 GHz) can give information on large scale deformations. ¬© 1985 IEEE</t>
  </si>
  <si>
    <t>749-755</t>
  </si>
  <si>
    <t>Morris, D.</t>
  </si>
  <si>
    <t>Saint Martin d'Heres</t>
  </si>
  <si>
    <t>Universite Grenoble Alpes</t>
  </si>
  <si>
    <t>Morris D.</t>
  </si>
  <si>
    <t>Phase Retrieval in the Radio Holography of Reflector Antennas and Radio Telescopes</t>
  </si>
  <si>
    <t>10.1109/TAP.1985.1143663</t>
  </si>
  <si>
    <t>2-s2.0-0022101371</t>
  </si>
  <si>
    <t>411-419</t>
  </si>
  <si>
    <t>7402222174;7004436911;6603847803;6603612527;7101750857</t>
  </si>
  <si>
    <t>Hoffman, D. J.;Baity, F. W.;Becraft, W. R.;Caughman, J. B.O.;Owens, T. L.</t>
  </si>
  <si>
    <t>EXPERIMENTAL MEASUREMENTS OF THE ION CYCLOTRON ANTENNAS' COUPLING AND RF CHARACTERISTICS.</t>
  </si>
  <si>
    <t>10.13182/fst85-a40079</t>
  </si>
  <si>
    <t>2-s2.0-0022101498</t>
  </si>
  <si>
    <t>['¬© 1985', 'various constraints', 'time produce', 'simultaneous transmission', 'rights reserved', 'ridged horn', 'power transmission', 'possible solutions', 'polarisation detection', 'paper uses', 'overall design', 'met simultaneously', 'meet requirements', 'imposing constraints', 'illustrate briefly', 'esm performance', 'electrical engineers', 'df capability', 'demanding requirements', 'antenna systems', 'also discussed']</t>
  </si>
  <si>
    <t>Antennas | Radar and radionavigation</t>
  </si>
  <si>
    <t>The design of antenna systems for ESM applications requires that a number of demanding requirements be met simultaneously, each of them imposing constraints on the possible solutions that may be adopted. The paper uses the design of a land-mobile system employing a quad-ridged horn to illustrate briefly the various constraints and the solutions that can be adopted, indicating how the requirements of, for example, aviation systems may differ. The effect on the overall design of having to meet requirements for DF capability and polarisation detection, in addition to those for ESM performance and, possibly, having to at the same time produce an antenna system suitable for high-power transmission or simultaneous transmission and reception, is also discussed. ¬© 1985, The Institution of Electrical Engineers. All rights reserved.</t>
  </si>
  <si>
    <t>252-256</t>
  </si>
  <si>
    <t>Chignell, R. J.</t>
  </si>
  <si>
    <t>Leatherhead</t>
  </si>
  <si>
    <t>ERA Technology Ltd</t>
  </si>
  <si>
    <t>Chignell R.</t>
  </si>
  <si>
    <t>Antenna systems for ESM applications‚Äîa land-mobile example</t>
  </si>
  <si>
    <t>10.1049/ip-f-1.1985.0058</t>
  </si>
  <si>
    <t>2-s2.0-0022101508</t>
  </si>
  <si>
    <t>['unbiased estimate', 'sidelobe signal', 'sidelobe reduction', 'pseudonoise sequence', 'power received', 'possible extension', 'optimum patterns', 'linear array', 'doppler processing', 'dimensional arrays', 'antenna sidelobes', 'antenna pattern']</t>
  </si>
  <si>
    <t>Presented here is a concept for nearly eliminating bias errors in reflectivity and velocity estimates due to power received through antenna sidelobes of pulse Doppler radars. The antenna pattern is switched from pulse to pulse among specially designed patterns, with near identical main lobes, but with sidelobes having randomly distributed phases and amplitudes. The sidelobe signal then becomes incoherent without affecting the coherency of the main lobe signal. The whitened sidelobe signal does not bias the mean velocity estimate computed by Doppler processing, and an unbiased estimate of reflectivity can be computed with the knowledge of the mean whitened power level. Pattern design criteria and a method for the design of optimum patterns are developed for a linear array. The extent of sidelobe reduction by way of whitening has been studied in detail foi special case of only two patterns switched randomly using a pseudonoise sequence. Pattern switching realizes an effectively low sidelobe pattern without sacrifice of main lobe resolution. A possible extension to two-dimensional arrays is suggested. ¬© 1985 IEEE</t>
  </si>
  <si>
    <t>727-735</t>
  </si>
  <si>
    <t>60025916;60025916;60025916</t>
  </si>
  <si>
    <t>6603942863;56914807700;7006640608</t>
  </si>
  <si>
    <t>Sachidananda, M.;Doviak, Richard J.;Zrniƒá, Dusan S.</t>
  </si>
  <si>
    <t>Sachidananda M.</t>
  </si>
  <si>
    <t>Whitening of Sidelobe Powers by Pattern Switching in Radar Array Antenna</t>
  </si>
  <si>
    <t>10.1109/TAP.1985.1143661</t>
  </si>
  <si>
    <t>2-s2.0-0022101571</t>
  </si>
  <si>
    <t>['subreflector position', 'significantly improved', 'relative translations', 'primary reflector', 'optimal positioning', 'general procedure', 'different methods', 'deformed configuration', 'best fitted', 'appropriate adjustment', 'antenna structures', 'antenna components']</t>
  </si>
  <si>
    <t>For a Cassegrain antenna system, a simple and general procedure is presented for computing the effective surface root mean square (rms) and beam deviations considering primary surface distortions and relative translations and rotations of the antenna components. It is shown that certain primary reflector distortions can be compensated for by an appropriate adjustment of the subreflector position. Different methods in use for calculating surface rms are reviewed. It is shown that the method in which the deformed configuration of the primary reflector is best fitted with another paraboloid yields a surface rms almost equal to that obtained by the optimal positioning of the antenna components. The actual deformation patterns of several large Cassegrain antenna systems with different structural concepts are reviewed. It is shown that for a class of antenna structures, the gain can be significantly improved by an optimal positioning of the subreflector. ¬© 1985 IEEE</t>
  </si>
  <si>
    <t>828-837</t>
  </si>
  <si>
    <t>60025317;60025317</t>
  </si>
  <si>
    <t>35616874500;6601976743</t>
  </si>
  <si>
    <t>Zarghamee, Mehdi S.;Antebi, Joseph</t>
  </si>
  <si>
    <t>Waltham</t>
  </si>
  <si>
    <t>Simpson Gumpertz and Heger, Inc.</t>
  </si>
  <si>
    <t>Zarghamee M.S.</t>
  </si>
  <si>
    <t>Surface Accuracy of Cassegrain Antennas</t>
  </si>
  <si>
    <t>10.1109/TAP.1985.1143685</t>
  </si>
  <si>
    <t>2-s2.0-0022102497</t>
  </si>
  <si>
    <t>['well known', 'rigorously equivalent', 'presented byex', 'lumped circuits', 'free space', 'electromagnetic theory', 'electromagnetic fields', 'also shown']</t>
  </si>
  <si>
    <t>In this paper, electromagnetic theory is presented byex-panding upon ideas that electrical engineering students already possess. The equivalent netwotk concept, well known for lumped circuits (ordinary differential equations), is generalized to electromagnetic fields in free space (partial differential equations). The network, rigorously equivalent to Maxwell's equations, is suitable for all problems in free space. One illustrative antenna problem is presented and its relevance to lumped network calculations is also shown. ¬© 1985 IEEE</t>
  </si>
  <si>
    <t>150-154</t>
  </si>
  <si>
    <t>IEEE Transactions on Education</t>
  </si>
  <si>
    <t>60108318;60108318</t>
  </si>
  <si>
    <t>6507642198;6603019251</t>
  </si>
  <si>
    <t>Palocz, Istvan;Marcuvitz, Nathan</t>
  </si>
  <si>
    <t>New York</t>
  </si>
  <si>
    <t>NYU Tandon School of Engineering</t>
  </si>
  <si>
    <t>Palocz I.</t>
  </si>
  <si>
    <t>A Network-Oriented Approach to the Teaching of Electromagnetics</t>
  </si>
  <si>
    <t>10.1109/TE.1985.4321763</t>
  </si>
  <si>
    <t>2-s2.0-0022102539</t>
  </si>
  <si>
    <t>['vhf frequencies', 'unwanted radio', 'three nights', 'previous model', 'possible contact', 'nearby patch', 'military radars', 'main contributors', 'interstellar eavesdropper', 'extraterrestrial intelligence', 'experiment consisted', 'electronics engineers', 'earth indeed', 'cyclops system', 'blank sky', 'arecibo antenna', 'aercibo antenna', '1000 100']</t>
  </si>
  <si>
    <t>and television | Radio astronomy | space | unwanted RF sources</t>
  </si>
  <si>
    <t>Man-made terrestrial radio leakage as reflected off the Moon has been observed with the 305-m Aercibo antenna. The nature and intensity of this leakage gives one some indication of the unwanted radio-frequency (RF) environment for operations in space in the 150‚Äì500 MHz range. The experiment consisted of observing both on the Moon and on a nearby patch of blank sky (as a way to identify local sources of interference) for three nights at a variety of VHF frequencies. As predicted in a previous model, we find that the military radars and television (TV) transmitters are main contributors. With regard to the question of possible contact with extraterrestrial intelligence, the Earth indeed is revealing itself to any interstellar eavesdropper who uses the equivalent of an Arecibo antenna at distances up to 30 light years, or who uses a Cyclops system (1000 100-m dishes) up to fifteen times farther away. Copyright ¬© 1985 by The Institute of Electrical and Electronics Engineers, Inc.</t>
  </si>
  <si>
    <t>115-118</t>
  </si>
  <si>
    <t>EMC-27</t>
  </si>
  <si>
    <t>1558187X</t>
  </si>
  <si>
    <t>IEEE Transactions on Electromagnetic Compatibility</t>
  </si>
  <si>
    <t>60015481;60027271</t>
  </si>
  <si>
    <t>7102599491;7102674567</t>
  </si>
  <si>
    <t>Sullivan, Woodruff T.;Knowles, Stephen H.</t>
  </si>
  <si>
    <t>Washington, D.C.;Seattle</t>
  </si>
  <si>
    <t>Naval Research Laboratory;University of Washington</t>
  </si>
  <si>
    <t>60027271;60015481</t>
  </si>
  <si>
    <t>Sullivan W.T.</t>
  </si>
  <si>
    <t>The Near-Space Unwanted RF Environment as Observed Using VHF Lunar Reflections</t>
  </si>
  <si>
    <t>10.1109/TEMC.1985.304273</t>
  </si>
  <si>
    <t>2-s2.0-0022102541</t>
  </si>
  <si>
    <t>['practical considerations', 'one frequency', 'one direction', 'maximum gain', 'matrix method', 'given value', 'given relation', 'dual frequency']</t>
  </si>
  <si>
    <t>A dual frequency and dual directional antenna is an antenna with maximum gain in two different directions for two different frequencies. Maximum gain will be reached by the matrix method. This will be applied for two different situations. In the first we maximize the gain at one frequency and one direction under the constraint that the gain at the other frequency and direction has a given value. In the second we maximize the gain at one frequency and one direction under the constraint that it has a given relation with the gain in the other. A comparison between the two methods shows some practical considerations. ¬© 1985 IEEE</t>
  </si>
  <si>
    <t>874-880</t>
  </si>
  <si>
    <t>60030988;60030988</t>
  </si>
  <si>
    <t>6506652863;7005683394</t>
  </si>
  <si>
    <t>Zimourtopoulos, Peter;Sahalos, John N.</t>
  </si>
  <si>
    <t>Komotini</t>
  </si>
  <si>
    <t>Democritus University of Thrace</t>
  </si>
  <si>
    <t>Zimourtopoulos P.</t>
  </si>
  <si>
    <t>On the Gain Maximization of a Dual Frequency and Direction Array Consisting of Wire Antennas</t>
  </si>
  <si>
    <t>10.1109/TAP.1985.1143674</t>
  </si>
  <si>
    <t>2-s2.0-0022102605</t>
  </si>
  <si>
    <t>['studied based', 'measured data']</t>
  </si>
  <si>
    <t>A suspended patch antenna electromagnetically excited by an inverted microstrip line has been studied based on a full-wave transmission line analysis in conjunction with a microwave network theory. The input impedance calculated has been compared with measured data. ¬© 1985 IEEE</t>
  </si>
  <si>
    <t>895-899</t>
  </si>
  <si>
    <t>60013372;60013372;60013372</t>
  </si>
  <si>
    <t>7406721859;7102690103;36041035600</t>
  </si>
  <si>
    <t>Zhang, Qiu;Fukuoka, Yoshiro;Itoh, Tatsuo</t>
  </si>
  <si>
    <t>Austin</t>
  </si>
  <si>
    <t>The University of Texas at Austin</t>
  </si>
  <si>
    <t>Zhang Q.</t>
  </si>
  <si>
    <t>Analysis of a Suspended Patch Antenna Excited by an Electromagnetically Coupled Inverted Microstrip Feed</t>
  </si>
  <si>
    <t>10.1109/TAP.1985.1143670</t>
  </si>
  <si>
    <t>2-s2.0-0022103609</t>
  </si>
  <si>
    <t>['radiation patterns', 'phase errors', 'losses due', 'first approximation', 'feed efficiency', 'cross polarization', 'aperture efficiency', 'also derived']</t>
  </si>
  <si>
    <t>The first approximation to the aperture efficiency of a paraboloidal reflector antenna is called the feed efficiency. The factorization of the feed efficiency into subefficiencies which account for losses due to spillover, cross polarization, nonuniform aperture illumination, and phase errors is considered. The relations between the radiation patterns of circularly and linearly polarized feeds are also derived. ¬© 1985 IEEE</t>
  </si>
  <si>
    <t>903-908</t>
  </si>
  <si>
    <t>Kildal, Per Simon</t>
  </si>
  <si>
    <t>Norway</t>
  </si>
  <si>
    <t>Trondheim</t>
  </si>
  <si>
    <t>Norges Teknisk-Naturvitenskapelige Universitet</t>
  </si>
  <si>
    <t>Kildal P.</t>
  </si>
  <si>
    <t>Factorization of the feed Efficiency of Paraboloids and Cassegrain Antennas</t>
  </si>
  <si>
    <t>10.1109/TAP.1985.1143689</t>
  </si>
  <si>
    <t>2-s2.0-0022103610</t>
  </si>
  <si>
    <t>['time variation', 'slope patterns', 'slope pattern', 'shaping processors', 'rectangular pulse', 'received signal', 'nonsinusoidal waveforms', 'nonsinusoidal signals', 'noiseless assumption', 'line array', 'forming techniques', 'electronics engineers', 'deriving peak', 'computer simulation', 'array beam', 'antenna patterns', 'angular resolution']</t>
  </si>
  <si>
    <t>antenna patterns | beam forming | monopulse patterns | Nonsinusoidal wave</t>
  </si>
  <si>
    <t>Nonsinusoidal waveforms with the time variation of a rectangular pulse, received (or radiated) by a line array of sensors (or emitters), yield various antenna patterns which are very attractive for achieving good angular resolution. These antenna patterns, such as peak-amplitude, peak-power, energy, and slope patterns, have been derived for various array lengths under a noiseless assumption. The slope patterns are the most attractive for angular resolution. In this paper, line-array beam-forming techniques are developed to provide slope patterns for nonsinusoidal signals. The techniques employ sliding correlators (SC‚Äòs) for suppressing the additive Gaussian noise present with the received signal, and pulse-shaping processors for determining the slope pattern. Computer simulation is done for deriving peak-amplitude and slope patterns for various array lengths. Also, a method for obtaining monopulse peak-amplitude and slope patterns is presented. Copyright ¬© 1985 by The Institute of Electrical and Electronics Engineers, Inc.</t>
  </si>
  <si>
    <t>143-151</t>
  </si>
  <si>
    <t>Hussain, Malek G.</t>
  </si>
  <si>
    <t>Kuwait</t>
  </si>
  <si>
    <t>Kuwait City</t>
  </si>
  <si>
    <t>Kuwait University</t>
  </si>
  <si>
    <t>Hussain M.G.</t>
  </si>
  <si>
    <t>Line-Array Beam-Forming and Monopulse Techniques Based on Slope Patterns of Nonsinusoidal Waveforms</t>
  </si>
  <si>
    <t>10.1109/TEMC.1985.304278</t>
  </si>
  <si>
    <t>2-s2.0-0022104223</t>
  </si>
  <si>
    <t>['theoretical patterns', 'studied experimentally', 'plasma medium', '5 ghz']</t>
  </si>
  <si>
    <t>A warm-plasma medium is simulated using two rodded media. The E- and H-plane radiation patterns of an X-band horn antenna in the presence of such a medium are studied experimentally at 9.5 GHz and are compared with the theoretical patterns. ¬© 1985 IEEE</t>
  </si>
  <si>
    <t>194-196</t>
  </si>
  <si>
    <t>IEEE Transactions on Plasma Science</t>
  </si>
  <si>
    <t>60033461;60071577;60026714</t>
  </si>
  <si>
    <t>7005620623;7402378359;6507260681</t>
  </si>
  <si>
    <t>Kalluri, Dikshitulu K.;Prasad, R.;Sataindra, S.</t>
  </si>
  <si>
    <t>Tanzania;United States;India</t>
  </si>
  <si>
    <t>Dar Es Salaam;Lowell;Ranchi</t>
  </si>
  <si>
    <t>University of Dar Es Salaam;University of Massachusetts Lowell;Birla Institute of Technology, Mesra</t>
  </si>
  <si>
    <t>60071577;60033461;60026714</t>
  </si>
  <si>
    <t>Kalluri D.</t>
  </si>
  <si>
    <t>Experimental Simulation of a Warm-Plasma Medium</t>
  </si>
  <si>
    <t>10.1109/TPS.1985.4316398</t>
  </si>
  <si>
    <t>2-s2.0-0022104707</t>
  </si>
  <si>
    <t>['impulse amplitudedistributions', 'iad curves', 'electronics engineers', 'calculated curves', 'band receiver']</t>
  </si>
  <si>
    <t>amplitude probability distributions | and theory | Automotive ignition noise | impulsive noise | measurements</t>
  </si>
  <si>
    <t>An analysis is presented based upon a modification of the model for automotive radio noise received with a vertical dipole antenna placed on the ground. The formulas for the impulse amplitudedistributions (IAD‚Äòs) at the input of a narrow-band receiver are derived for an elevated vertical dipole antenna when either a single or multiple motor vehicles are running on a roadway. Based upon new and previously derived formulas for a vertical receiving dipole antenna on the ground, two different series of IAD curves are calculated for automotive radio noise. Comparisons are shown between the measured and calculated curves. Copyright ¬© 1985 by The Institute of Electrical and Electronics Engineers, Inc.</t>
  </si>
  <si>
    <t>119-125</t>
  </si>
  <si>
    <t>Nakai, Taketoshi</t>
  </si>
  <si>
    <t>Nakai T.</t>
  </si>
  <si>
    <t>Automotive Noise Received with a Vertical Dipole Antenna Placed Above and on the Ground</t>
  </si>
  <si>
    <t>10.1109/TEMC.1985.304274</t>
  </si>
  <si>
    <t>2-s2.0-0022105145</t>
  </si>
  <si>
    <t>['wave ratio', 'performance characteristics', 'corner reflector', 'band swept']</t>
  </si>
  <si>
    <t>The design and performance characteristics of a corner-reflector antenna capable of operation in the 240 to 400 MHz frequency range are described. The corner reflector is suitable for use as a standard reference antenna for wide-band swept-frequency gain measurements. Measured voltage standing-wave ratio (VSWR), gain, and patterns are presented. ¬© 1985 IEEE</t>
  </si>
  <si>
    <t>891-892</t>
  </si>
  <si>
    <t>60029575;60029575</t>
  </si>
  <si>
    <t>7404435969;7201415361</t>
  </si>
  <si>
    <t>Wong, Jimmy L.;King, Howard E.</t>
  </si>
  <si>
    <t>Wong J.L.</t>
  </si>
  <si>
    <t>A Wide-Band Corner-Reflector Antenna for 240 to 400 MHz</t>
  </si>
  <si>
    <t>10.1109/TAP.1985.1143677</t>
  </si>
  <si>
    <t>2-s2.0-0022105533</t>
  </si>
  <si>
    <t>['test antenna', 'probe array', 'one dimension', 'numerical simulation', 'modulated scattering', 'interpolation scheme', 'general development', 'field measurements', 'correction procedure', 'continuous rotation']</t>
  </si>
  <si>
    <t>A correction procedure is developed for the case of the continuous rotation of test antenna while performing fast near-field measurements. This general development is vital for the technique of modulated scattering which combines fast electronic scanning through the use of a probe array in one dimension and the rotation of the test antenna for the other dimension. A numerical simulation was performed to check the validity of the correction procedure. The correction procedure is not based on any interpolation scheme. ¬© 1985 IEEE</t>
  </si>
  <si>
    <t>922-924</t>
  </si>
  <si>
    <t>60006662;60006662</t>
  </si>
  <si>
    <t>7006219534;56796502600</t>
  </si>
  <si>
    <t>Mostafavi, Masoud;Bolomey, Jean Charles</t>
  </si>
  <si>
    <t>Correction Scheme for Continuous Rotation of the Test Antenna Using Fast Near-Field Measurement Techniques</t>
  </si>
  <si>
    <t>10.1109/TAP.1985.1143683</t>
  </si>
  <si>
    <t>2-s2.0-0022105562</t>
  </si>
  <si>
    <t>['wave increases', 'wave height', 'small vessels', 'small ships', 'serious problem', 'sea reflections', 'radio frequency', 'next generation', 'new system', 'measured objectively', 'interesting result', 'gain antennas', 'gain antenna', 'fading effect', 'fading depends', 'fading decreases', 'extend services', 'experiments measuring', 'certain level', 'better knowledge', 'antenna systems']</t>
  </si>
  <si>
    <t>The Japanese domestic experimental mobile satellite system (EMSS) has been studied to establish high quality channels for small vessels with compact and low-gain antennas. The present international maritime satellite communication system (INMARSAT) has also been studied for the next generation to extend services for small ships, for which the present ship terminals including the antenna systems are too large and too heavy. By using a low-gain antenna, however, multipath fading caused by sea reflections will become a serious problem in designing the new system. To take effective countermeasures to the fading effect, it is very important to get a better knowledge of the fading phenomena caused by sea reflections. From a standpoint of maritime satellite communications, experiments measuring the amount of fading were performed under various sea conditions and in two frequency bands. The wave height, which is considered the most important experimental parameter, was measured objectively by a wave rider buoy. The experimental results show that the amount of fading depends on a wave height and radio frequency and, as the most interesting result, as a wave increases above a certain level, the amount of fading decreases. These results are also discussed theoretically. ¬© 1985 IEEE</t>
  </si>
  <si>
    <t>838-845</t>
  </si>
  <si>
    <t>60092258;60092258;60092258;60092258;60022990;106028419</t>
  </si>
  <si>
    <t>35560533200;6505552275;57206128771;57206556175;57191346654;7201800305</t>
  </si>
  <si>
    <t>Ohmori, Shingo;Irimata, Atsushi;Hase, Yoshihiro;Miura, M.;Kondo, Kimio;Morikawa, Hisashi</t>
  </si>
  <si>
    <t>Koganei;Chofu;Tokyo</t>
  </si>
  <si>
    <t>Ministry of Posts and Telecommunications, Japan;Japan Aerospace Exploration Agency;Telecommunications Satellite Corporation of Japan</t>
  </si>
  <si>
    <t>60092258;60022990;106028419</t>
  </si>
  <si>
    <t>Ohmori S.</t>
  </si>
  <si>
    <t>Characteristics of Sea Reflection Fading in Maritime Satellite Communications</t>
  </si>
  <si>
    <t>10.1109/TAP.1985.1143680</t>
  </si>
  <si>
    <t>2-s2.0-0022106555</t>
  </si>
  <si>
    <t>['two techniques', 'subarray outputs', 'sidelobe performance', 'field pattern', 'feed architecture', 'every subarray', 'element outputs', 'desired far', 'amplitude tapering']</t>
  </si>
  <si>
    <t>Subarray amplitude tapering is a simple, lower cost method to generate low sidelobes in an antenna‚Äôs far-field pattern. Unfortunately, this simple technique also generates unwanted grating lobes. Placing the exact amplitude taper at the element outputs produces the desired far-field pattern, but the feed architecture is complicated and expensive. An alternative to these two techniques is described. A trade-off exists between sidelobe performance and simplicity of design. This trade-off consists of amplitude tapering the subarray outputs and the element outputs in such a way that the element amplitude tapers are identical for every subarray. In this way, the amplitude taper approximates the desired taper much better than subarray tapering alone, yet all the subarrays are identical. Thus, the feed design remains very simple. ¬© 1985 IEEE</t>
  </si>
  <si>
    <t>846-850</t>
  </si>
  <si>
    <t>Haupt R.L.</t>
  </si>
  <si>
    <t>Reducing Grating Lobes Due to Subarray Amplitude Tapering</t>
  </si>
  <si>
    <t>10.1109/TAP.1985.1143682</t>
  </si>
  <si>
    <t>2-s2.0-0022106556</t>
  </si>
  <si>
    <t>['wireline telephones', 'telephone network', 'service areas', 'residential areas', 'radio paging', 'problems involved', 'people away', 'horizontal spacing', 'described along', 'data terminals', 'data communications', 'cordless telephone', 'antenna heights', '30 ft', '2000 ft', '200 ft']</t>
  </si>
  <si>
    <t>In our highly mobile society, the provision of voice and data communications to people away from their wireline telephones has become a major communications frontier. Some emerging radio systems, e.g., cellular mobile radio, cordless telephone, and radio paging, have begun to penetrate this frontier. However, each of these approaches only partially satisfies portable communication needs. That is, the approaches do not provide overall portable communication service. Some of the problems involved and the technologies and system configurations needed for an advanced radio communications system are discussed. The goal for the system is to provide high quality ubiquitous service to low power portable radiotelephones and data terminals. Frequency reuse radio system configurations applicable to residential and large building environments will be described along with multipath and other 800 MHz radio propagation limitations. The system would use fixed radio ports attached to the telephone network and spaced about 2000 ft in residential areas. The residential ports would have antenna heights of less than 30 ft. The horizontal spacing of ports within large buildings would be 200 ft or more. In service areas, more than 99 percent radio link availability would be provided for 5 mW portable transmitters. ¬© 1985 IEEE</t>
  </si>
  <si>
    <t>117-121</t>
  </si>
  <si>
    <t>Cox, Donald C.</t>
  </si>
  <si>
    <t>Piscataway</t>
  </si>
  <si>
    <t>Telcordia Technologies, Inc.</t>
  </si>
  <si>
    <t>Universal Portable Radio Communications</t>
  </si>
  <si>
    <t>10.1109/T-VT.1985.24047</t>
  </si>
  <si>
    <t>2-s2.0-0022106820</t>
  </si>
  <si>
    <t>['various definitions', 'polarization losses', 'loss efficiency', 'flare angle', 'feed taper', 'fed reflectors', 'definitions based', 'aperture fields']</t>
  </si>
  <si>
    <t>Various definitions for polarization-loss efficiency of Cassegrainian and front-fed reflectors are compared. The effects of flare angle, feed taper and the feed pattern asymmetry on the polarization-loss efficiency are investigated. The definitions based on aperture fields are shown to be inadequate and far fields must be used for calculating the polarization losses. ¬© 1985 IEEE</t>
  </si>
  <si>
    <t>899-903</t>
  </si>
  <si>
    <t>60085421;60020484</t>
  </si>
  <si>
    <t>7003884961;7003893885</t>
  </si>
  <si>
    <t>Safak, Mehmet;Yazgan, Erdem</t>
  </si>
  <si>
    <t>Netherlands;Turkey</t>
  </si>
  <si>
    <t>The Hague;Ankara</t>
  </si>
  <si>
    <t>NATO Consultation, Command and Control Agency;Hacettepe √úniversitesi</t>
  </si>
  <si>
    <t>Safak M.</t>
  </si>
  <si>
    <t>Polarization Losses in Reflector Antennas</t>
  </si>
  <si>
    <t>10.1109/TAP.1985.1143671</t>
  </si>
  <si>
    <t>2-s2.0-0022106967</t>
  </si>
  <si>
    <t>['widely acceptable', 'treated separately', 'three sources', 'technique provides', 'spherical waves', 'results show', 'ray methods', 'pws dipole', 'plane interface', 'piecewise sinusoid', 'mm matrix', 'interface interactions', 'hybrid technique', 'gtd ),', 'good agreement', 'engineering applications', 'easily augmented', 'curved interfaces', 'calculate reflected', 'basic assumption', 'appears promising', 'antenna half']</t>
  </si>
  <si>
    <t>A hybrid technique which combines the method of moments (MM) with ray methods is employed to analyze the radiation of wires in the presence of a plane interface. In this technique, which is an extension of that proposed for combining the MM with the uniform geometrical theory of diffraction (GTD), a piecewise sinusoid (PWS) Galerkin method formulation is used. In this paper the basic assumption is made that a PWS dipole can be replaced by three sources of transverse, spherical waves, so that their fields can be treated separately by standard ray methods. Via this procedure the MM matrix can be easily augmented to account for the wire-interface interactions. Calculations of the field both radiated in the antenna half-space and transmitted through a plane interface are found in very good agreement with those performed by using the rigorous Sommerfeld integral representation. These results show that this technique provides an accuracy which is widely acceptable in most engineering applications, even when the wire is placed very close to the interface. This approach, which employs ray methods to calculate reflected and transmitted field contributions, appears promising to treat the case of curved interfaces. ¬© 1985 IEEE</t>
  </si>
  <si>
    <t>881-885</t>
  </si>
  <si>
    <t>60003500;60021859;60021859</t>
  </si>
  <si>
    <t>57202007643;7006025870;7102464308</t>
  </si>
  <si>
    <t>Tiberio, Roberto;Manara, Giuliano;Pelosi, Giuseppe</t>
  </si>
  <si>
    <t>Italy;United States</t>
  </si>
  <si>
    <t>Florence;Columbus</t>
  </si>
  <si>
    <t>Universit√† degli Studi di Firenze;The Ohio State University</t>
  </si>
  <si>
    <t>60021859;60003500</t>
  </si>
  <si>
    <t>Tiberio R.</t>
  </si>
  <si>
    <t>A Hybrid Technique for Analyzing Wire Antennas in the Presence of a Plane Interface</t>
  </si>
  <si>
    <t>10.1109/TAP.1985.1143678</t>
  </si>
  <si>
    <t>2-s2.0-0022107240</t>
  </si>
  <si>
    <t>['weighting coefficients', 'unknown variables', 'steering nulls', 'squares methods', 'sensitivity error', 'reduce sensitivity', 'multiple signals', 'likelihood procedure', 'direct calculation', 'behaves optimally', 'beam coefficients', 'also undertaken', 'adaptive algorithm']</t>
  </si>
  <si>
    <t>A maximum-likelihood procedure, in conjunction with a point-source emitter assumption, is used to estimate the directions of arrival of multiple signals at an antenna, followed by direct calculation of beam-weighting coefficients, which will receive one source while steering nulls to all other sources. Estimation of element-sensitivity error is also undertaken, and the beam coefficients are compensated to reduce sensitivity to such unknown variables. The result is a robust, adaptive algorithm, which behaves optimally in coherent or incoherent interference situations even when the desired signal direction is not known a priori, and which is able to operate with fewer data samples than least-squares methods.</t>
  </si>
  <si>
    <t>307-311</t>
  </si>
  <si>
    <t>Aug</t>
  </si>
  <si>
    <t>ANTENNA ADAPTIVITY BY DIRECTION FINDING AND NULL STEERING.</t>
  </si>
  <si>
    <t>10.1049/ip-h-2.1985.0055</t>
  </si>
  <si>
    <t>2-s2.0-0022107456</t>
  </si>
  <si>
    <t>['water interface', 'several cases', 'sample results', 'measured data', 'integral equation', 'descent path', 'current distribution', 'complex plane']</t>
  </si>
  <si>
    <t>The mixed-potential integral equation is employed to compute the current distribution on two parallel wire antennas placed horizontally above an air/water interface. The Sommerfeld integrals incorporated in the kernel of the integral equation are evaluated by numerical integration along the steepest-descent path in the complex plane. Sample results are presented for several cases of interest and are compared with measured data.</t>
  </si>
  <si>
    <t>335-338</t>
  </si>
  <si>
    <t>60010491;60010491;60010491</t>
  </si>
  <si>
    <t>7004961387;35556538100;7201550943</t>
  </si>
  <si>
    <t>Michalski, K. A.;Smith, C. E.;Butler, C. M.</t>
  </si>
  <si>
    <t>University</t>
  </si>
  <si>
    <t>University of Mississippi</t>
  </si>
  <si>
    <t>Michalski K.A.</t>
  </si>
  <si>
    <t>ANALYSIS OF A HORIZONTAL TWO-ELEMENT ANTENNA ARRAY ABOVE A DIELECTRIC HALFSPACE.</t>
  </si>
  <si>
    <t>10.1049/ip-h-2.1985.0060</t>
  </si>
  <si>
    <t>2-s2.0-0022107485</t>
  </si>
  <si>
    <t>['results derived', 'rcm ).', 'questionable validity', 'practical interest', 'lossy ground', 'contrast approximation', 'coefficient method', 'approximate techniques', 'antenna problem']</t>
  </si>
  <si>
    <t>A comparison is made of the three numerical techniques for evaluating the vector potential arising in the problem of a vertical current element radiating over a lossy ground: (i) the exact Sommerfeld integration, (ii) the high-contrast approximation (HCA) and (iii) the reflection-coefficient method (RCM). Calculations are carried out to determine the range of applicability of the approximate techniques. The comparison shows good accuracy of the results derived from HCA for a relatively wide range of parameters of practical interest and indicates that the RCM is of a questionable validity for the vertical-antenna problem.</t>
  </si>
  <si>
    <t>326-328</t>
  </si>
  <si>
    <t>115882780;115882780</t>
  </si>
  <si>
    <t>55301786100;6507952554</t>
  </si>
  <si>
    <t>Karwowski, A.;Szymanda, J.</t>
  </si>
  <si>
    <t>Institute of Telecommunications</t>
  </si>
  <si>
    <t>VECTOR POTENTIAL OF A VERTICAL CURRENT ELEMENT OVER A LOSSY GROUND.</t>
  </si>
  <si>
    <t>10.1049/ip-h-2.1985.0058</t>
  </si>
  <si>
    <t>2-s2.0-0022107648</t>
  </si>
  <si>
    <t>['updated without', 'updated part', 'ud technique', 'proper ordering', 'optimization problem', 'null positions', 'noise ratio', 'matrix entries', 'main lobe', 'following changes', 'array signal']</t>
  </si>
  <si>
    <t>The procedure to maximize the array signal to noise ratio with null constraints involves an optimization problem that can be solved efficiently using a modified Cholesky decomposition (UD) technique. Following changes in the main lobe and/or null positions, the optimal element weight vector can be updated without the need for a new complete matrix inversion. Some properties of the UD technique can be utilized such that the updating algorithm reprocesses only a part of the unit triangular matrix U. Proper ordering of matrix entries can minimize the dimension of the updated part.</t>
  </si>
  <si>
    <t>339-341</t>
  </si>
  <si>
    <t>60011664;60011664;60011664</t>
  </si>
  <si>
    <t>6602520025;6701712174;7005933185</t>
  </si>
  <si>
    <t>Magdy, M. A.;Paoloni, F. J.;Cheah, J. Y.C.</t>
  </si>
  <si>
    <t>Wollongong</t>
  </si>
  <si>
    <t>University of Wollongong</t>
  </si>
  <si>
    <t>Magdy M.A.</t>
  </si>
  <si>
    <t>An efficient algorithm for antenna synthesis updating following null-constraint changes</t>
  </si>
  <si>
    <t>10.1049/ip-h-2.1985.0061</t>
  </si>
  <si>
    <t>2-s2.0-0022107899</t>
  </si>
  <si>
    <t>['¬© 1985', 'testing functions', 'simple shift', 'rights reserved', 'numerical results', 'moment method', 'integral equation', 'electrical engineers', 'aperture field']</t>
  </si>
  <si>
    <t>Antennas | Planar antennas | Striplines</t>
  </si>
  <si>
    <t>Numerical results of the aperture field, pattern and gain of a stripline planar antenna element are obtained by the moment method. The difficulty of singularities in the integral equation has been overcome by a simple shift of the testing functions. ¬© 1985, The Institution of Electrical Engineers. All rights reserved.</t>
  </si>
  <si>
    <t>674-675</t>
  </si>
  <si>
    <t>60017605;60017605</t>
  </si>
  <si>
    <t>57194905983;57194907023</t>
  </si>
  <si>
    <t>Jin-Guang, Chen;Wen-Hong, Shi</t>
  </si>
  <si>
    <t>China</t>
  </si>
  <si>
    <t>Fuzhou</t>
  </si>
  <si>
    <t>Fuzhou University</t>
  </si>
  <si>
    <t>Jin-Guang C.</t>
  </si>
  <si>
    <t>Theoretical Investigation Of A Stripline Planar Antenna</t>
  </si>
  <si>
    <t>10.1049/el:19850477</t>
  </si>
  <si>
    <t>2-s2.0-0022110911</t>
  </si>
  <si>
    <t>['¬© 1985', 'rights reserved', 'reduced crosspolarisation', 'radiation pattern', 'microstrip disc', 'isolated disc', 'gain penalty', 'electrical engineers', 'circuited ring', 'annular short']</t>
  </si>
  <si>
    <t>Antennas | Microstrip</t>
  </si>
  <si>
    <t>The addition of an annular short-circuited ring to a microstrip disc has resulted in a novel compact antenna suitable for reflector feed applications. Variations of the ring geometry allow bandwidth extensions up to twice that of the disc, but with some gain penalty. The radiation pattern has good circular symmetry and a reduced crosspolarisation of ‚Äî 21 dB compared to the isolated disc. ¬© 1985, The Institution of Electrical Engineers. All rights reserved.</t>
  </si>
  <si>
    <t>719-721</t>
  </si>
  <si>
    <t>60009658;60009658</t>
  </si>
  <si>
    <t>36861134800;57213425197</t>
  </si>
  <si>
    <t>Prior, C. J.;Hall, P. S.</t>
  </si>
  <si>
    <t>Prior C.</t>
  </si>
  <si>
    <t>Microstrip Disc Antenna With Short-Circuited Annular Ring</t>
  </si>
  <si>
    <t>10.1049/el:19850508</t>
  </si>
  <si>
    <t>2-s2.0-0022110944</t>
  </si>
  <si>
    <t>['¬© 1985', 'simple feed', 'rights reserved', 'phase distribution', 'geometrical optics', 'electrical engineers', 'dual reflector', 'achieved using']</t>
  </si>
  <si>
    <t>Antenna radiation patterns | Antennas | Reflector antennas</t>
  </si>
  <si>
    <t>A dual reflector is synthesised to achieve a specified aperture power and phase distribution, allowing generally shaped radiation patterns to be achieved using a simple feed. Geometrical optics is used to shape the reflectors. A separate physical optics analysis confirms the success of this synthesis. ¬© 1985, The Institution of Electrical Engineers. All rights reserved.</t>
  </si>
  <si>
    <t>820-821</t>
  </si>
  <si>
    <t>60022109;60022109;60022109</t>
  </si>
  <si>
    <t>7203025842;57197192970;7006192058</t>
  </si>
  <si>
    <t>Bergmann, J. R.;Brown, R. C.;Clarricoats, P. J.B.</t>
  </si>
  <si>
    <t>Queen Mary University of London</t>
  </si>
  <si>
    <t>Bergmann J.</t>
  </si>
  <si>
    <t>Dual Reflector Synthesis For Specified Aperture Power And Phase</t>
  </si>
  <si>
    <t>10.1049/el:19850578</t>
  </si>
  <si>
    <t>2-s2.0-0022111227</t>
  </si>
  <si>
    <t>['wiley company', 'used frequently', 'theoretical results', 'primary radiator', 'offset casegrainian', 'inc .,', 'ground stations', 'gregorian systems', 'geometrical condition', 'frequency reuse', 'cross polarization']</t>
  </si>
  <si>
    <t>Since offset antennas have good wide angle characteristics, they are used frequently for ground stations in microwave communications‚Äê However, when the frequency reuse is considered via two orthogonal polarizations, the cross‚Äêpolarization components generated on the reflector surface create a problem. A method was reported in which the cross‚Äêpolarization components are cancelled in the geometric optics sense in the offset Casegrainian and Gregorian systems. In such a method, the degree of freedom in design is not large. For instance, the inclination of the axis of the conical horn used as the primary radiator is restricted. This paper studies tri‚Äêreflector antennas in which the degree of freedom is larger. The geometrical condition for eliminating the cross polarization is derived and the shape of the reflector system satisfying the condition is found. To confirm the theoretical results, an antenna has been constructed. The cross‚Äêpolarization components are less than about ‚Äê30 dB and hence the validity of the theory has been confirmed. Copyright ¬© 1985 Wiley Periodicals, Inc., A Wiley Company</t>
  </si>
  <si>
    <t>85-92</t>
  </si>
  <si>
    <t>7003628822;7403067757;7004304668</t>
  </si>
  <si>
    <t>Urasaki, Shuji;Makino, Shigeru;Katagi, Takashi</t>
  </si>
  <si>
    <t>Urasaki S.</t>
  </si>
  <si>
    <t>Tri‚Äêreflector antennas with no cross‚Äêpolarized component</t>
  </si>
  <si>
    <t>10.1002/ecja.4410680810</t>
  </si>
  <si>
    <t>2-s2.0-0022111961</t>
  </si>
  <si>
    <t>['¬© 1985', 'rights reserved', 'requirement sets', 'paper examines', 'order products', 'order compatibility', 'makes achievement', 'lower limit', 'intermodulation compatibility', 'electrical engineers', 'concerned ).', 'common antenna', 'cellular systems', 'cell centres', 'available channels', 'additional constraints']</t>
  </si>
  <si>
    <t>Radiocommunication</t>
  </si>
  <si>
    <t>Frequency assignment procedures in mobile radio systems generally aim at achieving a measure of intermodulation compatibility, and, in principle, provided sufficient numbers of channels are available and may be assigned with the minimum of restrictions, then this objective is achievable (at least as far as third-order products are concerned). However, in cellular systems, additional constraints are imposed by the need to multicouple cell centre base station transmitters on to a common antenna, and this requirement sets a lower limit on the minimum frequency separation at cell centres, which, in turn, makes achievement of third-order compatible frequency plans extremely difficult. The paper examines the relationship between the minimum frequency separation for third-order compatibility and the number of available channels and cell cluster size, in order to identify optimum configurations. ¬© 1985, The Institution of Electrical Engineers. All rights reserved.</t>
  </si>
  <si>
    <t>384-387</t>
  </si>
  <si>
    <t>60008524;60031155</t>
  </si>
  <si>
    <t>7202268164;55299236400</t>
  </si>
  <si>
    <t>Gardiner, J. G.;Kotsopoulos, S. A.</t>
  </si>
  <si>
    <t>Greece;United Kingdom</t>
  </si>
  <si>
    <t>Rio;Bradford</t>
  </si>
  <si>
    <t>University of Patras;University of Bradford</t>
  </si>
  <si>
    <t>60031155;60008524</t>
  </si>
  <si>
    <t>Gardiner J.</t>
  </si>
  <si>
    <t>Relationship between base station transmitter multicoupling requirements and frequency planning strategies for cellular mobile radio</t>
  </si>
  <si>
    <t>10.1049/ip-f-1.1985.0077</t>
  </si>
  <si>
    <t>2-s2.0-0022112435</t>
  </si>
  <si>
    <t>['¬© 1985', 'rights reserved', 'polar diagram', 'modified balun', 'improved selectivity', 'ground plane', 'electrical engineers', 'efficient feed', 'dipole towards', 'capacitative loading', 'azimuthal symmetry']</t>
  </si>
  <si>
    <t>Antenna feeders | Antennas | Radioastronomy</t>
  </si>
  <si>
    <t>The azimuthal symmetry of the polar diagram of a simple dipole radiator above a ground plane may be improved by bending the ends of the dipole towards the ground plane. Combined with capacitative loading of the dipole and a modified balun,this produces a compact,efficient feed with improved selectivity. ¬© 1985, The Institution of Electrical Engineers. All rights reserved.</t>
  </si>
  <si>
    <t>768-769</t>
  </si>
  <si>
    <t>Battilana, J. A.</t>
  </si>
  <si>
    <t>Manchester</t>
  </si>
  <si>
    <t>The University of Manchester</t>
  </si>
  <si>
    <t>Battilana J.</t>
  </si>
  <si>
    <t>Compact,Cranked-Dipole Feed For Efficient Illumination Of Small F/D Paraboloids</t>
  </si>
  <si>
    <t>10.1049/el:19850541</t>
  </si>
  <si>
    <t>2-s2.0-0022112658</t>
  </si>
  <si>
    <t>['¬© 1985', 'tuning septums', 'rights reserved', 'propagation characteristics', 'microstrip line', 'line using', 'letter refers', 'experimental determination', 'electrical engineers', 'crossratio technique']</t>
  </si>
  <si>
    <t>Antennas | Microstrip | Transmission lines</t>
  </si>
  <si>
    <t>The letter refers to the experimental determination of the propagation characteristics of a microstrip line with tuning septums. The purpose of this study is to measure with accuracy the (œâ,Œ≤) diagram for the two fundamental modes of this line using a crossratio technique. ¬© 1985, The Institution of Electrical Engineers. All rights reserved.</t>
  </si>
  <si>
    <t>745-746</t>
  </si>
  <si>
    <t>101423957;101423957;101423957</t>
  </si>
  <si>
    <t>7004024214;7003474680;6701621117</t>
  </si>
  <si>
    <t>Pribetich, P.;Kennis, P.;Seguinot, C.</t>
  </si>
  <si>
    <t>Cent Hyperfrequences et Semiconducteurs</t>
  </si>
  <si>
    <t>Pribetich P.</t>
  </si>
  <si>
    <t>Experimental Determination Of Propagation Parameters Of A Microstrip Line With Tuning Septums</t>
  </si>
  <si>
    <t>10.1049/el:19850525</t>
  </si>
  <si>
    <t>2-s2.0-0022112877</t>
  </si>
  <si>
    <t>['¬© 1985', 'rights reserved', 'linear arrays', 'element excitations', 'electrical engineers']</t>
  </si>
  <si>
    <t>Antenna arrays | Antennas | Monopulse | Optimum difference excitations</t>
  </si>
  <si>
    <t>The synthesis of linear arrays with optimum difference patterns is described. Element excitations are found using Zolotarev polynomials. ¬© 1985, The Institution of Electrical Engineers. All rights reserved.</t>
  </si>
  <si>
    <t>681-682</t>
  </si>
  <si>
    <t>Mcnamara, D. A.</t>
  </si>
  <si>
    <t>Mcnamara D.</t>
  </si>
  <si>
    <t>Optimum Monopulse Linear Array Excitations Using Zolotarev Polynomials</t>
  </si>
  <si>
    <t>10.1049/el:19850482</t>
  </si>
  <si>
    <t>2-s2.0-0022113485</t>
  </si>
  <si>
    <t>['tower spacing', 'thus form', 'specified level', 'span lengths', 'span length', 'significant reradiator', 'significant levels', 'rerediation even', 'reradiated field', 'protected arc', 'power line', 'possible reradiation', 'paper describes', 'often required', 'nominal values', 'nominal value', 'likely value', 'highly variable', 'given statistics', 'give rise', 'electronics engineers', 'early stage', 'directional pattern', 'construction near', 'central problem', 'broadcast transmitters', 'assess whether', 'actual site']</t>
  </si>
  <si>
    <t>Commercial AM broadcast transmitters are often required to maintain a directional pattern with no more than a specified level of radiation over a ‚Äúprotected arc‚Äù. Reradiation from a nearby high voltage power line into the protected arc can give rise to excessive field strengths. When a power line is proposed for construction near an existing broadcast array, an ‚Äúinitial assessment‚Äù must be made of the level of possible reradiation at an early stage, while there is the opportunity for intervention. The central problem of ‚Äúinitial assessment‚Äù is that of estimating the likely value of the reradiated field from the power line, without knowing exactly where the power line towers will be located. The construction proposal specifies the route of the power line and the nominal values for the height of the power line towers and for the ‚Äúspan length‚Äù or tower spacing, but not the precise tower locations. This paper describes a technique for estimating the level of the reradiated field, based on an estimate of the span length standard deviation, which reflects how much the span lengths are likely to differ from their nominal value. The span statistics must then be used to determine the statistics of the reradiated field. The computer is used to construct many ‚Äúsample power lines‚Äù with span lengths conforming to the given statistics, and to analyse each ‚Äúsample power line‚Äù to determine the reradiated field. The result is an estimate of how strong the reradiated field is likely to be from a power line with the given span statistics. The proposed ‚Äúinitial assessment‚Äù procedure is applied in this paper to an actual site of current interest near Edmonton. On real power lines, the span length is highly variable, and it is shown that such a power line can give rise to significant levels of rerediation even if the nominal value of the span length is non-resonant. The statistical method described here can be used to assess whether the power line is likely to be a significant reradiator, and can thus form the basis for intervention by the broadcaster at an early stage. Copyright ¬© 1986 by The Institute of Electrical and Electronics Engineers, Inc.</t>
  </si>
  <si>
    <t>51-65</t>
  </si>
  <si>
    <t>60033154;60033154</t>
  </si>
  <si>
    <t>7006097946;6701413096</t>
  </si>
  <si>
    <t>Trueman, C. W.;Kubina, S. J.</t>
  </si>
  <si>
    <t>Montreal</t>
  </si>
  <si>
    <t>Concordia University</t>
  </si>
  <si>
    <t>Trueman C.W.</t>
  </si>
  <si>
    <t>Initial assessment of reradiation from power lines</t>
  </si>
  <si>
    <t>10.1109/TBC.1985.266556</t>
  </si>
  <si>
    <t>2-s2.0-0022115250</t>
  </si>
  <si>
    <t>['wire antennas', 'wave dipoles', 'stationary functional', 'sommerfeld problem', 'small microcomputers', 'small dipoles', 'previous results', 'present method', 'present authors', 'practical method', 'impedance expressions', 'image source', 'horizontal œª', 'height measurements', 'ground parameters', 'finite thickness', 'electronics engineers', 'effectively determined', 'complex space', 'antenna impedance']</t>
  </si>
  <si>
    <t>The principle of exact images recently developed by two of the present authors for the Sommerfeld problem is here applied for the classical impedance problem of antennas above the ground. In the present method, the effect of the ground is taken into account with an image source, which is located in complex space, leading to a modified Green function for the antenna current integral equation. The image of the antenna can be effectively determined through new expressions evaluated for the image current function. The stationary functional for the antenna impedance is extended to take into account the effect of the ground. As examples of the theory, impedance expressions for small dipoles and half-wave dipoles are formulated with numerical results calculated and compared with previous results. A simple method applicable for small microcomputers is suggested for calculating the impedance of wire antennas with finite thickness from that of infinitesimally thin antenna if the height of the antenna from the ground is not too small. Also, a practical method is suggested for the determination of ground parameters from horizontal Œª/2 dipole minimum resistance and height measurements. Copyright ¬© 1985 by The lnstitute of Electrical and Electronics Engineers, Inc.</t>
  </si>
  <si>
    <t>937-945</t>
  </si>
  <si>
    <t>60103653;60103653;60103653</t>
  </si>
  <si>
    <t>7102492958;7004143659;6507208946</t>
  </si>
  <si>
    <t>Lindell, Ismo V.;Alanen, Esko;Mannersalo, Kari</t>
  </si>
  <si>
    <t>Finland</t>
  </si>
  <si>
    <t>Espoo</t>
  </si>
  <si>
    <t>Aalto University</t>
  </si>
  <si>
    <t>Lindell I.</t>
  </si>
  <si>
    <t>Exact Image Method for Impedance Computation of Antennas Above the Ground</t>
  </si>
  <si>
    <t>10.1109/TAP.1985.1143712</t>
  </si>
  <si>
    <t>2-s2.0-0022116455</t>
  </si>
  <si>
    <t>['input impedance', 'good agreement', 'experimental results', 'elliptical patch', 'electronics engineers', 'design procedure', 'coaxial probe']</t>
  </si>
  <si>
    <t>A method of calculating the input impedance of either a circular or a slightly ellipitcal microsirip antenna excited by a coaxial probe is presented. Using the reaction integral equation and the exact dyadic Green's function, the finite substrate thickness is taken into account in the formulation. Good agreement with experimental results for an elliptical patch is obtained and a design procedure for a circularly polarized antenna is presented. Copyright ¬© 1985 by The lnstitute of Electrical and Electronics Engineers, Inc.</t>
  </si>
  <si>
    <t>954-959</t>
  </si>
  <si>
    <t>60000854;60004750</t>
  </si>
  <si>
    <t>7401639390;7102211143</t>
  </si>
  <si>
    <t>Bailey, M. C.;Deshpande, M. D.</t>
  </si>
  <si>
    <t>India;United States</t>
  </si>
  <si>
    <t>Kharagpur;Hampton</t>
  </si>
  <si>
    <t>Indian Institute of Technology Kharagpur;NASA Langley Research Center</t>
  </si>
  <si>
    <t>60004750;60000854</t>
  </si>
  <si>
    <t>Bailey M.C.</t>
  </si>
  <si>
    <t>Analysis of Elliptical and Circular Microstrip Antennas Using Moment Method</t>
  </si>
  <si>
    <t>10.1109/TAP.1985.1143710</t>
  </si>
  <si>
    <t>2-s2.0-0022116504</t>
  </si>
  <si>
    <t>['transient responses', 'time domain', 'theoretical results', 'line approximation', 'form formula', 'feed point', 'equivalent circuit', 'electronics engineers', 'dipole antenna', 'conventional transmission']</t>
  </si>
  <si>
    <t>Transient responses between two dipole antennas were analyzed by using a simple equivalent circuit of a dipole antenna. This equivalent circuit is composed of a lossless transmission line and two shunt resistances representing electrical discontinuities at a feed point and tips of the dipole antenna. A closed-form formula for the induced load voltage in the time domain was derived. Since the damping factor due to radiation from antennas is included in this expression, this formulation gives better results than those given by the conventional transmission-line approximation. Measured time histories support the validity of theoretical results. Copyright ¬© 1985 by The lnstitute of Electrical and Electronics Engineers, Inc.</t>
  </si>
  <si>
    <t>1015-1020</t>
  </si>
  <si>
    <t>60008435;60033089</t>
  </si>
  <si>
    <t>7405726997;7403248989</t>
  </si>
  <si>
    <t>Sato, Motoyuki;Sato, Risaburo</t>
  </si>
  <si>
    <t>Tohoku Gakuin University;Tohoku University</t>
  </si>
  <si>
    <t>60033089;60008435</t>
  </si>
  <si>
    <t>Sato M.</t>
  </si>
  <si>
    <t>Analysis of Transient Responses Between Coupled Dipole Antennas by Using a Simple Equivalent Circuit</t>
  </si>
  <si>
    <t>10.1109/TAP.1985.1143700</t>
  </si>
  <si>
    <t>2-s2.0-0022116566</t>
  </si>
  <si>
    <t>['wide range', 'three quantities', 'input impedance', 'impedance step', 'electronics engineers', 'dipole mode', 'design formulas', 'appealing choice', 'antenna depends']</t>
  </si>
  <si>
    <t>The planar folded dipole is an appealing choice as a radiating element due to the properties that it can be constructed using printed circuit technology and its input impedance can be adjusted over a wide range of values. The input impedance of this type of antenna depends on three quantities: the impedance of the transmission line mode, the impedance of the dipole mode, and the impedance step-up ratio. The solution to three problems associated with these three quantities is developed and design formulas for a planar folded dipole are presented. Copyright ¬© 1985 by The lnstitute of Electrical and Electronics Engineers, Inc.</t>
  </si>
  <si>
    <t>1028-1031</t>
  </si>
  <si>
    <t>Lampe, Ross W.</t>
  </si>
  <si>
    <t>Lampe R.</t>
  </si>
  <si>
    <t>Design Formulas for an Asymmetric Coplanar Strip Folded Dipole</t>
  </si>
  <si>
    <t>10.1109/TAP.1985.1143698</t>
  </si>
  <si>
    <t>2-s2.0-0022116906</t>
  </si>
  <si>
    <t>['kalman filter', 'fiber profiles', 'electronics engineers']</t>
  </si>
  <si>
    <t>A means of controlling a sensor-based industrial robot using the C programming language is presented. A special purpose C function is described that allows robot move instructions to be qualified by desired sensor readings and uses the total applied correction to update the estimate of pre-taught locations using a Kalman filter. The system allows rapid specification of sensory feedback tasks and is demonstrated on a current industrial research problem; namely the lay-up of carbon-fiber profiles for assembly into satellite antenna dishes. Copyright ¬© 1985 by The Institute of Electrical and Electronics Engineers, Inc.</t>
  </si>
  <si>
    <t>159-162</t>
  </si>
  <si>
    <t>IEEE Journal on Robotics and Automation</t>
  </si>
  <si>
    <t>60030469;60019611</t>
  </si>
  <si>
    <t>57218982381;7404771167</t>
  </si>
  <si>
    <t>Johnson, David G.;Hill, John J.</t>
  </si>
  <si>
    <t>Hull;Bristol</t>
  </si>
  <si>
    <t>University of Hull;University of the West of England</t>
  </si>
  <si>
    <t>Johnson D.G.</t>
  </si>
  <si>
    <t>A Kalman Filter Approach to Sensor-Based Robot Control</t>
  </si>
  <si>
    <t>10.1109/JRA.1985.1087017</t>
  </si>
  <si>
    <t>2-s2.0-0022117122</t>
  </si>
  <si>
    <t>['weights obtained', 'usually ignored', 'small parameter', 'past researchers', 'loop bandwidth', 'interference nulls', 'input process', 'directivity pattern', 'derived results', 'correction term', 'analysis yields', 'adaptive weights']</t>
  </si>
  <si>
    <t>A new average equation for the adaptive weights which takes into account the effects of statistical weight fluctuations has been developed. Past researchers have derived results by using an approximate average equation of the weights obtained under the assumption that the weights vary much more slowly than the input process. The weights are then treated as constants for averaging. The new method uses a two-variable perturbation analysis taking as a small parameter the ratio of the loop bandwidth to the input process bandwidth. The analysis yields a significant correction term for the directivity pattern in interference nulls. This correction term is the result of stochastic weight fluctuations which are usually ignored in most analyses. These results are compared to those found by past researchers, and the results of a computer simulation substantiate the analysis.</t>
  </si>
  <si>
    <t>767-779</t>
  </si>
  <si>
    <t>SAC-3</t>
  </si>
  <si>
    <t>Sep</t>
  </si>
  <si>
    <t>60003088;60003088;60003088</t>
  </si>
  <si>
    <t>57203616353;6507309888;7007158751</t>
  </si>
  <si>
    <t>Lang, Roger H.;Bahie-El Din, Mostafa A.;Pickholtz, Raymond L.</t>
  </si>
  <si>
    <t>The George Washington University</t>
  </si>
  <si>
    <t>Lang R.H.</t>
  </si>
  <si>
    <t>STOCHASTIC EFFECTS IN ADAPTIVE NULL-STEERING ANTENNA ARRAY PERFORMANCE.</t>
  </si>
  <si>
    <t>10.1109/jsac.1985.1146250</t>
  </si>
  <si>
    <t>2-s2.0-0022117211</t>
  </si>
  <si>
    <t>['testing functions', 'specific classes', 'specific choice', 'redundancy results', 'planar scatterer', 'modest increase', 'matrix equations', 'gradient method', 'expense incurred', 'electronics engineers', 'discrete convolutions', 'cylindrical scatterers', 'computation time']</t>
  </si>
  <si>
    <t>Through a specific choice of evenly spaced basis and testing functions, one can construct a moment matrix formulation wherein significant redundancy is embodied in the matrix. A scheme that exploits this redundancy to effect substantial computer storage reduction in an iterative field solution, such as the conjugate-gradient method is described. The expense incurred is a modest increase in computation time. The redundancy results from translational similarity features of specific classes of geometries and leads to matrix equations that may be interpreted as discrete convolutions. for illustration, the analysis here is carried out on a planar scatterer, but the strategy can be applied to spherical or cylindrical scatterers. Copyright ¬© 1985 by The lnstitute of Electrical and Electronics Engineers, Inc.</t>
  </si>
  <si>
    <t>1031-1033</t>
  </si>
  <si>
    <t>Pearson, L. Wilson</t>
  </si>
  <si>
    <t>Pearson L.W.</t>
  </si>
  <si>
    <t>A Technique for Organizing Large Moment Calculations for Use with Iterative Solution Methods</t>
  </si>
  <si>
    <t>10.1109/TAP.1985.1143703</t>
  </si>
  <si>
    <t>2-s2.0-0022117239</t>
  </si>
  <si>
    <t>['resonance conditions', 'electronics engineers', 'directive patterns', 'bandwidth limitation', 'asymptotic formulas']</t>
  </si>
  <si>
    <t>Resonance conditions for a substrate-superstrate printed antenna geometry which allow for large antenna gain are presented. Asymptotic formulas for gain, beamwidth, and bandwidth are given, and the bandwidth limitation of the method is discussed. The method is extended to produce narrow patterns about the horizon, and directive patterns at two different angles. Copyright ¬© 1985 by The lnstitute of Electrical and Electronics Engineers, Inc.</t>
  </si>
  <si>
    <t>976-987</t>
  </si>
  <si>
    <t>60027550;60027550</t>
  </si>
  <si>
    <t>7404289310;7004468161</t>
  </si>
  <si>
    <t>Jackson, David R.;Alex√≥poulos, Nic√≥laos G.</t>
  </si>
  <si>
    <t>Jackson D.R.</t>
  </si>
  <si>
    <t>Gain Enhancement Methods for Printed Circuit Antennas</t>
  </si>
  <si>
    <t>10.1109/TAP.1985.1143709</t>
  </si>
  <si>
    <t>2-s2.0-0022117483</t>
  </si>
  <si>
    <t>['signal source', 'signal direction', 'output snr', 'output signal', 'noise ratio', 'input snr', 'finite distance', 'field range', 'element number', 'electronics engineers', 'array center', '1 db']</t>
  </si>
  <si>
    <t>The effect of the finite distance of the signal source on the performance of a far-field steering Applebaum type adaptive array is examined. The output signal-to-noise ratio (SNR) is expressed in terms of 1) the distance between the signal and the array center, 2) the input SNR, 3) the element number and locations, and 4) the signal direction. From that expression a rule of thumb is drawn to determine the distance between the signal source and the array center at which the degradation of the output SNR is 1 dB. That distance is in general much larger than the far-field range of a conventional beam forming array. Copyright ¬© 1985 by The lnstitute of Electrical and Electronics Engineers, Inc.</t>
  </si>
  <si>
    <t>1003-1008</t>
  </si>
  <si>
    <t>60026415;60026415;60026415</t>
  </si>
  <si>
    <t>7401672122;37022359400;6603876932</t>
  </si>
  <si>
    <t>Yeh, Chien Chung;Hong, Young J.;Ucci, Donald R.</t>
  </si>
  <si>
    <t>Stony Brook</t>
  </si>
  <si>
    <t>Stony Brook University</t>
  </si>
  <si>
    <t>Yeh C.C.</t>
  </si>
  <si>
    <t>The Effect of a Finite Distance Source on an Applebaum Array</t>
  </si>
  <si>
    <t>10.1109/TAP.1985.1143701</t>
  </si>
  <si>
    <t>2-s2.0-0022118047</t>
  </si>
  <si>
    <t>['simplified proof', 'placing attenuation', 'optimum efficiency', 'feed design', 'electronics engineers', 'butler matrix', 'broad class', 'aperture attenuation']</t>
  </si>
  <si>
    <t>Simultaneous multiple beam antennas (MBA's) with low sidelobe high crossover beams are considered. A simplified proof is presented which shows dissipative loss of typically - 3 dB must be accepted. The optimum efficiency for the constrained fed MBA is shown to be achieved by placing attenuation in the aperture of a Butler matrix (BM) in accordance with the desired tapered aperture distribution. A combination of aperture attenuation and feed design, including the use of overlapping orthogonal feed distributions, is considered for lens type MBA's. The optimum efficiency is shown to be achieved with relatively simple feeds for a broad class of desired beam shapes. Copyright ¬© 1985 by The lnstitute of Electrical and Electronics Engineers, Inc.</t>
  </si>
  <si>
    <t>946-954</t>
  </si>
  <si>
    <t>DuFort, Edward C.</t>
  </si>
  <si>
    <t>Raytheon</t>
  </si>
  <si>
    <t>DuFort E.</t>
  </si>
  <si>
    <t>Optimum Low Sidelobe High Crossover Multiple Beam Antennas</t>
  </si>
  <si>
    <t>10.1109/TAP.1985.1143705</t>
  </si>
  <si>
    <t>2-s2.0-0022118191</t>
  </si>
  <si>
    <t>['moment method', 'microstrip array', 'integral equation', 'functions via', 'expansion functions', 'electronics engineers', 'current distribution', 'chebyshev characteristics', 'calculated data', 'appropriate green']</t>
  </si>
  <si>
    <t>The current distribution on microstrip stub antennas is calculated with the appropriate Green's functions via an integral equation, which is solved with the moment method. As expansion functions for the current cubic spline functions are used. The calculated data are used for the design of a microstrip array with Chebyshev characteristics. Copyright ¬© 1985 by The lnstitute of Electrical and Electronics Engineers, Inc.</t>
  </si>
  <si>
    <t>1033-1036</t>
  </si>
  <si>
    <t>Mahr, Ulrich</t>
  </si>
  <si>
    <t>Mahr U.</t>
  </si>
  <si>
    <t>Cubic Splines as Expansion Functions for the Current Distribution of Microstrip Stub Antennas</t>
  </si>
  <si>
    <t>10.1109/TAP.1985.1143704</t>
  </si>
  <si>
    <t>2-s2.0-0022118229</t>
  </si>
  <si>
    <t>['relative importance', 'physical models', 'model results', 'military systems', 'meteor orbits', 'hot spots', 'fundamental meteor', 'experimental results', 'astronomical observations', 'also presented']</t>
  </si>
  <si>
    <t>A description is given of a meteor-burst communication model based on physical models and astronomical observations of meteor orbits and flux. Model results are compared with experimental results and used to illuminate this complex propagation medium and show how hot spots of meteor activity vary in position and relative importance with the fundamental meteor-burst link parameters. Antenna and other meteor-burst link design considerations are also presented, with emphasis on military systems.</t>
  </si>
  <si>
    <t>745-755</t>
  </si>
  <si>
    <t>Brown, David W.</t>
  </si>
  <si>
    <t>Falls Church</t>
  </si>
  <si>
    <t>Computer Sciences Corporation - USA</t>
  </si>
  <si>
    <t>Brown D.W.</t>
  </si>
  <si>
    <t>PHYSICAL METEOR-BURST PROPAGATION MODEL AND SOME SIGNIFICANT RESULTS FOR COMMUNICATION SYSTEM DESIGN.</t>
  </si>
  <si>
    <t>10.1109/jsac.1985.1146243</t>
  </si>
  <si>
    <t>2-s2.0-0022118807</t>
  </si>
  <si>
    <t>['various two', 'tapered prototypes', 'real rays', 'real location', 'radome problem', 'radome interfaces', 'radome configuration', 'radome application', 'radiation characteristics', 'numerical calculations', 'lateral shifts', 'incident illumination', 'equivalent apertures', 'electronics engineers', 'complex extension', 'certain types', 'aperture fields', 'amplitude taper', 'accurate trajectories']</t>
  </si>
  <si>
    <t>Assessment of the radiation characteristics of certain types of radome covered antennas poses the problem of transmission of amplitude tapered large-aperture fields through a curved dielectric layer. Modeling the amplitude taper by a Gaussian, the incident illumination can be generated by a source at a complex coordinate location. The radome problem is then addressed by tracing complex ray fields from the complex source point through the complex extension of the radome configuration to the real location of the observer. No integrations over equivalent apertures are required here. The complex ray tracing has been performed for conventional complex geometric trajectories as well as more accurate trajectories with lateral shifts at the radome interfaces, and takes into account multiple reflections inside the radome. As previously for real rays, the multiple internally reflected complex rays can be combined into a ‚Äúcollective ray‚Äù that is weighted with a curvature and (or) taper corrected slab transmission coefficient. Numerical calculations for various two-dimensional circular cylindrical and wedge-tapered prototypes and various beam illuminations demonstrate the feasibility of the complex ray method, the efficiency of the collective ray concept, and the adequacy of the ray model without lateral shifts for the radome application. Copyright ¬© 1985 by The lnstitute of Electrical and Electronics Engineers, Inc.</t>
  </si>
  <si>
    <t>963-975</t>
  </si>
  <si>
    <t>56216112100;56883021600</t>
  </si>
  <si>
    <t>Gao, X. J.;Felsen, Leopold B.</t>
  </si>
  <si>
    <t>Gao X.J.</t>
  </si>
  <si>
    <t>Complex Ray Analysis of Beam Transmission Through Two-Dimensional Radomes</t>
  </si>
  <si>
    <t>10.1109/TAP.1985.1143711</t>
  </si>
  <si>
    <t>2-s2.0-0022120150</t>
  </si>
  <si>
    <t>['special cases', 'power gain', 'hybrid mm', 'gtd technique', 'geometrical theory', 'formally combined', 'elliptic cylinder', 'electronics engineers']</t>
  </si>
  <si>
    <t>The power gain of arrays of wire antennas near an elliptic cylinder is maximized. The hybrid MM-GTD technique is used where the method of moments (MM) and the geometrical theory of diffraction (GTD) are formally combined. Results are presented for some special cases. Copyright ¬© 1985 by The Institute of Electrical and Electronics Engineers, Inc.</t>
  </si>
  <si>
    <t>1426-1428</t>
  </si>
  <si>
    <t>Proceedings of the IEEE</t>
  </si>
  <si>
    <t>60015331;60030988</t>
  </si>
  <si>
    <t>35070366800;7005683394</t>
  </si>
  <si>
    <t>Siakavara, K.;Sahalos, J. N.</t>
  </si>
  <si>
    <t>Greece;Greece</t>
  </si>
  <si>
    <t>Komotini;Thessaloniki</t>
  </si>
  <si>
    <t>Democritus University of Thrace;Aristotle University of Thessaloniki</t>
  </si>
  <si>
    <t>60030988;60015331</t>
  </si>
  <si>
    <t>Siakavara K.</t>
  </si>
  <si>
    <t>A Hybrid MM-GTD Technique for the Optimization of the Power Gain of Arrays of Wire Antennas Near an Elliptic Cylinder</t>
  </si>
  <si>
    <t>10.1109/PROC.1985.13303</t>
  </si>
  <si>
    <t>2-s2.0-0022120560</t>
  </si>
  <si>
    <t>['spectral domain', 'reflection coefficient', 'numerical calculations', 'electronics engineers']</t>
  </si>
  <si>
    <t>The problem of scattering from a resistive strip grating is formulated in the spectral domain. Results of numerical calculations of the reflection coefficient are presented for perfectly conducting strips and strips with resistivities up to 750 Œ©/square. Copyright ¬© 1985 by The lnstitute of Electrical and Electronics Engineers, Inc.</t>
  </si>
  <si>
    <t>1009-1011</t>
  </si>
  <si>
    <t>55448539100;55197051100</t>
  </si>
  <si>
    <t>Hall, Richard C.;Mittra, Raj</t>
  </si>
  <si>
    <t>Hall R.C.</t>
  </si>
  <si>
    <t>Scattering from a Periodic Array of Resistive Strips</t>
  </si>
  <si>
    <t>10.1109/TAP.1985.1143706</t>
  </si>
  <si>
    <t>2-s2.0-0022121933</t>
  </si>
  <si>
    <t>['¬© 1985', 'rights reserved', 'probability curves', 'illumination function', 'electrical engineers', 'conveniently used', 'array illumination', 'also discussed']</t>
  </si>
  <si>
    <t>Antenna phased arrays | Antenna radiation patterns | Antennas</t>
  </si>
  <si>
    <t>In the letter we present a set of universal probability curves that relate the array error tolerance, illumination function, achievable sidelobe level and the designed sidelobe level. We show that this set of probability curves can be used to find a lower designed sidelobe level to achieve a better error tolerance. The relations of array directivity gain and beamwidth with respect to illumination function are also discussed. These parameters can be conveniently used for this design procedure without detailed knowledge of the array illumination. ¬© 1985, The Institution of Electrical Engineers. All rights reserved.</t>
  </si>
  <si>
    <t>834-836</t>
  </si>
  <si>
    <t>Hsiao, J. K.</t>
  </si>
  <si>
    <t>Hsiao J.</t>
  </si>
  <si>
    <t>Design Of Error Tolerance Of A Phased Array</t>
  </si>
  <si>
    <t>10.1049/el:19850589</t>
  </si>
  <si>
    <t>2-s2.0-0022128627</t>
  </si>
  <si>
    <t>['¬© 1985', 'structure utilises', 'rights reserved', 'profile characteristic', 'experimental measurement', 'electrical engineers', 'circuited length']</t>
  </si>
  <si>
    <t>The design and experimental measurement of a dual-band, monolithic microstrip antenna is presented. The structure utilises a short-circuited length of microstrip transmission line to provide reactive loading and, thereby, retains the low-profile characteristic of a normal microstrip patch radiator. ¬© 1985, The Institution of Electrical Engineers. All rights reserved.</t>
  </si>
  <si>
    <t>936-937</t>
  </si>
  <si>
    <t>60006711;60005837;60005837</t>
  </si>
  <si>
    <t>7202859727;7402507033;7202452162</t>
  </si>
  <si>
    <t>Davidson, S. E.;Long, S. A.;Richards, W. F.</t>
  </si>
  <si>
    <t>Houston;Houston</t>
  </si>
  <si>
    <t>NASA Johnson Space Center;University of Houston</t>
  </si>
  <si>
    <t>60006711;60005837</t>
  </si>
  <si>
    <t>Davidson S.</t>
  </si>
  <si>
    <t>Dual-Band Microstrip Antennas With Monolithic Reactive Loading</t>
  </si>
  <si>
    <t>10.1049/el:19850662</t>
  </si>
  <si>
    <t>2-s2.0-0022129154</t>
  </si>
  <si>
    <t>['signal phase', 'received simultaneously', 'real time', 'quadrature output', 'phase rotation', 'observational results', 'hilbert transform', 'entirely unaffected', 'copyright 1985', 'circular polarization', 'central processor', 'beam area', 'angular resolution', 'also produced', '7 ¬∞.', '408 mhz', '3 mjy', '1 jy']</t>
  </si>
  <si>
    <t>A 408‚ÄêMHz earth rotation synthesis telescope is described, which has been constructed as a second frequency channel on an existing 1420‚ÄêMHz telescope. Both frequencies are received simultaneously. The angular resolution at 408 MHz is 3.5 arc minutes, and the field of view is 7¬∞. Sensitivity is 3 mJy/beam area (1 Jy = 10‚àí26W m‚àí2 Hz‚àí1). A dual‚Äêfrequency, prime focus feed receives both hands of circular polarization at each frequency. The signal transmission system is designed so that the signal phase from its 408‚ÄêMHz input to its 30‚ÄêMHz output is entirely unaffected by changes in the length of the single coaxial cable which joins each antenna to the central processor. The functions of phase rotation, signal delay equalization, and correlation are performed in a digital signal processor, using microcomputer software rather than hardware. The quadrature output is also produced by computation in real time, using a band‚Äêlimited form of the Hilbert transform. Some observational results are presented. Copyright 1985 by the American Geophysical Union.</t>
  </si>
  <si>
    <t>1118-1128</t>
  </si>
  <si>
    <t>September-October 1985</t>
  </si>
  <si>
    <t>;;;;</t>
  </si>
  <si>
    <t>6603062067;7003557448;6602670307;7004094699;6701557873</t>
  </si>
  <si>
    <t>Veidt, B. G.;Landecker, T. L.;Vaneldik, J. F.;Dewdney, P. E.;Routledge, D.</t>
  </si>
  <si>
    <t>Veidt B.</t>
  </si>
  <si>
    <t>A 408‚ÄêMHz aperture synthesis radio telescope</t>
  </si>
  <si>
    <t>10.1029/RS020i005p01118</t>
  </si>
  <si>
    <t>2-s2.0-0022129639</t>
  </si>
  <si>
    <t>['offset reflector', 'offset paraboloid', 'main beam', 'known techniques', 'flat reflector', 'far fields', 'copyright 1985', 'computed results']</t>
  </si>
  <si>
    <t>In this paper an analysis of the near‚Äê or far‚Äêfield patterns of an offset paraboloid (fed at its focus) illuminating a rotatable flat reflector for scanning the main beam of the offset reflector is presented. This analysis is based on the near‚Äêfield GTD analysis developed earlier and the known techniques for transforming near fields to far fields. Computed results on the far‚Äêfield patterns of a typical offset paraboloid illuminating a flat reflector are presented. Further, the computed results on the far‚Äêfield patterns of a typical paraboloid illuminating a square flat reflector satisfactorily correlate with the available measured results. Copyright 1985 by the American Geophysical Union.</t>
  </si>
  <si>
    <t>1053-1060</t>
  </si>
  <si>
    <t>7006389495;57196539182</t>
  </si>
  <si>
    <t>Narasimhan, M. S.;Philips, Bobby</t>
  </si>
  <si>
    <t>Analysis of the near and far fields of an offset paraboloid illuminating a rotatable flat passive reflector</t>
  </si>
  <si>
    <t>10.1029/RS020i005p01053</t>
  </si>
  <si>
    <t>2-s2.0-0022129772</t>
  </si>
  <si>
    <t>['¬© 1985', 'uhf applications', 'size reduction', 'rights reserved', 'narrow bandwidth', 'larger bandwidth', 'half ),', 'electrical engineers']</t>
  </si>
  <si>
    <t>H-shaped and rectangular ring microstrip antennas have been compared with the commonly used rectangular patch antenna. It has been found that the H-shaped patch antenna is smaller in size (about half), and is broadbeam but with narrow bandwidth. On the other hand, for larger bandwidth and/or narrow beamwidth applications a rectangular ring antenna is better than a rectangular patch antenna. Because of size reduction the H-shaped patch looks attractive for UHF applications. ¬© 1985, The Institution of Electrical Engineers. All rights reserved.</t>
  </si>
  <si>
    <t>874-876</t>
  </si>
  <si>
    <t>;60004750</t>
  </si>
  <si>
    <t>6603502111;56224976000</t>
  </si>
  <si>
    <t>Palanisamy, V.;Garg, R.</t>
  </si>
  <si>
    <t>Palanisamy V.</t>
  </si>
  <si>
    <t>Rectangular Ring And H-Shaped Microstrip Antennasalternatives To Rectangular Patch Antenna</t>
  </si>
  <si>
    <t>10.1049/el:19850617</t>
  </si>
  <si>
    <t>2-s2.0-0022129957</t>
  </si>
  <si>
    <t>['¬© 1985', 'widely used', 'technical journal', 'radiation envelopes', 'radiation characteristics', 'quadratic functions', 'often needed', 'measured data', 'logarithmic functions', 'good agreement', 'fast computation', 'directive antennas']</t>
  </si>
  <si>
    <t>The spatial (three‚Äêdimensional) radiation characteristics of directive antennas are often needed in radio interference calculations and predictions. Presented is a method that allows a fast computation of the spatial radiation envelope characteristics of antennas from measured pattern information. This is achieved by fitting the measured data to simple functional forms that are based on salient physical properties of the antennas. An example is given in which radiation envelopes for a pyramidal horn‚Äêreflector antenna, widely used in AT&amp;T service, are calculated from measured data. Superpositions of quadratic functions to fit main radiation lobes and logarithmic functions to represent the side‚Äêlobe envelopes are being used, and good agreement with the measured data is demonstrated. ¬© 1985 AT&amp;T Technical Journal</t>
  </si>
  <si>
    <t>1601-1624</t>
  </si>
  <si>
    <t>Shapira, J.</t>
  </si>
  <si>
    <t>Shapira J.</t>
  </si>
  <si>
    <t>Simple Analytical Representation of Antenna Spatial Radiation Patterns With Application to the Pyramidal Horn‚ÄêReflector Antenna</t>
  </si>
  <si>
    <t>10.1002/j.1538-7305.1985.tb00027.x</t>
  </si>
  <si>
    <t>2-s2.0-0022130252</t>
  </si>
  <si>
    <t>['¬© 1985', 'te 11', 'rights reserved', 'resonance frequencies', 'electrical engineers', 'easily obtained', 'antennas present']</t>
  </si>
  <si>
    <t>Conical patch antennas, excited on TE 11-mode, are studied and their resonance frequencies are computed. These antennas present a broader bandwidth compared to classical microstrip antennas and, furthermore, good impedance matching can be easily obtained. ¬© 1985, The Institution of Electrical Engineers. All rights reserved.</t>
  </si>
  <si>
    <t>896-898</t>
  </si>
  <si>
    <t>60030553;60030553;60030553;60030553</t>
  </si>
  <si>
    <t>6507263061;6603795399;7006272544;7202044329</t>
  </si>
  <si>
    <t>Jeddari, L.;Mahdjoubi, K.;Terret, C.;Daniel, J. P.</t>
  </si>
  <si>
    <t>Rennes</t>
  </si>
  <si>
    <t>Universite de Rennes 1</t>
  </si>
  <si>
    <t>Jeddari L.</t>
  </si>
  <si>
    <t>Broadband Conical Microstrip Antenna</t>
  </si>
  <si>
    <t>10.1049/el:19850632</t>
  </si>
  <si>
    <t>2-s2.0-0022130659</t>
  </si>
  <si>
    <t>['¬© 1985', 'rights reserved', 'important variant', 'electrical engineers']</t>
  </si>
  <si>
    <t>Interferometers | Measurement</t>
  </si>
  <si>
    <t>An interferometer, the n(?3) elements of which consist of frequency-independent spiral antennas, is used to determine the frequency of transmitters over wide bandwidths instantaneously. The frequency of the transmitters is determined after their bearings have been measured by each antenna. This method is an important variant to other methods. ¬© 1985, The Institution of Electrical Engineers. All rights reserved.</t>
  </si>
  <si>
    <t>879-881</t>
  </si>
  <si>
    <t>Fourikis, N.</t>
  </si>
  <si>
    <t>Fourikis N.</t>
  </si>
  <si>
    <t>Novel Method For Instantaneous Determination Of Frequency Of Transmitters Over Wide Bandwidths</t>
  </si>
  <si>
    <t>10.1049/el:19850621</t>
  </si>
  <si>
    <t>2-s2.0-0022130732</t>
  </si>
  <si>
    <t>['surface accuracy', 'studied analytically', 'statistical properties', 'small effect', 'significant effect', 'rights reserved', 'results indicate', 'particular truss', 'normally distributed', 'internal loads', 'given diameter', 'deterministic finite', 'also found']</t>
  </si>
  <si>
    <t>The effects of random member length errors on the surface accuracy, defocus, and residual, internal loads of tetrahedral truss antenna reflectors have been studied analytically. The analytical procedure involves performing multiple, deterministic finite-element structural analyses for a particular truss. For each analysis, the normally distributed, random member length errors are selected by random number generator. A best-fit paraboloid analysis is used to determine a root-mean-square surface error and defocus from each analysis. The statistical properties of these quantities as well as the internal loads are calculated from the results of many independent analyses. Results indicate that the number of members in a tetrahedral truss antenna of a given diameter has a significant effect on surface accuracy, defocus, and internal loads. It was also found that the member axial stiffness and antenna focal length have a very small effect on reflector surface accuracy. ¬© American Institute of Aeronautics and Astronautics, Inc., 1985, All rights reserved.</t>
  </si>
  <si>
    <t>554-559</t>
  </si>
  <si>
    <t>Greene, William H.</t>
  </si>
  <si>
    <t>Greene W.</t>
  </si>
  <si>
    <t>Effects of random member length errors on the accuracy and internal loads of truss antennas</t>
  </si>
  <si>
    <t>10.2514/3.25065</t>
  </si>
  <si>
    <t>2-s2.0-0022130999</t>
  </si>
  <si>
    <t>['two antennas', 'surrounding plasma', 'perfectly conducting', 'one frequency', 'infinitesimally thin', 'infinitely long', 'goes smoothly', 'e .,', 'different radii', 'determine uniquely', 'cylindrical antenna', 'copyright 1985', 'circumferential gap', 'calculated admittance']</t>
  </si>
  <si>
    <t>In this paper a perfectly conducting, infinitely long, cylindrical antenna is considered. The antenna is driven by an alternating voltage V applied uniformly around an infinitesimally thin, circumferential gap. Furthermore, the antenna is surrounded by a sheath that goes smoothly over into the surrounding plasma so that the electron density increases smoothly with the distance from the antenna. For this two‚Äêparameter family of electron‚Äêdensity profiles the admittance of the antenna is calculated for all values of the driving frequency œâ &gt; 0 and as a function of the parameters, i.e., of the radius of the antenna and the plasma frequency far away from it. The calculated admittance is further compared with that of the same antenna in vacuum for which Papas' (1949) results have been generalized. It is shown that a measurement of the admittance of the antenna at only one frequency is, in general, not sufficient to determine uniquely the plasma frequency far away from the antenna. At least two measurements at two different frequencies or with two antennas with different radii are necessary to determine uniquely the electron density far away from the antenna. Copyright 1985 by the American Geophysical Union.</t>
  </si>
  <si>
    <t>1090-1104</t>
  </si>
  <si>
    <t>56962764100;6508032446;6505956165</t>
  </si>
  <si>
    <t>Kamp, L. P.J.;Weenink, M. P.H.;Hagebeuk, H. J.L.</t>
  </si>
  <si>
    <t>Kamp L.</t>
  </si>
  <si>
    <t>Admittance of a cylindrical antenna coated with an inhomogeneous cold plasma sheath with a resonance</t>
  </si>
  <si>
    <t>10.1029/RS020i005p01090</t>
  </si>
  <si>
    <t>2-s2.0-0022131690</t>
  </si>
  <si>
    <t>['thus suggested', 'receiver spacing', 'one part', 'image solution', 'high frequenciesand', 'far zone', 'electronics engineers', 'completely ignored', 'aline source']</t>
  </si>
  <si>
    <t>The complex image theory is used to predict the electromagnetic fields excited by aline source above a horizontally stratified earth. It is shown that the image solution for fields in the air is merely an approximation of one part of the complete rigorous solution. This part is the main branch cut which dominates in the far zone, while other branch cuts andthe trapped waveguide modes are completely ignored. It is thus suggested that the image solution be complemented by the trapped waveguide modes which can dominate at high frequenciesand in a certain intermediate range of transmitter-receiver spacing. Copyright ¬© 1985 by The Institute of Electrical and Electronics Engineers, Inc.</t>
  </si>
  <si>
    <t>1054-1058</t>
  </si>
  <si>
    <t>60010294;60010294</t>
  </si>
  <si>
    <t>35581830600;7006843696</t>
  </si>
  <si>
    <t>Mahmoud, Samir F.;Mohsen, Adel A.</t>
  </si>
  <si>
    <t>Mahmoud S.</t>
  </si>
  <si>
    <t>Assessment of Image Theory for Field Evaluation Over a Multilayer Earth</t>
  </si>
  <si>
    <t>10.1109/TAP.1985.1143502</t>
  </si>
  <si>
    <t>2-s2.0-0022132861</t>
  </si>
  <si>
    <t>['useful since', 'narrowband applications', 'adaptive array']</t>
  </si>
  <si>
    <t>It is shown that for narrowband applications, the number of linear constraints needed for an adaptive array to achieve a fixed look direction response can be reduced from two to one. The result is useful since it can be exploited to reduce the computational complexity required to determine the optimal weight vector. ¬© 1985 IEEE</t>
  </si>
  <si>
    <t>1326-1328</t>
  </si>
  <si>
    <t>Er, M. H.;Cantoni, A.</t>
  </si>
  <si>
    <t>On an Adaptive Antenna Array Under Directional Constraint</t>
  </si>
  <si>
    <t>10.1109/TASSP.1985.1164674</t>
  </si>
  <si>
    <t>2-s2.0-0022132862</t>
  </si>
  <si>
    <t>['wall susceptance', 'wall conductances', 'wall admittances', 'wall admittance', 'tm1n mode', 'surface wave', 'singularity using', 'simple integration', 'radiation conductance', 'numerical values', 'integrals near', 'integral form', 'final expressions', 'electronics engineers', 'curve fitting', 'agrees well']</t>
  </si>
  <si>
    <t>Wall admittances for circular and annular ring microstrip antennas have been determined, including the effect of the substrate. The magnetic current model is used and the analysis is carried out in Hankel transform domain. The final expressions for wall admittances are obtained in integral form. The contributions of the surface wave to the wall conductances have been determined by evaluating the integrals near the singularity using the singularity extraction technique. The radiation conductance has been determined by simple integration. The value of wall susceptance, obtained in this paper, agrees well with Kirchhoff's equivalent extension formula. A closed form expression for wall susceptance for the TM1n mode has been obtained by curve fitting the numerical values. The effect of the substrate on wall admittance has been found to be significant for higher order modes and is shown to explain the measured input impedance of an annular ring microstrip antenna. Copyright ¬© 1985 by The Institute of Electrical and Electronics Engineers, Inc.</t>
  </si>
  <si>
    <t>1067-1073</t>
  </si>
  <si>
    <t>Spectral Domain Analysis of Wall Admittances for Circular and Annular Microstrip Patches an the Effect of Surface Waves</t>
  </si>
  <si>
    <t>10.1109/TAP.1985.1143495</t>
  </si>
  <si>
    <t>2-s2.0-0022133125</t>
  </si>
  <si>
    <t>['wave ratio', 'size profile', 'simple disk', 'second model', 'resulting antenna', 'maximum vswr', 'low vswras', 'located 0', 'loaded antenna', 'ground plane', 'georg goubau', 'frequency band', 'element disk', 'element antennaalso', 'electronics engineers', 'electrically small', 'designed using', 'comparison shows', 'bandwidth could', 'approximately 2', '26 wavelength', '097 wavelength']</t>
  </si>
  <si>
    <t>A wide-band, electrically small, disk-loaded antenna, comprising of a disk, 0.26 wavelength (at midband) in diameter, located 0.097 wavelength above a ground plane, has been designed and tested. A unique experimental procedure was used to determine the parameters of the impedance matching network, which consists of a conductive biconical center post and two structural side posts localed in the space under the disk. The resulting antenna has a maximum voltage standing-wave ratio(VSWR) of 2:l over a frequency bandwidth ratio of approximately 2:l. A second model, designed using the same technique, has a maximum VSWR of 3:l over a frequency bandwidth ratio of 3:l. This antenna was compared to a multi-element disk-loaded antenna (with the same size profile) designed by Dr. Georg Goubau. This multi-element antennaalso has a maximum VSWR of 2:l over a frequency band of approximately 2:l. The comparison shows that the simple disk-loaded antenna, withfixed double tuning, achieves the same low VSWRas the multi-element disk-loaded antenna with fixed triple tuning. Therefore, an increase in bandwidth could be achieved in the simple disk-loaded antenna by applying higher order tuning. Copyright ¬© 1985 by The Institute of Electrical and Electronics Engineers, Inc.</t>
  </si>
  <si>
    <t>1142-1148</t>
  </si>
  <si>
    <t>Friedman, Clifford H.</t>
  </si>
  <si>
    <t>Friedman C.</t>
  </si>
  <si>
    <t>Wide-Band Matching of a Small Disk-Loaded Monopole</t>
  </si>
  <si>
    <t>10.1109/TAP.1985.1143488</t>
  </si>
  <si>
    <t>2-s2.0-0022133791</t>
  </si>
  <si>
    <t>['usually required', 'unfortunately nonexhaustive', 'telephone network', 'synchronization systems', 'synchronization behavior', 'subject material', 'structure hierarchy', 'state behavior', 'set direction', 'research work', 'position determination', 'paper begins', 'numerous applications', 'nonlinear behavior', 'network synchronization', 'mathematical model', 'long felt', 'integral part', 'important role', 'future studies', 'distributing time', 'different notations', 'detailed classification', 'data gathering', 'computer communication', 'command systems', 'basic classification', 'array antennas', 'also plays', 'also explored']</t>
  </si>
  <si>
    <t>Network synchronization deals with the problem of distributing time and frequency among spatially remote locations. Network synchronization is an integral part of any large communication system, such as the telephone network. It also plays an important role in many diverse applications like navigation and position determination, computer communication, data gathering, control and command systems, and phased-array antennas. The purpose of this paper is to introduce the reader to the subject of network synchronization by organizing and presenting a tutorial of the theoretical work accomplished to date. Since the subject material is scattered, disconnected, and couched in different notations, the authors have long felt that it would be significant to organize the material and present the reader with an overview of the growth of the subject. A by-product of such a review should serve as an aid to set direction for future studies and research work. The paper begins by providing the classification of networks into plesiochronous (asynchronous) and synchronous. Further breakdown of this basic classification into a tree-structure hierarchy is presented. Since the time and frequency waveforms transmitted between nodes experience propagation delay, some form of ranging system application is usually required in order to compensate for these delays. Several delay compensation techniques are described and incorporated into a more detailed classification of the synchronization systems. This is then followed by presenting functional network models from which a generic and unified mathematical model is formulated. Network performance measures are defined and the mathematical model is used to characterize the synchronization behavior of the network in terms of these measures. Emphasis is placed on characterizing and understanding network stability, steady-state behavior, effects of clock phase noise, and channel thermal noise. The nonlinear behavior of synchronization systems is also explored. Numerous applications are pointed out and a rather complete list (unfortunately nonexhaustive) of the references is provided for the purpose of directing future research work. ¬© 1985 IEEE</t>
  </si>
  <si>
    <t>1445-1467</t>
  </si>
  <si>
    <t>60029311-60011273;60011273;60011273;60004881</t>
  </si>
  <si>
    <t>7006161540;6508086981;6603105822;7005168023</t>
  </si>
  <si>
    <t>Lindsey, William C.;Ghazvinian, Farzad;Dessouky, Khaled;Hagmann, Walter C.</t>
  </si>
  <si>
    <t>United States;United States;Switzerland</t>
  </si>
  <si>
    <t>Los Angeles;Canton;Zurich</t>
  </si>
  <si>
    <t>University of Southern California;L-3 Communications;ABB Group</t>
  </si>
  <si>
    <t>60029311;60011273;60004881</t>
  </si>
  <si>
    <t>Lindsey W.C.</t>
  </si>
  <si>
    <t>Network Synchronization</t>
  </si>
  <si>
    <t>10.1109/PROC.1985.13317</t>
  </si>
  <si>
    <t>2-s2.0-0022134119</t>
  </si>
  <si>
    <t>['sources represent', 'severely taxed', 'proper positioning', 'possible due', 'numerical examples', 'maximize consumption', 'interference sources', 'given showing', 'given number', 'freedom consumed', 'electronics engineers', 'direct bearing', 'available degrees', 'adaptive cancellation']</t>
  </si>
  <si>
    <t>A theory is developed which is used to find interference source distributions which maximize consumption of the degrees of freedom for N-channel adaptive nulling arrays with arbitrary element positions. For a given number of interference sources, after proper positioning, these sources represent a maximally stressed environment for the adaptive array degrees of freedom. The interference covariance matrix eigenvalues are shown to have a direct bearing on the number of degrees of freedom consumed as well on the adaptive cancellation. Numerical examples are given showing that certain source geometries produce the situation where little or no adaptive cancellation is possible due to the available degrees of freedom being severely taxed. Copyright ¬© 1985 by The Institute of Electrical and Electronics Engineers, Inc.</t>
  </si>
  <si>
    <t>1131-1142</t>
  </si>
  <si>
    <t>Maximizing Jammer Effectiveness for Evaluating the Performance of Adaptive Nulling Array Antennas</t>
  </si>
  <si>
    <t>10.1109/TAP.1985.1143498</t>
  </si>
  <si>
    <t>2-s2.0-0022134409</t>
  </si>
  <si>
    <t>['rectangular apertures', 'radius greater', 'present available', 'practical cases', 'plane conductor', 'one exception', 'mutual coupling', 'modal solution', 'low enough', 'infinite radius', 'improved accuracy', 'half wavelengths', 'fock function', 'excellent agreement', 'exact solution', 'electronics engineers', 'cylinder obtained', 'contribution associated', 'contains terms', 'conformal arrays', 'computational task', 'calculating self', 'axial slot', 'asymptotic solutions', 'asymptotic solution', 'approximate terms', 'also given', 'admittances computed', '5 db', '1 ¬∞']</t>
  </si>
  <si>
    <t>Asymptotic solutions for the surface field due to a magnetic point source on a cylinder can simplify the computational task in the analysis of mutual coupling-e.g. in conformal arrays. Although several asymptotic solutions are at present available, their accuracy is limited. The aim here is to obtain a new approximate solution with improved accuracy. An asymptotic solution of the exact modal solution for the field on a cylinder which contains terms up to (k0t)-2, where t is the distance from the source, is derived. Approximate terms up to (k0t) -3 are included from the solution for a source on a plane conductor and an earlier asymptotic solution. The new approximate solution consists of the exact solution for a plane conductor, modulated by a Fock function, plus a contribution associated with the cylinder which vanishes in the limit of infinite radius. Typically for cylinders of radius greater than one and half wavelengths it agrees to within O.5 dB in magnitude and 1 ¬∞ in phase of the modal solution. Results for dominant mode mutual and self-admittances of rectangular apertures on a cylinder obtained from this solution are presented. A formula is also given for calculating self-admittances from an asymptotic solution. There is excellent agreement between admittances computed from the asymptotic solution and the modal solution. One exception is the self-susceptance of an axial slot where the error is larger than expected, although the error is low enough to be acceptable in most practical cases. Copyright ¬© 1985 by The Institute of Electrical and Electronics Engineers, Inc.</t>
  </si>
  <si>
    <t>1108-1117</t>
  </si>
  <si>
    <t>Bird, Trevor S.</t>
  </si>
  <si>
    <t>Commonwealth Scientific and Industrial Research Organization</t>
  </si>
  <si>
    <t>Bird T.</t>
  </si>
  <si>
    <t>Accurate Asymptotic Solution for the Surface Field Due to Apertures in a Conducting Cylinder</t>
  </si>
  <si>
    <t>10.1109/TAP.1985.1143497</t>
  </si>
  <si>
    <t>2-s2.0-0022134567</t>
  </si>
  <si>
    <t>['way propagation', 'usual case', 'two cases', 'thick slab', 'thereby affect', 'target located', 'significant factor', 'signals received', 'scatter limit', 'resulting measurements', 'receiving antenna', 'received signal', 'received power', 'radio waves', 'radar signal', 'propagation channel', 'propagating wave', 'magnetic field', 'ionization irregularities', 'free space', 'electronics engineers', 'easily extended', 'direction parallel', 'decorrelation time', 'coherence bandwidth', 'boresight angles', 'aperture diameter', 'aperture antenna', 'antenna aperture', 'analytic solution', 'analytic expressions']</t>
  </si>
  <si>
    <t>A strongly disturbed layer of ionization irregularities that is used as a propagation channel for radio waves can degrade the propagating wave and thereby affect the resulting measurements at the receiving antenna. The antenna aperture itself also affects measurements of the received signal by its inherent averaging process. Here an analytic solution for the two-position, two-frequency mutual coherence function, valid in the strong-scatter limit, is used to characterize the propagation channel. The channel itself consists of a thick slab of anisotropic electron density irregularities that are elongated in the direction parallel to the earth's magnetic field. Analytic expressions are obtained that give the effect of the aperture antenna on measurements of received power, decorrelation time (or distance), mean time delay, time delay jitter and coherence bandwidth. These quantities are determined as functions of the aperture diameter and of the angle between the magnetic field and the direction of propagation. It is shown that in strong turbulence aperture averaging can be a significant factor in reducing the received power by angular scattering loss, increasing the observed signal decorrelation time via aperture averaging, and reducing the time delay jitter by suppression of signals received at off-boresight angles. Results are presented for two cases. One-way propagation through an ionospheric communication channel is considered where both transmitter and receiver utilize aperture antennas. This result is easily extended to the case that one of the antennas is an omnidirectional point source, corresponding to the usual case of transionospheric satellite communication from a small satellite antenna to a large ground based receiver. The second case involves transmission and reception of a radar signal that travels through a disturbed ionospheric channel to a target located in free space. This case is applicable to the situation of a large antenna aboard a space based radar or to the case of a ground based defense radar. Copyright ¬© 1985 by The Institute of Electrical and Electronics Engineers, Inc.</t>
  </si>
  <si>
    <t>1074-1084</t>
  </si>
  <si>
    <t>Knepp, Dennis L.</t>
  </si>
  <si>
    <t>Fort Collins</t>
  </si>
  <si>
    <t>Mission Research Corporation</t>
  </si>
  <si>
    <t>Knepp D.</t>
  </si>
  <si>
    <t>Aperture Antenna Effects After Propagation Through Strongly Disturbed Random Media</t>
  </si>
  <si>
    <t>10.1109/TAP.1985.1143491</t>
  </si>
  <si>
    <t>2-s2.0-0022135517</t>
  </si>
  <si>
    <t>['weight considerations', 'surface integrations', 'subroutine accounting', 'small subapertures', 'radiation pattern', 'radiation fields', 'quite costly', 'orbiting spacecraft', 'method presented', 'measured patterns', 'large reflector', 'large aperture', 'high accuracy', 'geometrical optics', 'electronics engineers', 'edge diffraction', 'due regard', 'considerable memory', 'computer time', 'computed separately', 'calculations made', 'best configurations', 'avoid overlap', 'aperture fields', 'antennas mounted', 'algorithm includes', 'algorithm given', 'adjacent subapertures']</t>
  </si>
  <si>
    <t>Large reflector antennas, from cost and weight considerations, appear to be the best configurations for achieving the very large apertures needed for antennas mounted on orbiting spacecraft. Radiation pattern calculations for such antennas are, in general, quite costly both in terms of computer time and the considerable memory' required to perform the large surface integrations. The method presented here treats the large aperture as a set of small subapertures for which the radiation fields are computed separately, stored and then added with due regard to phase to yield the radiation pattern of the large reflector. Numerical methods developed to provide the illumination of each subaperture to avoid overlap of the aperture fields of adjacent subapertures and to simplify the surface integrations are discussed. The algorithm is straightforward and has considerable intuitive appeal. The methods of geometrical optics (GO) are used to calculate the aperture plane tangential field components; and electric vector potential is then used to compute the antenna radiation fields. The algorithm includes a set of options for different reflector surfaces. If high accuracy of the far sidelobe levels is required, a subroutine accounting for edge diffraction should be added to the algorithm given here. Calculations made with this algorithm are compared with calculations made by other methods and with measured patterns. Copyright ¬© 1985 by The Institute of Electrical and Electronics Engineers, Inc.</t>
  </si>
  <si>
    <t>1101-1108</t>
  </si>
  <si>
    <t>60022144;60005304;60004923</t>
  </si>
  <si>
    <t>35465847700;6505826910;57212887845</t>
  </si>
  <si>
    <t>Christodoulou, Christos G.;Botula, Alan B.;Kauffman, J. Frank</t>
  </si>
  <si>
    <t>Orlando;Waltham;Raleigh</t>
  </si>
  <si>
    <t>University of Central Florida;Raytheon;NC State University</t>
  </si>
  <si>
    <t>Christodoulou C.</t>
  </si>
  <si>
    <t>On an Algorithm for Analysis of the Radiation Patterns of Dual Reflector and Segmented Reflector Antennas</t>
  </si>
  <si>
    <t>10.1109/TAP.1985.1143490</t>
  </si>
  <si>
    <t>2-s2.0-0022135518</t>
  </si>
  <si>
    <t>['peak gain', 'mutual coupling', 'large two', 'input impedance', 'infinite array', 'good agreement', 'experimental investigation', 'experimental data', 'element position', 'electronics engineers', 'array size', '50 ¬∞']</t>
  </si>
  <si>
    <t>A theoretical and experimental investigation of the mutual coupling in large two-dimensional periodic planar phased arrays of thin cylindrical monopoles is addressed. A plane wave representation of the active input impedance is used to analyze an infinite array of monopoles. A finite array analysis is used to compute the center element gain pattern and input impedance as a function of the array size and element position. The center element gain pattern is shown to have omnidirectional vertical polarization with a null on-axis and peak gain in the vicinity of 50¬∞ from broadside. Measurements of the element gain pattern and mutual coupling for a 121-element passively terminated monopole square lattice array are shown to be in good agreement with the theory. The results of the infinite array analysis are compared to theoretical and experimental data in the literature for hexagonal lattice arrays. Copyright ¬© 1985 by The Institute of Electrical and Electronics Engineers, Inc.</t>
  </si>
  <si>
    <t>1118-1126</t>
  </si>
  <si>
    <t>Theoretical and Experimental Study of Monopole Phased Array Antennas</t>
  </si>
  <si>
    <t>10.1109/TAP.1985.1143499</t>
  </si>
  <si>
    <t>2-s2.0-0022135645</t>
  </si>
  <si>
    <t>['transmission characteristics', 'rock sampled', 'reconstructed using', 'receiver locations', 'radio waves', 'numerous transmitter', 'natural caverns', 'multiple views', 'materials present', 'mapping fractures', 'locating tunnels', 'investigate rock', 'images enable', 'image provides', 'ground surface', 'geologic structures', 'electromagnetic properties', 'electrical properties', 'egt systems', 'egt image', 'detailed map']</t>
  </si>
  <si>
    <t>Electromagnetic geophysical tomography, an adaptation of the CAT (computerized axial tomography) concept, was developed at the Lawrence Livermore National Laboratory to investigate rock below the ground surface. Electromagnetic geophysical tomography (EGT) can be used to characterize prospective urban subways, locating tunnels and natural caverns, mapping fractures in rock, and delineating groundwater pathways. In most applications where EGT systems are used, the sensors (antennas) are placed within two boreholes. The transmission characteristics of radio waves are measured between numerous transmitter and receiver locations. Since the electrical properties of rock mass affect radio waves passing through it, it is possible to calculate the electromagnetic properties of the rock sampled by the waves. By moving the antennas up and down the boreholes, multiple views of the rock are obtained. The EGT image is reconstructed using a computer and is then displayed on a CRT and analyzed. The image provides a detailed map of the electrical properties of the rock. These images enable an interpreter to understand the geologic structures and materials present.</t>
  </si>
  <si>
    <t>IEEE Potentials</t>
  </si>
  <si>
    <t>Oct</t>
  </si>
  <si>
    <t>60026175;60026175</t>
  </si>
  <si>
    <t>7005921176;35577509700</t>
  </si>
  <si>
    <t>Lytle, R. Jeffrey;Ramirez, Abelardo L.</t>
  </si>
  <si>
    <t>Livermore</t>
  </si>
  <si>
    <t>Lawrence Livermore National Laboratory</t>
  </si>
  <si>
    <t>Lytle R.</t>
  </si>
  <si>
    <t>UNDERGROUND PHENOMENA IMAGING USING ELECTROMAGNETIC GEOPHYSICAL TOMOGRAPHY.</t>
  </si>
  <si>
    <t>10.1109/MP.1985.6500256</t>
  </si>
  <si>
    <t>2-s2.0-0022135649</t>
  </si>
  <si>
    <t>['wall modulations', 'wall modulation', 'striking modifications', 'resonant exchange', 'readily excited', 'propagating modes', 'plasma heating', 'periodic exchanges', 'passband phenomena', 'made difficult', 'localized antennae', 'heating properties', 'giving rise', 'give rise', 'geometrical optics', 'ebt may', 'device size', 'cylindrical eigenmodes', 'cyclotron heating', 'corrugated boundaries', 'complex geometry', 'characteristic wavelengths', 'analyze thepropagation']</t>
  </si>
  <si>
    <t>The analysis of ion-cyclotron wave propagation and related plasma heating in the Elmo Bumpy Torus (EBT) magnetic confinement experiment is made difficult by the complex geometry of that device. Characteristic wavelengths are of the order of the device size, and the approximation of geometrical optics, used so successfully in studies of electron-cyclotron heating, is not valid. An analysis of ion-cyclotron wave propagation is presented here which is based on the assumption that EBT may be approximated by a weakly bumpy cylinder. Specifically, a perturbation methodology specially developed to analyze thepropagation of waves through media with corrugated boundaries is utilized. It is found that even modest amounts of wall modulation can give rise to striking modifications of the cylindrical eigenmodes. Furthermore, cylindrical eigenmodes may resonate with each other and the wall modulations, giving rise to the occurrence of stopband and passband phenomena and periodic exchanges of energy between propagating modes. The resonant exchange of energy between eigenmodes with sharp axial structure and weak radial structure (readily excited by localized antennae) and eigenmodes with weak axial structure and sharp radial structure (conducive to plasma heating) suggests new ways in which antennae and wall structures may be configured to achieve desirable wave-heating properties. ¬© 1985 IEEE</t>
  </si>
  <si>
    <t>346-354</t>
  </si>
  <si>
    <t>Gladd, N. T.</t>
  </si>
  <si>
    <t>Gladd N.</t>
  </si>
  <si>
    <t>Ion-Cyclotron Waves in Elmo Bumpy Torus: Perturbation Analysis of the Effects of Wall Bumpiness</t>
  </si>
  <si>
    <t>10.1109/TPS.1985.4316436</t>
  </si>
  <si>
    <t>2-s2.0-0022136076</t>
  </si>
  <si>
    <t>['surface waves', 'printed dipoles', 'power lost', 'infinite array', 'finite array', 'element patterns', 'electronics engineers', 'computational efficiency', 'also presented']</t>
  </si>
  <si>
    <t>The problem of a finite array of printed dipoles is treated, and results are presented in the form of reflection coefficient magnitudes, element patterns, and efficiency (based on power lost to surface waves). Various sized arrays are considered, and are compared with infinite array solutions. The excitation of surface waves is discussed in relation to the scan blindness phenomenon and the transition to an infinite array. Techniques for computational efficiency are also presented. Copyright ¬© 1985 by The Institute of Electrical and Electronics Engineers, Inc.</t>
  </si>
  <si>
    <t>1045-1053</t>
  </si>
  <si>
    <t>Analysis of Finite Phased Arrays of Printed Dipoles</t>
  </si>
  <si>
    <t>10.1109/TAP.1985.1143501</t>
  </si>
  <si>
    <t>2-s2.0-0022136504</t>
  </si>
  <si>
    <t>['short arm', 'radiation pattern', 'power gain', 'input impedance', 'electronics engineers', 'axial ratio']</t>
  </si>
  <si>
    <t>The input impedance, radiation pattern, axial ratio, and power gain of a conical helix antenna with a short arm are calculated as a function of frequency, using theoretically determined current distribu- Copyright ¬© 1985 by The Institute of Electrical and Electronics Engineers, Inc.</t>
  </si>
  <si>
    <t>1157-1160</t>
  </si>
  <si>
    <t>60030526;60030526;60082079</t>
  </si>
  <si>
    <t>55633340100;7007141512;56405174700</t>
  </si>
  <si>
    <t>Nakano, Hisamatsu;Mikawa, Takao;Yamauchi, Junji</t>
  </si>
  <si>
    <t>Tokyo Metropolitan College of Technology;Hosei University</t>
  </si>
  <si>
    <t>60082079;60030526</t>
  </si>
  <si>
    <t>Investigation of a Short Conical Helix Antenna</t>
  </si>
  <si>
    <t>10.1109/TAP.1985.1143489</t>
  </si>
  <si>
    <t>2-s2.0-0022137359</t>
  </si>
  <si>
    <t>['¬© 1985', 'wave energy', 'rights reserved', 'plasma surface', 'plasma centre', 'mhd theory', 'large plasmas', 'help interpret', 'hall term', 'first eigenfrequency', 'deposited near', 'computational results', 'briefly discussed', 'antenna resistance', 'antenna impedance', 'analytic expression']</t>
  </si>
  <si>
    <t>MHD theory with the Hall term has been used to analyse the Alfven resonance heating of cylindrical plasmas using axisymmetric waves excited by an antenna. An analytic expression for the antenna impedance has been derived for a simple plasma model and this is used to help interpret the computational results for small, medium and large plasmas. Compressional wave eigenmodes give large antenna resistances; however, the energy is deposited near the plasma surface. At a frequency just above each eigenfrequency, the Alfven resonance damping is zero. Below the first eigenfrequency, the energy can be deposited near the plasma centre; however, the antenna resistance is fairly low except for medium size plasmas with a nearly constant central density. Ion cyclotron wave resonances are briefly discussed. Some general concepts relevant to the penetration of wave energy into large plasmas are presented. ¬© 1985, Cambridge University Press. All rights reserved.</t>
  </si>
  <si>
    <t>227-246</t>
  </si>
  <si>
    <t>Journal of Plasma Physics</t>
  </si>
  <si>
    <t>60023748-60025709</t>
  </si>
  <si>
    <t>Donnelly, I. J.</t>
  </si>
  <si>
    <t>Australia;Australia</t>
  </si>
  <si>
    <t>Sydney;Lucas Heights</t>
  </si>
  <si>
    <t>The University of Sydney;Australian Nuclear Science and Technology Organisation</t>
  </si>
  <si>
    <t>60025709;60023748</t>
  </si>
  <si>
    <t>Donnelly I.</t>
  </si>
  <si>
    <t>Alfv√©n wave heating of a cylindrical plasma using axisymmetric waves. Part 1. MHD theory</t>
  </si>
  <si>
    <t>10.1017/S0022377800002816</t>
  </si>
  <si>
    <t>2-s2.0-0022137660</t>
  </si>
  <si>
    <t>['unique set', 'thermolytic glycopeptides', 'proper access', 'om oligosaccharides', 'oligomannosidic glycans', 'observations demonstrate', 'little fucose', 'lack fucose', 'incomplete antennae', 'highly fucosylated', 'hemagglutinin revealed', 'hemagglutinin allowed', 'h7n1 )]', 'glycosylation sites', 'glycosidic oligosaccharides', 'enzymes responsible', 'dimensional structure', 'carbohydrate structure', 'carbohydrate processing', 'bisecting n', 'asn123 shows', 'acetyllactosaminic type', '500 mhz']</t>
  </si>
  <si>
    <t>The structures of the oligosaccharides of the hemagglutinin of fowl plague virus [influenza A/FPV/Rostock/34 (H7N1)] have been elucidated by one- and two-dimensional 1H n.m.r. spectroscopy at 500 MHz and by microscale methylation analysis. N-Glycosidic oligosaccharides of the oligomannosidic (OM) and of the N-acetyllactosaminic type have been found, the latter type comprising biantennary structures, without (A) or with (E) bisecting N-acetylglucosamine, and triantennary (C) structures. Analysis of the tryptic and thermolytic glycopeptides of the hemagglutinin allowed the allocation of these oligosaccharides to the individual glycosylation sites. Each attachment site contained a unique set of oligosaccharides. Asn12 contains predominantly structures C and E which are highly fucosylated. Asn28 contains OM and A structures that lack fucose and sulfate. Asn123 shows A that has incomplete antennae but is highly fucosylated and sulfated. Asn149 has fucosylated A and E. Asn231 shows fucosylated A and E with incomplete antennae. Asn406 has OM oligosaccharides. Asn478 has A and E with little fucose. Localization of the oligosaccharides on the three-dimensional structure of the hemagglutinin revealed that the oligomannosidic glycans are attached to glycosylation sites at which the enzymes responsible for carbohydrate processing do not have proper access. These observations demonstrate that an important structural determinant for the oligosaccharide side chains is the structure of the glycoprotein itself. In addition, evidence was obtained that the rate of glycoprotein synthesis also has an influence on carbohydrate structure.</t>
  </si>
  <si>
    <t>2711-2720</t>
  </si>
  <si>
    <t>The EMBO journal</t>
  </si>
  <si>
    <t>;;;;;;</t>
  </si>
  <si>
    <t>7006175222;7102649252;7102959892;6701616952;35482856600;7007163902;24432172000</t>
  </si>
  <si>
    <t>Keil, W.;Geyer, R.;Dabrowski, J.;Dabrowski, U.;Niemann, H.;Stirm, S.;Klenk, H. D.</t>
  </si>
  <si>
    <t>Keil W.</t>
  </si>
  <si>
    <t>Carbohydrates of influenza virus. Structural elucidation of the individual glycans of the FPV hemagglutinin by two-dimensional 1H n.m.r. and methylation analysis.</t>
  </si>
  <si>
    <t>10.1002/j.1460-2075.1985.tb03991.x</t>
  </si>
  <si>
    <t>2-s2.0-0022137782</t>
  </si>
  <si>
    <t>['tracing approach', 'optical system', 'operation principle', 'one coincident', 'integration method', 'focal line', 'first reflector', 'field patterns', 'feed horn', 'also determined']</t>
  </si>
  <si>
    <t>Two parabolic cylinders having the focal line of one coincident with the directrix of the other form an optical system that focuses the focal line of the first reflector to a point at infinity. The operation principle of such a system is studied, and its far diffracted field is determined. The unit is assumed to be illuminated by a directional point source, simulating a feed horn, and a ray-tracing approach is used to obtain the reflected and main diffracted fields over its aperture. The far-field patterns in the vicinity of the main beam direction are then computed by an aperture-integration method. The effects of various system parameters, on the far-field patterns, are also determined.</t>
  </si>
  <si>
    <t>1299-1305</t>
  </si>
  <si>
    <t>7004817270;8092251400</t>
  </si>
  <si>
    <t>Sanad, M. S.A.;Shafai, L.</t>
  </si>
  <si>
    <t>Sanad M.</t>
  </si>
  <si>
    <t>PROPERTIES OF DUAL PARABOLIC CYLINDRICAL REFLECTORS.</t>
  </si>
  <si>
    <t>10.1139/p85-214</t>
  </si>
  <si>
    <t>2-s2.0-0022137829</t>
  </si>
  <si>
    <t>['voltage version', 'voltage applied', 'several cycles', 'rights reserved', 'rf phase', 'rapid changes', 'radiation beam', 'optical controller', 'optic interferometer', 'one arm', 'new fiber', 'mode fiber', 'miniature low', 'heterodyne interferometer', 'electrical signal', 'direct proportion', 'controller consists', 'array antenna', '125 mhz']</t>
  </si>
  <si>
    <t>A new fiber-optic device designed to steer the radiation beam of a phased-array antenna has been demonstrated. A radiofrequency (RF) signal at 125 MHz is generated via photomixing at the output of a single-mode fiber-optic interferometer. The phase of the electrical signal is shifted over several cycles in direct proportion to a voltage applied to an optical controller. The controller consists of a Pockels-type optical phase modulator located in one arm of the heterodyne interferometer. Rapid changes in RF phase are feasible. A miniature low-voltage version of the device, based upon integrated optics, is proposed. ¬© 1985 IEEE. All rights reserved.</t>
  </si>
  <si>
    <t>992-998</t>
  </si>
  <si>
    <t>Soref, Richard A.</t>
  </si>
  <si>
    <t>Hanscom</t>
  </si>
  <si>
    <t>AFB</t>
  </si>
  <si>
    <t>Soref R.</t>
  </si>
  <si>
    <t>Voltage-Controlled Optical/RF Phase Shifter</t>
  </si>
  <si>
    <t>10.1109/JLT.1985.1074305</t>
  </si>
  <si>
    <t>2-s2.0-0022142395</t>
  </si>
  <si>
    <t>7406588622;8092251400</t>
  </si>
  <si>
    <t>Lin, Y.;Shafai, L.</t>
  </si>
  <si>
    <t>Lin Y.</t>
  </si>
  <si>
    <t>MOMENT-METHOD SOLUTION OF THE NEAR-FIELD DISTRIBUTION AND FAR-FIELD PATTERNS OF MICROSTRIP ANTENNAS.</t>
  </si>
  <si>
    <t>10.1049/ip-h-2.1985.0066</t>
  </si>
  <si>
    <t>2-s2.0-0022144883</t>
  </si>
  <si>
    <t>['time domain', 'radiation patterns', 'pulsed signal', 'highly directive', 'francis group']</t>
  </si>
  <si>
    <t>The radiation patterns of an array of hertzian electric dipoles fed by a pulsed signal have been obtained in the time domain and the conditions under which the field slope pattern is highly directive are shown. ¬© 1985 Taylor &amp; Francis Group, LLC.</t>
  </si>
  <si>
    <t>435-438</t>
  </si>
  <si>
    <t>60027844;60027844;60027844</t>
  </si>
  <si>
    <t>7003589064;57207871862;6701414738</t>
  </si>
  <si>
    <t>Martin, Rafael Gomez;Morente, Juan A.;Bretones, Amelia R.</t>
  </si>
  <si>
    <t>Martin R.</t>
  </si>
  <si>
    <t>Arrays of hertzian electric dipoles for non-sinusoidal signals</t>
  </si>
  <si>
    <t>10.1080/00207218508920714</t>
  </si>
  <si>
    <t>2-s2.0-0022144925</t>
  </si>
  <si>
    <t>400-406</t>
  </si>
  <si>
    <t>60013506;60013506</t>
  </si>
  <si>
    <t>57198995440;7406035405</t>
  </si>
  <si>
    <t>Patel, P. D.;Chan, K. K.</t>
  </si>
  <si>
    <t>Edmonton</t>
  </si>
  <si>
    <t>L-3 Communications SPAR Aerospace Limited</t>
  </si>
  <si>
    <t>Patel P.D.</t>
  </si>
  <si>
    <t>OPTIMISATION OF CONTOURED BEAMS FOR SATELLITE ANTENNAS.</t>
  </si>
  <si>
    <t>10.1049/ip-h-2.1985.0071</t>
  </si>
  <si>
    <t>2-s2.0-0022145354</t>
  </si>
  <si>
    <t>['¬© 1985', 'tuning posts', 'rights reserved', 'passive metallic', 'operating frequencies', 'investigated experimentally', 'input region', 'input performance', 'electrical engineers']</t>
  </si>
  <si>
    <t>A method to control the resonant or operating frequencies of circular patch antennas has been investigated experimentally and theoretically. It consists of the placement of passive metallic or tuning posts at approximate locations within the input region of the antenna. Comparison of measured and analytical results seems to establish the validity of a theoretical model proposed to determine the input performance of such circular patch antennas. ¬© 1985, The Institution of Electrical Engineers. All rights reserved.</t>
  </si>
  <si>
    <t>1022-1023</t>
  </si>
  <si>
    <t>60025778;60025778</t>
  </si>
  <si>
    <t>7007016380;56721541500</t>
  </si>
  <si>
    <t>Lan, G. L.;Sengupta, D. L.</t>
  </si>
  <si>
    <t>Lan G.L.</t>
  </si>
  <si>
    <t>Tunable Circular Patch Antennas</t>
  </si>
  <si>
    <t>10.1049/el:19850725</t>
  </si>
  <si>
    <t>2-s2.0-0022145381</t>
  </si>
  <si>
    <t>['wiley company', 'theoretical analysis', 'spurious radiation', 'rectenna array', 'receiving antenna', 'input impedance', 'inc .,', 'higher harmonics', 'difference equations', 'dc energy', 'conversion efficiency', 'confirmed experimentally', 'aluminum sheet']</t>
  </si>
  <si>
    <t>In using the rectenna array as a receiving antenna in microwave power transmission it is necessary to prevent spurious radiation of higher harmonics and from interfering with wireless communication paths and to achieve high efficiency in conversion of microwaves to dc energy. In this paper the conversion efficiency and spurious radiation of higher harmonics are examined by solving circuit equations which are transformed to difference equations with the use of Newton's method. The input impedance of the antenna is obtained by assuming an infinite planar array on a perfectly conducting plane. Consistent with the theoretical analysis, an experimental rectenna array is constructed and its performance is confirmed experimentally. The rectenna array is fabricated by mounting the diode and other components in a thin‚Äêfilm LC circuit with soda‚Äêglass substrate using MIC technology and by connecting it to a 69‚Äêelement half wave dipole array above an aluminum sheet. Copyright ¬© 1985 Wiley Periodicals, Inc., A Wiley Company</t>
  </si>
  <si>
    <t>110-118</t>
  </si>
  <si>
    <t>60008435;60008435</t>
  </si>
  <si>
    <t>7004294644;56779495700</t>
  </si>
  <si>
    <t>Shimanuki, Yasushi;Adachi, Saburo</t>
  </si>
  <si>
    <t>Shimanuki Y.</t>
  </si>
  <si>
    <t>Theoretical and experimental study on rectenna array for microwave power transmission</t>
  </si>
  <si>
    <t>10.1002/ecja.4410681013</t>
  </si>
  <si>
    <t>2-s2.0-0022145396</t>
  </si>
  <si>
    <t>395-399</t>
  </si>
  <si>
    <t>57010564900;56020461500</t>
  </si>
  <si>
    <t>Lee, C. K.;Langley, R. J.</t>
  </si>
  <si>
    <t>Lee C.K.</t>
  </si>
  <si>
    <t>EQUIVALENT-CIRCUIT MODELS FOR FREQUENCY-SELECTIVE SURFACES AT OBLIQUE ANGLES OF INCIDENCE.</t>
  </si>
  <si>
    <t>10.1049/ip-h-2.1985.0070</t>
  </si>
  <si>
    <t>2-s2.0-0022146115</t>
  </si>
  <si>
    <t>384-390</t>
  </si>
  <si>
    <t>60002874;60002874</t>
  </si>
  <si>
    <t>7403597567;57188557257</t>
  </si>
  <si>
    <t>Das, A.;Das, S. K.</t>
  </si>
  <si>
    <t>Delhi Technological University</t>
  </si>
  <si>
    <t>Das A.</t>
  </si>
  <si>
    <t>INPUT IMPEDANCE OF A PROBE EXCITED CIRCULAR MICROSTRIP RING ANTENNA.</t>
  </si>
  <si>
    <t>10.1049/ip-h-2.1985.0068</t>
  </si>
  <si>
    <t>2-s2.0-0022146353</t>
  </si>
  <si>
    <t>['¬© asce', 'tower materials', 'numerical studies', 'automated sizing']</t>
  </si>
  <si>
    <t>A procedure is described for automated sizing of the members andselection ofpretension values for guyed antenna towers. The towers consist ofa triangular cross section, tubular member mast supported by a number of setsof pretensioned guys. The sizing procedure employs a nonlinear finite elementanalysis coupled to a nonlinear mathematical programming based optimizer.Numerical studies were performed on a typical VLF antenna configuration toobtain minimum weight tower designs. Various loading conditions, towerheights, and tower materials were considered. ¬© ASCE.</t>
  </si>
  <si>
    <t>2121-2137</t>
  </si>
  <si>
    <t>Journal of Structural Engineering (United States)</t>
  </si>
  <si>
    <t>Minimum weight sizing ofguyedantenna towers</t>
  </si>
  <si>
    <t>10.1061/(ASCE)0733-9445(1985)111:10(2121)</t>
  </si>
  <si>
    <t>2-s2.0-0022146710</t>
  </si>
  <si>
    <t>['¬© 1985', 'robustness capability', 'rights reserved', 'optimum beamformer', 'main beam', 'full processor', 'electrical engineers', 'directional errors', 'alternative formulation']</t>
  </si>
  <si>
    <t>Antennas | Radio-wave propagation</t>
  </si>
  <si>
    <t>In the paper, an alternative formulation for an optimum beamformer with a robustness capability against directional errors is presented. With this approach, the width of the main beam can be specified and a compromise can be reached between a reasonable signal acceptance angle and the ability of the beamformer to reject directional interferences. Furthermore, based on a partitioned processor interpretation, the new beamformer gives a clue to a way of reducing the complexity of a full processor. ¬© 1985, The Institution of Electrical Engineers. All rights reserved. ¬© 1985, The Institution of Electrical Engineers. All rights reserved.</t>
  </si>
  <si>
    <t>447-460</t>
  </si>
  <si>
    <t>An alternative formulation for an optimum beamformer with robustness capability</t>
  </si>
  <si>
    <t>10.1049/ip-f-1.1985.0085</t>
  </si>
  <si>
    <t>2-s2.0-0022146969</t>
  </si>
  <si>
    <t>['¬© 1985', 'theoretical results', 'single slot', 'shunt element', 'rights reserved', 'pertinent theory', 'moments solutions', 'longitudinal slot', 'height guide', 'critical need', 'critical look', 'costly gathering', 'b dimension']</t>
  </si>
  <si>
    <t>Pertinent theory for the design of longitudinal slot arrays is reviewed and its dependence on the dominant mode scattering off a single slot is pinpointed. The critical need to know resonant length versus slot offset is emphasized and the desirability of determining this information theoretically rather than experimentally is argued. Then method of moments solutions are used to calculate resonant length versus slot offset for given waveguide dimensions and frequency. These theoretical results are compared to new, carefully obtained experimental data. Agreement is found to be so good, it is concluded that one can dispense with the costly gathering of experimental input data when designing longitudinal slot arrays fed by standard rectangular waveguide. A critical look is taken at the validity of representing the longitudinal slot as a shunt element on an equivalent transmission line. This assumption is found to be more and more questionable as the b dimension is reduced. For quarter-height guide, an alternate design procedure is suggested as being more accurate. ¬© 1985, IEEE. All rights reserved.</t>
  </si>
  <si>
    <t>1264-1271</t>
  </si>
  <si>
    <t>60021392;60027550</t>
  </si>
  <si>
    <t>7101778980;57220065537</t>
  </si>
  <si>
    <t>Stern, George J.;Elliott, Robert S.</t>
  </si>
  <si>
    <t>Los Angeles;Tucson</t>
  </si>
  <si>
    <t>University of California, Los Angeles;Hughes Missile Systems Company</t>
  </si>
  <si>
    <t>60027550;60021392</t>
  </si>
  <si>
    <t>Stern G.J.</t>
  </si>
  <si>
    <t>Resonant Length of Longitudinal Slots and Validity of Circuit Representation: Theory and Experiment</t>
  </si>
  <si>
    <t>10.1109/TAP.1985.1143509</t>
  </si>
  <si>
    <t>2-s2.0-0022147735</t>
  </si>
  <si>
    <t>['‚ àí12', 'optical frequency', '70 ghz']</t>
  </si>
  <si>
    <t>A quasi-optical frequency-multiplying slot array for highpower millimeterwave applications has been demonstrated. Single slot conversion loss measured for X- and Ka-band models produced results that are similar to in waveguide multipliers using the same type of diodes. An eight-element multiplying array exhibited better than ‚àí12-dB sidelobe level at 70 GHz. The simple planar structure makes millimeter IC fabrication of the slot array feasible. ¬© 1985 IEEE</t>
  </si>
  <si>
    <t>1189-1195</t>
  </si>
  <si>
    <t>60015272;60013372</t>
  </si>
  <si>
    <t>7004380165;36041035600</t>
  </si>
  <si>
    <t>Camilleri, Natalino;Itoh, Tatsuo</t>
  </si>
  <si>
    <t>Dallas;Austin</t>
  </si>
  <si>
    <t>Texas Instruments;The University of Texas at Austin</t>
  </si>
  <si>
    <t>Camilleri N.</t>
  </si>
  <si>
    <t>A Quasi-Optical Multiplying Slot Array</t>
  </si>
  <si>
    <t>10.1109/TMTT.1985.1133192</t>
  </si>
  <si>
    <t>2-s2.0-0022147741</t>
  </si>
  <si>
    <t>['¬± 0', '¬© 1985', 'three parameters', 'system using', 'satellite position', 'rights reserved', 'reference station', 'possible errors', 'position equations', 'hop measurement', 'elevation angle', 'antenna encoder', '90 mbit']</t>
  </si>
  <si>
    <t>A real time satellite position determination method using a single reference station is presented. The satellite position is determined from these three parameters: the distance between the reference station and the satellite that can be obtained by a single-hop measurement, the elevation angle, and the azimuth angle obtained from the antenna encoder. The error of the transmit frame delay is determined from the position equations, together with other possible errors. The accuracy is about ¬± 42 symbols for a 90 Mbit/s time-division multiple access (TDMA) system using an encoder with a ¬± 0.001¬∞ resolution. ¬© 1985, IEEE. All rights reserved.</t>
  </si>
  <si>
    <t>751-756</t>
  </si>
  <si>
    <t>Ha, T. T.</t>
  </si>
  <si>
    <t>Blacksburg</t>
  </si>
  <si>
    <t>Virginia Polytechnic Institute and State University</t>
  </si>
  <si>
    <t>Ha T.T.</t>
  </si>
  <si>
    <t>Real Time Satellite Position Determination for TDMA Systems</t>
  </si>
  <si>
    <t>10.1109/TAES.1985.310659</t>
  </si>
  <si>
    <t>2-s2.0-0022147789</t>
  </si>
  <si>
    <t>['real permittivity', 'field radiated', 'electronics engineers', 'complex permittivity']</t>
  </si>
  <si>
    <t>The propagation of a field radiated by a vertical magnetic dipole located in a plane stratified medium is described in terms of rays obeying geometrical optics laws. This leads to a simple equation linking the field to the complex permittivity of each layer. This equation is then solved to obtain the real permittivity and the conductivity of each layer. In addition it is shown, by rigorously simulating measured values, that the knowledge of the phase of the field provides valuable information on the location of the interfaces. Copyright ¬© 1985 by The Institute of Electrical and Electronics Engineers, Inc.</t>
  </si>
  <si>
    <t>819-826</t>
  </si>
  <si>
    <t>60007136;60007136;60001422</t>
  </si>
  <si>
    <t>57194981420;7003287869;7006771943</t>
  </si>
  <si>
    <t>Falchetti, F.;Lesselier, D.;Tabbara, Walid</t>
  </si>
  <si>
    <t>Gif-sur-Yvette;Paris</t>
  </si>
  <si>
    <t>Laboratoire des Signaux et Syst√®mes;Sorbonne Universite</t>
  </si>
  <si>
    <t>60007136;60001422</t>
  </si>
  <si>
    <t>Falchetti F.</t>
  </si>
  <si>
    <t>Probing of a Stratified Medium By Means of a Magnetic Dipole: A Geometrical Optics Approach</t>
  </si>
  <si>
    <t>10.1109/TGRS.1985.289466</t>
  </si>
  <si>
    <t>2-s2.0-0022147793</t>
  </si>
  <si>
    <t>['¬© 1985', 'wave ratio', 'voltage standing', 'successfully applied', 'rights reserved', 'plane pattern', 'plane model', 'normally obtainable', 'moment method', 'measured data', 'initially design', 'higher frequencies', 'frequency characteristics', 'following modifications', 'dimensional e', 'dimensional antenna', 'diffraction provides', 'diffraction may', 'computation time', 'aperture edges', 'actual three']</t>
  </si>
  <si>
    <t>The moment method and the uniform geometrical theory of diffraction are used to obtain two separate solutions for the E-plane far field pattern of an aperture-matched horn antenna. This particular horn antenna consists of a standard pyramidal horn with the following modifications: a rolled edge section attached to the aperture edges and a curved throat section. The resulting geometry provides significantly better performance in terms of the pattern, impedance, and frequency characteristics than normally obtainable. The moment method is used to calculate the E-plane pattern and voltage standing-wave ratio (VSWR) of the antenna. However, at higher frequencies, the moment method requires large amounts of computation time. On the other hand, the uniform geometrical theory of diffraction provides a quick and efficient high frequency solution for the E-plane field pattern. In fact, the uniform geometrical theory of diffraction may be used to initially design the antenna; then the moment method may be applied to ‚Äúfine tune‚Äù it. In both methods, a two-dimensional E-plane model of the antenna is used, but these two-dimensional solutions yield excellent agreement with measured data of the actual three-dimensional antenna. This procedure has been successfully applied to design a compact range feed horn. ¬© 1985, IEEE. All rights reserved.</t>
  </si>
  <si>
    <t>1249-1255</t>
  </si>
  <si>
    <t>7801380547;7004270570</t>
  </si>
  <si>
    <t>Heedy, David J.;Burnside, Walter D.</t>
  </si>
  <si>
    <t>Heedy D.</t>
  </si>
  <si>
    <t>An Aperture-Matched Compact Range Feed Horn Design</t>
  </si>
  <si>
    <t>10.1109/TAP.1985.1143518</t>
  </si>
  <si>
    <t>2-s2.0-0022148006</t>
  </si>
  <si>
    <t>['temperature sensitivity', 'studies related', 'special features', 'sea surface', 'satellite track', 'related investigations', 'primarily intended', 'mode analysis', 'microwave emission', 'indian subcontinent', 'ground resolutions', 'general land', 'emission characteristics', 'electronics engineers', 'earth observations', 'board bhaskara', 'alternate mode', '235 ghz', '230 km', '1 k']</t>
  </si>
  <si>
    <t>Emission characteristics from ocean surfaces around the Indian subcontinent have been studied using data from the satellite microwave radiometer (SAMIR) on board Bhaskara, the first Indian satellite for Earth observations. SAMIR is a three-channel microwave radiometer, with two channels operating at around 19 GHz and one at 22.235 GHz. Each radiometer has a temperature sensitivity of better than 1 K, and the ground resolutions are 150 and 230 km, respectively. The radiometers are primarily intended for studies related to meteorology and oceanography, and for general land-related investigations. One of the special features of the payload is that it can be operated in two different modes of spin of the satellite. In the first (normal mode), the antennas scan along the satellite track, and in the other (alternate mode), the antennas scan across the track. The data of the alternate mode have been compared with theoretical emission models and also with the normal-mode analysis. The results correlate well with the established theoretical studies for both the horizontally and vertically polarized components of microwave emission from the sea surface. The effects of mixed polarization also correlate well with the data. Copyright ¬© 1985 by The Institute of Electrical and Electronics Engineers, Inc.</t>
  </si>
  <si>
    <t>933-940</t>
  </si>
  <si>
    <t>7101987278;6701379515</t>
  </si>
  <si>
    <t>Raju, G.;Calla, O. P.N.</t>
  </si>
  <si>
    <t>Raju G.</t>
  </si>
  <si>
    <t>Sea Surface Emission Characteristics as Viewed by the Spin-Scanned Satellite Microwave Radiometer (SAMIR)</t>
  </si>
  <si>
    <t>10.1109/TGRS.1985.289480</t>
  </si>
  <si>
    <t>2-s2.0-0022148156</t>
  </si>
  <si>
    <t>['¬© 1985', 'rights reserved', 'reflector antenna', 'electrical engineers', 'directly optimise', 'diffractive analysis']</t>
  </si>
  <si>
    <t>A specified radiation pattern is achieved by shaping a reflector antenna to directly optimise the result in a diffractive analysis. ¬© 1985, The Institution of Electrical Engineers. All rights reserved.</t>
  </si>
  <si>
    <t>1164-1165</t>
  </si>
  <si>
    <t>57197192970;7006192058;23062556900</t>
  </si>
  <si>
    <t>Brown, R. C.;Clarricoats, P. J.B.;Zhou, H.</t>
  </si>
  <si>
    <t>Brown R.C.</t>
  </si>
  <si>
    <t>Optimum Shaping Of Reflector Antennas For Specified Radiation Patterns</t>
  </si>
  <si>
    <t>10.1049/el:19850823</t>
  </si>
  <si>
    <t>2-s2.0-0022148913</t>
  </si>
  <si>
    <t>['usable spread', 'three times', 'single antennas', 'shaped beams', 'problems associated', 'note quantifies', 'narrower antenna', 'internal reflections', 'interference set', 'identical beam', 'equal beamwidths', 'electronics engineers', 'beamwidth ratios', 'beam intersection', 'antenna systems', 'antenna centers', 'angular ratio']</t>
  </si>
  <si>
    <t>Short-range FM scatterometers with single antennas are plagued by interference set up by feedthrough and internal reflections. Dual-antenna systems have much lower internal interference, but there are problems associated with pointing the Antennas at the same spot. This note quantifies these problems for Gaussian-shaped beams. The use of antennas with beamwidth ratios of up to 5:1 is shown to improve performance significantly over that obtained with identical beam-widths. For an angle between antenna centers (as viewed from the beam intersection) that is three times the beamwidth of the narrower antenna, the usable spread of range for equal beamwidths is only about 1.85:1, while for an angular ratio of 5, the usable spread of range is &gt;20:1. Copyright ¬© 1985 by The Institute of Electrical and Electronics Engineers, Inc.</t>
  </si>
  <si>
    <t>901-905</t>
  </si>
  <si>
    <t>Moore, Richard K.</t>
  </si>
  <si>
    <t>Lawrence</t>
  </si>
  <si>
    <t>University of Kansas</t>
  </si>
  <si>
    <t>Moore R.</t>
  </si>
  <si>
    <t>Effect of Pointing Errors and Range on Performance of Dual-Pencil-Beam Scatterometers</t>
  </si>
  <si>
    <t>10.1109/TGRS.1985.289476</t>
  </si>
  <si>
    <t>2-s2.0-0022148985</t>
  </si>
  <si>
    <t>['‚ äî35', '¬© 1985', 'nb point', 'nb 4', 'japan society', 'coupling efficiency', 'conversion efficiency', 'applied physics', '7 db', '469 œºm', '1660 k']</t>
  </si>
  <si>
    <t>An Nb point-contact Josephson mixer with a corner reflector behind the Nb 4-wavelength wire antenna was con-structed, and experiments were carried out at 469 Œºm (693 GHz). A 10 dB improvement in coupling efficiency was obtained by using the reflector. An SSB (single-side-band) mixer noise temperature of 1660 K was obtained, and the conversion efficiency of the mixer was ‚Äî35.7 dB in the 9th harmonic mixing between 71 GHz LO and 693 GHz signal. ¬© 1985 The Japan Society of Applied Physics.</t>
  </si>
  <si>
    <t>1459-1462</t>
  </si>
  <si>
    <t>11 R</t>
  </si>
  <si>
    <t>Japanese Journal of Applied Physics</t>
  </si>
  <si>
    <t>60024322;60024322;60024322;60024322;60000264</t>
  </si>
  <si>
    <t>57200932911;55423149700;36831932900;7404662230;35375117200</t>
  </si>
  <si>
    <t>Kobayashi, Masayoshi;Ohara, Shinji;Katsuno, Akira;Sakai, Kiyomi;Ogawa, Hideo</t>
  </si>
  <si>
    <t>Suita;Nagoya</t>
  </si>
  <si>
    <t>Osaka University;Nagoya University</t>
  </si>
  <si>
    <t>60024322;60000264</t>
  </si>
  <si>
    <t>Kobayashi M.</t>
  </si>
  <si>
    <t>Experiments on a point-contact Josephson mixer at 469 ŒºM</t>
  </si>
  <si>
    <t>10.1143/JJAP.24.1459</t>
  </si>
  <si>
    <t>2-s2.0-0022149429</t>
  </si>
  <si>
    <t>['useful characteristic', 'time domains', 'special cases', 'several properties', 'robust solutions', 'robust scheme', 'problems formulated', 'input systems']</t>
  </si>
  <si>
    <t>Robust matched filtering is considered for multiple-input systems, with problems formulated in both frequency and time domains being given specific treatment. Robust solutions are found for bounded classes containing well-defined but not exactly specified input characteristics. Several properties for some special cases of interest are examined, and an example is given to illustrate the usefulness of the results. Finally, the results are applied to a narrowband spatial array system, for which the robust scheme has an interesting and useful characteristic. ¬© 1985 IEEE</t>
  </si>
  <si>
    <t>812-821</t>
  </si>
  <si>
    <t>IEEE Transactions on Information Theory</t>
  </si>
  <si>
    <t>60000403;60006297</t>
  </si>
  <si>
    <t>7501958826;56251804200</t>
  </si>
  <si>
    <t>Chen, Cheng Tie;Kassam, Saleem A.</t>
  </si>
  <si>
    <t>Philadelphia;Rochester</t>
  </si>
  <si>
    <t>University of Pennsylvania;Kodak Research Laboratories</t>
  </si>
  <si>
    <t>60006297;60000403</t>
  </si>
  <si>
    <t>Chen C.T.</t>
  </si>
  <si>
    <t>Robust Multiple-Input Matched Filtering: Frequency and Time-Domain Results</t>
  </si>
  <si>
    <t>10.1109/TIT.1985.1057112</t>
  </si>
  <si>
    <t>2-s2.0-0022149456</t>
  </si>
  <si>
    <t>['¬© 1985', 'wave ratio', 'voltage standing', 'rights reserved', 'operating bandwidth', 'monopulse ku', 'azimuth plane', '1 ghz']</t>
  </si>
  <si>
    <t>The design and performance of a monopulse Ku-band planar array is described. The antenna is designed to provide 20 dB sidelobes sum pattern in the azimuth plane and an operating bandwidth of 1 GHz (16.25-17.25 GHz). The voltage standing-wave ratio (VSWR) of this array at the input is less than 2:1 over the bandwidth. ¬© 1985, IEEE. All rights reserved.</t>
  </si>
  <si>
    <t>1280-1283</t>
  </si>
  <si>
    <t>7202771665;7202937916</t>
  </si>
  <si>
    <t>Agrawal, Ashok K.;Powell, Walter E.</t>
  </si>
  <si>
    <t>Agrawal A.</t>
  </si>
  <si>
    <t>Monopulse Printed Circuit Dipole Array</t>
  </si>
  <si>
    <t>10.1109/TAP.1985.1143508</t>
  </si>
  <si>
    <t>2-s2.0-0022149651</t>
  </si>
  <si>
    <t>['zone electromagnetic', 'radiation properties', 'ionized medium', 'element antenna', 'earlier paper', 'array antenna', 'also computed']</t>
  </si>
  <si>
    <t>In an earlier paper, authors have investigated the radiation properties of a linearly polarized microstrip antenna in an ionized medium. The same work is extended for a two-element microstrip array antenna. Expressions for the far-zone electromagnetic and the plasma mode radiation field patterns for the array antenna have been developed and computed. It is observed that the EM-mode field patterns are modified to a great extent whereas the P-mode field patterns are similar to a single-element antenna. Results are also computed for the free space field patterns of the array.</t>
  </si>
  <si>
    <t>197-199</t>
  </si>
  <si>
    <t>Nov-Dec</t>
  </si>
  <si>
    <t>55397410900;55488117300</t>
  </si>
  <si>
    <t>Bhatnagar, Deepak;Gupta, R. K.</t>
  </si>
  <si>
    <t>Bhatnagar D.</t>
  </si>
  <si>
    <t>RADIATION FIELDS OF A TWO ELEMENT MICROSTRIP ARRAY ANTENNA IN PLASMA.</t>
  </si>
  <si>
    <t>10.1080/03772063.1985.11436542</t>
  </si>
  <si>
    <t>2-s2.0-0022150479</t>
  </si>
  <si>
    <t>['two classes', 'sonar arrays', 'radar arrays', 'optimal cases', 'improved bounds', 'dimensional arrays', 'computational procedures']</t>
  </si>
  <si>
    <t>There are a number of communications problems involving two-dimensional arrays with constrained correlation functions. Golomb's two classes of radar arrays and sonar arrays are examined. Improved bounds, optimal cases, and computational procedures are reported. ¬© 1985 IEEE</t>
  </si>
  <si>
    <t>781-787</t>
  </si>
  <si>
    <t>Robinson, John P.</t>
  </si>
  <si>
    <t>Iowa City</t>
  </si>
  <si>
    <t>University of Iowa</t>
  </si>
  <si>
    <t>Robinson J.P.</t>
  </si>
  <si>
    <t>Golomb Rectangles</t>
  </si>
  <si>
    <t>10.1109/TIT.1985.1057108</t>
  </si>
  <si>
    <t>2-s2.0-0022151340</t>
  </si>
  <si>
    <t>['tiple integrals', 'sixfold integrations', 'rugose borehole', 'perturbation theory', 'multiple integrals', 'first assumed', 'field due', 'electronics engineers', 'earth formation', 'cylindrical cavity', 'cylindrical boundaries', 'correction terms', 'background permittivity', 'another exam']</t>
  </si>
  <si>
    <t>An approximate method based on perturbation theory is used to calculate electromagnetic fields due to a vertical magnetic dipole in an Earth formation having both horizontal and cylindrical boundaries. The medium is first assumed to have a constant background permittivity. Any deviation from the background permittivity is treated as a perturbation. Correction terms are then found and expressed in mul-tiple integrals. The first and the second correction terms involve three-fold and sixfold integrations, respectively. An efficient integration technique is used to compute these multiple integrals. As an example, this method is used to calculate the field due to a vertical magnetic dipole over a layered Earth containing a cylindrical cavity. In another exam-ple, the response of a two-coil induction tool is calculated when it is located in a rugose borehole. Copyright ¬© 1985 by The Institute of Electrical and Electronics Engineers, Inc.</t>
  </si>
  <si>
    <t>827-833</t>
  </si>
  <si>
    <t>60005837;60105111</t>
  </si>
  <si>
    <t>57216596359;8910997600</t>
  </si>
  <si>
    <t>Shen, Liang C.;Zhang, Geng Ji</t>
  </si>
  <si>
    <t>China;United States</t>
  </si>
  <si>
    <t>Qingdao;Houston</t>
  </si>
  <si>
    <t>China University of Petroleum (East China);University of Houston</t>
  </si>
  <si>
    <t>60105111;60005837</t>
  </si>
  <si>
    <t>Shen L.C.</t>
  </si>
  <si>
    <t>Electromagnetic Field Due to a Magnetic Dipole in a Medium Containing Both Planar and Cylindrical Boundaries</t>
  </si>
  <si>
    <t>10.1109/TGRS.1985.289467</t>
  </si>
  <si>
    <t>2-s2.0-0022151366</t>
  </si>
  <si>
    <t>['noise ratio', 'electronics engineers', 'azimuthal resolution', 'antenna beamwidth', 'angular resolution', '4 percent', '10 db']</t>
  </si>
  <si>
    <t>We describe an amplitude comparison scheme for increasing the azimuthal resolution of ocean suface current measurements using dual-frequency radar techniques. We show that an angular resolution of 4 percent of the antenna beamwidth can be acheived when the signal-to-noise ratio is 10 dB. Copyright ¬© 1985 by The Institute of Electrical and Electronics Engineers, Inc.</t>
  </si>
  <si>
    <t>906-909</t>
  </si>
  <si>
    <t>7101943590;7103288212;7101802161</t>
  </si>
  <si>
    <t>Raghavan, R. S.;Mcintosh, Robert E.;Swift, Calvin T.</t>
  </si>
  <si>
    <t>Raghavan R.</t>
  </si>
  <si>
    <t>Increasing the Azimuthal Resolution of Ocean Surface Currents for Dual-Frequency Radars</t>
  </si>
  <si>
    <t>10.1109/TGRS.1985.289477</t>
  </si>
  <si>
    <t>2-s2.0-0022151370</t>
  </si>
  <si>
    <t>['¬© 1985', 'rights reserved', 'narrow beamwidth', 'increased gain', 'experimental results', 'electrical engineers', 'antenna operates', '1000 mhz']</t>
  </si>
  <si>
    <t>The design, construction and experimental results of a corrugated surface plane antenna are described in the letter. The antenna operates over a frequency of 500-1000 MHz with increased gain and narrow beamwidth in both planes. ¬© 1985, The Institution of Electrical Engineers. All rights reserved.</t>
  </si>
  <si>
    <t>1159-1161</t>
  </si>
  <si>
    <t>60027271;60027271</t>
  </si>
  <si>
    <t>7401525474;7103149809</t>
  </si>
  <si>
    <t>King, C. A.;Downs, D. A.</t>
  </si>
  <si>
    <t>Naval Research Laboratory</t>
  </si>
  <si>
    <t>King C.</t>
  </si>
  <si>
    <t>New Endfire Radiator</t>
  </si>
  <si>
    <t>10.1049/el:19850820</t>
  </si>
  <si>
    <t>2-s2.0-0022152140</t>
  </si>
  <si>
    <t>['¬© 1985', 'rights reserved', 'expected theoretically', 'electrical engineers', 'earlier prediction', 'dust accretion', 'crosspolarisation levels']</t>
  </si>
  <si>
    <t>9 GHz measurements of effects of dust accretion on the surface of a reflector antenna confirm an earlier prediction of a larger gain reduction when the dust layer covers half the area. Crosspolarisation levels were higher than expected theoretically. Deposits on the primary feed also cause high crosspolarisation. ¬© 1985, The Institution of Electrical Engineers. All rights reserved.</t>
  </si>
  <si>
    <t>1141-1143</t>
  </si>
  <si>
    <t>Bashir, S. O.;McEWAN, N. J.</t>
  </si>
  <si>
    <t>Measurements Of Crosspolarisation And Gatn Reduction Due To Dust On A Microwave Reflector Antenna</t>
  </si>
  <si>
    <t>10.1049/el:19850808</t>
  </si>
  <si>
    <t>2-s2.0-0022152173</t>
  </si>
  <si>
    <t>['¬© 1985', 'state performance', 'rights reserved', 'reference signal', 'pilot signal', 'loop gain', 'important parameter', 'desired signal', 'also considered']</t>
  </si>
  <si>
    <t>A least mean square (LMS) adaptive array requires a reference signal. When the desired signal contains a pilot signal, it may be used as the reference signal. In this paper the steady-state performance of an LMS adaptive array in which the pilot signal is used as the reference signal is examined. It is shown that the LMS adaptive array occasionally suppresses the desired signal. The loop gain, which is an important parameter, is also considered. ¬© 1985, IEEE. All rights reserved.</t>
  </si>
  <si>
    <t>777-782</t>
  </si>
  <si>
    <t>60014652;60014652;60014652</t>
  </si>
  <si>
    <t>35516180700;6603767346;7404897527</t>
  </si>
  <si>
    <t>Ogawa, Yasutaka;Ohmiya, Manabu;Itoh, Kiyohiko</t>
  </si>
  <si>
    <t>Sapporo</t>
  </si>
  <si>
    <t>Hokkaido University</t>
  </si>
  <si>
    <t>Ogawa Y.</t>
  </si>
  <si>
    <t>An LMS Adaptive Array Using a Pilot Signal</t>
  </si>
  <si>
    <t>10.1109/TAES.1985.310662</t>
  </si>
  <si>
    <t>2-s2.0-0022152546</t>
  </si>
  <si>
    <t>['¬© 1985', 'whose a1a2are', 'various configurations', 'two spheroids', 'translational relation', 'system matrix', 'side configuration', 'scattered responses', 'rights reserved', 'outgoing wave', 'mutual admittances', 'modal expansions', 'gi matrix', 'fed dipoles', 'dipole system', 'central role', 'center separation']</t>
  </si>
  <si>
    <t>Spheroidal dipole antenna systems consisting of two thin center-fed parallel prolate spheroids in various configurations (side-by-side and collinear) are considered. The resultant EM fields are represented as modal expansions in terms of spheroidal vector eigenfunctions. The translational addition theorems for spheroidal functions developed by the authors in a previous paper play the central role in the formulation of a system matrix [G] which transforms the primary EM excitations of the fed dipoles into their scattered responses. From the knowledge of the [GI matrix, the mutual admittances of the dipole system are obtained and plotted against center-to-center separation of the dipoles for side-by-side and collinear dipole configurations. The major to minor axial ratios of 10:1 and 100:1 of the prolate spheroidal dipoles are considered for presenting various curves. However, for the side-by-side configuration, due to a radius of convergence of the translational relation for outgoing wave to incoming wave transformation, the separation d of the spheroids is restricted to d &gt; {a1a2}max,whose a1a2are the semimajor axial lengths of the two spheroids. ¬© 1985, IEEE. All rights reserved.</t>
  </si>
  <si>
    <t>1255-1263</t>
  </si>
  <si>
    <t>60019000;60014171</t>
  </si>
  <si>
    <t>7202820407;7005164716</t>
  </si>
  <si>
    <t>Sinha, Bateshwar P.;Macphie, R. H.</t>
  </si>
  <si>
    <t>St John's;Waterloo</t>
  </si>
  <si>
    <t>Memorial University of Newfoundland;University of Waterloo</t>
  </si>
  <si>
    <t>Sinha B.</t>
  </si>
  <si>
    <t>Mutual Admittance Characteristics for Two-Element Parallel Prolate Spheroidal Antenna Systems</t>
  </si>
  <si>
    <t>10.1109/TAP.1985.1143514</t>
  </si>
  <si>
    <t>2-s2.0-0022152563</t>
  </si>
  <si>
    <t>['special cases', 'numerical results', 'function technique', 'far fields', 'equatorial plane', 'dyadic green', 'circumferential dipoles']</t>
  </si>
  <si>
    <t>Expressions for the fields of axial as well as circumferential dipoles in the presence of dielectric-coated circular cylinder are obtained by employing the dyadic Green's function technique. Numerical results are presented for the far fields in the equatorial plane of the cylinder. Some special cases are discussed.</t>
  </si>
  <si>
    <t>184-188</t>
  </si>
  <si>
    <t>RADIATION FROM DIPOLES IN THE PRESENCE OF DIELECTRIC-COATED CIRCULAR CYLINDER.</t>
  </si>
  <si>
    <t>10.1080/03772063.1985.11436537</t>
  </si>
  <si>
    <t>2-s2.0-0022152911</t>
  </si>
  <si>
    <t>['waveguide feed', 'various iris', 'transverse plane', 'single waveguide', 'roughly 5', 'results indicate', 'quite broad', 'prove valuable', 'plane beamwidths', 'mathematical model', 'isotropic source', 'iris always', 'initial study', 'gives rise', 'feed structure', 'fed patch', 'fed millimeter', 'fed antenna', 'electronics engineers', 'dbi ),', 'couple energy', 'also made', '15 percent', '130 ¬∞.', '115 percent']</t>
  </si>
  <si>
    <t>Antenna gain | aperture coupling | cavity half-power beamwidth | iris | microstrip | millimeter wave | patch antenna | power pattern</t>
  </si>
  <si>
    <t>The fabrication of various iris-fed millimeter-wave rectangular microstrip patch antennas is described. A mathematical model is proposed to describe the iris-fed antenna. An iris having 15 percent of the area of the patch is used to couple energy into the antenna. Resonance of the antenna is observed to be insensitive to the size of the iris for irises up to 115 percent of the size of the patch. A study is also made of the coupling to the antenna as a function of position of the iris with respect to the transverse plane of the waveguide, the iris always being centered with respect to the patch. In general, the antenna has a VSWR in the waveguide feed of roughly 5:1 at resonance, except for the fully open waveguide which gives rise to a VSWR of 2.9:1 at resonance. Far-field antenna power patterns are observed to be quite broad with H-plane beamwidths about 130¬∞. Maximum antenna gain observed was 4.5 dB relative to an isotropic source (dBi), with 2 dBi typical. An initial study is made of the microstrip patch antenna fed from a longitudinal waveguide wall. Results indicate that this feed structure is likely to prove valuable for microstrip patch antennas, with coupling at least as good as for the transverse-fed patch, added to the possibility of feeding multiple patches from a single waveguide. Copyright ¬© 1985 by The Institute of Electrical and Electronics Engineers, Inc.</t>
  </si>
  <si>
    <t>212-220</t>
  </si>
  <si>
    <t>60023053;60023053;60000221</t>
  </si>
  <si>
    <t>35578175900;6701766140;7403319959</t>
  </si>
  <si>
    <t>Kanda, Motohisa;Greenlee, David H.;Chang, David C.</t>
  </si>
  <si>
    <t>Gaithersburg;Boulder</t>
  </si>
  <si>
    <t>National Institute of Standards and Technology;University of Colorado Boulder</t>
  </si>
  <si>
    <t>60023053;60000221</t>
  </si>
  <si>
    <t>Kanda M.</t>
  </si>
  <si>
    <t>The Characteristics of Iris-Fed Millimeter-Wave Rectangular Microstrip Patch Antennas</t>
  </si>
  <si>
    <t>10.1109/TEMC.1985.304292</t>
  </si>
  <si>
    <t>2-s2.0-0022152921</t>
  </si>
  <si>
    <t>NCC-2-36</t>
  </si>
  <si>
    <t>NASA</t>
  </si>
  <si>
    <t>['¬© 1985', 'seriously impact', 'radio observatories', 'parasitic ,"', 'extreme case']</t>
  </si>
  <si>
    <t>This paper describes several attempts to utilize various radio telescopes in a manner that we term "parasitic," that is in a manner that does not interrupt or seriously impact the standard astronomical observing programs in progress at the radio observatories. In the extreme case, only recorded astronomical data are accessed off-line, after the fact, without any burden on the observatory at all. ¬© 1985.</t>
  </si>
  <si>
    <t>959-962</t>
  </si>
  <si>
    <t>60025038-60007478</t>
  </si>
  <si>
    <t>Tarter, Jill</t>
  </si>
  <si>
    <t>Berkeley;Mountain View</t>
  </si>
  <si>
    <t>University of California, Berkeley;SETI Institute</t>
  </si>
  <si>
    <t>60025038;60007478</t>
  </si>
  <si>
    <t>Tarter J.</t>
  </si>
  <si>
    <t>Using the very large array (VLA) and other radio telescopes to perform a parasitic search for extraterrestrial intelligence (SETI)</t>
  </si>
  <si>
    <t>10.1016/0094-5765(85)90021-9</t>
  </si>
  <si>
    <t>2-s2.0-0022153057</t>
  </si>
  <si>
    <t>['theoretical predictions', 'static analysis', 'new form', 'metal structure', 'fields close', 'electromagnetic compatibility', 'current distribution', 'agreement obtained', 'accurate measurements']</t>
  </si>
  <si>
    <t>Techniques for predicting near fields of antennas on limited ground planes, aircraft and other vehicles, have been developed. Wire grid modelling is used to calculate the current distribution over the metal structure, from which the fields close to the surface can be found. These field values could then be used in a quasi-static analysis to predict aperture penetration fields, with application to electromagnetic compatibility. A new form of electric field probe with an optical fibre link has been developed, which has been used to obtain experimental measurements to compare with the theoretical predictions. The agreement obtained is close, confirming the theory and showing that the probe gives unperturbed and accurate measurements.</t>
  </si>
  <si>
    <t>407-414</t>
  </si>
  <si>
    <t>60022148;60022148</t>
  </si>
  <si>
    <t>55300164100;55698377500</t>
  </si>
  <si>
    <t>Calmon, L. C.;Smith, M. S.</t>
  </si>
  <si>
    <t>Calmon L.</t>
  </si>
  <si>
    <t>PREDICTION AND MEASUREMENT OF NEAR FIELDS FOR ANTENNAS ON STRUCTURES.</t>
  </si>
  <si>
    <t>10.1049/jiere.1985.0131</t>
  </si>
  <si>
    <t>2-s2.0-0022155950</t>
  </si>
  <si>
    <t>['work required', 'vehicular applications', 'transmitter power', 'receiver design', 'possible radio', 'mobile installation', 'dead zones', 'coverage performance', 'coverage area', 'antenna types', '800 mhz']</t>
  </si>
  <si>
    <t>The purpose of this paper is to provide a comparison of the currently available prediction methods for mobile radio propagation at 800 MHz, with the goal of simplifying the work required to make accurate predictions of coverage performance for a variety of vehicular applications. These propagation prediction techniques may be used in a number of ways: to compute the coverage area of a mobile installation as a function of base station position, to find the locations of possible radio 'drop-out' (dead zones, or to examine system performance as a function of transmitter power, receiver design and sensitivity, antenna types and heights, etc.</t>
  </si>
  <si>
    <t>149-153</t>
  </si>
  <si>
    <t>VT-34</t>
  </si>
  <si>
    <t>Nov</t>
  </si>
  <si>
    <t>60004354;60004354</t>
  </si>
  <si>
    <t>6602160961;7202218169</t>
  </si>
  <si>
    <t>Aurand, John F.;Post, Robert E.</t>
  </si>
  <si>
    <t>Ames</t>
  </si>
  <si>
    <t>Iowa State University</t>
  </si>
  <si>
    <t>Aurand J.F.</t>
  </si>
  <si>
    <t>COMPARISON OF PREDICTION METHODS FOR 800 MHz MOBILE RADIO PROPAGATION.</t>
  </si>
  <si>
    <t>10.1109/t-vt.1985.24054</t>
  </si>
  <si>
    <t>2-s2.0-0022155959</t>
  </si>
  <si>
    <t>['upper atmosphere', 'presented herein', 'japan uses', 'copyright 1985', 'circular array', 'brief description', '1 mw']</t>
  </si>
  <si>
    <t>The MU (middle and upper atmosphere) radar of Japan uses an active phased array system. Each of 475 crossed three‚Äêsubelement yagi antennas in a circular array is provided with a 2.4‚ÄêkW peak power amplifier. This system configuration attains a very fast and almost continuous beam steerability at the total peak radiation power of 1 MW. A brief description of the in‚Äêhouse equipment is presented herein. Copyright 1985 by the American Geophysical Union.</t>
  </si>
  <si>
    <t>1169-1176</t>
  </si>
  <si>
    <t>November-December 1985</t>
  </si>
  <si>
    <t>;;;;;</t>
  </si>
  <si>
    <t>55398698300;35433785500;7403584142;35425453600;7006006191;57204488929</t>
  </si>
  <si>
    <t>Fukao, Shoichiro;Tsuda, Toshitaka;Sato, Toru;Kato, Susumu;Wakasugi, Koichiro;Makihira, Tsuneichi</t>
  </si>
  <si>
    <t>Fukao S.</t>
  </si>
  <si>
    <t>The MU radar with an active phased array system: 2. In‚Äêhouse equipment</t>
  </si>
  <si>
    <t>10.1029/RS020i006p01169</t>
  </si>
  <si>
    <t>2-s2.0-0022161186</t>
  </si>
  <si>
    <t>['‚ àí5', '‚ àí3', '‚ àí1', 'winter wavelengths', 'winter months', 'tidal oscillations', 'stratospheric warming', 'spring equinox', 'seasonal variation', 'respectively ).', 'prevailing winds', 'diurnal tide', 'copyright 1985']</t>
  </si>
  <si>
    <t>Winds have been measured by a medium frequency radar using the spaced antenna method, in the upper middle atmosphere (60‚Äì110 km). The mean or prevailing winds are related to the seasonal variation of the semidiurnal and diurnal tide, as inferred at Saskatoon by the amplitude and phase of the 12‚Äê and 24‚Äêhour wind oscillations. Strong seasonal variations are evidenced, consistent with the importance of antisymmetric tidal modes (2, ‚àí3; 2, ‚àí5; and 1, ‚àí1, respectively). For both tides, winter wavelengths are shorter than summer; the semidiurnal tide dominates in the winter months, but in summer the diurnal tide has its maximum. The fluctuations and trends in winds and tidal oscillations during the stratospheric warming and the spring equinox are discussed in detail. Copyright 1985 by the American Geophysical Union.</t>
  </si>
  <si>
    <t>1441-1451</t>
  </si>
  <si>
    <t>7006112190;24290221300</t>
  </si>
  <si>
    <t>Manson, A. H.;Meek, C. E.</t>
  </si>
  <si>
    <t>Manson A.H.</t>
  </si>
  <si>
    <t>Middle atmosphere (60‚Äì110 km) tidal oscillations at Saskatoon, Canada (52¬∞N, 107¬∞W) during 1983‚Äì1984</t>
  </si>
  <si>
    <t>10.1029/RS020i006p01441</t>
  </si>
  <si>
    <t>2-s2.0-0022161337</t>
  </si>
  <si>
    <t>['yagi antenna', 'upper atmosphere', 'sophisticated operations', 'presented herein', 'power amplifiers', 'made feasible', 'equivalent number', 'copyright 1985', 'brief description', 'antenna array', '6 ¬∞', '50 kw', '4 kw', '1 mw']</t>
  </si>
  <si>
    <t>The MU (middle and upper atmosphere) radar of Japan is a 46.5‚ÄêMHz pulse‚Äêmodulated monostatic Doppler radar with an active phased array system. The nominal beam width is 3.6¬∞ and the peak radiation power is 1 MW with maximum average power of 50 kW. The system is composed of 475 crossed three‚Äêsubelement yagi antennas and an equivalent number of solid state power amplifiers (transmitter‚Äêreceiver modules). Each yagi antenna is driven by a transmitter‚Äêreceiver module with peak output power of 2.4 kW. This system configuration enables very fast and almost continuous beam steering that has not been realized by other mesosphere‚Äêstratosphere‚Äêtroposphere radars. Also, a variety of sophisticated operations are made feasible by dividing the antenna array into several independent subarrays. A brief description of the system, particularly its antenna and power amplifiers, is presented herein. Copyright 1985 by the American Geophysical Union.</t>
  </si>
  <si>
    <t>1155-1168</t>
  </si>
  <si>
    <t>55398698300;7403584142;35433785500;35425453600;7006006191;57204488929</t>
  </si>
  <si>
    <t>Fukao, Shoichiro;Sato, Toru;Tsuda, Toshitaka;Kato, Susumu;Wakasugi, Koichiro;Makihira, Tsuneichi</t>
  </si>
  <si>
    <t>The MU radar with an active phased array system: 1. Antenna and power amplifiers</t>
  </si>
  <si>
    <t>10.1029/RS020i006p01155</t>
  </si>
  <si>
    <t>2-s2.0-0022161402</t>
  </si>
  <si>
    <t>['vertical direction', 'spectra widths', 'scientific interpretation', 'results emphasize', 'radar design', 'observation range', 'mst radars', 'mesospheric heights', 'measured parameters', 'high resolution', 'first developing', 'false signals', 'doppler velocity', 'data interpretations', 'copyright 1985']</t>
  </si>
  <si>
    <t>For ST and MST radars, finite antenna beam width causes range‚Äêsmearing that depends on observation range and antenna pointing angle. This effect is examined by first developing a range‚Äêsmearing function and then applying this function to model atmospheric turbulent structures for two typical antenna systems. The effect is most severe at mesospheric heights (80‚Äì100 km) for off‚Äêvertical antenna directions and for broader‚Äêbeam antennas. This has implications for radar design and the scientific interpretation of the data when high resolution is a goal. The results emphasize the need for the narrowest antenna beam that the design and budget will permit. For data interpretations, a highly discontinuous turbulent structure (in the vertical direction) may be recorded, and interpreted, as a continuous height distribution. This will affect the interpretation of measured parameters such as the occurrence of turbulence, Doppler velocity, spectra widths, and calculations of turbulent diffusion rates. For situations when there are very strong returned signals from some heights (i.e., signals ‚â•26 dB above the minimum detectable level), the antenna side lobes extend the smearing and it may be difficult or impossible to discriminate against these false signals. Copyright 1985 by the American Geophysical Union.</t>
  </si>
  <si>
    <t>1130-1140</t>
  </si>
  <si>
    <t>7101768791;7402074810</t>
  </si>
  <si>
    <t>Watkins, B. J.;Johnston, P. E.</t>
  </si>
  <si>
    <t>Watkins B.</t>
  </si>
  <si>
    <t>Antenna‚Äêinduced range smearing in ST and MST radars</t>
  </si>
  <si>
    <t>10.1029/RS020i006p01130</t>
  </si>
  <si>
    <t>2-s2.0-0022161403</t>
  </si>
  <si>
    <t>['zenith angle', 'vertical anisotropy', 'upper troposphere', 'two azimuths', 'several groups', 'range resolution', 'radar echoes', 'quantitative estimates', 'pointing angle', 'permittivity field', 'original measurements', 'measurements analyzed', 'many heights', 'lower stratosphere', 'echo strength', 'copyright 1985', 'anisotropic structure', '7 ¬∞,', '0 ¬∞']</t>
  </si>
  <si>
    <t>When radar echoes are obtained from the upper troposphere, tropopause and lower stratosphere, one characteristic reported by several groups is a variation in echo strength with pointing angle. These observations are interpreted in terms of an anisotropic structure to the permittivity of the air in that region. The present paper attempts to make some quantitative estimates of this anisotropy. The measurements analyzed were obtained with the SOUSY 50 MHz radar installed in the 1000‚Äêfoot‚Äêdiameter antenna at Arecibo. Observations were made at eight zenith angles, from 0¬∞ to 11.7¬∞, and at two azimuths, north and east. Echo strength as a function of zenith angle was obtained for these two azimuths and for many heights, with a range resolution of 150 m. These data were then fit to an anisotropic scattering model, and the possible anisotropy parameters were found. Horizontally, there was a range of uncertainty between the degree of anisotropy and its orientation. This uncertainty was inherent in the original measurements, since only two azimuths were used. However, despite this latitude, the vertical anisotropy was quite closely determined. For most heights, the ratio of vertical to horizontal correlation distance of the permittivity field was 0.2 or less. Copyright 1985 by the American Geophysical Union.</t>
  </si>
  <si>
    <t>1580-1592</t>
  </si>
  <si>
    <t>7005141379;7202704762;6602773292;7003907481</t>
  </si>
  <si>
    <t>Waterman, A. T.;Hu, T. Z.;Czechowsky, P.;R√∂ttger, J.</t>
  </si>
  <si>
    <t>Waterman A.</t>
  </si>
  <si>
    <t>Measurement of anisotropic permittivity structure of upper troposphere with clear‚Äêair radar</t>
  </si>
  <si>
    <t>10.1029/RS020i006p01580</t>
  </si>
  <si>
    <t>2-s2.0-0022162065</t>
  </si>
  <si>
    <t>['wind deduced', 'velocity sign', 'two opposite', 'turbulence blobs', 'swung back', 'study winds', 'reasonable arguments', 'phase differences', 'middle stratosphere', 'mean wind', 'interferometer technique', 'interferometer applications', 'gravity waves', 'copyright 1985', 'cannot unequivocally', 'brief description', 'attenuated little']</t>
  </si>
  <si>
    <t>Spaced antenna VHF radar measurements are utilized for the postset beam steering technique and for interferometer applications to study winds, waves, and turbulence in the stratosphere and mesosphere. Following a brief description of the basic instrumental setup and the off‚Äêline analysis method, some results are presented which demonstrate the consistency and applicability of these methods. Vertical velocity oscillations due to gravity waves are analyzed by means of the cross‚Äêspectrum technique. It is shown that phase differences of gravity wave oscillations, measured between vertical and two opposite, off‚Äêvertical postset beams, change their sign when the beam is swung back and forth. The same features of change of velocity sign are noticed when the mean wind is observed. The mean wind deduced with the postset beam steering technique is similar to the wind deduced with the spaced antenna drift technique and the independent radiosonde winds. Taking these results as justification for the applicability and feasibility of the postset beam steering method, the total wave vector and the intrinsic angular frequency of gravity waves in the stratosphere are deduced. Reasonable arguments are discussed to support the suggestion that these waves were generated in lower stratosphere wind shear regions and were attenuated little when propagating up to the middle stratosphere. Turbulence blobs in the mesosphere are tracked with the interferometer technique. It is shown that these blobs moved horizontally as well as vertically, a feature which cannot unequivocally be detected with conventional Doppler methods. Copyright 1985 by the American Geophysical Union.</t>
  </si>
  <si>
    <t>1461-1480</t>
  </si>
  <si>
    <t>7003907481;6506356748</t>
  </si>
  <si>
    <t>R√∂ttger, J.;Ierkic, H. M.</t>
  </si>
  <si>
    <t>R√∂ttger J.</t>
  </si>
  <si>
    <t>Postset beam steering and interferometer applications of VHF radars to study winds, waves, and turbulence in the lower and middle atmosphere</t>
  </si>
  <si>
    <t>10.1029/RS020i006p01461</t>
  </si>
  <si>
    <t>2-s2.0-0022162067</t>
  </si>
  <si>
    <t>['wiley company', 'wider application', 'vary considerably', 'tdla ),', 'practical application', 'low vswr', 'loop shape', 'intended purpose', 'inc .,', 'impedance transformer', 'impedance characteristics', 'higher performance', 'easily applied', 'directive gain', 'design procedure', 'characteristics required', 'appropriate choice', 'antenna system']</t>
  </si>
  <si>
    <t>It is known that the impedance characteristics of polygonal loop antennas (e.g., triangular or rectangular loop antennas) vary considerably with the loop shape. This feature is considered to be an advantage of the polygonal loop antenna in designing practical antennas since the characteristics required for the intended purpose can be obtained by appropriate choice of the loop shape. Investigation of the polygonal loop antenna shows that an isoceles triangular loop antenna driven at its apex exhibits relatively broadband impedance characteristics. Utilizing this feature, we propose a twin‚Äêdelta‚Äêloop‚Äêantenna (TDLA), which is a coplanar twin triangular loop antenna that provides broadband properties with respect to both impedance and gain. This TDLA can be easily applied to a plane reflector antenna or the Yagi‚ÄêUda array antenna to develop an antenna system with higher performance. In this paper, for wider application of the TDLA we present the detailed fundamental characteristics of impedance and directive gain of the TDLA. In addition, the design procedure for a plane reflector antenna using the TDLA is demonstrated for an example of practical application of the TDLA with low VSWR for coaxial cable without using a balun or impedance transformer. Copyright ¬© 1985 Wiley Periodicals, Inc., A Wiley Company</t>
  </si>
  <si>
    <t>96-104</t>
  </si>
  <si>
    <t>60031720;60031720;60031720;60031720</t>
  </si>
  <si>
    <t>7005288493;7005411783;36763205100;7202981892</t>
  </si>
  <si>
    <t>Tsukiji, Takehlko;Kumon, Yasunori;Tou, Shigefumi;Okubo, Masaokl</t>
  </si>
  <si>
    <t>Fukuoka</t>
  </si>
  <si>
    <t>Fukuoka University</t>
  </si>
  <si>
    <t>Tsukiji T.</t>
  </si>
  <si>
    <t>Twin delta loop antenna and its application to antenna with plane reflector</t>
  </si>
  <si>
    <t>10.1002/ecja.4410681111</t>
  </si>
  <si>
    <t>2-s2.0-0022162069</t>
  </si>
  <si>
    <t>['system beamwidth', 'pointing subsystem', 'pointing errors', 'gaussian function', 'burst errors', 'burst error', 'antenna diameter']</t>
  </si>
  <si>
    <t>The issue of pointing errors between satellite-borne, free-space optical communication systems is examined. The single-axis pointing error distribution is described as a Gaussian function and is used to define a probability of burst error for the pointing subsystem. A relationship between the rms standard deviation of the pointing error distribution, the probability of burst error, and the Airy far field beamwidth is deduced. It is shown that the system beamwidth and antenna diameter are limited by the probability of burst error. It is found that typical terminal designs have less temporal communication system availability than one specifically designed to account for the influence of burst errors.</t>
  </si>
  <si>
    <t>1049-1054</t>
  </si>
  <si>
    <t>Optical Engineering</t>
  </si>
  <si>
    <t>60005304;60005304</t>
  </si>
  <si>
    <t>56273933900;6701743439</t>
  </si>
  <si>
    <t>Barry, J. D.;Mecherle, G. S.</t>
  </si>
  <si>
    <t>Barry J.</t>
  </si>
  <si>
    <t>BEAM POINTING ERROR AS A SIGNIFICANT DESIGN PARAMETER FOR SATELLITE-BORNE, FREE-SPACE OPTICAL COMMUNICATION SYSTEMS.</t>
  </si>
  <si>
    <t>10.1117/12.7973628</t>
  </si>
  <si>
    <t>2-s2.0-0022162448</t>
  </si>
  <si>
    <t>['wiley company', 'wide range', 'upper limit', 'signal environments', 'several methods', 'output snr', 'numerical calculations', 'multiple clms', 'multidirectional clms', 'lower limit', 'kept constant', 'interference power', 'input snr', 'input signal', 'inc .,', 'evaluation criteria', 'equivalently increased', 'effectively increasing', 'dynamic range', 'diagonal elements', 'desired signal', 'degraded due', 'correlation matrix', 'constrained directions', 'choice depends', 'best way', 'assumed direction', 'angular error', 'amplifier gain', '5 degrees', '20 db', '10 db']</t>
  </si>
  <si>
    <t>In the Howells‚ÄêApplebaum adaptive antenna (H‚ÄêA) and the directionally constrained least mean‚Äêsquares adaptive antenna (CLMS) their abilities are degraded due to an angular error in the assumed direction of a desired signal. In this paper, several methods of preventing the angular error are compared. One of them is the decrease of the amplifier gain in H‚ÄêA, or in the increase of pseudo‚Äênoise in CLMS so that the diagonal elements of the correlation matrix derived from input signal S are equivalently increased. Another is the use of multiple directional constraints in CLMS (multidirectional CLMS) where the number of constrained directions is increased. The effects of these methods are checked by numerical calculations. The evaluation criteria are set so that the angular error is 5 degrees, the upper limit of the dynamic range of the input SNR is. 20 dB, and the lower limit of the output SNR or SINR is 10 dB. Comparison is performed under the condition that the degrees of freedom for the antennas are kept constant. The multiple CLMS is the best way to satisfy the evaluation criteria in a wide range of arrival of interference if interference power is equal to or smaller than the desired signal power. On the other hand, the method for effectively increasing the diagonal elements of the correlation matrix is the best if interference power is larger than the desired signal power. However, when the countermeasure for the angular error suitable for signal environments is chosen from the above two, the choice depends on the evaluation criteria. Copyright ¬© 1985 Wiley Periodicals, Inc., A Wiley Company</t>
  </si>
  <si>
    <t>115-124</t>
  </si>
  <si>
    <t>6603767346;35516180700;7404897527</t>
  </si>
  <si>
    <t>Ohmiya, Manabu;Ogawa, Yasutaka;Itoh, Kiyohiko</t>
  </si>
  <si>
    <t>Ohmiya M.</t>
  </si>
  <si>
    <t>A comparison of adaptive antennas on desired signal arrival angle errors</t>
  </si>
  <si>
    <t>10.1002/ecja.4410681113</t>
  </si>
  <si>
    <t>2-s2.0-0022162542</t>
  </si>
  <si>
    <t>['term measurement', 'st lucia', 'simple antenna', 'shapes corresponding', 'september 1982', 'relatively large', 'r changes', 'possible applications', 'may 1984', 'maximum range', 'large variations', 'instrument uses', 'instrument designed', 'ground flashes', 'going changes', 'electric field', 'elec eng', 'effective range', 'cloud flashes', 'cloud flash', 'based principally', 'automatic long']</t>
  </si>
  <si>
    <t>The principle of operation of an instrument designed for automatic long-term measurement of the cloud flash to ground flash ratio in thunderstorms is described. The instrument uses a simple antenna to detect the electric field of lightning and is designed to have an effective range of about 14km and a maximum range of about 20km. Wave-shape feature measurement is used to distinguish between the electric field wave-shapes corresponding to cloud and ground flashes and is based principally on the presence of relatively large, well-spaced, positive-going changes (R changes) in the field changes caused by ground flashes. From observations with the instrument over 2 thunderstorm seasons from September 1982 to May 1984 in Brisbane, Australia, the cloud flash to ground flash ratio was 3.0. Large variations were observed in the ratio of cloud flashes to ground flashes for individual thunderstorm days. For days on which at least 100 total registrations occurred, the range was 0.9 to 24.7. Possible applications of an instrument of this type in atmospheric electricity studies are discussed.-Author Dept of Elec Eng, Univ of Queensland, St Lucia, Queensland, Australia.</t>
  </si>
  <si>
    <t>6195-6201</t>
  </si>
  <si>
    <t>D4</t>
  </si>
  <si>
    <t>Mackerras, D.</t>
  </si>
  <si>
    <t>Mackerras D.</t>
  </si>
  <si>
    <t>Automatic short-range measurement of the cloud flash to ground flash ratio in thunderstorms.</t>
  </si>
  <si>
    <t>10.1029/JD090iD04p06195</t>
  </si>
  <si>
    <t>2-s2.0-0022166194</t>
  </si>
  <si>
    <t>['wavelength radar', 'various heights', 'st mode', 'specular reflection', 'simultaneously operated', 'similar short', 'significant differences', 'scattered signals', 'scatter radar', 'returned signals', 'probably due', 'poker flat', 'mst radar', 'lower stratosphere', 'detect motions', 'chatanika incoherent', 'averaged data', 'available data', '1290mhz );']</t>
  </si>
  <si>
    <t>The Poker Flat, Alaska, MST radar and the Chatanika incoherent-scatter radar (operated in an ST mode) were simultaneously operated to compare vertical air motions in the troposphere and lower stratosphere. The 2 nearby radars were operated with their antennas pointed vertically with 750m range resolutions. The radars have widely differing operating frequencies (50MHz and 1290MHz); for the long-wavelength radar, returned signals are thought to result from combination of specular reflection and turbulence-scattered signals, with either mechanism possibly being dominant at various heights. The short wavelength radar is expected to receive only turbulence-scattered signals. Both radars were able to detect motions of a few centimeters per second and detect the presence of similar short-period wave motions. However, when the data were averaged for an hour or more, significant differences in the averaged data were observed. We suggest that the differences are probably due to either experimental errors or apparent vertical motions observed with the Poker Flat radar as a result of off-vertical specular echoes from horizontally moving tilted layers. An estimate of an apparent antenna pointing direction of 0.27o off vertical has been made for the Poker Flat radar. With the available data we are unable to determine if this is a true antenna pointing error or the results of horizontally moving tilted layers on the specular echoing mechanism. -from Authors</t>
  </si>
  <si>
    <t>8143-8148</t>
  </si>
  <si>
    <t>D5</t>
  </si>
  <si>
    <t>106113428;106113428</t>
  </si>
  <si>
    <t>7101768791;6602917166</t>
  </si>
  <si>
    <t>Watkins, B. J.;Jayaweera, K.</t>
  </si>
  <si>
    <t>Fairbanks</t>
  </si>
  <si>
    <t>Geophysical Institute</t>
  </si>
  <si>
    <t>Comparisons of vertical winds measured with the Chatanika and Poker Flat radars.</t>
  </si>
  <si>
    <t>10.1029/JD090iD05p08143</t>
  </si>
  <si>
    <t>2-s2.0-0022170059</t>
  </si>
  <si>
    <t>['¬© 1985', 'visual cues', 'successful attacks', 'pursuing distance', 'predators hunting', 'predator preferred', 'optical design', 'main function', 'longer compared', 'long periods', 'little time', 'little tendency', 'light conditions', 'hunting behaviour', 'hair fringes', 'greater tendency', 'eye revealed', 'detect predators', 'changing strategy', 'additional gain', 'activity outside', '2 ).']</t>
  </si>
  <si>
    <t>The hunting behaviour of Dinocras cephalotes nymphs was studied during two different light intensities, darkness and twilight (0¬∑1 cd m-2). Nymphs of the mayfly Baetis rhodani were provided as food. In darkness the predator moved slowly without stopping, encountering the prey with the antennae and the hair fringes on the tibiae. Little time was spent in a shelter. There was little tendency to pursue the prey after a missed first attack and the pursuing distance was short. In twilight the speed of the predator was higher and the movement was interrupted by long periods of rest. The number of successful attacks was higher and more attacks were initiated when the predator was immobile. Time of activity outside the shelter was short. There was a greater tendency to pursue the prey after a missed first attack and the pursuing distance was longer compared with that in darkness. There are two main advantages of changing strategy from 'searcher' in darkness to 'ambusher' in the light: to avoid being detected by predators hunting by vision and to avoid being detected by potential prey species relying on visual cues for the detection of predators. The optical design of the eye revealed that only those parts of the eye directed upwards and backwards were optimized to the light conditions at which the predator preferred to be active, suggesting that the main function of these areas is to detect predators, though an additional gain in detecting prey could also be seen. ¬© 1985.</t>
  </si>
  <si>
    <t>534-540</t>
  </si>
  <si>
    <t>Animal Behaviour</t>
  </si>
  <si>
    <t>Sj√∂str√∂m, Per</t>
  </si>
  <si>
    <t>Lund</t>
  </si>
  <si>
    <t>Lunds Universitet</t>
  </si>
  <si>
    <t>Sj√∂str√∂m P.</t>
  </si>
  <si>
    <t>Hunting behaviour of the perlid stonefly nymph Dinocras cephalotes (Plecoptera) under different light conditions</t>
  </si>
  <si>
    <t>S0003347285800762</t>
  </si>
  <si>
    <t>10.1016/S0003-3472(85)80076-2</t>
  </si>
  <si>
    <t>2-s2.0-0022170290</t>
  </si>
  <si>
    <t>['walking leg', 'uniform appendages', 'twenty pairs', 'trilobite species', 'three pairs', 'thin exoskeleton', 'tegopelte gigas', 'special conditions', 'slim filaments', 'prevailing kind', 'outer one', 'one rare', 'mineralized shells', 'limbs beneath', 'large pygidium', 'lacked furrows', 'inner branch', 'burgess shale', 'bodied trilobites', 'animals may']</t>
  </si>
  <si>
    <t>The two known specimens of Tegopelte gigas are redescribed, after preparation that revealed the nature of the appendages. The thin exoskeleton was unmineralized, divided into cephalon, three thoracic tergites and a large pygidium; it lacked furrows, and was not articulated; a dorsal lateral eye may have been present. Appendages included one pair of antennae and a series of uniform appendages, the inner branch a walking leg, the outer one a shaft bearing long, slim filaments. The cephalon bore one pair of antennae and probably three pairs of limbs; beneath each tergite were three pairs of limbs (probably four beneath the third tergite), and some twenty pairs of limbs beneath the pygidium. The animal is regarded as a trilobite, and is unlike any other trilobite species; its relationships are obscure. Two additional species of soft-bodied trilobites, one rare and one quite abundant, are preserved under the special conditions of deposition of the Burgess Shale. Such animals may have been far more abundant and widspread than suggested by deposits of the prevailing kind that yield only mineralized shells. -Author</t>
  </si>
  <si>
    <t>1251-1274</t>
  </si>
  <si>
    <t>Journal of Paleontology</t>
  </si>
  <si>
    <t>Whittington, H. B.</t>
  </si>
  <si>
    <t>University of Cambridge</t>
  </si>
  <si>
    <t>Whittington H.</t>
  </si>
  <si>
    <t>Tegopelte gigas, a second soft-bodied trilobite from the Burgess Shale, Middle Cambrian, British Columbia ( Canada).</t>
  </si>
  <si>
    <t>2-s2.0-0022170584</t>
  </si>
  <si>
    <t>['vlf experiment', 'time dependence', 'statistical study', 'seismic activity', 'satellite longitude', 'possibly indirect', 'magnetic antennas', 'longitudes close', 'june 1982', 'geostationary satellite', 'frequency variations', 'clear increases', 'august 1978', 'approx 5', '38000 km', '30o ),', '296 earthquakes', '2050 km', '2 ).', '10 khz']</t>
  </si>
  <si>
    <t>Increases in the VLF emission intensity have been observed on the GEOS-1 (apogee : 38000 km, perigee : 2050 km) and GEOS-2 (geostationary) satellites at the moment of earthquakes. The phenomenon is detected both on the electric and magnetic antennas, in the frequency range 0.3-10 kHz. A statistical study has been performed using measurements of the geostationary satellite (GEOS-2). From August 1978 to June 1982, 296 earthquakes of magnitude M approx 5 have been observed at longitudes close to the satellite longitude (20oE+ or -30o), during periods of time when the VLF experiment was on. Clear increases have been pointed out in 51% of the cases. The longitude and time dependence of the events, plus the frequency variations, seem to indicate that there is an association (possibly indirect) between the seismic activity and some VLF emissions observed on satellites. -Authors</t>
  </si>
  <si>
    <t>737-748</t>
  </si>
  <si>
    <t>Annales Geophysicae</t>
  </si>
  <si>
    <t>60002930;60002930</t>
  </si>
  <si>
    <t>7004587851;6603706866</t>
  </si>
  <si>
    <t>Parrot, M.;Lefeuvre, F.</t>
  </si>
  <si>
    <t>Orleans</t>
  </si>
  <si>
    <t>Laboratoire de Physique et de Chimie de l'Environnement et de l'Espace (LPC2E)</t>
  </si>
  <si>
    <t>Parrot M.</t>
  </si>
  <si>
    <t>Correlation between GEOS VLF emissions and earthquakes.</t>
  </si>
  <si>
    <t>2-s2.0-0022173194</t>
  </si>
  <si>
    <t>['taking advantage', 'supported dipole', 'small five', 'primary radiation', 'patented beam', 'multiple reflections', 'forming ring', 'disk feed', 'center blockage', 'aided optimization']</t>
  </si>
  <si>
    <t>The computer-aided optimization of a small five-wavelength diameter reflector antenna with a center-supported dipole-disk feed is described. The primary radiation is controlled by using a patented beam-forming ring to give low cross polarization and low sidelobes due to spillover. The efficiency is maximized by controlling and taking advantage of the multiple reflections between the feed and the reflector. This has inspired the name ‚Äúresonant reflector antenna.‚Äù The gain from the feed reflector resonances is so large that it compensates almost completely for the about 1 dB loss due to center blockage of the aperture. ¬© 1985 IEEE</t>
  </si>
  <si>
    <t>1386-1391</t>
  </si>
  <si>
    <t>A Small Dipole-Fed Resonant Reflector Antenna with High Efficiency, Low Cross Polarization, and Low Sidelobes</t>
  </si>
  <si>
    <t>10.1109/TAP.1985.1143540</t>
  </si>
  <si>
    <t>2-s2.0-0022185137</t>
  </si>
  <si>
    <t>['yield information', 'various applications', 'signal detection', 'seismic exploration', 'scattering medium', 'overlapping signals', 'new method', 'known signal', 'general problems', 'electronics engineers', 'biomedical engineering', 'arrival times']</t>
  </si>
  <si>
    <t>We present a new method for estimating the number and arrival times for overlapping signals with a priori known shape from noisy observations received by a sensor. The method is based on a recently developed eigenstructure technique for multitarget direction finding with passive antenna arrays and exploits the structure of the received signal covariance matrix. This problem is important in various applications such as radar and sonar data processing, geophysical/seismic exploration, and biomedical engineering. In many of these applications, a known signal is launched into a scattering medium and the returning response‚Äîin the form of delayed overlapping echos in noise‚Äîhas to be processed to yield information on the nature and location of scatterers. The method presented also solves more general problems of signal detection and resolution. Copyright ¬© 1985 by The Institute of Electrical and Electronics Engineers, Inc.</t>
  </si>
  <si>
    <t>1357-1367</t>
  </si>
  <si>
    <t>7006827486;7003596870;7102843718</t>
  </si>
  <si>
    <t>Bruckstein, Alfred M.;Shan, Tie Jun;Kailath, Thomas</t>
  </si>
  <si>
    <t>Bruckstein A.</t>
  </si>
  <si>
    <t>The Resolution of Overlapping Echos</t>
  </si>
  <si>
    <t>10.1109/TASSP.1985.1164725</t>
  </si>
  <si>
    <t>2-s2.0-0022185629</t>
  </si>
  <si>
    <t>['systematic design', 'scan angle', 'presents derivations', 'part ii', 'one obtains', 'numerical values', 'numerical results', 'new type', 'millimeter wavelengths', 'main concern', 'frequency independent', 'dispersion relation', 'design aspects', 'closed form', 'brief discussion', 'accurately characterizes']</t>
  </si>
  <si>
    <t>Part I of this pair of companion papers describes a new type of leaky wave antenna for millimeter wavelengths and presents derivations of the parameters of the transverse equivalent network that accurately characterizes its leaky wave behavior. From a resonance of this transverse equivalent network, one obtains a dispersion relation in closed form from which numerical values of the leaky wave behavior have been obtained. Part II begins with this dispersion relation and a brief discussion of the numerical procedure employed. The relations between these leaky wave properties and the design of leaky wave antennas form the main concern of Part II. In this context, design aspects are discussed, including optimization considerations and the fact that they are frequency independent, and then a variety of numerical results are presented, together with their relevance to leaky wave antenna performance. It is seen that this antenna is capable of systematic design and is versatile with respect to the scan angle and beamwidth of the radiation. ¬© 1985 IEEE</t>
  </si>
  <si>
    <t>1295-1303</t>
  </si>
  <si>
    <t>60032350;60108318</t>
  </si>
  <si>
    <t>7004439932;7005564352</t>
  </si>
  <si>
    <t>Lampariello, Paolo;Oliner, Arthur A.</t>
  </si>
  <si>
    <t>United States;Italy</t>
  </si>
  <si>
    <t>New York;Rome</t>
  </si>
  <si>
    <t>NYU Tandon School of Engineering;Sapienza Universit√† di Roma</t>
  </si>
  <si>
    <t>60108318;60032350</t>
  </si>
  <si>
    <t>Lampariello P.</t>
  </si>
  <si>
    <t>A New Leaky Wave Antenna for Millimeter Waves Using an Asymmetric Strip in Groove Guide, Part II: Design Considerations</t>
  </si>
  <si>
    <t>10.1109/TAP.1985.1143541</t>
  </si>
  <si>
    <t>2-s2.0-0022187585</t>
  </si>
  <si>
    <t>['z impurities', 'wave interaction', 'tokamak discharge', 'theory assuming', 'similar antenna', 'significant amount', 'side antenna', 'rf power', 'paper describes', 'one predicted', 'minority regime', 'mechanisms responsible', 'magnetosonic wave', 'loading resistance', 'jet antennas', 'first design', 'experiment shows', 'direct plasma', 'determining factor', 'coupling efficiency', 'appreciable heating', '7 ev', '600 kw', '350 kw', '300 kw', '200 kw']</t>
  </si>
  <si>
    <t>The paper describes the JET-TFR antenna designed for launching ICRF waves in TFR from the low magnetic field side of the torus, and the main experimental observations on plasma-wave interaction. Compared with a first design of a similar antenna, this antenna design includes new features, such as carbon lateral protections and a thick Faraday shield similar to the one which will be mounted on the JET antennas. Experiment shows that such a shield does not limit the coupling efficiency of the magnetosonic wave in the plasma, the loading resistance being comparable with the one predicted by theory assuming an ideal Faraday shield. With this system, the power coupled reached 600 kW. In the minority regime and for a central electron density around 1014cm3, the ion central heating efficiency reaches 0.6-0.7 eV*kW-1 for an RF power up to 350 kW and 0.5 eV‚ÄôkW-1 at 600 kW. As expected for a low-field-side antenna, no appreciable heating is observed in the mode conversion regime. Spectroscopic measurements show that, in all regimes, the RF pulse introduces a significant amount of both high-Z and low-Z impurities; at the end of a 300 kW/100 ms RF pulse, the total power radiated by the metallic impurities reaches 125-200 kW. The mechanisms responsible for such a generation of metal in the plasma remain unclear, but it can be said that a direct plasma-wave interaction in the scrape-off layer of the tokamak discharge is probably a determining factor. ¬© 1985 IOP Publishing Ltd.</t>
  </si>
  <si>
    <t>1719-1732</t>
  </si>
  <si>
    <t>Sand, F.</t>
  </si>
  <si>
    <t>Abingdon</t>
  </si>
  <si>
    <t>Joint European Undertaking (JET)</t>
  </si>
  <si>
    <t>Sand F.</t>
  </si>
  <si>
    <t>Icrf heating experiments in tfr using a low-field-side antenna</t>
  </si>
  <si>
    <t>10.1088/0029-5515/25/12/002</t>
  </si>
  <si>
    <t>2-s2.0-0022188977</t>
  </si>
  <si>
    <t>['various experiments', 'time consuming', 'shaping errors', 'reflector surface', 'reflector panels', 'paraboloid ).', 'operating conditions', 'microwave holography', 'ideal shape', 'correct alignment', 'added advantage']</t>
  </si>
  <si>
    <t>The performance of a reflector antenna system is degraded if the reflector surface is affected by shaping errors (the ideal shape is usually a paraboloid). If the antenna is large, the use of conventional measuring techniques becomes cumbersome and time consuming. In this paper, the technique of microwave holography is discussed which, apart from being faster, has the added advantage that the antenna can be measured under operating conditions. The theory is reviewed and the results of various experiments are presented and discusses. Finally, two possible future applications are considered: the measurment of large satellite antennas after their deployment in space, and the correct alignment of the reflector panels of a Compact Antenna Test Range. -Author</t>
  </si>
  <si>
    <t>329-341</t>
  </si>
  <si>
    <t>ESA Journal</t>
  </si>
  <si>
    <t>Orta, R.</t>
  </si>
  <si>
    <t>Microwave holographic measurement of reflector surface accuracy.</t>
  </si>
  <si>
    <t>2-s2.0-0022189203</t>
  </si>
  <si>
    <t>['preceding generation', 'older males', 'males orient', 'likely mate', 'intermolt period', 'initiates mating', 'growth molt', 'former case', 'brood pouch', 'actively tapping']</t>
  </si>
  <si>
    <t>Males orient to receptive females using olfactory clues and initiates mating by actively tapping the female's cephalon with his antennae. Virgin females mate during the intermolt period or just prior to a growth molt. Their first parturial molt is the 2nd molt following the mating. Females again elicit male mating behavior 1) shortly after birth of a brood of young before loss of the brood pouch by a molt, and 2) just prior to the subsequent parturial molt. In the former case, females were not receptive to the males. A single mating likely occurs for each brood of young. Large older males dominate small younger males in competition for mates. Young virgin females most likely mate with older males of a preceding generation, constituting a mating system adding stability to genetic variation.-from Author</t>
  </si>
  <si>
    <t>216-224</t>
  </si>
  <si>
    <t>American Midland Naturalist</t>
  </si>
  <si>
    <t>Johnson, C.</t>
  </si>
  <si>
    <t>Gainesville</t>
  </si>
  <si>
    <t>University of Florida</t>
  </si>
  <si>
    <t>Johnson C.</t>
  </si>
  <si>
    <t>Mating behavior of the terrestrial isopod, Venezillo evergladensis ( Oniscoidea, Armadillidae).</t>
  </si>
  <si>
    <t>10.2307/2425597</t>
  </si>
  <si>
    <t>2-s2.0-0022192962</t>
  </si>
  <si>
    <t>National Institute of Environmental Health Sciences</t>
  </si>
  <si>
    <t>R01ES002615</t>
  </si>
  <si>
    <t>NIEHS</t>
  </si>
  <si>
    <t>['wiley company', 'utilize microwaves', 'thermalizing energy', 'thermal energy', 'squirrel monkey', 'slight reduction', 'skin temperatures', 'saimiri sciureus', 'results indicate', 'microwave source', 'made available', 'inc .,', 'horn antenna', 'far field', 'convective cooling', 'cm2 )].', 'behavioral thermoregulation', 'air circulating', '30 mw', '25 mw']</t>
  </si>
  <si>
    <t>2450‚ÄêMHz continuous wave microwaves | behavioral thermoregulation | operant | squirrel monkey</t>
  </si>
  <si>
    <t>Adult male squirrel monkeys (Saimiri sciureus) were individually chair‚Äêrestrained in an air‚Äêconditioned Styrofoam box in the far field of a horn antenna. Each monkey first received extensive training to regulate the temperature of the air circulating through the box by selecting between 10 and 50¬∞C air source temperatures. Then, to investigate the ability of the animals to utilize microwaves as a source of thermalizing energy, 2450‚ÄêMHz continuous wave microwaves accompanied by thermoneutral (30¬∞C) air were substituted for the 50¬∞C air. Irradiation at each of three power densities was made available, ie, at 20, 25, and 30 mW/cm2 [SAR = 0.15 (W/kg)/(mW/cm2)]. The percentage of time that the monkeys selected microwave irradiation paired with thermoneutral air averaged 90% at 20 and at 25 mW/cm2. The mean percentage declined reliably (p &lt; 0.001) to 81% at 30 mW/cm2, confirming the monkey's ability to utilize microwave irradiation as a source of thermal energy during the course of behavioral thermoregulation. All animals readily made the warm‚Äêair to microwave‚Äêfield transition, regulating rectal temperature with precision by sequentially selecting 10¬∞C air, then microwave irradiation accompanied by 30¬∞C air. Although the selection of cooler air resulted in a slight reduction of skin temperatures, normal rectal temperature was maintained. The results indicate that the squirrel monkey can utilize a microwave source in conjunction with convective cooling to regulate body temperature behaviorally. Copyright ¬© 1985 Wiley‚ÄêLiss, Inc., A Wiley Company</t>
  </si>
  <si>
    <t>365-380</t>
  </si>
  <si>
    <t>6505871668;7005831657</t>
  </si>
  <si>
    <t>Bruce‚ÄêWolfe, Virginia;Adair, Eleanor R.</t>
  </si>
  <si>
    <t>Bruce‚ÄêWolfe V.</t>
  </si>
  <si>
    <t>Operant control of convective cooling and microwave irradiation by the squirrel monkey</t>
  </si>
  <si>
    <t>10.1002/bem.2250060404</t>
  </si>
  <si>
    <t>2-s2.0-0022195508</t>
  </si>
  <si>
    <t>['¬© 1985', 'satellite ephemeris', 'rights reserved', 'noaa satellites', 'electrical engineers']</t>
  </si>
  <si>
    <t>Satellite links and space communication</t>
  </si>
  <si>
    <t>A system for extracting Doppler signals from the HRPT data stream transmitted by NOAA satellites is described. These signals are used to improve the accuracy of tracking in a system which relies on satellite ephemeris to predict antenna pointing angles. ¬© 1985, The Institution of Electrical Engineers. All rights reserved.</t>
  </si>
  <si>
    <t>537-540</t>
  </si>
  <si>
    <t>60008877;60008877;60008877</t>
  </si>
  <si>
    <t>35830228200;7004975035;6505634443</t>
  </si>
  <si>
    <t>Brush, R.;Baylis, P.;Tawel, N.</t>
  </si>
  <si>
    <t>Dundee</t>
  </si>
  <si>
    <t>University of Dundee</t>
  </si>
  <si>
    <t>Brush R.</t>
  </si>
  <si>
    <t>Doppler method for improving tracking accuracy of satellite receiving stations</t>
  </si>
  <si>
    <t>10.1049/ip-f-1.1985.0101</t>
  </si>
  <si>
    <t>2-s2.0-0022195543</t>
  </si>
  <si>
    <t>['wave research', 'ton gravitational', 'noise temperature', 'noise preamplifier', 'liquid helium', 'input low', 'input conductance', 'first cooling', '69 mk']</t>
  </si>
  <si>
    <t>We report on the specification, the design, and the characterization of a FET-input low-noise preamplifier with low-input conductance that has been developed for gravitational-wave research. At approximately 900 Hz the noise temperature of the preamplifier is 69 mK and its input conductance is ~-2 nS. This preamplifier has recently been used during the first cooling to liquid helium of a 2.2-ton gravitational-wave antenna equipped with a capacitive resonant transducer. ¬© 1985 IEEE</t>
  </si>
  <si>
    <t>676-680</t>
  </si>
  <si>
    <t>IEEE Transactions on Instrumentation and Measurement</t>
  </si>
  <si>
    <t>60032350;60032350</t>
  </si>
  <si>
    <t>7004243218;55880048200</t>
  </si>
  <si>
    <t>Pallottino, G. V.;Vannaroni, Giuliano</t>
  </si>
  <si>
    <t>Rome</t>
  </si>
  <si>
    <t>Sapienza Universit√† di Roma</t>
  </si>
  <si>
    <t>Pallottino G.</t>
  </si>
  <si>
    <t>A Low-Noise Low-Input Conductance Preamplifier for Gravitational Research</t>
  </si>
  <si>
    <t>10.1109/TIM.1985.4315433</t>
  </si>
  <si>
    <t>2-s2.0-0022198413</t>
  </si>
  <si>
    <t>['tsushima station', 'transmitting antenna', 'radiation resistance', 'numerical analysis', 'measured one', 'inclined elements', 'earthing resistance', 'approximate equation', 'antenna characteristics', '02 x']</t>
  </si>
  <si>
    <t>The characteristics of the electrically very small umbrella antenna used for the Omega navigation system are examined by the numerical analysis. The transmitting antenna of height about 0.02 X with 16 inclined elements at the Tsushima station is analyzed as an example of electrically very small umbrella antenna. In the analysis the ground is assumed to be a perfectly conducting plane and the Hallen-type integral equation is used. The difference between the calculated input resistance and the measured one is estimated as the earthing resistance. The approximate equation of radiation resistance is derived and the relation between the inclined elements and the antenna characteristics is discussed. ¬© 1985 IEEE</t>
  </si>
  <si>
    <t>1401-1403</t>
  </si>
  <si>
    <t>35608208100;7202459692</t>
  </si>
  <si>
    <t>Egashira, Shigeru;Taguchi, Mitsuo</t>
  </si>
  <si>
    <t>Egashira S.</t>
  </si>
  <si>
    <t>Analysis of Umbrella Antenna at the Omega Navigation Station</t>
  </si>
  <si>
    <t>10.1109/TAP.1985.1143535</t>
  </si>
  <si>
    <t>2-s2.0-0022200575</t>
  </si>
  <si>
    <t>['wave antennas', 'single elements', 'qualitatively explained', 'phased arrays', 'one compares', 'including slots', 'important condition', 'exponentially tapered', 'cwsa ).', 'constant width']</t>
  </si>
  <si>
    <t>Endfire tapered slot antennas are suitable for many integrated circuit applications, imaging and phased arrays. We report on an investigation of single elements of such antennas, including slots which are exponentially tapered (Vivaldi), linearly tapered (LTSA) and constant width (CWSA). For antennas of all types, a good general agreement is obtained for curves of beamwidth versus length, normalized to wavelength, when one compares the data with that for traveling-wave antennas published by Zucker. An important condition for this agreement is that the effective dielectric thickness, defined in the text, is in a certain optimum range. This condition is qualitatively explained in terms of the theory for traveling-wave antennas. ¬© 1985 IEEE</t>
  </si>
  <si>
    <t>1392-1400</t>
  </si>
  <si>
    <t>60014313;60014313;60005304;60000990;60000990;60000990</t>
  </si>
  <si>
    <t>7003389714;7006791463;6508170434;7005304586;6508086197;35617942000</t>
  </si>
  <si>
    <t>Yngvesson, K. Sigfrid;Schaubert, Daniel H.;Korzeniowski, Thomas L.;Kollberg, Erik L.;Thungren, Tomas;Johansson, Joakim F.</t>
  </si>
  <si>
    <t>United States;United States;Sweden</t>
  </si>
  <si>
    <t>Amherst MA;Waltham;Gothenburg</t>
  </si>
  <si>
    <t>University of Massachusetts Amherst;Raytheon;Chalmers University of Technology</t>
  </si>
  <si>
    <t>60014313;60005304;60000990</t>
  </si>
  <si>
    <t>Yngvesson K.</t>
  </si>
  <si>
    <t>Endfire Tapered Slot Antennas on Dielectric Substrates</t>
  </si>
  <si>
    <t>10.1109/TAP.1985.1143542</t>
  </si>
  <si>
    <t>2-s2.0-0022201282</t>
  </si>
  <si>
    <t>['¬© 1985', 'uropods form', 'thoracic exopods', 'thoracic endopods', 'tealliocaris walked', 'tail fan', 'stout peduncle', 'royal society', 'rights reserved', 'probably one', 'poorly preserved', 'paired gastric', 'order mysidacea', 'occurs scattered', 'normally complete', 'median ridge', 'long flagellum', 'incisor process', 'heavily sclerotised', 'elongate rostrum', 'either side', 'carboniferous crustaceans', 'brackish lake', 'best preserved', 'bed -.', 'anterior thoracopods', 'antennal scale']</t>
  </si>
  <si>
    <t>Carboniferous | ecology | Malacostraca | morphology | systematics</t>
  </si>
  <si>
    <t>Tealliocaris is probably one of the best preserved of all Carboniferous crustaceans. It occurs scattered through the 12 cm thick laminated Gullane ‚Äòshrimp-bed-. The cuticle is exceptionally well preserved and the specimens, which are normally complete, are infilled with fluorapatite. The carapace has an elongate rostrum, a defined frontal area, a median ridge and paired gastric and inner and outer lateral ridges. The eyes are borne on a stout peduncle. The first antenna bears a pair of flagella, the second an antennal scale and long flagellum. The mandible is large and heavily sclerotised with molar and incisor process. The maxillae and anterior thoracopods are poorly preserved. The posterior six thoracopods each have a long segmented endopod and annulated setose exopod. More than half the specimens preserve lamellae which may represent branchial epipods, or floor a brood chamber beneath the carapace on either side of the thorax. The pleopods are biramous. The telson and uropods form a tail fan. In the absence of oostegites Tealliocaris cannot be assigned to the order Mysidacea but its affinities lie close to these Eumalacostraca. Tealliocaris walked on the thoracic endopods, but could also swim using the pleopods and thoracic exopods. The mode of feeding is uncertain. Tealliocaris probably inhabited a brackish lake or lagoon, but its distribution elsewhere suggests that it may have been tolerant of a range of salinities. ¬© 1985, Royal Society of Edinburgh. All rights reserved.</t>
  </si>
  <si>
    <t>173-201</t>
  </si>
  <si>
    <t>Transactions of the Royal Society of Edinburgh: Earth Sciences</t>
  </si>
  <si>
    <t>60010964;60027272</t>
  </si>
  <si>
    <t>57203106346;7005797135</t>
  </si>
  <si>
    <t>Briggs, D. E.G.;Clarkson, E. N.K.</t>
  </si>
  <si>
    <t>Edinburgh;London</t>
  </si>
  <si>
    <t>The University of Edinburgh;Goldsmiths, University of London</t>
  </si>
  <si>
    <t>60027272;60010964</t>
  </si>
  <si>
    <t>Briggs D.E.G.</t>
  </si>
  <si>
    <t>The Lower Carboniferous shrimp Tealliocaris from Gullane, East Lothian, Scotland</t>
  </si>
  <si>
    <t>10.1017/S0263593300010439</t>
  </si>
  <si>
    <t>2-s2.0-0022202861</t>
  </si>
  <si>
    <t>['wave spectrum', 'various methods', 'third method', 'monitoring phased', 'fresnel integral', 'field transformation', 'field measurements', 'comparative assessment', 'array antennas']</t>
  </si>
  <si>
    <t>The problem of monitoring phased-array antennas in general and microwave landing system (MLS) in particular is considered. Various methods of monitoring phased-array antennas are suggested. One is based on changes in the far-field radiation pattern arising from defects in the array. Another method uses the near-field to far-field transformation, based on the concept of the plane-wave spectrum, for the detection of defects in the antenna. A third method is based on near-field measurements and uses the properties of the Fresnel integral. The methods were simulated on the computer and, where possible, were tested by experiment. A comparative assessment of the methods is given, and an operational monitoring system is suggested for the MLS phased array. ¬© 1985 IEEE</t>
  </si>
  <si>
    <t>1313-1327</t>
  </si>
  <si>
    <t>60026340;60015150</t>
  </si>
  <si>
    <t>35854348000;55432714600</t>
  </si>
  <si>
    <t>Ronen, Jacob;Clarke, Richard H.</t>
  </si>
  <si>
    <t>Israel;United Kingdom</t>
  </si>
  <si>
    <t>Haifa;London</t>
  </si>
  <si>
    <t>RAFAEL Armament Development Authority Ltd.;Imperial College London</t>
  </si>
  <si>
    <t>Ronen J.</t>
  </si>
  <si>
    <t>Monitoring Techniques for Phased-Array Antennas</t>
  </si>
  <si>
    <t>10.1109/TAP.1985.1143531</t>
  </si>
  <si>
    <t>2-s2.0-0022207105</t>
  </si>
  <si>
    <t>['toxic chemicals', 'tobin lake', 'morphological response', 'larval antennae', 'comparatively uncontaminated', 'chronic exposure', 'chironomus populations', 'antennal deformations']</t>
  </si>
  <si>
    <t>Comparison of the incidence (percent) and severity of antennal deformations in Chironomus populations from Tobin Lake (contaminated) and Last Mountain Lake (comparatively uncontaminated) ecosystems in south-central Saskatchewan show this index, and an index of morphological response, are higher in Tobin Lake. Results from experiments using DDE suggest that larval antennae are very sensitive to low-level, chronic exposure to toxic chemicals. -from Author</t>
  </si>
  <si>
    <t>1881-1914</t>
  </si>
  <si>
    <t>Canadian Journal of Fisheries and Aquatic Sciences</t>
  </si>
  <si>
    <t>Warwick, W. F.</t>
  </si>
  <si>
    <t>Gatineau</t>
  </si>
  <si>
    <t>Environment Canada</t>
  </si>
  <si>
    <t>Warwick W.F.</t>
  </si>
  <si>
    <t>Morphological abnormalities in Chironomidae ( Diptera) larvae as measures of toxic stress in freshwater ecosystems: indexing antennal deformities in Chironomus Meigen.</t>
  </si>
  <si>
    <t>10.1139/f85-236</t>
  </si>
  <si>
    <t>2-s2.0-0022207433</t>
  </si>
  <si>
    <t>['simultaneously achieving', 'reflector surfaces', 'ratio achieved', 'new front', 'foldable geometries', 'design freedom', 'additional degrees']</t>
  </si>
  <si>
    <t>Dual offset reflector antenna systems offer exciting possibilities for achieving both low scan losses and low cross polarization in geosynchronous communications satellite antennas providing narrow (100 ‚â¶D/Y % ‚â¶400) and multiple beam frequency reuse coverages over an 18¬∞ conical field of view. Novel geometrical configurations for the reflectors are characterized by simultaneously achieving: 1) blockage free apertures for all element beams within the 18¬∞ conical field of view, 2) compatibility with large planar feed arrays, 3) additional degrees of design freedom by orientation and shaping of reflector surfaces for depolarization and scan loss optimization, and 4) large effective f/D ratio achieved in compact and foldable geometries. A comparison of new front-fed offset Cassegrain (FFOC) and side-fed offset Cassegrain (SFOC) systems is made. ¬© 1985 IEEE</t>
  </si>
  <si>
    <t>1304-1312</t>
  </si>
  <si>
    <t>60027972;60027972;60004541</t>
  </si>
  <si>
    <t>7102767504;56284516500;7005905336</t>
  </si>
  <si>
    <t>J√∏rgensen, Rolf;Balling, Peter;English, William J.</t>
  </si>
  <si>
    <t>Denmark;United States</t>
  </si>
  <si>
    <t>Copenhagen K;Washington, D.C.</t>
  </si>
  <si>
    <t>TICRA;INTELSAT</t>
  </si>
  <si>
    <t>60027972;60004541</t>
  </si>
  <si>
    <t>J√∏rgensen R.</t>
  </si>
  <si>
    <t>Dual Offset Reflector Multibeam Antenna for International Communications Satellite Applications</t>
  </si>
  <si>
    <t>10.1109/TAP.1985.1143523</t>
  </si>
  <si>
    <t>2-s2.0-0022208196</t>
  </si>
  <si>
    <t>['required since', 'national bureau', 'initial location', 'first test', 'experiment show', 'earlier claim', 'data permitted', 'although noisy', '1985 institute']</t>
  </si>
  <si>
    <t>Two kinematic surveys were performed, using TI‚Äê4100s, which substantiate the author's earlier claim that centimeter‚Äêaccuracy relative surveys can be accomplished within seconds. The first test was carried out in Arkansas using wide‚Äêbandwidth tracking. Although noisy, these data permitted the concepts and the data processing software to be verified. Based on results of this survey, a definitive kinematic survey experiment was designed and executed at the National Bureau of Standards, Gaithersburg, MD. The results of this experiment show that centimeter‚Äêlevel relative surveys can be performed in seconds. A priori geodetic coordinates of the initial location of the ‚Äúroving‚Äù antenna are not required since they, too, can be determined within seconds. 1985 Institute of Navigation</t>
  </si>
  <si>
    <t>386-400</t>
  </si>
  <si>
    <t>Winter 1985</t>
  </si>
  <si>
    <t>REMONDI, BENJAMIN W.</t>
  </si>
  <si>
    <t>National Oceanic and Atmospheric Administration</t>
  </si>
  <si>
    <t>REMONDI B.</t>
  </si>
  <si>
    <t>Performing Centimeter‚ÄêLevel Surveys in Seconds with GPS Carrier Phase: Initial Results</t>
  </si>
  <si>
    <t>10.1002/j.2161-4296.1985.tb00918.x</t>
  </si>
  <si>
    <t>2-s2.0-0022210760</t>
  </si>
  <si>
    <t>['upper waveguide', 'top plate', 'promising performances', 'predicted theoretically', 'high efficiency', 'dimensional aperture', 'dbs ).', 'circular two', 'basic characteristics', 'aperture spirally', 'aperture plate', 'antenna belongs']</t>
  </si>
  <si>
    <t>The analysis and design of novel planar antennas which can radiate circularly polarized pencil beams in x-band are presented for the application of receiving direct broadcast from a satellite (DBS). This antenna belongs to a class of slotted waveguide antennas and high efficiency is expected in principle. A circular two-dimensional aperture is located on the top plate of a twofold radial waveguide and is excited by a radially inward traveling transverse electromagnetic (TEM) mode in the upper waveguide. Slots are arrayed on the aperture spirally in such a way that they can couple with the radial currents flowing over the aperture plate to produce a circularly polarized broadside beam. Promising performances of the antenna are predicted theoretically. Experiments are performed with respect to basic characteristics of the antenna and they show the validity of the design and analysis. ¬© 1985 IEEE</t>
  </si>
  <si>
    <t>1347-1353</t>
  </si>
  <si>
    <t>60031126;60031126;60031126;115913923;60103907</t>
  </si>
  <si>
    <t>35495699200;7402174027;7201747933;7006037432;55467374400</t>
  </si>
  <si>
    <t>Ando, Makoto;Sakurai, Kimio;Goto, Naohisa;Arimura, Kunitaka;Ito, Yoshiharu</t>
  </si>
  <si>
    <t>Tokyo;Tokyo;</t>
  </si>
  <si>
    <t>Nippon Hoso Kyokai;Tokyo Institute of Technology;Arimura Industrial Inc.</t>
  </si>
  <si>
    <t>60103907;60031126;115913923</t>
  </si>
  <si>
    <t>A Radial Line Slot Antenna for 12 GHz Satellite TV Reception</t>
  </si>
  <si>
    <t>10.1109/TAP.1985.1143526</t>
  </si>
  <si>
    <t>2-s2.0-0022215358</t>
  </si>
  <si>
    <t>['two values', 'truncation diameter', 'subreflectors truncated', 'subreflector diameter', 'reflector antenna', 'projected diameter', 'optics diameter', 'optics boundary', 'offset reflector', 'illumination taper', 'general expression', 'excellent agreement', 'electromagnetic scattering', 'computer model', 'computed scattering', 'calculated efficiency', '7 x', '7 ghz', '5 ghz', '5 db', '4 x', '35 ghz', '24 cm', '12 db']</t>
  </si>
  <si>
    <t>A general expression for the electromagnetic scattering by an arbitrarily shaped reflector is developed and applied in a computer model of offset hyperboloid reflectors. The computed scattering is shown to be in excellent agreement with scattering measurements made on an offset reflector of projected diameter = 24 cm, at frequencies of 10.35 GHz, 20.7 GHz, and 44.5 GHz. Next, using the computer model, the efficiency of the subreflector in a dual-reflector antenna is calculated as a function of subreflector diameter and for two values of illumination taper. For subreflectors truncated at the ray-optics boundary the calculated efficiency is 0.83 and 0.91, respectively, for truncation diameter of 7.7 X and 30.4 X, and with 5 dB of illumination taper; these respective efficiencies increase to 0.91 and 0.95 with 12 dB of illumination taper. However, subreflectors of diameter about two wavelengths larger than the ray-optics diameter have very nearly unit efficiency. ¬© 1985 IEEE</t>
  </si>
  <si>
    <t>1338-1346</t>
  </si>
  <si>
    <t>60022195;60009507</t>
  </si>
  <si>
    <t>7006024349;7004133415</t>
  </si>
  <si>
    <t>Dion, Andre R.;Muresan, Letitia V.</t>
  </si>
  <si>
    <t>United States;Canada</t>
  </si>
  <si>
    <t>Cambridge;Montreal</t>
  </si>
  <si>
    <t>Massachusetts Institute of Technology;University of Montreal</t>
  </si>
  <si>
    <t>Dion A.</t>
  </si>
  <si>
    <t>Electromagnetic Scattering by Arbitrarily Shaped Reflectors: Subreflector Efficiency</t>
  </si>
  <si>
    <t>10.1109/TAP.1985.1143532</t>
  </si>
  <si>
    <t>2-s2.0-0022216838</t>
  </si>
  <si>
    <t>['wavenumber spectrum', 'rf field', 'relatively insensitive', 'power required', 'plasma edge', 'main antenna', 'launcher consists', 'current requirement', 'compensating antenna']</t>
  </si>
  <si>
    <t>An ion cyclotron range of frequencies (ICRF) launcher which minimizes the RF field at the resonance surface near the plasma edge to reduce impurity production is proposed. The launcher consists of a main antenna and short compensating antennas. The compensating current needed for minimizing the RF field is calculated. It is shown that the power required for the compensating antenna is reasonable. The current requirement is relatively insensitive to changing resonance location and wavenumber spectrum. ¬© 1985 IEEE</t>
  </si>
  <si>
    <t>563-568</t>
  </si>
  <si>
    <t>60013901;60013901;60013901;60013901;60013901</t>
  </si>
  <si>
    <t>7102546361;55572275200;22970114000;55580883900;7202291663</t>
  </si>
  <si>
    <t>Ohkawa, T.;Hino, T.;Andrews, P. L.;Chan, V. S.;Chiu, S. C.</t>
  </si>
  <si>
    <t>General Atomics</t>
  </si>
  <si>
    <t>Ohkawa T.</t>
  </si>
  <si>
    <t>ICRF Launcher for Reduction of Impurity Production</t>
  </si>
  <si>
    <t>10.1109/TPS.1985.4316474</t>
  </si>
  <si>
    <t>2-s2.0-0022221336</t>
  </si>
  <si>
    <t>['small part', 'signal caused', 'sight link', 'receiving site', 'propagation model', 'phase differences', 'path model', 'multipath propagation', 'mounted one', 'measured data', 'marked enhancements', 'height profiles', 'height dependence', 'field strength', 'deep fades', '43 km', '3 ghz', '14 antennas']</t>
  </si>
  <si>
    <t>The height dependence of the field strength was studied on a line-of-sight link, 43 km in length, at 9.3 GHz. At the receiving site, 14 antennas were mounted one above the other at 2 m spacing. Height profiles with deep fades or marked enhancements of the signal caused by multipath propagation were investigated. The parameters of a propagation model with two or three partial waves were evaluated from the measured data. These parameters were the amplitudes, the differences of the angles of incidence, and the phase differences. Only a small part of the events is covered by the two-path model. The three-path model proves to be much more adapted to this purpose. ¬© 1985 IEEE</t>
  </si>
  <si>
    <t>1378-1385</t>
  </si>
  <si>
    <t>Giloi, Hans Georg</t>
  </si>
  <si>
    <t>Forschungsinstitut der Deutschen Bundespost</t>
  </si>
  <si>
    <t>Giloi H.</t>
  </si>
  <si>
    <t>A Study of Field Strength Height Profiles Caused by Multipath Fading</t>
  </si>
  <si>
    <t>10.1109/TAP.1985.1143528</t>
  </si>
  <si>
    <t>2-s2.0-0022221691</t>
  </si>
  <si>
    <t>['¬© 1985', 'two polyads', 'rights reserved', 'polyads carried', 'pollen loads', 'november 1981', 'low numbers', 'insects collected', 'important pollinators', 'five families', 'eleven species', '75 %)', '5 min']</t>
  </si>
  <si>
    <t>Eleven species of butterfly from five families were collected from the flowers of A. bidwillii during November 1981 at Townsville. Most butterflies (c. 60-75%) from all families spent less than 30 s on blossoms, although some spent more than 2.5 min. Of 58 butterflies examined for pollen loads, 26 (44.8%) carried Acacia pollen. The number of polyads carried ranged from 1 to 10 with the majority being carried on the underside of the thorax and abdomen. Only two polyads were detected on the wings of a single Acraea andromacha andromacha (Fabricius) (Nymphalidae) and no butterflies carried pollen on the antennae. Considering the short periods generally spent in foraging and the low numbers of polyads carried by the butterflies in comparison with other insects collected from A. bidwillii, the butterflies are not regarded as important pollinators of the plant at Townsville. ¬© 1985, CSIRO. All rights reserved.</t>
  </si>
  <si>
    <t>167-173</t>
  </si>
  <si>
    <t>Australian Journal of Botany</t>
  </si>
  <si>
    <t>Hawkeswood, T. J.</t>
  </si>
  <si>
    <t>Hawkeswood T.J.</t>
  </si>
  <si>
    <t>The role of butterflies as pollinators of Acacia bidwillii benth. (Mimosaceae) at Townsville, Northern Queensland</t>
  </si>
  <si>
    <t>10.1071/BT9850167</t>
  </si>
  <si>
    <t>2-s2.0-0022225530</t>
  </si>
  <si>
    <t>['¬© 1985', 'water environment', 'three beamformers', 'space techniques', 'rights reserved', 'omnidirectional elements', 'electrical engineers']</t>
  </si>
  <si>
    <t>Antennas | Beamforming | Sonar</t>
  </si>
  <si>
    <t>The responses of adaptive and conventional acoustic array processors using data acquired from an under water environment are compared. The data from a horizontal planar array with omnidirectional elements are processed using frequency-domain and element-space techniques to estimate the azimuthal noise anisotropy and to contrast the effectiveness of each processor. Three beamformers are represented; the uniform amplitude shaded beamformer, a nonuniformly shaded beamformer and a fully adaptive processor which seeks to optimise array response by minimising the beampower. ¬© 1985, The Institution of Electrical Engineers. All rights reserved.</t>
  </si>
  <si>
    <t>595-597</t>
  </si>
  <si>
    <t>60026242;60082345</t>
  </si>
  <si>
    <t>57198626721;7006993407</t>
  </si>
  <si>
    <t>Smith, A.;Searle, G.</t>
  </si>
  <si>
    <t>Australia;United Kingdom</t>
  </si>
  <si>
    <t>Jervis Bay;Salisbury</t>
  </si>
  <si>
    <t>Royal Australian Navy;Defence Science and Technology Laboratory</t>
  </si>
  <si>
    <t>60082345;60026242</t>
  </si>
  <si>
    <t>Smith A.</t>
  </si>
  <si>
    <t>Empirical observations of a sonar adaptive array</t>
  </si>
  <si>
    <t>10.1049/ip-f-1.1985.0111</t>
  </si>
  <si>
    <t>2-s2.0-0022226660</t>
  </si>
  <si>
    <t>['two sides', 'two dielectrics', 'traveling wave', 'suggests interference', 'restricted nature', 'radiation pattern', 'radiated power', 'physical mechanism', 'either side', 'dielectric constants', 'dielectric constant', 'bending loss', 'beam emitted']</t>
  </si>
  <si>
    <t>The radiation pattern is evaluated on a traveling wave antenna situated on the interface between two dielectrics. When the dielectric constant is the same on either side, the beam emitted by the traveling wave has a narrow Gaussian profile, and is paraxial with its plane. As the dielectric becomes different on the two sides the paraxial beam property remains, but the discontinuity inhibits considerably the radiated power. Bearing in mind the beam-restricted nature of the bending loss from smooth curved optoelectronic waveguides, this suggests interference as a physical mechanism for reducing their bending loss. This confirms and justifies previous calculations using simpler boundary conditions. The range of dielectric constants for which the effect would operate is predicted.</t>
  </si>
  <si>
    <t>354-358</t>
  </si>
  <si>
    <t>IEE Proceedings, Part J: Optoelectronics</t>
  </si>
  <si>
    <t>Dec</t>
  </si>
  <si>
    <t>60001881;60001881;60001881;60001881</t>
  </si>
  <si>
    <t>57200105269;7401946293;7101768077;6603170721</t>
  </si>
  <si>
    <t>Kendall, P. C.;Marsh, J. H.;Robson, P. N.;Hewson-Browne, R. C.</t>
  </si>
  <si>
    <t>Kendall P.</t>
  </si>
  <si>
    <t>FRAUNHOFER INTERFERENCE OF A DIELECTRIC INTERFACE WITH TRAVELLING WAVE RADIATION AND THE CONSEQUENT REDUCTION IN DIELECTRIC WAVEGUIDE BENDING LOSS.</t>
  </si>
  <si>
    <t>10.1049/ip-j.1985.0067</t>
  </si>
  <si>
    <t>2-s2.0-0022229628</t>
  </si>
  <si>
    <t>['test must', 'shielded room', 'sensitivity test', 'reverse conditions', 'reciprocity theorem', 'radio receiver', 'loop spacing', 'infinite series', 'already derived']</t>
  </si>
  <si>
    <t>The near-zone magnetic field radiated by a small-loopantenna has been used for the sensitivity test of a radio receiver. When an external interference field exists around the antennas, the test must be carried out in a shielded room. The formulas to estimate the effect of the room on the standard magnetic field are derived by using the image antenna theory. These formulas are expressed in the form of an infinite series. The states of the convergence of the formulas are compared with those already derived from the reciprocity theorem. The convergence for the image antenna theory is more rapid when the ratio of the loop spacing to the wavelength is smaller and the ratio of the size of the shielded room to the wavelength is larger, while the one for the reciprocity theorem is more rapid under reverse conditions. ¬© 1985 IEEE</t>
  </si>
  <si>
    <t>647-649</t>
  </si>
  <si>
    <t>60025272;60025272;60016421;60031701</t>
  </si>
  <si>
    <t>14320555700;7102497816;36984581200;35576883400</t>
  </si>
  <si>
    <t>Nakane, Hiroshi;Omori, Shunichi;Maruyama, Hitoshi;Yokoshima, Ichiro</t>
  </si>
  <si>
    <t>Tsukuba;Tokyo;Tokyo</t>
  </si>
  <si>
    <t>Electrotechnical Laboratory;The University of Tokyo;Tokyo Metropolitan Institute of Gerontology</t>
  </si>
  <si>
    <t>60031701;60025272;60016421</t>
  </si>
  <si>
    <t>Nakane H.</t>
  </si>
  <si>
    <t>Convergence of Shielded Room Error Analysis Using Image Antenna Theory</t>
  </si>
  <si>
    <t>10.1109/TIM.1985.4315427</t>
  </si>
  <si>
    <t>2-s2.0-0022231255</t>
  </si>
  <si>
    <t>['spatial variation', 'spatial average', 'simulation indicates', 'simulated application', 'planewave expansion', 'obtain information', 'method relies', 'large volume', 'field within', 'field intensity', 'directional probe', 'determining characteristics', 'accurately determined']</t>
  </si>
  <si>
    <t>A directional scanning technique is formulated for determining characteristics of an electromagnetic (EM) environment with a relatively small number of measurements, and results of a simulated application are presented. The method relies on measurements with a directional probe to obtain information about the coefficients in a planewave expansion of the field within a large volume. The simulation indicates that although the spatial variation of the field can not be accurately determined, the spatial average of the field intensity can. ¬© 1985 IEEE</t>
  </si>
  <si>
    <t>1413-1416</t>
  </si>
  <si>
    <t>Directional Scanning of Complex Electromagnetic Environments</t>
  </si>
  <si>
    <t>10.1109/TAP.1985.1143525</t>
  </si>
  <si>
    <t>2-s2.0-0022231878</t>
  </si>
  <si>
    <t>['¬© 1985', 'vhf band', 'vertical direction', 'term monitoring', 'space sciences', 'rights reserved', 'radiation pattern', 'new system', 'developed using', 'c ).', 'accurate measurement']</t>
  </si>
  <si>
    <t>Accurate measurement of the radiation pattern of ground-based large array antennas in the VHF band has been a difficult task due to a large distance required to achieve the antenna far field in the vertical direction. A new system for a long-term monitoring of the MU radar antenna pattern has been developed using the Japanese scientific satellite OHZORA (EXOS-C). ¬© 1985, Society of Geomagnetism and Earth, Planetary and Space Sciences. All rights reserved.</t>
  </si>
  <si>
    <t>431-441</t>
  </si>
  <si>
    <t>Journal of geomagnetism and geoelectricity</t>
  </si>
  <si>
    <t>60011001;60011001;60011001</t>
  </si>
  <si>
    <t>55398698300;7403584142;35425453600</t>
  </si>
  <si>
    <t>Fukao, Shoichiro;Sato, Toru;Kato, Susumu</t>
  </si>
  <si>
    <t>Kyoto</t>
  </si>
  <si>
    <t>Kyoto University</t>
  </si>
  <si>
    <t>Monitoring of the MU Radar Antenna Pattern by Satellite OHZORA (EXOS-C)</t>
  </si>
  <si>
    <t>10.5636/jgg.37.431</t>
  </si>
  <si>
    <t>2-s2.0-0022233176</t>
  </si>
  <si>
    <t>['¬© 1985', 'vlf ranges', 'topside region', 'spw ),', 'space sciences', 'source regions', 'rights reserved', 'rf pulse', 'pulse width', 'plasma density', 'one operation', 'normal mode', 'mode waves', 'may 16', 'lf hiss', 'leaked components', 'leaked component', 'initial perigee', 'initial inclination', 'initial apogee', 'high power', 'high frequency', 'frequency range', 'following phenomena', 'february 14', 'experiments system', 'cooperative operation', '865 km', '6 ¬∞.', '500 orbits', '500 hz', '450 khz', '354 km', '20 khz', '16 mhz', '100 khz']</t>
  </si>
  <si>
    <t>Planetary plasma sounder (PPS) experiments system is installed in the Ohzora (EXOS-C) satellite which was launched on February 14, 1984, in an orbit with initial apogee and perigee of 865 km and initial perigee of 354 km, respectively, and initial inclination of 74.6¬∞. Utilizing orthogonal 40 m (tip to tip) antennas and swept frequency receivers in the range from 100 kHz to 16 MHz and using a swept frequency VLF receiver in the range from 500 Hz to 20 kHz, PPS is operated for two main purposes. One operation is for the reception of natural plasma waves, both in the high frequency and the VLF ranges, and the other operation is for active experiments using the high power (300 W maximum) transmitter of the RF pulse where, in the normal mode, the swept frequency signal from 100 kHz to 16 MHz is modulated with a pulse width of 244 ¬µsec. During the first three months after the deployment of the 40 m antennas which was made on May 16, 1984, data from more than 500 orbits have been obtained. From these data the following phenomena have been discovered: 1) Leaked component of auroral kilometric radiation, 2) Terrestrial hectometric radiation from the topside region of the ionosphere. In the frequency range from 100 kHz to 450 kHz, there exist emissions separated from LF Hiss; the cause of the emissions is attributed to leakage of the auroral kilometric radiation. The leaked components are believed to be produced by the conversion of Z-mode waves to whistler mode waves. With cooperative operation of the stimulated plasma wave experiments (SPW), it is shown that an enhancement of terrestrial hectometric radiation is related to irregularities of plasma density. This result also suggests that the conversion of Z-mode waves to L-O mode waves is taking place near the source regions. ¬© 1985, Society of Geomagnetism and Earth, Planetary and Space Sciences. All rights reserved.</t>
  </si>
  <si>
    <t>237-262</t>
  </si>
  <si>
    <t>8425422900;7005549550;7103069211</t>
  </si>
  <si>
    <t>Oya, Hiroshi;Morioka, Akira;Obara, Takahiro</t>
  </si>
  <si>
    <t>Oya H.</t>
  </si>
  <si>
    <t>Leaked AKR and Terrestrial Hectometric Radiations Discovered by the Plasma Wave and Planetary Plasma Sounder Experiments on Board the Ohzora (EXOS-C) Satellite‚ÄîInstrumentation and Observation Results of Plasma Wave Phenomena</t>
  </si>
  <si>
    <t>10.5636/jgg.37.237</t>
  </si>
  <si>
    <t>2-s2.0-0022233178</t>
  </si>
  <si>
    <t>['quite general', 'proposed method', 'procedures developed', 'plausible errors', 'measurement types', 'higher accuracy', 'ground link', 'ground data', 'equally valid', 'achieved realistically', '44 cm']</t>
  </si>
  <si>
    <t>In this paper the emphasis is on the combination of VLBI and ground data. However, the proposed method is quite general and equally valid for combining other measurement types. The procedures developed are applied to the connection between the Tidbinbilla VLBI antenna and the Orroral SLR site near Canberra. Plausible errors in the VLBI and ground survey data produce an error of about 44 cm in the connection. Higher accuracy can only be achieved realistically by reducing the length of the ground link to less than 1 km.-from Authors</t>
  </si>
  <si>
    <t>61-74</t>
  </si>
  <si>
    <t>Australian Journal of Geodesy, Photogrammetry &amp; Surveying</t>
  </si>
  <si>
    <t>60028333;60028333</t>
  </si>
  <si>
    <t>7103106967;7004956528</t>
  </si>
  <si>
    <t>Harvey, B. R.;Stolz, A.</t>
  </si>
  <si>
    <t>Harvey B.</t>
  </si>
  <si>
    <t>On ground survey connections between VLBI and laser ranging sites.</t>
  </si>
  <si>
    <t>2-s2.0-0022233647</t>
  </si>
  <si>
    <t>['thin wires', 'short history', 'process called', 'previous works', 'periodic surfaces', 'periodic structures', 'iterative formulation', 'iterative equation', 'insuring convergence', 'infinite grating', 'general conditions', 'electromagnetic scattering', 'dimensional problems', 'convergent solution', 'convergence properties', 'contraction theory', 'computational method']</t>
  </si>
  <si>
    <t>Contraction theory is applied to an iterative formulation of electromagnetic scattering from periodic structures and a computational method for insuring convergence is developed. A short history of spectral (or k-space) formulation is presented with an emphasis on application to periodic surfaces. To insure a convergent solution of the iterative equation, a process called the contraction corrector method is developed. Convergence properties of previously presented iterative solutions to one-dimensional problems are examined utilizing contraction theory and the general conditions for achieving a convergent solution are explored. The contraction corrector method is then applied to several scattering problems including an infinite grating of thin wires with the solution data compared to previous works. ¬© 1985 IEEE</t>
  </si>
  <si>
    <t>1354-1362</t>
  </si>
  <si>
    <t>60024590;60004923</t>
  </si>
  <si>
    <t>36901792500;57212887845</t>
  </si>
  <si>
    <t>Brand, Jerry C.;Kauffman, J. Frank</t>
  </si>
  <si>
    <t>Schaumburg;Raleigh</t>
  </si>
  <si>
    <t>Motorola;NC State University</t>
  </si>
  <si>
    <t>Brand J.</t>
  </si>
  <si>
    <t>The Application of Contraction Theory to an Iterative Formulation of Electromagnetic Scattering</t>
  </si>
  <si>
    <t>10.1109/TAP.1985.1143522</t>
  </si>
  <si>
    <t>2-s2.0-0022237481</t>
  </si>
  <si>
    <t>['transmission rate', 'related technology', 'personalized service', 'paper describes', 'mutual voice', 'link availability', 'feasibility study', 'earth station', 'diameter antenna', 'central area', '64 kbit', '30 cm']</t>
  </si>
  <si>
    <t>This paper describes the missions and their related technology, focussing on the personalization of future satellite communication services. A personal communication system using the satellite is presented as a representative personal service. A result of the preliminary mission study on the personal communication system using the satellite in 50/40 GHz band is described. It elucidates that the earth station having a 30 cm-diameter antenna can be used for mutual voice-communication with a transmission rate of 64 kbit/s and link availability of 98% or above in the central area of Japan. Finally, an experimental communication system which is suitable for the personalized service, including satellite configuration, is described, for which the feasibility study is being conducted by Radio Research Laboratories, Japan, as an Advanced Communications Technology Satellite for Experiments (ACTS-E) program. -Authors</t>
  </si>
  <si>
    <t>317-324</t>
  </si>
  <si>
    <t>Earth-oriented Applications of Space Technology</t>
  </si>
  <si>
    <t>Shimada, M.</t>
  </si>
  <si>
    <t>Koganei</t>
  </si>
  <si>
    <t>Ministry of Posts and Telecommunications, Japan</t>
  </si>
  <si>
    <t>Shimada M.</t>
  </si>
  <si>
    <t>Missions and technology for advanced communications satellite ( Japan).</t>
  </si>
  <si>
    <t>2-s2.0-0022237818</t>
  </si>
  <si>
    <t>['te611 mode', 'surface modes', 'reflector produces', 'power gyrotrons', 'plasma diagnostics', 'output radiation', 'new quasi', 'mode competition', 'like beam', 'fundamental modes', 'efficient conversion', 'cross polarization', '89 percent', '4 percent', '4 ghz', '25 db', '112 kw']</t>
  </si>
  <si>
    <t>High-frequency gyrotron operation in the TE611 whispering gallery mode is reported. Powers as high as 112 kW and an efficiency as high as 25.4 percent have been obtained. In addition to the TE611 mode, ten other fundamental modes with frequencies between 133.9 and 216.4 GHz were observed. A quasi-optical antenna forwhispering gallery modes has been tested for the TE611 mode. Thecombination of this antenna and a reflector produces a well-collimated linearly polarized RF beam suitable for electron cyclotron resonance heating (ECRH) or plasma diagnostics. The experimental conversion efficiency was determined to be 89 percent, and the cross polarization was down by 25 dB. A new quasi-optical transmission line employing this antenna has also been tested with the gyrotron. The absence of mode competition for the TE611 mode, as well as the efficient conversion of the output radiation into a linearly polarized Gaussian-like beam, substantiates the arguments for operation in surface modes in high-power gyrotrons. The implications of quasi-optical antennas formegawatt gyrotron window design are discussed. ¬© 1985 IEEE</t>
  </si>
  <si>
    <t>383-388</t>
  </si>
  <si>
    <t>60022195;60022195;60022195;60022195</t>
  </si>
  <si>
    <t>35500025100;57191783563;7005506102;7005160662</t>
  </si>
  <si>
    <t>Danly, Bruce G.;Kreischer, K. E.;Mulligan, W. J.;Temkin, R. J.</t>
  </si>
  <si>
    <t>Danly B.</t>
  </si>
  <si>
    <t>Whispering-Gallery-Mode Gyrotron Operation with a Quasi-Optical Antenna</t>
  </si>
  <si>
    <t>10.1109/TPS.1985.4316449</t>
  </si>
  <si>
    <t>2-s2.0-0022238429</t>
  </si>
  <si>
    <t>['¬© 1985', 'synchronous stacking', 'space sciences', 'several months', 'seafloor instrument', 'sea water', 'rights reserved', 'make contact', 'mainly caused', 'magnetotelluric experiments', 'long antenna', 'instrumental noise', 'increase sensitivity', 'horizontal component', 'electric field', 'depth capability', 'block averaging', '14 mbytes', '1 hz']</t>
  </si>
  <si>
    <t>A seafloor instrument has been constructed to measure a horizontal component of the electric field, using a long antenna (up to 1000 m) to increase sensitivity. The instrument has a depth capability of 5200 m and may be deployed for several months at a time, collecting over 14 Mbytes of data under the control of a microprocessor. Instrumental noise is mainly caused by the Ag-AgCl electrodes used to make contact with the sea water, and is about 10‚àí24 V2/m2Hz at frequencies above 1 Hz, following an f‚àí2 power law at frequencies (f) below 1 Hz. For controlled source signals averaging techniques such as synchronous stacking and block averaging have been used to detect narrow band (5.6√ó10‚àí4 Hz) signals as small as 10‚àí12 V/m. The instrument is designed to include the pressure transducer described by Cox et al. (1984) and has already been used for the study of ocean bottom seismic signals, magnetotelluric experiments and controlled source electromagnetic soundings. ¬© 1985, Society of Geomagnetism and Earth, Planetary and Space Sciences. All rights reserved.</t>
  </si>
  <si>
    <t>1115-1129</t>
  </si>
  <si>
    <t>60013609;60023018;60023018;60023018</t>
  </si>
  <si>
    <t>7402908032;57207592856;57210520749;57101685900</t>
  </si>
  <si>
    <t>Webb, S. C.;Constable, S. C.;Cox, C. S.;Deaton, T. K.</t>
  </si>
  <si>
    <t>San Diego;Woods Hole</t>
  </si>
  <si>
    <t>Scripps Institution of Oceanography;Woods Hole Oceanographic Institution</t>
  </si>
  <si>
    <t>60023018;60013609</t>
  </si>
  <si>
    <t>Webb S.C.</t>
  </si>
  <si>
    <t>A Seafloor Electric Field Instrument</t>
  </si>
  <si>
    <t>10.5636/jgg.37.1115</t>
  </si>
  <si>
    <t>2-s2.0-0022240428</t>
  </si>
  <si>
    <t>['r2 factor', 'high sidelobes', 'high forelobes', 'focal shift', 'best choice', 'axial forelobes', 'aperture size', 'accurately calculated']</t>
  </si>
  <si>
    <t>The effects of focused aperture amplitude tapering, both direct and inverse, on axial forelobes and aftlobes are investigated. Taylor tapers give low sidelobes but high forelobes and aftlobes, plus a modest gain degradation. Inverse tapers give low forelobes and aftlobes but high sidelobes and large gain degradation. Uniform excitation gives comparable axial and transverse subsidiary lobes, and is probably the best choice. Focal shift, where the peak axial power density occurs between the aperture and the phase (geometric) focus, due to the 1/R2 factor, is accurately calculated for a uniform square aperture. Since peak axial power density available from a focused aperture depends only on aperture size in wavelengths and on distance, these focal shift results allow system trade-offs to be made. ¬© 1985 IEEE</t>
  </si>
  <si>
    <t>1328-1337</t>
  </si>
  <si>
    <t>Focal Region Characteristics of Focused Array Antennas</t>
  </si>
  <si>
    <t>10.1109/TAP.1985.1143539</t>
  </si>
  <si>
    <t>2-s2.0-0022243576</t>
  </si>
  <si>
    <t>['tl ).', 'elimination concept', 'circular loop', 'also found']</t>
  </si>
  <si>
    <t>Based on the pole-elimination concept, a time-limited input waveform, the K-pulse, is obtained for a thin conducting circular loop. The resultant response waveforms are also found to be time-limited (TL). Therefore, by employing the K-pulse input waveform, the resonant ringing associated with the circular loop has been eliminated. The concept and procedure for deriving the K-pulse are discussed. ¬© 1985 IEEE</t>
  </si>
  <si>
    <t>1403-1407</t>
  </si>
  <si>
    <t>60003500;60003500;60003500</t>
  </si>
  <si>
    <t>56981439300;56321621200;7006756793</t>
  </si>
  <si>
    <t>Kim, Hyo T.;Wang, Nan;Moffatt, David L.</t>
  </si>
  <si>
    <t>Kim H.</t>
  </si>
  <si>
    <t>K-Pulse for a Thin Circular Loop</t>
  </si>
  <si>
    <t>10.1109/TAP.1985.1143538</t>
  </si>
  <si>
    <t>2-s2.0-0022243577</t>
  </si>
  <si>
    <t>['two problems', 'thus yielding', 'smaller wavelengths', 'part ii', 'numerical results', 'new type', 'new antenna', 'mode conversion', 'loss waveguide', 'leaky structure', 'leaky mode', 'higher frequencies', 'groove guide', 'fabrication problem', 'dispersion relation', 'closed form', 'bound mode', 'accurate analysis']</t>
  </si>
  <si>
    <t>Traveling wave antennas for the millimeter wave range face two main problems: higher metal loss at the higher frequencies, and fabrication difficulties due to the smaller wavelengths. These two problems are addressed here by a new type of leaky wave antenna, in which the fabrication problem is minimized by employing a longitudinally continuous aperture, and the higher loss reduced by basing the antenna on a low-loss waveguide, the groove guide. A longitudinally continuous asymmetric metal strip provides the mechanism that transforms the initially bound mode into a leaky mode. An accurate analysis, based on a transverse equivalent network, is presented here for the properties of this leaky structure that takes into account the mode conversion from the bound mode to the leaky mode. All the constituents of this transverse equivalent network are obtained in closed form, thus yielding a dispersion relation in closed form. Part I of these two companion papers describes the new antenna and its principle of operation, and then derives the parameters of the complete transverse equivalent network. Part II is concerned with the properties of the leaky mode and their relations to leaky wave antenna performance; design considerations together with a variety of numerical results are contained in Part II. ¬© 1985 IEEE</t>
  </si>
  <si>
    <t>1285-1294</t>
  </si>
  <si>
    <t>A New Leaky Wave Antenna for Millimeter Waves Using an Asymmetric Strip in Groove Guide, Part I: Theory</t>
  </si>
  <si>
    <t>10.1109/TAP.1985.1143530</t>
  </si>
  <si>
    <t>2-s2.0-0022248342</t>
  </si>
  <si>
    <t>['¬© 1985', 'wide area', 'three narrow', 'statistical procedure', 'space sciences', 'rights reserved', 'receiving unit', 'reasonable position', 'power lines', 'possible distribution', 'outer plasmasphere', 'loop antenna', 'june 1', 'instrument aboard', 'global area', 'fundamental frequencies', 'eastern asia', 'corresponding position', 'bandwidth filters', 'background noises', '60 hz', '55 hz', '50 hz']</t>
  </si>
  <si>
    <t>The magnetic field strength at the fundamental frequencies 50 Hz and 60 Hz, of power line radiation in the topside ionospheric region has been observed by the instrument aboard the satellite ‚ÄúOHZORA‚Äù in the global area. The observation has started on June 1, 1984, in order to measure the magnetic field strength of the power line radiation in the topside ionospheric region over the eastern Asia. The observation instrument consists of a loop antenna and a receiving unit, which can receive the fundamental frequencies (50 and 60 Hz) of power line radiation by means of three narrow-bandwidth filters. It is identified that the origin of the background noises of magnetic fields observed at these frequencies is due to the ELF hisses propagating from the outer plasmasphere. By means of the statistical procedure, the background noise field strength at 50 or 60 Hz can be determined in comparison with the strength at 55 Hz. If the magnetic field strength is higher than the level of ambiguity, the corresponding position can be specified as the reasonable position of power line radiation. According to the result of observation, the power line radiation at 60 Hz radiated from the Japan Islands seems to spread over the wide area. The observation results also show that the power line radiation over the eastern China reveals a correlation between the statistically reasonable positions of magnetic field strength at 50 Hz and the possible distribution of power lines on the ground. ¬© 1985, Society of Geomagnetism and Earth, Planetary and Space Sciences. All rights reserved.</t>
  </si>
  <si>
    <t>309-327</t>
  </si>
  <si>
    <t>60032315;60032315</t>
  </si>
  <si>
    <t>7003934641;7201462838</t>
  </si>
  <si>
    <t>Tomizawa, Ichiro;Yoshino, Takeo</t>
  </si>
  <si>
    <t>Chofu</t>
  </si>
  <si>
    <t>The University of Electro-Communications</t>
  </si>
  <si>
    <t>Tomizawa I.</t>
  </si>
  <si>
    <t>Power Line Radiation Observed by the Satellite ‚ÄúOHZORA‚Äù</t>
  </si>
  <si>
    <t>10.5636/jgg.37.309</t>
  </si>
  <si>
    <t>2-s2.0-0022248877</t>
  </si>
  <si>
    <t>['various types', 'various cases', 'type ii', 'shields investigated', 'performs equally', 'new type', 'measurements indicate', 'little effect', 'electrostatic fields', 'electromagnetic fields', 'detailed measurements', 'data show', 'conventional shields', 'antenna inductance']</t>
  </si>
  <si>
    <t>Detailed measurements of both the electrostatic and electromagnetic fields are performed for various types of Faraday shields mounted on PLT ion cyclotron range of frequencies (ICRF) antennae. The data show that the shields have little effect on the electromagnetic fields when the antenna is driven such that it is generating a constant total flux for the various cases. A new type of shield (Type II) is investigated that has no effect on the antenna inductance and performs equally as well as the conventional shields (Type I) in shielding out the electrostatic fields. Measurements indicate, for the shields investigated, that each layer of shield strips degrades the Q by approximately a factor of two. ¬© 1985 IEEE</t>
  </si>
  <si>
    <t>569-576</t>
  </si>
  <si>
    <t>60030821;60018020</t>
  </si>
  <si>
    <t>6603815439;56232015400</t>
  </si>
  <si>
    <t>Fortgang, Cliff M.;Hwang, D. Q.</t>
  </si>
  <si>
    <t>Chicago;Princeton</t>
  </si>
  <si>
    <t>Boeing Corporation;Princeton Plasma Physics Laboratory</t>
  </si>
  <si>
    <t>Fortgang C.M.</t>
  </si>
  <si>
    <t>Measurements of the Electrostatic and Electromagnetic Fields of Faraday-Shielded Half-Turn Loop-Type ICRF Antennae</t>
  </si>
  <si>
    <t>10.1109/TPS.1985.4316475</t>
  </si>
  <si>
    <t>2-s2.0-0022252349</t>
  </si>
  <si>
    <t>['spatial distances', 'required accuracy', 'program gebat', 'program evaluates', 'photogrammetric techniques', 'high accuracy', 'height differences', 'full self', 'error ellipsoids', 'data snooping', 'covariance matrices', 'certain length', 'calibration approach', 'also checks', 'also applies', 'adjusted points', 'accuracy achieved']</t>
  </si>
  <si>
    <t>Large microwave antennae are required to be manufactured with a very high accuracy in order to be able to receive clearly waves of certain length and frequency. Photogrammetric techniques are more suitable for this application than any direct measuring method due to the shape of the object and the nature of its material which changes in size with temperature. The program GEBAT has been employed. It allows for spatial distances, height differences, and other available external information to be used in the adjustment. It also applies a full self-calibration approach. The program evaluates the results by computing the variance-covariance matrices and the error ellipsoids of the adjusted points. It also checks for blunders by the 'data snooping' approach. The accuracy achieved in this application was better than the required accuracy. -Author</t>
  </si>
  <si>
    <t>1577-1581</t>
  </si>
  <si>
    <t>Photogrammetric Engineering &amp; Remote Sensing</t>
  </si>
  <si>
    <t>El-Hakim, S. F.</t>
  </si>
  <si>
    <t>Ottawa ON,</t>
  </si>
  <si>
    <t>National Research Council Canada</t>
  </si>
  <si>
    <t>El-Hakim S.F.</t>
  </si>
  <si>
    <t>Photogrammetric measurement of microwave antennae.</t>
  </si>
  <si>
    <t>2-s2.0-0022265069</t>
  </si>
  <si>
    <t>['united states', 'ten antennas', 'tapes recorded', 'simultaneously replayed', 'puerto rico', 'one thousandth', 'located throughout', 'frequency reference', 'frequency range', 'fourier transformation', 'correlator output', 'construct images', 'arc second', '43 gigahertz', '330 megahertz', '25 meters']</t>
  </si>
  <si>
    <t>The Very Long Baseline Array is a high-resolution synthesis radio telescope consisting of ten antennas, each 25 meters in diameter, located throughout the United States from Puerto Rico to Hawaii. Each antenna will be equipped with low-noise receivers spaced throughout the frequency range from 330 megahertz to 43 gigahertz, a hydrogen-maser frequency standard for time and frequency reference, and broadband digital tape recorders. Tapes recorded at each antenna will be simultaneously replayed and correlated in a specially built digital correlator, and the correlator output will, by Fourier transformation, be used to construct images of celestial radio sources with an angular resolution better than one thousandth of an arc second.</t>
  </si>
  <si>
    <t>123-130</t>
  </si>
  <si>
    <t>Science</t>
  </si>
  <si>
    <t>60024185;60024185</t>
  </si>
  <si>
    <t>7005600627;56318546300</t>
  </si>
  <si>
    <t>Kellermann, K. I.;Thompson, A. R.</t>
  </si>
  <si>
    <t>Charlottesville</t>
  </si>
  <si>
    <t>National Radio Astronomy Observatory</t>
  </si>
  <si>
    <t>Kellermann K.I.</t>
  </si>
  <si>
    <t>The very long baseline array</t>
  </si>
  <si>
    <t>10.1126/science.229.4709.123</t>
  </si>
  <si>
    <t>2-s2.0-0022266868</t>
  </si>
  <si>
    <t>['wind speed', 'ocean wave', 'obukhov length', 'microwave imagery', 'microwave frequencies', 'incidence angle', 'decreasing z', 'data reveal', 'briefly discussed', 'bragg regime', 'atmospheric stability', 'antennas directed']</t>
  </si>
  <si>
    <t>The dependence of microwave sea return at an incidence angle in the Bragg regime on wind speed, atmospheric stability, dominant wave slope, and dominant wave frequency has been measured. Measured microwave parameters were relative cross sections and ocean wave-radar modulation transfer functions obtained with antennas directed into wind and waves. The data reveal that cross sections increase with decreasing z/L (z being height and L being the Obukhov length) in unstable atmospheric conditions. The implications of these findings for other microwave frequencies and for scatterometry and microwave imagery of the sea are briefly discussed. -Authors</t>
  </si>
  <si>
    <t>1019-1029</t>
  </si>
  <si>
    <t>60027271;60027271;60027271</t>
  </si>
  <si>
    <t>7202217661;7005333525;7102689456</t>
  </si>
  <si>
    <t>Keller, W. C.;Plant, W. J.;Weissman, D. E.</t>
  </si>
  <si>
    <t>Keller W.</t>
  </si>
  <si>
    <t>The dependence of X band microwave sea return on atmospheric stability and sea state.</t>
  </si>
  <si>
    <t>10.1029/JC090iC01p01019</t>
  </si>
  <si>
    <t>2-s2.0-0022267529</t>
  </si>
  <si>
    <t>['œ ≤', '¬© 1985', 'type background', 'stui fragment', 'structural genes', 'strain lacking', 'second series', 'rxca operon', 'rxca deletion', 'reaction center', 'rc subunits', 'rc bacteriochlorophyll', 'pu21 ).', 'plasmid pu2', 'photosynthetically defective', 'one series', 'lhii operon', 'lhii may', 'lhi ),', 'lh antennae', 'harvesting ii', 'functional rc', 'deletion strain', 'deletion mutants', 'constructed wherein', 'conjugal transfer', 'bp bsteii', 'background results']</t>
  </si>
  <si>
    <t>absorption spectroscopy | interposon mutagenesis | membrane proteins | Recombinant DNA | rxcA operon | vectors</t>
  </si>
  <si>
    <t>Using in vitro interposon mutagenesis, Rhodopseudomonas capsulata strains have been constructed wherein all or part of the reaction center (RC), light-harvesting I (LHI), and light-harvesting II (LHII) structural genes have been deleted. In one series of strains, the 2778-bp ApaI fragment bearing more than 90% of the rxcA operon (promoter and structural genes coding for LHIŒ≤, LHIŒ±, RC-L and RC-M) has been deleted from the chromosome. When the rxcA operon is deleted, resultant strains possess only LHII and are photosynthetically defective. The rxcA deletion in an LHII- background results in a strain lacking all LH antennae and RC subunits. As expected this strain has no near-infrared absorption characteristic of LH or RC bacteriochlorophyll. The rxcA deletion may be complemented by a pBR322 derivative carrying the entire rxcA operon (pU21). In a second series of deletion mutants, the 2500-bp BstEII-StuI fragment, including the Œ≤ and Œ± structural genes coding for LHII has been deleted from the chromosome. In the wild-type background, functional RC and LHI are synthesized. LHII may be restored in the deletion strain by conjugal transfer of the plasmid pU2 which carries the LHII operon. ¬© 1985.</t>
  </si>
  <si>
    <t>Gene</t>
  </si>
  <si>
    <t>60029652-60021814;60029652;60029652-60026415</t>
  </si>
  <si>
    <t>7004557866;7101675326;57216586907</t>
  </si>
  <si>
    <t>Youvan, Douglas C.;Ismail, Sajida;Bylina, Edward J.</t>
  </si>
  <si>
    <t>Cold Spring Harbor;Stony Brook;Irving</t>
  </si>
  <si>
    <t>Cold Spring Harbor Laboratory;Stony Brook University;Exxon Mobil Corporation</t>
  </si>
  <si>
    <t>60029652;60026415;60021814</t>
  </si>
  <si>
    <t>Youvan D.C.</t>
  </si>
  <si>
    <t>Chromosomal deletion and plasmid complementation of the photosynthetic reaction center and light-harvesting genes from Rhodopseudomonas capsulata</t>
  </si>
  <si>
    <t>0378-1119(85)90199-4</t>
  </si>
  <si>
    <t>10.1016/0378-1119(85)90199-4</t>
  </si>
  <si>
    <t>2-s2.0-0022344842</t>
  </si>
  <si>
    <t>['water bath', 'treatment temperatures', 'power transmitted', 'point within', 'mounted antenna', 'forward power', 'field 2', 'culture flasks', 'cm region', 'closed circulation', 'cellular monolayers', 'cells attached', '1 kw']</t>
  </si>
  <si>
    <t>A 2.45-GHz microwave exposure facility was developed for long-term TEM irradiation of cellular monolayers. Culture flasks with cells attached to the inside bottom surface were filled with medium, submerged in a 60 x 60 x 12-cm water bath on the field central axis, and exposed in the far-field 2 m below the ceiling-mounted antenna. A quarter-wave transformer plate increased the power transmitted into the water bath, and treatment temperatures were maintained by closed circulation with an external temperature control reservoir. Power density mapped below the quarter-wave plate indicated uniform TEM fields in the 25 x 25-cm region where flasks were located. With 1 kW of forward power to the antenna, the SAR [W/kg] = 45 exp(-0.607d) where d [cm] is the depth in water at any point within this area.</t>
  </si>
  <si>
    <t>145-151</t>
  </si>
  <si>
    <t>Journal of Microwave Power</t>
  </si>
  <si>
    <t>60014653;60014653;60014653;60014653</t>
  </si>
  <si>
    <t>7402559268;7101985265;7003700655;7405868222</t>
  </si>
  <si>
    <t>Harrison, G. H.;McCulloch, D.;Balcer-Kubiczek, E. K.;Robinson, J. E.</t>
  </si>
  <si>
    <t>University of Maryland, Baltimore (UMB)</t>
  </si>
  <si>
    <t>Harrison G.</t>
  </si>
  <si>
    <t>Far-field 2.45 GHz irradiation system for cellular monolayers in vitro</t>
  </si>
  <si>
    <t>10.1080/16070658.1985.11720297</t>
  </si>
  <si>
    <t>2-s2.0-0022347043</t>
  </si>
  <si>
    <t>433-439</t>
  </si>
  <si>
    <t>8092251400;7005104207</t>
  </si>
  <si>
    <t>Shafai, L.;Sebak, A. A.</t>
  </si>
  <si>
    <t>Radiation characteristics and polarisation of undulated microstrip line antennas</t>
  </si>
  <si>
    <t>10.1049/ip-h-2.1985.0077</t>
  </si>
  <si>
    <t>2-s2.0-0022354427</t>
  </si>
  <si>
    <t>249-261</t>
  </si>
  <si>
    <t>Proceedings of the Royal Society of London - Biological Sciences</t>
  </si>
  <si>
    <t>60015945;60015945</t>
  </si>
  <si>
    <t>7003508832;24533501900</t>
  </si>
  <si>
    <t>Denton, E. J.;Gray, J.</t>
  </si>
  <si>
    <t>Plymouth</t>
  </si>
  <si>
    <t>Marine Biological Association</t>
  </si>
  <si>
    <t>Denton E.</t>
  </si>
  <si>
    <t>Lateral-line-like antennae of certain of the Penaeidea (Crustacea, Decapoda, Natantia)</t>
  </si>
  <si>
    <t>10.1098/rspb.1985.0094</t>
  </si>
  <si>
    <t>2-s2.0-0022368818</t>
  </si>
  <si>
    <t>['¬© 1985', 'strong interaction', 'several steps', 'receptor systems', 'purified p', 'physiological properties', 'periplaneta brunnea', 'male antennae', 'interspecific tests', 'highly purified', 'eag tests', 'eag results', 'close relation', 'behavioral test', 'b receptor']</t>
  </si>
  <si>
    <t>1. 1. In order to characterize sex pheromone of Periplaneta brunnea, the pheromone (J-20) was highly purified with several steps of open column chromatographies and HPLC. 2. 2. For the purified P. brunnea sex pheromone and P. americana sex pheromones (periplanone-A and periplanone-B), interspecific behavioral and EAG tests were carried out with males of both species. 3. 3. In the behavioral test, periplanone-B was much more active to P. brunnea than periplanone-A and J-20 induced sexual excitement of P. americana. These were supported by the EAG results. 4. 4. Differential saturation EAG (DS-EAG) method with the male antennae of P. americana was applied to elucidate the relationships of receptor systems of the pheromones. 5. 5. The DS-EAG results revealed the strong interaction of J-20 with the periplanone-B receptor. 6. 6. From the HPLC retention time, and the results of interspecific tests and DS-EAG, a very close relation between P. brunnea sex pheromone and periplanone-B was expected in chemical and physiological properties. ¬© 1985.</t>
  </si>
  <si>
    <t>775-780</t>
  </si>
  <si>
    <t>60002443;60002443</t>
  </si>
  <si>
    <t>24377844500;24384498700</t>
  </si>
  <si>
    <t>Chikao, Nishino;Shunichi, Manabe</t>
  </si>
  <si>
    <t>Machida</t>
  </si>
  <si>
    <t>Mitsubishi Kasei Institute of Life Sciences</t>
  </si>
  <si>
    <t>Chikao N.</t>
  </si>
  <si>
    <t>Application of the differential saturation electroantennogram method for characterizing sex pheromone of Periplaneta brunnea (the brown cockroach)</t>
  </si>
  <si>
    <t>10.1016/0300-9629(85)90481-5</t>
  </si>
  <si>
    <t>2-s2.0-0022373092</t>
  </si>
  <si>
    <t>['two minutes', 'tissue preservation', 'severe damage', 'sensory hairs', 'previously guessed', 'frozen specimens', 'exposure time', 'deep freezer', 'bombyx mori', 'biological specimens', 'biological object', '90 k', '45 min', '250 k', '230 k', '100 nm', '10 min']</t>
  </si>
  <si>
    <t>Bombyx mori | Cryofixation | cryosubstitution | freeze substitution | freezing damage | ice‚Äêcrystal growth | insect antennae | insect sensilla | olfactory receptors | recrystallization | silk moth</t>
  </si>
  <si>
    <t>The sensory hairs of the silkmoth, Bombyx mori, are suitable test objects to check for recrystallization and secondary freezing damage in a biological object, because cryofixation by immersion into propane (90 K) routinely yields well‚Äêpreserved specimens without noticeable freezing damage. After rewarming the frozen specimens for 10 min to 230 K (boiling propane), the tissue preservation has not deteriorated, and even after 45 min at 230 K, ice‚Äêcrystal ghosts rarely exceed 50 nm. Two minutes at 250 K (in deep freezer) produced moderate freezing damage with ice‚Äêcrystal ghosts of 30‚Äì75 nm, whereas 90 min at 250 K resulted in severe damage with ice‚Äêcrystal ghosts well over 100 nm. Secondary freezing damage by ice‚Äêcrystal growth upon rewarming well‚Äêfrozen biological specimens, therefore, is a relatively slow process, depending not only on the temperature, but also on the exposure time. Moreover, with some biological specimens, secondary ice‚Äêcrystal growth starts at much higher temperatures than previously guessed, and with short exposure times rarely should become a hazard in fine structure work. 1985 Blackwell Science Ltd</t>
  </si>
  <si>
    <t>41-46</t>
  </si>
  <si>
    <t>Journal of Microscopy</t>
  </si>
  <si>
    <t>Steinbrecht, R. A.</t>
  </si>
  <si>
    <t>Steinbrecht R.</t>
  </si>
  <si>
    <t>Recrystallization and ice‚Äêcrystal growth in a biological specimen, as shown by a simple freeze substitution method</t>
  </si>
  <si>
    <t>10.1111/j.1365-2818.1985.tb02658.x</t>
  </si>
  <si>
    <t>2-s2.0-0022384765</t>
  </si>
  <si>
    <t>['wiley company', 'vertical direction', 'theoretical model', 'space diversity', 'sea reflection', 'reflected wave', 'paper studies', 'numerical calculations', 'narrowband communications', 'incoherent components', 'inc .,', 'frequency domains', 'frequency diversity', 'fading due', 'diversity effect', 'correlation characteristics', 'also seen', '40 cm']</t>
  </si>
  <si>
    <t>When maritime satellite communication is conducted at low elevation angles, fading due to sea surface reflection becomes a problem. For suppression of the fading, space diversity and frequency diversity may be employed. This paper studies the correlation characteristics of multipath fading due to sea reflection in the spatial and frequency domains in L‚Äêband operation. This is important in investigating the diversity effect. First, from the theoretical model of sea surface reflection, the correlation scattering cross sections of the coherent and incoherent components of the reflected wave are obtained. Next, from numerical calculations, the correlation characteristics are obtained with the antenna elevation angle and the height over the sea as the parameters. It is found that in space diversity good diversity effects can be expected from two antennas‚Äê separated in the vertical direction by about 40 cm. It is also seen that fading reduction cannot be expected with frequency diversity in the case of narrowband communications such as in maritime satellite communications. The effects of various fading reduction measures in the up and down links are considered. Copyright ¬© 1985 Wiley Periodicals, Inc., A Wiley Company</t>
  </si>
  <si>
    <t>66-75</t>
  </si>
  <si>
    <t>60021208;60021208</t>
  </si>
  <si>
    <t>7102618328;7005154210</t>
  </si>
  <si>
    <t>Karasawa, Yoshio;Shiokawa, Takayasu</t>
  </si>
  <si>
    <t>KDDI Corporation</t>
  </si>
  <si>
    <t>Karasawa Y.</t>
  </si>
  <si>
    <t>Space and frequency correlation characteristics of L‚Äêband multipath fading due to sea surface reflection</t>
  </si>
  <si>
    <t>10.1002/ecja.4410681208</t>
  </si>
  <si>
    <t>2-s2.0-0022387799</t>
  </si>
  <si>
    <t>R01CA023594</t>
  </si>
  <si>
    <t>['¬© 1985', 'various sites', 'using microwave', 'therapeutic option', 'significant complications', 'produces controlled', 'operative placement', 'neck tumors', 'localized hyperthermia', 'housing antennas', 'epithelial tumors', 'catheters required', 'cancer therapy', 'antenna array', 'additional thermometry', '915 mhz', '192 brachytherapy', '1 hour']</t>
  </si>
  <si>
    <t>Brachytherapy | Deep-seated tumors | Hyperthermia | Interstitial techniques | Microwave</t>
  </si>
  <si>
    <t>Intra-operative placement of 11-gauge nylon catheters into deep-seated unresectable tumors for interstitial brachytherapy permits localized heating of tumors (hyperthermia) using microwave (915 MHz) antennas which are inserted into these catheters. Four preliminary cases are described where epithelial tumors at various sites were implanted with an antenna array and heated for 1 hour, both before and after the iridium-192 brachytherapy. Temperatures were monitored in catheters required for the appropriate radiation dosimetry but not required for the interstitial microwave antenna array hyperthermia (IMAAH) system. Additional thermometry was obtained using nonperturbed fiberoptic thermometry probes inserted into the catheters' housing antennas. No significant complications, such as bleeding or infection, were observed. This approach to cancer therapy is shown to be feasible and it produces controlled, localized hyperthermia, with temperatures of 50¬∞C or more in tumors. This technique may offer a therapeutic option for pelvic, intra-abdominal and head and neck tumors. ¬© 1985.</t>
  </si>
  <si>
    <t>1673-1678</t>
  </si>
  <si>
    <t>60001844;60030443;60030443;60001844;60001844;60001844;60001844</t>
  </si>
  <si>
    <t>7007000893;7403531361;7005534211;7004438031;7202952887;6506180864;7003894176</t>
  </si>
  <si>
    <t>Coughlin, Christopher T.;Wong, Terence Z.;Strohbehn, John W.;Colacchio, Thomas A.;Sutton, John E.;Belch, Richard Z.;Douple, Evan B.</t>
  </si>
  <si>
    <t>Hanover;Lebanon</t>
  </si>
  <si>
    <t>Thayer School of Engineering at Dartmouth;Dartmouth-Hitchcock Medical Center</t>
  </si>
  <si>
    <t>60030443;60001844</t>
  </si>
  <si>
    <t>Coughlin C.</t>
  </si>
  <si>
    <t>Intraoperative interstitial microwave-induced hyperthermia and brachytherapy</t>
  </si>
  <si>
    <t>0360-3016(85)90220-2</t>
  </si>
  <si>
    <t>10.1016/0360-3016(85)90220-2</t>
  </si>
  <si>
    <t>2-s2.0-0022391702</t>
  </si>
  <si>
    <t>474-476</t>
  </si>
  <si>
    <t>124819992;124819992</t>
  </si>
  <si>
    <t>7003325954;7006225695</t>
  </si>
  <si>
    <t>Nesic, A.;Popovic, B. D.</t>
  </si>
  <si>
    <t>Yugoslavia</t>
  </si>
  <si>
    <t>Institute of Applied Physics</t>
  </si>
  <si>
    <t>Nesic A.</t>
  </si>
  <si>
    <t>Analysis of slot antenna on dielectric substrate</t>
  </si>
  <si>
    <t>10.1049/ip-h-2.1985.0085</t>
  </si>
  <si>
    <t>2-s2.0-0022395749</t>
  </si>
  <si>
    <t>['wiley company', 'vertical plane', 'two planes', 'test antenna', 'successively determined', 'single reflector', 'sectoral section', 'sector section', 'results demonstrate', 'required beam', 'reflector surface', 'reflector coordinates', 'ray reflected', 'paper proposes', 'initial condition', 'inc .,', 'horizontal plane', 'experimental results', 'elevation angle', 'also presents', 'adequate characteristics', '52œ ¥', '5 ¬∞', '5 db', '43œ ¥']</t>
  </si>
  <si>
    <t>The base station antenna for a subscriber radio system is required to have a beam with sector section in the horizontal plane and cosecant‚Äêsquare beam in the vertical plane. This paper proposes a method for shaping the reflector surface of the antenna so that it forms the required beam in the two planes and also presents the experimental results for a test antenna. It is shown that adequate characteristics can be obtained by this shaping method even for a single reflector. In this method the central cross‚Äêsection curve obtained as a solution of a two‚Äêdimensional problem is used as the initial condition and then the reflector coordinates are successively determined from the conditions of the elevation angle of the ray reflected at the surface. The test antenna is a 90¬∞ sector beam antenna with aperture of about 52Œ¥ in the vertical plane and about 43Œ¥ in the horizontal plane. The experimental results indicate a gain of 23.5 dB at the peak and more than 20 dB within an angle of 1.5¬∞ in the vertical plane. The antenna beam realizes a sectoral section in the horizontal plane and a cosecant‚Äêsquare section in the vertical plane to a level as low as ‚Äê10 dBi. The results demonstrate the effectiveness of the present reflector shaping method. Copyright ¬© 1985 Wiley Periodicals, Inc., A Wiley Company</t>
  </si>
  <si>
    <t>76-83</t>
  </si>
  <si>
    <t>115552146;115552146;115552146</t>
  </si>
  <si>
    <t>57199217878;35564404500;7004436108</t>
  </si>
  <si>
    <t>Yamada, Takashi;Kagoshima, Kenichi;Itami, Yuji</t>
  </si>
  <si>
    <t>Yokosuka Electrical Communication Lab</t>
  </si>
  <si>
    <t>Yamada T.</t>
  </si>
  <si>
    <t>Design and characteristics of sector/cosecant‚Äêsquare shaped beam antenna</t>
  </si>
  <si>
    <t>10.1002/ecja.4410681209</t>
  </si>
  <si>
    <t>2-s2.0-0022412554</t>
  </si>
  <si>
    <t>['wiley company', 'strongly affected', 'patient examined', 'magnetic losses', 'inevitable magnetic', 'inc .,', 'eqf ),', 'dielectric loss', 'cylindrical model', 'analysis developed', '64 mhz']</t>
  </si>
  <si>
    <t>Whole‚Äêbody NMR imaging antennas (probes) are strongly affected by the inevitable magnetic and controllable dielectric losses. Using a convenient parallelepiped model, the magnetic losses are evaluated. By introducing the ‚Äúideal power gain,‚Äù the best possible antenna performance is delimited as a function of the frequency and the patient examined. By using a cylindrical model and introducing the ‚Äúelectrostatic quality factor‚Äù (EQF), the dielectric loss of any antenna can be estimated. With the help of the wideband field measurer described, a simple experimental arrangement, and the analysis developed, the performance of whole‚Äêbody NMR antennas can be compared and/or evaluated. An example is given for the application of this model at 6.4, 21, and 64 MHz for three typical patients. Copyright ¬© 1985 Wiley‚ÄêLiss, Inc., A Wiley Company</t>
  </si>
  <si>
    <t>328-335</t>
  </si>
  <si>
    <t>Magnetic Resonance in Medicine</t>
  </si>
  <si>
    <t>Sergiadis, George</t>
  </si>
  <si>
    <t>Sergiadis G.</t>
  </si>
  <si>
    <t>Performance evaluation of whole‚Äêbody NMR scanner antenna systems</t>
  </si>
  <si>
    <t>10.1002/mrm.1910020403</t>
  </si>
  <si>
    <t>2-s2.0-0022415953</t>
  </si>
  <si>
    <t>['¬© 1985', 'simple functions', 'rights reserved', 'problem formulation', 'expressions provide', 'exact expressions', 'electrical engineers', 'considerable reduction', 'computation time', 'arbitrary shape']</t>
  </si>
  <si>
    <t>Exact expressions for the stored electromagnetic energies in planar microstrip antennas of arbitrary shape are derived as simple functions of the normal electric field. These expressions provide a considerable reduction of computation time and also great simplifications at the stage of problem formulation. ¬© 1985, The Institution of Electrical Engineers. All rights reserved.</t>
  </si>
  <si>
    <t>1221-1222</t>
  </si>
  <si>
    <t>60030553;60030553</t>
  </si>
  <si>
    <t>6603795399;7006272544</t>
  </si>
  <si>
    <t>Mahdjoubi, K.;Terret, C.</t>
  </si>
  <si>
    <t>Mahdjoubi K.</t>
  </si>
  <si>
    <t>Exact Expression For Stored Energies In The Cavity Volume Of Microstrip Antennas</t>
  </si>
  <si>
    <t>10.1049/el:19850860</t>
  </si>
  <si>
    <t>2-s2.0-0022419605</t>
  </si>
  <si>
    <t>['¬© 1985', 'southern hemisphere', 'rights reserved', 'northern hemisphere', 'geographical location', 'electrical engineers', 'antenna systems']</t>
  </si>
  <si>
    <t>The choice of antenna systems for single-hop HF circuits is shown to be dependent on both prevailing ionospheric conditions and on the geographical location of the terminals. Both northern hemisphere and equatorial circuits require less relative antenna system bandwidth than do those in the southern hemisphere. ¬© 1985, The Institution of Electrical Engineers. All rights reserved.</t>
  </si>
  <si>
    <t>1107-1108</t>
  </si>
  <si>
    <t>Austin, B. A.</t>
  </si>
  <si>
    <t>Johannesburg</t>
  </si>
  <si>
    <t>University of the Witwatersrand, Johannesburg</t>
  </si>
  <si>
    <t>Austin B.</t>
  </si>
  <si>
    <t>Ionospheric And Geographical Effects On The Choice Of Tactical And Point-To-Point Hf Antenna Systems</t>
  </si>
  <si>
    <t>10.1049/el:19850786</t>
  </si>
  <si>
    <t>2-s2.0-0022420741</t>
  </si>
  <si>
    <t>['¬© 1985', 'surface waves', 'rights reserved', 'radiation efficiency', 'electrical engineers', 'dielectric truncation']</t>
  </si>
  <si>
    <t>Antenna radiation patterns | Antennas</t>
  </si>
  <si>
    <t>The spectral domain approach is used to determine the influence of surface waves on the radiation efficiency of a rectangular patch antenna. The effects on the radiation patterns due to the dielectric truncation are computed and compared with experiment. ¬© 1985, The Institution of Electrical Engineers. All rights reserved.</t>
  </si>
  <si>
    <t>1112-1114</t>
  </si>
  <si>
    <t>60030553;60030553;60030553;60104665;60104665</t>
  </si>
  <si>
    <t>6602394107;7006272544;7202044329;7004024214;7003474680</t>
  </si>
  <si>
    <t>Roudot, B.;Terret, C.;Daniel, J. P.;Pribetich, P.;Kennis, P.</t>
  </si>
  <si>
    <t>Lille;Rennes</t>
  </si>
  <si>
    <t>Universit√© de Lille;Universite de Rennes 1</t>
  </si>
  <si>
    <t>60104665;60030553</t>
  </si>
  <si>
    <t>Roudot B.</t>
  </si>
  <si>
    <t>Fundamental Surface-Wave Effects On Microstrip Antenna Radiation</t>
  </si>
  <si>
    <t>10.1049/el:19850790</t>
  </si>
  <si>
    <t>2-s2.0-0022420742</t>
  </si>
  <si>
    <t>['¬© 1985', 'rights reserved', 'experimental results', 'electrical engineers']</t>
  </si>
  <si>
    <t>Antenna radiation patterns | Antennas | Networks</t>
  </si>
  <si>
    <t>The configuration and calibration of a six-port network analyser for application in near-field antenna measurements is described. The suitability of the new measurement system is illustrated by experimental results. ¬© 1985, The Institution of Electrical Engineers. All rights reserved.</t>
  </si>
  <si>
    <t>1066-1068</t>
  </si>
  <si>
    <t>60019870;60019870</t>
  </si>
  <si>
    <t>35570164700;7201412486</t>
  </si>
  <si>
    <t>Bialkowski, M. E.;Woods, G. S.</t>
  </si>
  <si>
    <t>Townsville</t>
  </si>
  <si>
    <t>James Cook University</t>
  </si>
  <si>
    <t>Bialkowski M.</t>
  </si>
  <si>
    <t>Application Of A Six-Port Network To A Near-Field Antenna Measurement System</t>
  </si>
  <si>
    <t>10.1049/el:19850756</t>
  </si>
  <si>
    <t>2-s2.0-0022420785</t>
  </si>
  <si>
    <t>['well known', 'united states', 'supports air', 'national airspace', 'major airports', 'ground communications', 'equally vital', 'electromagnetic blanket', 'demands placed', 'article examines', 'air traffic']</t>
  </si>
  <si>
    <t>Well known to the public are the Federal Aviation Administration (FAA) air traffic control operations based at major airports and control centers throughout the United States. Equally vital to the operation of air traffic are the individual radio antenna facilities numbering in the thousands that provide an electromagnetic blanket over the nation that guides and advises aircraft wherever in the national airspace they may be. This article examines the widespread ground network that supports air-ground communications, the demands placed on this network by the National Airspace System Plan, and the response to these requirements.</t>
  </si>
  <si>
    <t>61-72</t>
  </si>
  <si>
    <t>Journal of telecommunication networks</t>
  </si>
  <si>
    <t>Smith, Roger</t>
  </si>
  <si>
    <t>Federal Aviation Administration</t>
  </si>
  <si>
    <t>Smith R.</t>
  </si>
  <si>
    <t>USAGE, CONTROL, AND MAINTENANCE OF THE AIR TRAFFIC CONTROL SYSTEM REMOTE COMMUNICATION FACILITIES.</t>
  </si>
  <si>
    <t>2-s2.0-0022435705</t>
  </si>
  <si>
    <t>['wave field', 'plasma densities', 'main wave', 'loop antennas', 'frequency range', 'dimensional profiles', 'cyclotron frequency']</t>
  </si>
  <si>
    <t>A pair of loop antennas in a toroidal plasma device is found to excite compressional Alfve‚Ä≤n waves in the frequency range of a few times the ion-cyclotron frequency. Two-dimensional profiles of the wave field and phase are obtained in a poloidal cross section as well as one-dimensional radial profiles. The main wave that is excited is found to have the fundamental poloidal mode number. However the contribution from higher poloidal modes increases at higher wave frequencies and plasma densities. A comparison with theoretical wave profiles shows deviation from a simple cylindrical plasma model. ¬© 1985 American Institute of Physics.</t>
  </si>
  <si>
    <t>1516-1524</t>
  </si>
  <si>
    <t>60000264;60000264;60000264</t>
  </si>
  <si>
    <t>7102111483;57225663681;36057196100</t>
  </si>
  <si>
    <t>Takamura, S.;Yoshida, Y.;Okuda, T.</t>
  </si>
  <si>
    <t>Takamura S.</t>
  </si>
  <si>
    <t>A study of compressional Alfv√©n waves in a toroidal plasma</t>
  </si>
  <si>
    <t>10.1063/1.864985</t>
  </si>
  <si>
    <t>2-s2.0-0037743215</t>
  </si>
  <si>
    <t>['¬© 1985', 'wave antenna', 'useful properties', 'sea water', 'sea floor', 'rights reserved', 'relatively simple', 'radio communication', 'principal part', 'horizontal dipoles', 'accurate formulas']</t>
  </si>
  <si>
    <t>Relatively simple and accurate formulas are now available for the complete electromagnetic field generated by vertical and horizontal dipoles located on or near the boundary between two electrically different half-spaces such as air and water or rock and sea water. The principal part of the field is an outward-traveling lateral wave with useful properties. The formulas are given and their application to a variety of problems reviewed briefly. These include: radio communication over the surface of the earth or sea, the wave antenna, communication with submarines using vertical dipoles in air and horizontal dipoles in the sea, the location of buried objects using horizontal dipoles on the surface of the earth, and the measurement of the conductivity of the sea floor. ¬© 1985, IEEE. All rights reserved.</t>
  </si>
  <si>
    <t>1204-1212</t>
  </si>
  <si>
    <t>King, Ronold W.P.</t>
  </si>
  <si>
    <t>King R.W.P.</t>
  </si>
  <si>
    <t>Electromagnetic Surface Waves: New Formulas and Applications</t>
  </si>
  <si>
    <t>10.1109/TAP.1985.1143504</t>
  </si>
  <si>
    <t>2-s2.0-0038565745</t>
  </si>
  <si>
    <t>['¬© 1985', 'water evaporation', 'uv imager', 'ultraviolet imager', 'two spacecraft', 'three experiments', 'sunward side', 'spin period', 'sakigake passed', 'miss distance', 'intensive interaction', 'inner side', 'hydrogen cloud', 'first image', 'extended boom', 'energy analyzer', 'cometary nucleus', 'comet halley', 'coil antennae', 'astronautical science', '18 august']</t>
  </si>
  <si>
    <t>ISAS's (Institute of Space and Astronautical Science) project for the exploration of comet Halley consists of two spacecraft, Sakigake and Suisei, launched on 7 January 1985 and 18 August, respectively. Sakigake passed the sunward side of the comet on 11 March 1986 with a miss distance of 6.99 million km. Three experiments, a plasma wave probe with dipole and search-coil antennae, a magnetometer with three axis ring core sensor on an extended boom and a four-grid Faraday cup attached to the inner side of the wall of the spacecraft, detected various phenomena caused by the comet at a distance as far as 7 million km. The other spacecraft, Suisei, flew by the comet on its sunward side with a miss distance of 151 thousand km on 8 March 1986. It carried two experiments, an ultraviolet imager and an energy analyzer for ions. The UV imager was able to take the first image of the hydrogen cloud of comet Halley on 26 November 1985. With this experiment, the spin period of the cometary nucleus, location of jets, amount of water evaporation, distribution of hydrogen density inside cloud, etc. were clarified. The energy analyser experiment provided information on the intensive interaction between cometary and solar wind ions. ¬© 1985.</t>
  </si>
  <si>
    <t>55-64</t>
  </si>
  <si>
    <t>Advances in Space Research</t>
  </si>
  <si>
    <t>60009885;60000809</t>
  </si>
  <si>
    <t>16453321700;56227146600</t>
  </si>
  <si>
    <t>Hirao, K.;Itoh, T.</t>
  </si>
  <si>
    <t>Tokyo;Sagamihara</t>
  </si>
  <si>
    <t>Tokai University;JAXA Institute of Space and Astronautical Science</t>
  </si>
  <si>
    <t>Hirao K.</t>
  </si>
  <si>
    <t>Project overview and highlights of Suisei and Sakigake</t>
  </si>
  <si>
    <t>10.1016/0273-1177(85)90067-5</t>
  </si>
  <si>
    <t>2-s2.0-0038917560</t>
  </si>
  <si>
    <t>['¬© 1985', 'unique graph', 'stability number', 'graphs characterized', 'good algorithm', 'free graphs', 'degree sequence', 'class f', '3 )).', '3 )),']</t>
  </si>
  <si>
    <t>A class F of graphs characterized by three forbidden subgraphs C, A, N is considered; C is the claw (the unique graph with degree sequence (1, 1, 1, 3)), A is the antenna (a graph with degree sequence (1, 2, 2, 3, 3, 3) which does not contain C), and N is the net (the unique graph with degree sequence (1, 1, 1, 3, 3, 3)). These graphs are called CAN-free. A construction is described which associates with every CAN-free graph G another CAN-free graph G‚Ä≤ with strictly fewer nodes than G and with stbility number Œ±(G‚Ä≤) = Œ±(G) - 1. This gives a good algorithm for determining the stability number of CAN-free graphs. ¬© 1985.</t>
  </si>
  <si>
    <t>23-30</t>
  </si>
  <si>
    <t>Journal of Combinatorial Theory, Series B</t>
  </si>
  <si>
    <t>60014171;60014171;60028186</t>
  </si>
  <si>
    <t>7102050875;6602731987;7003965092</t>
  </si>
  <si>
    <t>Hammer, P. L.;Mahadev, N. V.R.;de Werra, D.</t>
  </si>
  <si>
    <t>Switzerland;Canada</t>
  </si>
  <si>
    <t>Lausanne;Waterloo</t>
  </si>
  <si>
    <t>Swiss Federal Institute of Technology Lausanne;University of Waterloo</t>
  </si>
  <si>
    <t>60028186;60014171</t>
  </si>
  <si>
    <t>Hammer P.</t>
  </si>
  <si>
    <t>Stability in CAN-free graphs</t>
  </si>
  <si>
    <t>0095-8956(85)90089-9</t>
  </si>
  <si>
    <t>10.1016/0095-8956(85)90089-9</t>
  </si>
  <si>
    <t>2-s2.0-0040935824</t>
  </si>
  <si>
    <t>['¬© 1985', 'rights reserved', 'repetitive optimization', 'radiating element', 'method improves', 'frequency sensitivity', 'dramatically improve', 'design variable', 'computational efficiency', 'beam coverage', 'beam center']</t>
  </si>
  <si>
    <t>A method is described for synthesis of planar array antennas where both the amplitude and phase of each radiating element is a design variable. The method improves the computational efficiency of conventional optimization procedures based upon, for example, minimax or least square algorithms. Application of the proposed method demonstrates the feasibility of spacecraft frequency reuse array antennas with multiple contoured beams for typical Intelsat sixfold frequency reuse requirements. It is demonstrated that repetitive optimization will reduce the number of array elements required. Shifting the array aperture normal toward a beam center will dramatically improve the frequency sensitivity of the beam coverage. ¬© 1985, IEEE. All rights reserved.</t>
  </si>
  <si>
    <t>1186-1193</t>
  </si>
  <si>
    <t>60004541;60004541;60027972</t>
  </si>
  <si>
    <t>6603160061;7005905336;56284516500</t>
  </si>
  <si>
    <t>Bornemann, Wilfried;English, William J.;Balling, Peter</t>
  </si>
  <si>
    <t>Bornemann W.</t>
  </si>
  <si>
    <t>Synthesis of Spacecraft Array Antennas for Intelsat Frequency Reuse Multiple Contoured Beams</t>
  </si>
  <si>
    <t>10.1109/TAP.1985.1143506</t>
  </si>
  <si>
    <t>2-s2.0-0041531367</t>
  </si>
  <si>
    <t>['synthetic pheromone', 'studies indicate', 'studied electrophysiologically', 'recognize conspecifics', 'par l', 'morsilure increased', 'male flies', 'la morsilure', 'increasing starvation', 'general sensitivity', 'female decoys', 'behavioural responsiveness', 'behavioural experiments', 'antennal movements']</t>
  </si>
  <si>
    <t>behaviour | chemoreception | electrophysiology | Glossina morsitans morsitans | morsilure | olfaction | sex pheromone | tsetse</t>
  </si>
  <si>
    <t>The perception of cuticular female sex pheromone (15, 19, 23‚Äêtrimethylheptatriacontane=‚Äòmorsilure‚Äô) in Glossina m. morsitans was studied electrophysiologically and behaviourally. Electrophysiological studies indicated no sensitivity of the ‚Äòtibial sensilla‚Äô or the contact chemoreceptive hairs on the legs of males to the pheromone. However, electroantennograms were recorded during stimulation of antennae from male flies with the odour of morsilure, which indicated that the pheromone is detected by the insect via olfactory receptors on the antennae. This was further confirmed by behavioural experiments in which the antennal movements of intact males stimulated with the odour of both synthetic pheromone and female decoys were studied. Behavioural responsiveness to morsilure increased with increasing starvation and was not due to a general sensitivity to paraffins. These studies indicate that tsetse flies may be able to recognize conspecifics at close range using their sense of olfaction. La perception des ph√©romones chez la mouche ts√©‚Äêts√© La perception de la ph√©romone sexuelle des femelles de Glossina m.morsitans, la morsilure (15, 19, 23‚Äêtrim√©thylheptatriacontane) a √©t√© examin√©e par √©lectrophysiologie et par le comportement. L'√©lectrophysiologie n'a pas r√©v√©l√© de sensibilit√© des sensilles tibiales, ni des poils chimior√©ceptives de contact sur les pattes des m√¢les √† la ph√©romone. Cependant, les √©lectroantennogrammes recueillis pendant la stimulation des antennes des m√¢les par l'odeur de morsilure, ont montr√© que la ph√©romone est d√©cel√©e par l'insecte gr√¢ce aux r√©cepteurs olfactifs des antennes. Ceci a √©t√© confirm√© ult√©rieurement par des exp√©riences de comportement au cours desquelles ont √©t√© examin√©s les mouvements antennaires de m√¢les intacts stimul√©s par l'odeur de ph√©romone synth√©tique et de femelles. La r√©ponse comportementale √† la morsilure a augment√© avec le je√ªne, elle n'√©tait pas due √† une sensibilit√© g√©n√©rale aux paraffines. Ces √©tudes montrent que les mouches ts√©‚Äêts√© peuvent √™tre capables de reconna√Ætre leurs cong√©n√®res √† faible distance gr√¢ce √† l'olfaction. 1985 The Netherlands Entomological Society</t>
  </si>
  <si>
    <t>155-161</t>
  </si>
  <si>
    <t>;60051492</t>
  </si>
  <si>
    <t>6701818609;55418171800</t>
  </si>
  <si>
    <t>den Otter, C. J.;Saini, R. K.</t>
  </si>
  <si>
    <t>Kenya</t>
  </si>
  <si>
    <t>Nairobi</t>
  </si>
  <si>
    <t>International Centre of Insect Physiology and Ecology Nairobi</t>
  </si>
  <si>
    <t>den Otter C.</t>
  </si>
  <si>
    <t>Pheromone perception in the tsetse fly Glossina morsitans morsitans</t>
  </si>
  <si>
    <t>10.1111/j.1570-7458.1985.tb03557.x</t>
  </si>
  <si>
    <t>2-s2.0-0342809560</t>
  </si>
  <si>
    <t>['successful manner', 'simple manner', 'similar landmarks', 'search behaviour', 'repeatedly returning', 'reaumuri solves', 'real target', 'particular landmark', 'particular area', 'may intersect', 'mathematical procedures', 'longer search', 'long time', 'later contact', 'landmark eases', 'isopod explores', 'foraging excursion', 'family members', 'could simply', 'chemical badge', 'burrow appreciably', 'average 20', 'area according', 'approximately fulfills', 'animal explores', 'although h', 'also explores', 'already explored', 'almost identical', 'alien families', 'alien embankment', '15 cm']</t>
  </si>
  <si>
    <t>The desert isopod Hemilepistus reaumuri uses embankments of faeces, which each family builds around the entrance of its burrow, as an aid to homing after a foraging excursion. Though an isopod must touch its family's embankment (outer radius 8-15 cm) with its antennae before it can detect it, this landmark eases the return to the burrow appreciably. However, this advantage is imperiled by problems with similar landmarks. If during foraging the isopod goes astray and has to search for its landmark it also explores most of the alien families' embankments it detects, at least until it has located the burrow entrance within it. But it is not "trapped" by such similar landmarks. Whereas an isopod explores its own embankment until it comes to its burrow, digging for hours if the burrow entrance happens to be covered by sand, it leaves an alien embankment after most a few minutes and resumes its search. This shows that the isopod is able to distinguish this landmark from its own, probably by the same chemical badge it uses for the identification of family members. A desert isopod must explore alien embankments predominantly because it is not able to distinguish an alien embankment which is near its own burrow and may intersect its own embankment from others. Even when the animal explores and embankment in vain for a long time it could simply have overlooked its own burrow's entrance. In addition the isopod does not recognize an alien embankment which it has already explored. Therefore during a longer search, it has to explore an alien embankment again and again. H. reaumuri solves these "identification" problems, which correspond to the problems of other arthropods using landmarks for orientation, in a very successful manner. By repeatedly returning to a particular area it searches there more intensively, the greater the probability that its burrow is in this area according to the information, independent of landmarks, available to the animal. In most cases when it detects a particular alien embankment it explores it for a constant short time (on average 20.4 s). It follows that the isopod explores an alien embankment more intensively, the greater the probability that its burrow is within it. In this simple manner it approximately fulfills the rules of the best mathematical procedures that have recently been developed for solving search problems in which an object detected must be explored for some time before it can be distinguished from the real target. Theoretically these procedures are more successful than the search behaviour of H. reaumuri, but they require that either a particular landmark can be identified with certainty by exploration or that at least it can be recognized on a later contact. Although H. reaumuri does not meet these requirements, the success of its search behaviour is almost identical to that of the mathematical procedures. ¬© 1985 Springer-Verlag.</t>
  </si>
  <si>
    <t>335-348</t>
  </si>
  <si>
    <t>Behavioral Ecology and Sociobiology</t>
  </si>
  <si>
    <t>Hoffmann, Gerhard</t>
  </si>
  <si>
    <t>Wurzburg</t>
  </si>
  <si>
    <t>Julius-Maximilians-Universit√§t W√ºrzburg</t>
  </si>
  <si>
    <t>Hoffmann G.</t>
  </si>
  <si>
    <t>The influence of landmarks on the systematic search behaviour of the desert isopod Hemilepistus reaumuri - H. Problems with similar landmarks and their solution</t>
  </si>
  <si>
    <t>10.1007/BF00293211</t>
  </si>
  <si>
    <t>2-s2.0-0344699761</t>
  </si>
  <si>
    <t>['¬© 1985', 'turn quenched', 'triplet migration', 'transfer occur', 'transfer efficiencies', 'thf solution', 'rights reserved', 'quenching mechanism', 'polymer chain', 'harvesting function', 'enerzy migration', 'energy transfer', 'delayed fluorescence', 'corresponding hydroquinone', 'copolymer composition', 'antenna pigments', '2 %.']</t>
  </si>
  <si>
    <t>Enerzy migration and transfer were investigated in 1-naohthvlmethyl methacrylate polymers containing anthraquinone chromophores. The naphthalene singlet state is quenched by singlet energy migration and transfer to anthraquinone. Energy-transfer efficiencies of ca. 80% were obtained at acceptor mole fractions of 2%. These molecular antenna successfully mimic the energy-harvesting function of the antenna pigments of natural photosynthetic systems. The effect of copolymer composition on the efficiency of energy transfer, the quenching mechanism of the singlet, and the mechanism of the delayed fluorescence were studied. After their formation the anthraquinone triplet states are in turn quenched by triplet energy transfer to naphthalene, a process that leads to enhanced naphthalene phosphorescence intensity. The occurrence of cyclic energy transfer shows that both singlet and triplet migration and transfer occur in the same polymer chain. In THF solution at 25 ¬∞C the anthraquinone traps undergo rapid photoreduction to the corresponding hydroquinone. ¬© 1985, American Chemical Society. All rights reserved.</t>
  </si>
  <si>
    <t>2012-2019</t>
  </si>
  <si>
    <t>Macromolecules</t>
  </si>
  <si>
    <t>60026601;60016849</t>
  </si>
  <si>
    <t>8274336600;7102379256</t>
  </si>
  <si>
    <t>Ren, Xiao Xiu;Guillet, James E.</t>
  </si>
  <si>
    <t>China;Canada</t>
  </si>
  <si>
    <t>Beijing;Toronto</t>
  </si>
  <si>
    <t>Institute of Chemistry Chinese Academy of Sciences;University of Toronto</t>
  </si>
  <si>
    <t>Ren X.</t>
  </si>
  <si>
    <t>Studies of the Antenna Effect in Polymer Molecules. 9. Energy Transfer, Migration, and Photoreactivity of Copolymers of 1-Naphthylmethyl Methacrylate and [2-(9, 10-Anthraquinonyl)] methyl Methacrylate</t>
  </si>
  <si>
    <t>10.1021/ma00152a036</t>
  </si>
  <si>
    <t>2-s2.0-0345673474</t>
  </si>
  <si>
    <t>['wiley blackwell', 'rights reserved', 'neotropical genera', 'et sp']</t>
  </si>
  <si>
    <t>Enneothrips | New World | Psectrothrips | Pseudothrips | Psydrothrips kewi | Thripidae | Thysanoptera</t>
  </si>
  <si>
    <t>A key is provided to the New World genera of Thripidae with nine‚Äêsegmented antennae. Psydrothrips kewi gen. et sp. nov. is described, a discussion is given of the morphology of the Neotropical genera which it resembles, and keys to species are provided. Copyright ¬© 1985, Wiley Blackwell. All rights reserved</t>
  </si>
  <si>
    <t>181-194</t>
  </si>
  <si>
    <t>60003455;60003455</t>
  </si>
  <si>
    <t>24454732500;7003973495</t>
  </si>
  <si>
    <t>PALMER, J. M.;MOUND, L. A.</t>
  </si>
  <si>
    <t>The British Museum</t>
  </si>
  <si>
    <t>PALMER J.</t>
  </si>
  <si>
    <t>New World Thripidae (Thysanoptera) with nine‚Äêsegmented antennae</t>
  </si>
  <si>
    <t>10.1111/j.1096-3642.1985.tb01798.x</t>
  </si>
  <si>
    <t>2-s2.0-0347678482</t>
  </si>
  <si>
    <t>SFB 4/B4</t>
  </si>
  <si>
    <t>['¬© 1985', 'upwind orientation', 'stimulus concentration', 'running increased', 'repeated stimulation', 'relative effectiveness', 'periplaneta americana', 'male antennae', 'either component', 'easily adapted', 'behavioural responses', 'behavioural assays']</t>
  </si>
  <si>
    <t>Female American cockroaches, Periplaneta americana, release two sex pheromones, periplanone-A and periplanone-B, each of which is perceived by a specialized receptor type on the male antennae. This study investigates whether male behavioural responses to both components may differ qualitatively or quantitatively. Running, upwind orientation and wing-raising were evoked by stimulation with either component. The intensity of running increased with stimulus concentration in much the same way for both substances. However, the relative effectiveness of periplanone-A was 30 times lower in behavioural assays than in the electroantennogram. Behavioural responses to periplanone-B declined faster and were more easily adapted by repeated stimulation than those to periplanone-A. It is hypothesized that periplanone-B is responsible for long distance attraction while periplanone-A influences male behaviour near the female. ¬© 1985.</t>
  </si>
  <si>
    <t>591-598</t>
  </si>
  <si>
    <t>Seelinger, G√ºnter</t>
  </si>
  <si>
    <t>Regensburg</t>
  </si>
  <si>
    <t>Institut f√ºr Zoologie</t>
  </si>
  <si>
    <t>Seelinger G.</t>
  </si>
  <si>
    <t>Behavioural responses to female sex pheromone components in Periplaneta americana</t>
  </si>
  <si>
    <t>S000334728580083X</t>
  </si>
  <si>
    <t>10.1016/S0003-3472(85)80083-X</t>
  </si>
  <si>
    <t>2-s2.0-0542415777</t>
  </si>
  <si>
    <t>['tokamak plasmas', 'specific features', 'situ antenna', 'significantly enhance', 'relatively low', 'plasma nonuniformities', 'interaction results', 'frequency larger', 'frequency heating', 'fast waves', 'cyclotron range', 'cyclotron frequency', 'beat current', 'appropriate k', 'analytical study']</t>
  </si>
  <si>
    <t>An analytical study is presented of the interaction between a fast Alfv√©n wave having a frequency larger than the ion-cyclotron frequency, and low-frequency density fluctuations. When appropriate k, œâ matching conditions are satisfied, the interaction results in a beat current that acts as an in-situ antenna, exciting ion Bernstein modes resonantly. Since such modes have relatively small damping for large parallel phase velocities, their excitation can significantly enhance the damping of fast waves having small k‚à•, particularly in those regions of the plasma where the temperature is relatively low. The interaction with coherent, as well as with broad band density fluctuations is investigated, and the role of plasma nonuniformities is examined. Specific features of relevance to ion-cyclotron range of frequency heating of tokamak plasmas are considered. ¬© 1985 American Institute of Physics.</t>
  </si>
  <si>
    <t>3302-3312</t>
  </si>
  <si>
    <t>7102711643;6701355569;7101649062</t>
  </si>
  <si>
    <t>Morales, G. J.;Antani, S. N.;Fried, B. D.</t>
  </si>
  <si>
    <t>Morales G.</t>
  </si>
  <si>
    <t>Direct conversion of a fast wave into ion Bernstein modes caused by density fluctuations</t>
  </si>
  <si>
    <t>10.1063/1.865328</t>
  </si>
  <si>
    <t>2-s2.0-0542433882</t>
  </si>
  <si>
    <t>['wavenumber surfaces', 'wave vectors', 'spatial oscillations', 'small antenna', 'simply related', 'several experiments', 'restricted range', 'resonance cone', 'radiated waves', 'presently named', 'potential around', 'positive integer', 'plasma temperature', 'oscillatory structure', 'numerical computations', 'magnetostatic field', 'hot magnetoplasma', 'direction perpendicular', 'cyclotron frequencies', 'completely satisfactory', 'analytical calculations', 'additional directivity']</t>
  </si>
  <si>
    <t>Several experiments have evidenced oscillatory patterns of the electrostatic potential radiated by a small antenna in a hot magnetoplasma. Several previous interpretations based on analytical calculations and numerical computations are discussed; they are found not to be exhaustive or completely satisfactory. A new mechanism responsible for these structures is proposed. It consists of a filtering by the plasma of the wave vectors of the radiated waves. This mechanism is caused by the existence of a restricted range of undamped wave vectors surrounded by highly damped ones. This phenomenon, presently named "intrinsic diffraction," is used to interpret both the spatial oscillations of the potential around the resonance cone when œâ &lt; min(œâp, œâc) and around the direction perpendicular to the magnetostatic field when nœâc &lt; œâ &lt; (N + 1)œâc; œâ, œâp, œâc are, respectively, the wave, the plasma, and the electron-cyclotron frequencies, and n is any positive integer. The results of both analytical calculations and numerical computations are found to be in good agreement within the two frequency ranges. The location and the amplitude of the oscillatory structure are simply related to the width of the domain of unattenuated wave vectors. New diagnosis methods for the plasma temperature are suggested from this model. Additional directivity and curvature effects related to the topology of the wavenumber surfaces are discussed. The generalization of the use of the intrinsic diffraction picture is proposed. ¬© 1985 American Institute of Physics.</t>
  </si>
  <si>
    <t>2755-2772</t>
  </si>
  <si>
    <t>60104081;60104081</t>
  </si>
  <si>
    <t>6603341767;6602351867</t>
  </si>
  <si>
    <t>De Feraudy, H.;Lembege, B.</t>
  </si>
  <si>
    <t>Issy-les-Moulineaux</t>
  </si>
  <si>
    <t>Orange Labs</t>
  </si>
  <si>
    <t>De Feraudy H.</t>
  </si>
  <si>
    <t>Rostatic radiation in a hot magnetoplasma: Intrinsic diffraction or Interference effects?</t>
  </si>
  <si>
    <t>10.1063/1.865235</t>
  </si>
  <si>
    <t>2-s2.0-11744296498</t>
  </si>
  <si>
    <t>['stable complexes', 'sequential expression', 'reaction center', 'polypeptides parallel', 'pigment synthesis', 'phototrophic cultures', 'photosynthetic apparatus', 'mrna synthesis', 'mrna coding', 'membrane immediately', 'maximal expression', 'light intensity', 'lag time', 'delayed formation', 'corresponding genes', 'chemotrophic cultures', 'biological activity', 'binding polypeptides', 'bacteriochlorophyll synthesis', 'b870 mrna', 'b870 complex', '25 min']</t>
  </si>
  <si>
    <t>Lowering of oxygen partial pressure in chemotrophic cultures or reduction of light intensity in phototrophic cultures of Rhodopseudomonas capsulata induced formation of the photosynthetic apparatus. A maximum of mRNA coding for the reaction center (RC) and the light-harvesting I B870 antenna complex polypeptides occurred 30 min after induction. Maximal expression of mRNA for B800-B850 antenna proteins appeared with a lag time of about 25 min after RC/B870 mRNA. Pigment-binding polypeptides were inserted into the membrane immediately after mRNA synthesis. It is concluded that the delayed formation of the B800-B850 complex compared to the RC and the B870 complex is caused by sequential expression of the corresponding genes. Biological activity of pigment-protein complexes increased after the incorporation of their polypeptides parallel to the maximum of bacteriochlorophyll synthesis. Studies on mutant strains defective in the formation of pigment-protein complexes suggested that pigment synthesis is of importance for assembly of stable complexes.</t>
  </si>
  <si>
    <t>6485-6489</t>
  </si>
  <si>
    <t>Proceedings of the National Academy of Sciences of the United States of America</t>
  </si>
  <si>
    <t>60025641;60025641;60025641</t>
  </si>
  <si>
    <t>16137779500;7004504174;7102742634</t>
  </si>
  <si>
    <t>Klug, G.;Kaufmann, N.;Drews, G.</t>
  </si>
  <si>
    <t>Freiburg im Breisgau</t>
  </si>
  <si>
    <t>Universit√§t Freiburg im Breisgau</t>
  </si>
  <si>
    <t>Klug G.</t>
  </si>
  <si>
    <t>Gene expression of pigment-binding proteins of the bacterial photosynthetic apparatus: Transcription and assembly in the membrane of Rhodopseudomonas capsulata</t>
  </si>
  <si>
    <t>10.1073/pnas.82.19.6485</t>
  </si>
  <si>
    <t>2-s2.0-17444440237</t>
  </si>
  <si>
    <t>['telescope losses', 'standard values', 'results predicted', 'phase ion', 'negative searches', 'expected conditions', 'appropriately corrected']</t>
  </si>
  <si>
    <t>We report the measurement of three new lines of C3O in TMC-1. The observed peak antenna temperatures, appropriately corrected for atmospheric and telescope losses, are found to be consistent with a large velocity gradient radiative transfer model whose parameters span the range of standard values for this cloud. The derived fractional abundance for C3O is 1.4 x 10(-10), comparable with the results predicted from a model calculation based on a gas-phase ion-molecule reaction scheme. The results of negative searches for C3O in six other sources are not inconsistent with expected conditions in these clouds.</t>
  </si>
  <si>
    <t>302-308</t>
  </si>
  <si>
    <t>0004637X</t>
  </si>
  <si>
    <t>The Astrophysical journal</t>
  </si>
  <si>
    <t>60019578;60019578;60019578;60019578;60019578;60019578;60019578;60019578;60019578;60019578</t>
  </si>
  <si>
    <t>55977003100;7005052488;7004045774;7103064972;7103105241;7005672565;55704178400;7102625761;7003992730;57206537779</t>
  </si>
  <si>
    <t>Brown, R. D.;Godfrey, P. D.;Cragg, D. M.;Rice, E. H.;Irvine, W. M.;Friberg, P.;Suzuki, H.;Ohishi, M.;Kaifu, N.;Morimoto, M.</t>
  </si>
  <si>
    <t>Monash University</t>
  </si>
  <si>
    <t>Brown R.</t>
  </si>
  <si>
    <t>Tricarbon monoxide in TMC-1.</t>
  </si>
  <si>
    <t>10.1086/163528</t>
  </si>
  <si>
    <t>2-s2.0-17744401418</t>
  </si>
  <si>
    <t>['¬© 1985', 'wide field', 'still achievable', 'rights reserved', 'quadrufocal lenses', 'quadrufocal lens', 'produce high', 'principal plane', 'orthogonal planes', 'orthogonal plane', 'focal distribution', 'focal arc', 'dimensional scanning', 'also shown']</t>
  </si>
  <si>
    <t>Three-dimensional bootlace lens antennas with two and four focal points can be optimized to produce high-quality scanned beams over a wide field of view. For two-dimensional scanning, the planar feed locus is replaced by a curved feed locus designed to minimize path length errors. Comparisons with previous bootlace lens designs demonstrate the advantages of this focal distribution. The bifocal lens shows good scanning performance in both principal and orthogonal planes. The quadrufocal lens performs better in its principal plane than in its orthogonal plane. It is also shown that the quadrufocal lens can be realized with a planar outer surface and a circular focal arc, and improved scanning performance is still achievable. Further optimization of the focal arc and/or relaxation of the planar outer surface condition results in quadrufocal lenses with negligible phase errors in the principal plane. ¬© 1985, IEEE. All rights reserved.</t>
  </si>
  <si>
    <t>1227-1236</t>
  </si>
  <si>
    <t>60022195;60007742</t>
  </si>
  <si>
    <t>7004701432;7007059212</t>
  </si>
  <si>
    <t>Rappaport, Carey M.;Zaghloul, Amir I.</t>
  </si>
  <si>
    <t>Cambridge;Clarksburg</t>
  </si>
  <si>
    <t>Massachusetts Institute of Technology;Comsat Laboratories</t>
  </si>
  <si>
    <t>Rappaport C.</t>
  </si>
  <si>
    <t>Optimized Three-Dimensional Lenses for Wide-Angle Scanning</t>
  </si>
  <si>
    <t>10.1109/TAP.1985.1143519</t>
  </si>
  <si>
    <t>2-s2.0-2442441854</t>
  </si>
  <si>
    <t>['¬© 1985', 'wave excites', 'toroidal device', 'steady current', 'produced 40', 'princeton act', 'high ion', 'energetic tail', 'cyclotron harmonics', '1 kw']</t>
  </si>
  <si>
    <t>Fast-wave current drive is demonstrated in the Princeton ACT-I toroidal device. The fast Alfv√©n wave, in the range of high ion-cyclotron harmonics, produced 40 A of current from 1 kW of rf power coupled into a plasma by a fast-wave loop antenna. This wave excites a steady current by damping on the energetic tail of the electron distribution function in the same way as lower-hybrid current drive, except that fast-wave current drive is appropriate for higher plasma densities. ¬© 1985 The American Physical Society.</t>
  </si>
  <si>
    <t>1669-1672</t>
  </si>
  <si>
    <t>Physical Review Letters</t>
  </si>
  <si>
    <t>60018020-60024324;60018020;60018020;60018020-60026175;60018020;60018020</t>
  </si>
  <si>
    <t>7006602959;56144605100;7004002507;22971584300;7102330372;56415174700</t>
  </si>
  <si>
    <t>Goree, J.;Ono, M.;Colestock, P.;Horton, R.;McNeill, D.;Park, H.</t>
  </si>
  <si>
    <t>Livermore;Iowa City;Princeton</t>
  </si>
  <si>
    <t>Lawrence Livermore National Laboratory;University of Iowa;Princeton Plasma Physics Laboratory</t>
  </si>
  <si>
    <t>60026175;60024324;60018020</t>
  </si>
  <si>
    <t>Goree J.</t>
  </si>
  <si>
    <t>Fast-Wave Current Drive in a Toroidal Plasma</t>
  </si>
  <si>
    <t>10.1103/PhysRevLett.55.1669</t>
  </si>
  <si>
    <t>2-s2.0-25544469441</t>
  </si>
  <si>
    <t>['¬© 1985', 'vaa ).', 'single samples', 'sex pheromone', 'response curves', 'receptor affected', 'pure antagonists', 'present stimulant', 'partial antagonists', 'partial agonists', 'olfactory stimulants', 'obtained using', 'mixed samples', 'male antennae', 'low affinity', 'intrinsic activity', 'inactive analogs', 'evaluate affinity', 'behavioral tests', 'american cockroach']</t>
  </si>
  <si>
    <t>1. 1. As olfactory stimulants, the verbanyl type sex pheromone mimics of the American cockroach and their analogs were used, and the receptor for a sex pheromone (periplanone-B) (abbreviated as PB-receptor) on male antennae of the cockroach was selected as a receptor for the stimulants. 2. 2. In order to evaluate affinity and intrinsic activity of the stimulants to PB-receptor, dose-response curves were obtained using an electroantennogram (EAG) technique with single samples of the mimics and mixed samples of inactive analogs with a mimic (VaA). 3. 3. The differences in both affinity and intrinsic activity of the mimics to PB-receptor affected their potency of sex pheromonal activity. 4. 4. Inactivity of pheromonally inactive analogs was due to zero or low affinity or intrinsic activity of the analogs to PB-receptor, and several of them were estimated as pure antagonists, partial agonists and partial antagonists against VaA. 5. 5. In behavioral tests, most of the inactive analogs inhibited VaA activity. 6. 6. The present stimulant-receptor interaction suggested a method for finding masking agents of olfactory stimulants. ¬© 1985.</t>
  </si>
  <si>
    <t>193-200</t>
  </si>
  <si>
    <t>24384498700;24377844500</t>
  </si>
  <si>
    <t>Shunichi, Manabe;Chikao, Nishino</t>
  </si>
  <si>
    <t>Shunichi M.</t>
  </si>
  <si>
    <t>Interaction of olfactory stimulants with receptors: Affinity and intrinsic activity of the stimulants to the receptors</t>
  </si>
  <si>
    <t>030096298590725X</t>
  </si>
  <si>
    <t>10.1016/0300-9629(85)90725-X</t>
  </si>
  <si>
    <t>2-s2.0-27044436574</t>
  </si>
  <si>
    <t>Natural Sciences and Engineering Research Council of Canada</t>
  </si>
  <si>
    <t>NSERC</t>
  </si>
  <si>
    <t>['¬© 1985', 'two types', 'trichoid sensilla', 'stout straight', 'ring around', 'peculiar arrangement', 'paragnetina media', 'long wavy', 'located around', 'external morphology', 'distal margin', 'distal end', 'campaniform sensilla', 'antennae may', 'adult stonefly', 'adult stoneflies', '3 types']</t>
  </si>
  <si>
    <t>adult stonefly | aquatic nymphs | Light and scanning electron microscopy</t>
  </si>
  <si>
    <t>The distribution and external morphology of sensilla on the antennae of nymphal and adult stonefly, Paragnetina media (Plecoptera : Perlidae) were studied with light and scanning electron microscopy. A peculiar arrangement of 3 types of sensilla was observed on the antennae of the nymphs. Thick- and thin-walled sensilla basiconica and coniform sensillar complexes occur in a group, and 6 to 7 such groups are located around the distal margin on the segments in the mid-region of the flagellum. Campaniform sensilla are concentrated in a ring around a crown of thick- and thin-walled sensilla basiconica on the distal end of the pedicel. Two types of trichoid sensilla, long wavy, and stout straight, are present on the flagellum of the nymph. Adult stoneflies have an antennal surface profusely covered only with long and short trichoid sensilla; all other nymphal type sensilla are absent. The lack of nymphal type sensilla on their antennae may be related to the adult's brief, non-feeding terrestrial life. ¬© 1985.</t>
  </si>
  <si>
    <t>273-280</t>
  </si>
  <si>
    <t>Kapoor, N. N.</t>
  </si>
  <si>
    <t>Kapoor N.N.</t>
  </si>
  <si>
    <t>External morphology and distribution of the antennal sensilla of the stonefly, Paragnetina media (Walker) (Plecoptera : Perlidae)</t>
  </si>
  <si>
    <t>0020-7322(85)90042-X</t>
  </si>
  <si>
    <t>10.1016/0020-7322(85)90042-X</t>
  </si>
  <si>
    <t>2-s2.0-33746959846</t>
  </si>
  <si>
    <t>['¬© 1985', 'static transfer', 'rights reserved', 'relative importance', 'photosynthetic organisms', 'photophysical requirements', 'molecular structure', 'intramolecular motions', 'exchange mechanism', 'carotenoid œä', 'biological systems', 'antenna function']</t>
  </si>
  <si>
    <t>Carotenoporphyrins, consisting of carotenoid polyenes linked covalently to porphyrins, are known to mimic both the antenna function and the photoprotection from singlet oxygen damage provided by carotenoids in photosynthetic organisms. A series of carotenoporphyrins whose conformations, as determined from 1H NMR studies, range from folded (with the carotenoid œÄ-electron system stacked over that of the porphyrin) to extended (with the chromophores widely separated) has been prepared. Time-resolved spectroscopic studies have revealed intramolecular triplet energy transfer from porphyrin to carotenoid. Two distinct pathways for such transfer (presumably occurring via an electron-exchange mechanism) were observed: static transfer which does not require significant intramolecular motions; (b) dynamic transfer mediated by intramolecular motions. The relative importance of these pathways is a function of molecular structure and dynamics. The results for this series of carotenoporphyrins help define the photochemical and photophysical requirements for protection from singlet oxygen damage both in photosynthetic organisms and in other biological systems. ¬© 1985, American Chemical Society. All rights reserved.</t>
  </si>
  <si>
    <t>3631-3640</t>
  </si>
  <si>
    <t>Journal of the American Chemical Society</t>
  </si>
  <si>
    <t>60106083;60106083;60028311;60028311;60028311;60003892;60003892;60106083;60028784</t>
  </si>
  <si>
    <t>7403336040;57194975627;26643239600;57202750332;35598466200;7103014417;56530415100;7005096101;57194807026</t>
  </si>
  <si>
    <t>Moore, Thomas A.;Mathis, Paul;Gust, Devens;Bensasson, Rene V.;Moore, Ana L.;Nemeth, Gregory A.;Liddell, Paul A.;Land, Edward J.;Chachatv, Claude</t>
  </si>
  <si>
    <t>France;United Kingdom;France;United States</t>
  </si>
  <si>
    <t>Gif-sur-Yvette;Manchester;Paris;Tempe</t>
  </si>
  <si>
    <t>CEA - D√©partement de Physico-Chimie;The Christie NHS Foundation Trust;Museum National d'Histoire Naturelle;Arizona State University</t>
  </si>
  <si>
    <t>60106083;60028784;60028311;60003892</t>
  </si>
  <si>
    <t>Moore T.A.</t>
  </si>
  <si>
    <t>Stereodynamics of Intramolecular Triplet Energy Transfer in Carotenoporphyrins</t>
  </si>
  <si>
    <t>10.1021/ja00298a038</t>
  </si>
  <si>
    <t>2-s2.0-33845378196</t>
  </si>
  <si>
    <t>['unchromatographed preparation', 'two proteins', 'two polypeptides', 'staining properties', 'solubilized preparation', 'silver staining', 'significant improvement', 'protein ratio', 'possible existence', 'polypeptide composition', 'junk publishers', 'immunochemical method', 'electrophoretic moblities', 'dr w', 'described procedure', 'constituents could', '7 ).']</t>
  </si>
  <si>
    <t>antenna complexes | light-harvesting complexes | Rhodospirillum rubrum</t>
  </si>
  <si>
    <t>A solubilized preparation of the major Rhodospirillum rubrum antenna complex (B880) was obtained by a described procedure and its polypeptide composition was analyzed by polyacrylamide gel electrophoresis in the presence of sodium dodecyl sulfate. Only two polypeptides of molecular weights close to 7000 were detected after staining the gels with Coomassie brilliant blue. However, several other constituents could be visualized by silver staining or by an immunochemical method. When the preparation was chromatographed on Sephacryl, some of the resulting fractions exhibited the characteristic B880 absorption spectrum and contained only the two proteins that were detectable with Coomassie brilliant blue. In those fractions the A280/A880ratio was 0.4, which indicated a significant improvement of the bacteriochlorophyll to protein ratio over the unchromatographed preparation (A280/A880=0.7). Other chromatography fractions lacked bacteriochlorophyll and contained a carotenoid which seemed to be bound to protein. The macromolecular constituents present in these latter fractions differed from those associated to the purified B880 complex in their electrophoretic moblities and/or in their staining properties. That suggested the possible existence of a carotenoprotein that did not result from the B880 complex upon loss of bacteriochlorophyll. ¬© 1985 Martinus Nijhoff/Dr W. Junk Publishers.</t>
  </si>
  <si>
    <t>151-161</t>
  </si>
  <si>
    <t>60006754;60006754;60006754</t>
  </si>
  <si>
    <t>7004984855;7006699511;24434990900</t>
  </si>
  <si>
    <t>Gimenez-Gallego, Guillermo;Rivas, Luis;Ramirez, Juan M.</t>
  </si>
  <si>
    <t>Madrid</t>
  </si>
  <si>
    <t>Consejo Superior de Investigaciones Cient√≠ficas</t>
  </si>
  <si>
    <t>Gimenez-Gallego G.</t>
  </si>
  <si>
    <t>The antenna system of Rhodospirillum rubrum. Detection of macromolecular constituents not stainable by Coomassie brilliant blue in solubilized preparations of the B880 complex</t>
  </si>
  <si>
    <t>10.1007/BF00037005</t>
  </si>
  <si>
    <t>2-s2.0-34250111798</t>
  </si>
  <si>
    <t>['¬© 1985', 'pump energy', 'outside antenna', 'modes grow', 'modes appear', 'high level', 'full nonlinear', 'driven strongly']</t>
  </si>
  <si>
    <t>Global or discrete Alfv√©n waves have been investigated with a full nonlinear, three-dimensional, ideal magnetohydrodynamic simulation code. When driven strongly with an outside antenna, those modes grow to a very high level, Œ¥BBT10%. No destabilization of the plasma is observed. These modes appear to be much more efficient than the ones in the continuum in absorbing the pump energy. ¬© 1985 The American Physical Society.</t>
  </si>
  <si>
    <t>1252-1255</t>
  </si>
  <si>
    <t>60013372-60009839;60013372;60013372</t>
  </si>
  <si>
    <t>22966051800;7007014460;55532373700</t>
  </si>
  <si>
    <t>Brunel, F.;Leboeuf, J. N.;Mahajan, S. M.</t>
  </si>
  <si>
    <t>Austin;Ottawa ON,</t>
  </si>
  <si>
    <t>The University of Texas at Austin;National Research Council Canada</t>
  </si>
  <si>
    <t>60013372;60009839</t>
  </si>
  <si>
    <t>Brunel F.</t>
  </si>
  <si>
    <t>Nonlinear global Alfv√©n eigenmodes</t>
  </si>
  <si>
    <t>10.1103/PhysRevLett.54.1252</t>
  </si>
  <si>
    <t>2-s2.0-35949022881</t>
  </si>
  <si>
    <t>['¬© 1985', 'reasonable agreement', 'model based', 'local balance', 'experimental observations', 'electron expulsion', 'cyclotron resonance', 'central cell']</t>
  </si>
  <si>
    <t>It is found that ion cyclotron resonance frequency can create an ion-plugging plasma potential equal to several times Tee (Tie) in the Phaedrus tandem mirror end cells or at the end of the central cell. A model based on a local balance of electron expulsion by the rf field Ez and trapping by Coulomb scattering predicts the magnitude and scaling of the potential with density and rf antenna current. This model is in reasonable agreement with experimental observations. This ion-cyclotron resonance-frequency enhanced potential increases as the plasma density decreases and as the antenna current increases. ¬© 1985 The American Physical Society.</t>
  </si>
  <si>
    <t>947-950</t>
  </si>
  <si>
    <t>60032179;60032179;60032179;60032179;60032179;60032179;60032179;60032179;100336248</t>
  </si>
  <si>
    <t>7006072211;7402428186;57208641024;7005599085;6603646617;7404813738;6603994341;7102556340;57200096915</t>
  </si>
  <si>
    <t>Hershkowitz, N.;Nelson, B. A.;Johnson, J.;Ferron, J. R.;Persing, H.;Chan, C.;Golovato, S. N.;Callen, J. D.;Woo, J.</t>
  </si>
  <si>
    <t>Madison;Troy</t>
  </si>
  <si>
    <t>University of Wisconsin-Madison;InterScience, Inc.</t>
  </si>
  <si>
    <t>60032179;100336248</t>
  </si>
  <si>
    <t>Hershkowitz N.</t>
  </si>
  <si>
    <t>Enhancement of the plasma potential by fluctuating electric fields near the ion cyclotron frequency</t>
  </si>
  <si>
    <t>10.1103/PhysRevLett.55.947</t>
  </si>
  <si>
    <t>2-s2.0-3643063807</t>
  </si>
  <si>
    <t>['¬© 1985', 'tca tokamak', 'plasma column', 'known toroidal', 'heating experiments', 'cyclotron effects', 'continuum modes', 'antenna structure', 'antenna phasing', 'additional modes', 'account ion']</t>
  </si>
  <si>
    <t>The antenna structure in the TCA tokamak is phased to excite preferentially Alfv√©n waves with known toroidal and poloidal wave numbers. Surprisingly, the loading spectrum includes both discrete and continuum modes with poloidal wave numbers incompatible with the antenna phasing. These additional modes, which are important for our heating experiments, can be attributed to linear mode coupling induced by the toroidicity of the plasma column, when we take into account ion-cyclotron effects. ¬© 1985 The American Physical Society.</t>
  </si>
  <si>
    <t>1671-1674</t>
  </si>
  <si>
    <t>60028186;60028186;60028186;60028186;60028186;60028186;60028186;60028186</t>
  </si>
  <si>
    <t>7003823426;57216266897;7202476002;7401434652;6701862164;7201547237;22972829400;56277076300</t>
  </si>
  <si>
    <t>Appert, K.;Collins, G. A.;Hofmann, F.;Keller, R.;Lietti, A.;Lister, J. B.;Pochelon, A.;Villard, L.</t>
  </si>
  <si>
    <t>Lausanne</t>
  </si>
  <si>
    <t>Swiss Federal Institute of Technology Lausanne</t>
  </si>
  <si>
    <t>Appert K.</t>
  </si>
  <si>
    <t>Observations of toroidal coupling for low-n Alfv√©n modes in the TCA tokamak</t>
  </si>
  <si>
    <t>10.1103/PhysRevLett.54.1671</t>
  </si>
  <si>
    <t>2-s2.0-4243241092</t>
  </si>
  <si>
    <t>['¬© taylor', 'transmission responses', 'th incidence', 'spatial filters', 'selective surfaces', 'plane waves', 'normal incidence', 'layers together', 'francis group', 'experimental results', 'experimental measurements', 'either flat', 'curved subreflectors', 'crosspolar performances', 'close agreement', '45 ¬∞.', '30 db']</t>
  </si>
  <si>
    <t>Future communication satellites will require single reflector antennas to operate at three or more frequency bands simultaneously. Frequency-selective surfaces are spatial filters which when incorporated as either flat or curved subreflectors into a reflector antenna allows it to operate at a number of different frequency bands. Multiple-layer frequency selective surfaces are currently being proposed for this application. In this paper two single-layer frequency selective surfaces are presented which offer potentially better crosspolar performance than multiple-layers together with reduced mechanical complexity. The surfaces are based on square loop elements and their transmission responses and crosspolar performances when measured in 45¬∞ plane dlplexers are discussed. Peak crosspolar levels of better than 30 dB are obtained. In addition models based on an equivalent circuit analysis are presented for the arrays. The calculated transmission responses are compared with experimental measurements for plane waves at normal incidence and TE and TH incidence at 45¬∞. Computed and experimental results are in close agreement. ¬© Taylor &amp; Francis Group, LLC.</t>
  </si>
  <si>
    <t>331-347</t>
  </si>
  <si>
    <t>1532527X</t>
  </si>
  <si>
    <t>Electromagnetics</t>
  </si>
  <si>
    <t>56020461500;57010564900</t>
  </si>
  <si>
    <t>Langley, R. J.;Lee, C. K.</t>
  </si>
  <si>
    <t>Langley R.J.</t>
  </si>
  <si>
    <t>Design of single-layer frequency selective surfaces for multiband reflector antennas</t>
  </si>
  <si>
    <t>10.1080/02726348508908155</t>
  </si>
  <si>
    <t>2-s2.0-4444357433</t>
  </si>
  <si>
    <t>['¬© 1985', 'unsaturated compounds', 'present morphological', 'p fuliginosa', 'p australasiae', 'odorous stimulants', 'linear alcohols', 'female antennae', 'elucidate selection', 'eag results', 'carbonyl groups', 'adult male']</t>
  </si>
  <si>
    <t>1. 1. The length and number of segment were measured for adult male and female antennae of P. australasiae and P fuliginosa. 2. 2. The first EAG recordings were carried out for adult male and female of P australasiae and P. fuliginosa. 3. 3. As the odorous stimulants, monoterpenoids possessing diverse functional groups and linear alcohols, ketones and unsaturated compounds of various carbon chain length were used to elucidate selection of odors of the cockroaches. 4. 4. Prominent EAG responses were recorded in both sexes of both species to hydroxyl and carbonyl groups. 5. 5. Generally, C7-C9 besides C13compounds gave strong EAG responses to the antennae of both species. 6. 6. The present morphological and EAG results were compared with those of P. americana and P. brunnea. ¬© 1985.</t>
  </si>
  <si>
    <t>43-47</t>
  </si>
  <si>
    <t>24377844500;24434078600</t>
  </si>
  <si>
    <t>Chikao, Nishino;Keiko, Usui</t>
  </si>
  <si>
    <t>Olfactory sensitivity of Periplaneta cockroaches to functional group and molecular size of general odors</t>
  </si>
  <si>
    <t>10.1016/0300-9629(85)90264-6</t>
  </si>
  <si>
    <t>2-s2.0-45949126935</t>
  </si>
  <si>
    <t>['¬© 1985', 'volume extremized', 'specified symmetry', 'singlet optical', 'satellite communications', 'refraction n0', 'mixed numerical', 'assumed given', 'analytical procedure']</t>
  </si>
  <si>
    <t>geometrical optics | microwave and sonar antennas | nonlinear partial differential equations | Numerical minimization</t>
  </si>
  <si>
    <t>A mixed numerical and analytical procedure for solving the problem of determining the surfaces I and I‚Ä≤ of a three-dimensional, aperture or volume extremized and ellipticized, bifocal, nonsperical, singlet optical, radar or sonar lens antenna defined by a system of four nonlinear partial differential equations with specified symmetry and boundary conditions subject to a minimizing side condition on the antenna focal length, or f-number, is presented. The index of refraction n0, the maximum lens diameter 2b0 and the bifocal off-axis angle œà0 are assumed given. Applications are noted in radar, sonar and satellite communications. ¬© 1985.</t>
  </si>
  <si>
    <t>591-607</t>
  </si>
  <si>
    <t>Journal of Computational and Applied Mathematics</t>
  </si>
  <si>
    <t>100379692-60018431;100379692-60018431;60022791</t>
  </si>
  <si>
    <t>54887160900;6603941561;36881385400</t>
  </si>
  <si>
    <t>Sternberg, Robert L.;Grafton, Robert B.;Childs, Donald R.</t>
  </si>
  <si>
    <t>Newport;Arlington;Boston</t>
  </si>
  <si>
    <t>Naval Undersea Warfare Center Division Newport;Office of Naval Research;Office of Naval Research</t>
  </si>
  <si>
    <t>60022791;60018431;100379692</t>
  </si>
  <si>
    <t>Sternberg R.L.</t>
  </si>
  <si>
    <t>On a numerical minimization problem for a new class of nonlinear partial differential equations arising in nonspherical geometrical optics and beamforming lenticular antennas</t>
  </si>
  <si>
    <t>10.1016/0377-0427(85)90051-2</t>
  </si>
  <si>
    <t>2-s2.0-46549090398</t>
  </si>
  <si>
    <t>['¬© 1985', 'thermal deformations', 'stabilizing gravity', 'preliminary design', 'orientation control', 'orbit due', 'mathematical models', 'lower coefficient', 'linear expansion', 'gradient torques', 'expected disturbances', 'environmental effects', 'disturbances resulting', 'could provide', 'controlled response', 'cases considered', 'also obtained']</t>
  </si>
  <si>
    <t>The environmental effects on a proposed large flexible space structure, namely, the Hoop/Column antenna system are studied. Mathematical models for the disturbances resulting from the interaction of solar radiation pressure with the vibrating and also thermally deformed antenna structure are developed. Expressions for the stabilizing gravity-gradient torques are also obtained. The uncontrolled transient response of the antenna system shows that the structure may tumble in orbit due to the expected disturbances. Linear quadratic regulator techniques are used to develop control laws for the actuators which could provide both shape and orientation control. The controlled response of the system is simulated for various initial conditions. The steady state rms pointing accuracy and the antenna surface accuracy are met in all the cases considered here. In order to reduce the control effort required to maintain the shape and orientation, the thermal deformations will have to be minimized. In the preliminary design of the system, materials should be considered which have a higher thermal conductivity and a lower coefficient of linear expansion, within cost constraints. ¬© 1985.</t>
  </si>
  <si>
    <t>871-877</t>
  </si>
  <si>
    <t>60012771;60012771</t>
  </si>
  <si>
    <t>7202788571;7006209371</t>
  </si>
  <si>
    <t>Krishna, R.;Bainum, P. M.</t>
  </si>
  <si>
    <t>Howard University</t>
  </si>
  <si>
    <t>Krishna R.</t>
  </si>
  <si>
    <t>Environmental effects on the dynamics and control of an orbiting large flexible antenna system</t>
  </si>
  <si>
    <t>0094-5765(85)90104-3</t>
  </si>
  <si>
    <t>10.1016/0094-5765(85)90104-3</t>
  </si>
  <si>
    <t>2-s2.0-46549094630</t>
  </si>
  <si>
    <t>['¬© 1985', 'system response', 'studying dynamics', 'space shuttle', 'space platforms', 'solve even', 'solar panels', 'prove useful', 'missions ranging', 'like members', 'large class', 'initial conditions', 'governing nonlinear', 'flexural rigidity', 'extremely difficult', 'deployment velocity', 'deployment maneuvers', 'coupled equations', 'cost involved', 'control analyses', 'complex interaction', 'attitude dynamics', 'appendage orientation']</t>
  </si>
  <si>
    <t>A relatively general formulation for studying liberational dynamics of a large class of spacecraft during deployment of arbitrarily oriented beam and plate type flexible members has been developed by the authors. The formulation is applicable to a variety of missions ranging from deployment of antennas, booms and solar panels to manufacturing of trusses for space platforms using the Space Shuttle. The governing nonlinear, nonautonomous and coupled equations of motion are extremely difficult to solve even with the help of a computer, not to mention the cost involved. To get some appreciation as to the complex interaction between flexibility, deployment and attitude dynamics as well as to help pursue stability and control analyses, the procedure is applied to the Space Shuttle based deployment of plate-like members. Results suggest substantial influence of the flexural rigidity of the appendages, deployment velocity, initial conditions, and appendage orientation on the system response. Deployment maneuvers in conjunction with a typical controlled time history of permissible liberational rates suggest flexible plate members to be stable. In general, the instability is triggered through roll excitation leading to unbounded yaw due to coupling. The results should prove useful in planning of the Orbiter based experiments aimed at studying dynamics and control of flexible, deployable structural components needed in construction of space platforms. ¬© 1985.</t>
  </si>
  <si>
    <t>879-888</t>
  </si>
  <si>
    <t>60010365;60010365</t>
  </si>
  <si>
    <t>7102008072;24429337800</t>
  </si>
  <si>
    <t>Modi, V. J.;Ibrahim, A. M.</t>
  </si>
  <si>
    <t>Vancouver</t>
  </si>
  <si>
    <t>The University of British Columbia</t>
  </si>
  <si>
    <t>Modi V.</t>
  </si>
  <si>
    <t>Dynamics of the orbiter based construction of structural components for space platforms</t>
  </si>
  <si>
    <t>0094-5765(85)90105-5</t>
  </si>
  <si>
    <t>10.1016/0094-5765(85)90105-5</t>
  </si>
  <si>
    <t>2-s2.0-46549096588</t>
  </si>
  <si>
    <t>['¬© 1985', 'yet appeared', 'unedited information', 'technology needed', 'single sideband', 'run newsim', 'raw news', 'press agencies', 'performance oriented', 'performance aspects', 'particular relevance', 'news simulation', 'news items', 'news institutions', 'media simulations', 'media simulation', 'major sources', 'l2 settings', 'inevitably old', 'handling ssb', 'good antenna', 'former concentrate', 'content areas', 'based upon', 'also suggested', 'also important']</t>
  </si>
  <si>
    <t>News institutions have inspired a number of published media simulations, but they are based on 'news' which is inevitably old or second-hand (e.g. newspaper cuttings); they have lost their immediacy or 'novelty' value. NEWSIM is a 'real' news simulation; it is based upon 'raw' unedited information that has not yet appeared in newspapers or on radio or TV. Two broad types of simulation are distinguished: substantive and performative. The former concentrate on the study of issues or content areas, the latter on the development and practice of skills. This is of particular relevance to media simulations; it is suggested that the more important the performance aspects, the greater the value of 'real' or 'raw' news items. This is also important when media simulations are used as L2 learning activities. Objectives of both substantive and performative media simulations are outlined, and their implications in terms of L2 learning activities are outlined. It is also suggested that one of the most neglected microcomputer applications in L2 settings is the word-processor, an ideal work instrument in NEWSIM. Guidelines are provided on: (1) how to run NEWSIM (a performance oriented, computer-assisted, media simulation, usable in the L2 classroom); and (2) the technology needed to access, within the classroom, 'raw news' at one of its major sources, i.e. the press agencies themselves, e.g. AP (Associated Press). Their information is sent out via shortwave RTTY (radioteletype) transmissions, and can therefore be picked up using suitable equipment: a communications receiver capable of handling SSB (single sideband) transmissions, a good antenna, a RTTY interface unit, and a microcomputer. Notes on setting up such a system are provided, and suppliers of equipment are listed. ¬© 1985.</t>
  </si>
  <si>
    <t>259-268</t>
  </si>
  <si>
    <t>0346251X</t>
  </si>
  <si>
    <t>System</t>
  </si>
  <si>
    <t>Crookall, David</t>
  </si>
  <si>
    <t>La Garde</t>
  </si>
  <si>
    <t>Universite du Sud Toulon - Var</t>
  </si>
  <si>
    <t>Crookall D.</t>
  </si>
  <si>
    <t>Media gaming and newsim: A computer-assisted, 'real news' simulation</t>
  </si>
  <si>
    <t>0346251X85900429</t>
  </si>
  <si>
    <t>10.1016/0346-251X(85)90042-9</t>
  </si>
  <si>
    <t>2-s2.0-46549097333</t>
  </si>
  <si>
    <t>['¬© 1986', 'transparent body', 'antenna potentials']</t>
  </si>
  <si>
    <t>The method of antenna potentials for problems of diffraction by a transparent body is substantiated. ¬© 1986.</t>
  </si>
  <si>
    <t>202-206</t>
  </si>
  <si>
    <t>USSR Computational Mathematics and Mathematical Physics</t>
  </si>
  <si>
    <t>7102485503;6506600379</t>
  </si>
  <si>
    <t>Kravtsov, V. V.;Senatorov, P. K.</t>
  </si>
  <si>
    <t>Kravtsov V.</t>
  </si>
  <si>
    <t>Antenna potentials in problems of diffraction by a transparent body</t>
  </si>
  <si>
    <t>10.1016/0041-5553(85)90064-3</t>
  </si>
  <si>
    <t>2-s2.0-46549098739</t>
  </si>
  <si>
    <t>['transimission characteristics', 'solved thoroughly', 'practical application', 'performs well', 'mode filter', 'h 21', 'h 11', 'feed system', 'et al', 'effective method', 'e 01', 'coupling coefficients', 'analyzed according']</t>
  </si>
  <si>
    <t>Recently, the influences of high order mode E 01 o and transimission characteristics of H 11 o multimode circular bend waveguide used in a high performance Cassegrainian microwave antenna, which utilized an offset excited horn-feeder, for the antenna and feed system of 4,5 and 6 GHz bands have been studied and analyzed by N. Nakajima, et al. But in their paper, the influence and effective method of treatment for another important high order mode H 21 o have not been solved. In this paper, higher order modes coupling characteristics in H 11 o circular bend waveguide are analyzed according to the coupled wave equations and coupling coefficients of E 01 o, H 21 o modes and their amplitudes are computed. A broadband H 21 o, E 01 o mode filter has thereby been proposed. Experimental results indicated that it performs well in practical application. Thus, the problems still confronting N. Nakajima et al. are capable of being solved thoroughly. ¬© 1985 Science Press.</t>
  </si>
  <si>
    <t>40-48</t>
  </si>
  <si>
    <t>Journal of Electronics (China)</t>
  </si>
  <si>
    <t>Yushu, Bao</t>
  </si>
  <si>
    <t>Yushu B.</t>
  </si>
  <si>
    <t>Transmission characteristics of H&lt;inf&gt; 11&lt;/inf&gt;&lt;sup&gt; o&lt;/sup&gt; multi-mode circular bend waveguide</t>
  </si>
  <si>
    <t>10.1007/BF02783199</t>
  </si>
  <si>
    <t>2-s2.0-51649149723</t>
  </si>
  <si>
    <t>['second maxillae', 'nov .,', 'new genus', 'kermadeca sp', 'freyellae sp', 'francis group', 'first antennae', 'family dendrogastridae', 'distinctive gland', 'bifurgaster gen', 'adult female']</t>
  </si>
  <si>
    <t>A new genus of ascothoracid, Bifurgaster gen. nov., has been found parasitizing brisingid asteroids Freyella spp. The genus comprises two species, B. freyellae sp. nov. and B, kermadeca sp. nov., from the north-east Atlantic Ocean and south Pacific Ocean respectively, at depths of over 4000 m. The genus is characterized by the adult female having a bilobed mantle within which is a reduced main body with little or no segmentation. The only appendages are the first antennae and second maxillae. Each lobe of the mantle contains two branches of the gut and ovary and a distinctive gland. Males and larvae of B. freyellae are described. The genus is placed in the family Dendrogastridae, and is thought to be intermediate between Ulophysema and Dendrogaster. ¬© 1985 Taylor &amp; Francis Group, LLC.</t>
  </si>
  <si>
    <t>1269-1279</t>
  </si>
  <si>
    <t>Journal of Natural History</t>
  </si>
  <si>
    <t>60004572;60004572</t>
  </si>
  <si>
    <t>7201720749;24285314800</t>
  </si>
  <si>
    <t>Stone, Carolyn J.;Moyse, John</t>
  </si>
  <si>
    <t>Swansea</t>
  </si>
  <si>
    <t>Swansea University</t>
  </si>
  <si>
    <t>Stone C.J.</t>
  </si>
  <si>
    <t>Bifurgaster, a new genus of aseothoracida (Crustacea: Maxillopoda) parasitic in deep water asteroids</t>
  </si>
  <si>
    <t>10.1080/00222938500770811</t>
  </si>
  <si>
    <t>2-s2.0-52149124990</t>
  </si>
  <si>
    <t>IEEE Antennas and Propagation Society Newsletter</t>
  </si>
  <si>
    <t>Schrank, H. E.</t>
  </si>
  <si>
    <t>Pittsburgh</t>
  </si>
  <si>
    <t>Westinghouse Electric Company</t>
  </si>
  <si>
    <t>Schrank H.</t>
  </si>
  <si>
    <t>Low Sidelobe Reflector Antennas</t>
  </si>
  <si>
    <t>10.1109/MAP.1985.27798</t>
  </si>
  <si>
    <t>2-s2.0-84055187436</t>
  </si>
  <si>
    <t>['¬© taylor', 'taking conveniently', 'subreflector surface', 'paper presents', 'optimum position', 'meaningful example', 'francis group', 'finite thickness', 'example gives', 'dichroic subreflector', 'dichroic antennas', 'design analysis', 'antenna system', 'also discussed']</t>
  </si>
  <si>
    <t>This paper presents an efficient technique developed to analyse dual reflector antenna systems operating with double curved dichroic subreflectors. The analysis is based on the Physical Optics integration of proper equivalent currents computed on the subreflector surface. The possibility of determining the optimum position of the dichroic subreflector in the antenna system, taking conveniently into account its finite thickness, is also discussed and evidenced through a meaningful example of design analysis. The same example gives to the reader an idea about the high performance achievable by dichroic antennas. ¬© Taylor &amp; Francis Group, LLC.</t>
  </si>
  <si>
    <t>375-407</t>
  </si>
  <si>
    <t>60009628;60009628</t>
  </si>
  <si>
    <t>6603727034;6701447666</t>
  </si>
  <si>
    <t>Bresciani, D.;Contu, S.</t>
  </si>
  <si>
    <t>Centro Studi e Laboratori Telecomunicazioni, Turin</t>
  </si>
  <si>
    <t>Bresciani D.</t>
  </si>
  <si>
    <t>Scattering analysis of dichroic subreflectors</t>
  </si>
  <si>
    <t>10.1080/02726348508908157</t>
  </si>
  <si>
    <t>2-s2.0-84876055439</t>
  </si>
  <si>
    <t>Schrank, Hal</t>
  </si>
  <si>
    <t>Antenna Designer's Notebook</t>
  </si>
  <si>
    <t>10.1109/MAP.1985.27826</t>
  </si>
  <si>
    <t>2-s2.0-84886161293</t>
  </si>
  <si>
    <t>Rutledge, David</t>
  </si>
  <si>
    <t>California Institute of Technology</t>
  </si>
  <si>
    <t>Rutledge D.</t>
  </si>
  <si>
    <t>Substrate-Lens Coupled Antennas for Millimeter and Submillimeter Waves</t>
  </si>
  <si>
    <t>10.1109/MAP.1985.27816</t>
  </si>
  <si>
    <t>2-s2.0-84886989572</t>
  </si>
  <si>
    <t>['two conjugate', 'transient fields', 'target cross', 'successively investigated', 'scattering problems', 'refractive targets', 'recalled herein', 'procedure appears', 'outside large', 'optimal profile', 'one direct', 'main reason', 'latter converge', 'large wire', 'iteratively solved', 'iterative solutions', 'iterative ones', 'hilbert space', 'gradient algorithms', 'gradient algorithm', 'general developed', 'francis group', 'five radiation', 'faster calculated', 'experimental probing', 'either choice', 'directly derived', 'dielectric slabs', 'compressional plane']</t>
  </si>
  <si>
    <t>Five radiation and scattering problems in electromagnetics and acoustics are successively investigated to illustrate the interest and drawbacks of iterative solutions with respect to conventional direct ones, if they exist. All these solutions are based upon integral formulations of the fields. The iterative ones are in general developed from two conjugate-gradient algorithms whose main properties are recalled herein from the viewpoint of linear operator equations in Hilbert space. The first two problems concern radiation by rotational thick antennas and by large wire-structures. Methods of moments are applied as usual and the linear systems deduced from are directly or iteratively solved; conditioning is confirmed to be the main reason of either choice. The next two concern scattering by inhomogeneous cylindrical targets: fluid ones illuminated by a compressional plane-wave in acoustics, and lossy dielectric ones illuminated by a wave whose field is parallel with the target cross-section In electromagnetics. Both problems are suitably handled using conjugate-gradient algorithms that are directly derived from the fields integral formulations. However, acoustic fields inside and outside large but weakly-refractive targets are, shown to be faster calculated from Neumann‚Äôs series provided that the latter converge. The fifth problem concerns the experimental probing of dielectric slabs from the transient fields they reflect. An optimal profile is constructed by means of a conjugate-gradient algorithm that minimizes a particular cost function. At each step, the gradient of this function is calculated from the solutions of one direct and of one adjoint problem obtained by marching-on-in-time. Such a procedure appears to perform fairly well, especially in view of the amount of errors on the data. ¬© 1985 Taylor &amp; Francis Group, LLC.</t>
  </si>
  <si>
    <t>147-189</t>
  </si>
  <si>
    <t>60007136;60007136;60007136;60007136</t>
  </si>
  <si>
    <t>7003287869;57011199200;7801415745;7006771943</t>
  </si>
  <si>
    <t>Lesselier, D.;Vuillet-Laurent, D.;Jouvie, F.;Tabbara, W.</t>
  </si>
  <si>
    <t>Laboratoire des Signaux et Syst√®mes</t>
  </si>
  <si>
    <t>Lesselier D.</t>
  </si>
  <si>
    <t>Iterative solution of some direct and inverse problems in electromagnetics and acoustics</t>
  </si>
  <si>
    <t>10.1080/02726348508908145</t>
  </si>
  <si>
    <t>2-s2.0-84908779936</t>
  </si>
  <si>
    <t>['usually treated', 'series resonance', 'seen well', 'rf modification', 'rf amplitudes', 'rf admittance', 'nonlinear effects', 'instantaneous response', 'electrostatic approximation', 'electrode surface', 'electric field', 'data produced', 'copyright 1985', 'computer code', 'code reproduces', 'code include', 'antenna radii', '3 œâpe', '10 œªd', '1 œâpe']</t>
  </si>
  <si>
    <t>We present results generated using a computer code which has been developed to model an isotropic inhomogeneous Vlasov plasma surrounding a dc‚Äêbiased spherical or infinite cylindrical electrode to which a radio frequency potential is applied. The initial Maxwellian velocity distribution of the plasma is approximated by a multiple water bag distribution. The instantaneous response of the plasma to a sinusoidal potential applied to the electrode is calculated in the electrostatic approximation. Transient and nonlinear effects can be modeled in this way. Ions are usually treated as fixed, but some runs include ion dynamics with an ion/electron mass ratio of 16. Data produced by the code include the instantaneous particle flux and electric field at the electrode surface, from which the RF admittance is calculated. Results are presented for spheres in the frequency range 0.1 œâpe to 3 œâpe, RF amplitudes of 1‚Äì9 kT/el, and antenna radii of 1 and 10 ŒªD. Here œâpe is the electron plasma frequency and ŒªD is the Debye shielding distance. The code reproduces the admittance behavior expected near the antenna‚Äêplasma series resonance. Some evidence for RF modification of the sheath is seen well above the frequency of the series resonance. Copyright 1985 by the American Geophysical Union.</t>
  </si>
  <si>
    <t>989-999</t>
  </si>
  <si>
    <t>July-August 1985</t>
  </si>
  <si>
    <t>23014153000;6603742544</t>
  </si>
  <si>
    <t>Calder, A. C.;Laframboise, J. G.</t>
  </si>
  <si>
    <t>Calder A.</t>
  </si>
  <si>
    <t>Terminal properties of a spherical RF electrode in an isotropic Vlasov plasma: Results of a computer simulation</t>
  </si>
  <si>
    <t>10.1029/RS020i004p00989</t>
  </si>
  <si>
    <t>2-s2.0-84910857476</t>
  </si>
  <si>
    <t>['¬© 1985', 'rights reserved', 'processing necessary', 'possible explanation', 'plasma edge', 'particle fluxes', 'neutral sputtering', 'moderate amounts', 'icrf heating', 'antenna conditioning', 'also discussed']</t>
  </si>
  <si>
    <t>The interaction of ICRF heating with the plasma edge in Princeton large torus (PLT) is reviewed and possible mechanisms responsible for the observations are discussed. Ion and neutral sputtering are found to be the most significantproducers of impurities, which are observed to increase in moderate amounts during ICRF heating. Collisional edge heating by the rf is evaluated as a possible explanation of measured electron density increases and particle fluxes. Antenna conditioning is also discussed, relating to the processing necessary to achieve the highest power handling capability perantenna in PLT. ¬© 1985, American Vacuum Society. All rights reserved.</t>
  </si>
  <si>
    <t>1211-1217</t>
  </si>
  <si>
    <t>Journal of Vacuum Science and Technology A: Vacuum, Surfaces and Films</t>
  </si>
  <si>
    <t>60018020;60018020;60018020;60018020;60018020;60018020;60018020;60018020;60018020;60018020;60018020</t>
  </si>
  <si>
    <t>7004002507;7407662968;22967475100;57097071100;22961435600;57202528890;56144605100;24424496400;22959964400;57224161346;7006025403</t>
  </si>
  <si>
    <t>Colestock, P. L.;Cohen, S. A.;Hosea, J. C.;Hwanq, D. Q.;Greene, G. J.;Wilson, J. R.;Ono, M.;Manos, D.;Budny, R.;Hammett, G.;Kaita, R.</t>
  </si>
  <si>
    <t>Colestock P.L.</t>
  </si>
  <si>
    <t>The effects of ICRF heating on plasma edge conditions in PLT</t>
  </si>
  <si>
    <t>10.1116/1.573066</t>
  </si>
  <si>
    <t>2-s2.0-84915288550</t>
  </si>
  <si>
    <t>['¬© 1985', 'textor tokamak', 'stainless steel', 'side liner', 'rights reserved', 'rf antenna', 'resolved behavior', 'radial profiles', 'previous measurements', 'present results', 'modified recently', 'limiting effects', 'limiter radius', 'internal configuration', 'include antennas', 'folding length', 'field lines', 'federal republic', 'characteristic decrease', 'also evident', '9 cm']</t>
  </si>
  <si>
    <t>The internal configuration of the TEXTOR tokamak at Kernforschungsanlage (KFA) Jiilich, Federal Republic of Germany, has been modified recently to include antennas for Ion Cyclotron Resonance Heating (ICRH) of the plasma. Passive deposition probe measurements of edge impurity fluxes were made for typical Ohmic discharges with this new liner configuration. The time-resolved behavior of impurities in the edge was determined as a function of radius and limiter position using rotating probe techniques. The dominant metallic impurities were found to be iron and the other components of stainless steel. Average deposited iron fluxes circulating along the field lines were found to be ‚Äî 1015/cm2 s at 5 cm behind the limiter radius. Radial profiles of the principal metallic impurities demonstrate a characteristic decrease with increasing radius outside the limiters and show an e-folding length of ‚Äî 1.9 cm. The limiting effects of the rf antenna are also evident in the radial profiles. Present results are compared with previous measurements of edge fluxes made prior to the modifications to the plasma-side liner of TEXTOR. ¬© 1985, American Vacuum Society. All rights reserved.</t>
  </si>
  <si>
    <t>1188-1191</t>
  </si>
  <si>
    <t>60024266;60007843</t>
  </si>
  <si>
    <t>7006869040;57097038000</t>
  </si>
  <si>
    <t>Zuhr, R. A.;Wamoler, W. R.</t>
  </si>
  <si>
    <t>Oak Ridge;Albuquerque</t>
  </si>
  <si>
    <t>Oak Ridge National Laboratory;Sandia National Laboratories, New Mexico</t>
  </si>
  <si>
    <t>Zuhr R.</t>
  </si>
  <si>
    <t>Time-resolved impurity fluxes in the TEXTOR plasma edge</t>
  </si>
  <si>
    <t>10.1116/1.573103</t>
  </si>
  <si>
    <t>2-s2.0-84915883830</t>
  </si>
  <si>
    <t>['western australia', 'smaller sample', 'recent measurements', 'particular reference', 'electronics engineers', 'decreases exponentially', 'acoustic loss', '4 k']</t>
  </si>
  <si>
    <t>In this paper we describe the superconducting gravitational radiation antenna being developed at the University of Western Australia (UWA) with particular reference to its high Q properties and the low loss mechanical filter used to support it. Recent measurements of the acoustic quality factor, Q, of the fundamental longitudinal mode of the bar are reported. It is shown that the Q sufficiently high that it will not contribute significant noise to the antenna until the transducer becomes ‚Äòquantum limited'. We also report measurements on a smaller sample down to 0.4 K in which we observe that Q-l, the acoustic loss, decreases exponentially with T-1between 2 K and 0.4 K. Copyright ¬© 1985 by The Institute of Electrical and Electronics Engineers, Inc.</t>
  </si>
  <si>
    <t>415-417</t>
  </si>
  <si>
    <t>Veitch, P. J.;Blair, D. G.;Buckingham, M. J.;Edwards, C.;Van Kann, F. J.</t>
  </si>
  <si>
    <t>Veitch P.J.</t>
  </si>
  <si>
    <t>A superconducting gravitational radiation antenna</t>
  </si>
  <si>
    <t>10.1109/TMAG.1985.1063755</t>
  </si>
  <si>
    <t>2-s2.0-84916097206</t>
  </si>
  <si>
    <t>['zeroth step', 'temperature dependence', 'second step', 'power dependence', 'one photon', 'nb junctions', 'laser source', 'laser power', 'josephson steps', 'electronics engineers', 'critical current', '7œ ©,']</t>
  </si>
  <si>
    <t>We have measured the response of Nb-aSi-Nb junctions to 604 GHz radiation from an optically pumped far-infrared (FIR) laser source. These rugged and thermally cyclable junctions situated at the midpoint of 180 ¬µm long dipole antennas, were fabricated on oxidized silicon wafers using the Selective Niobium Anodization Process (SNAP) Josephson current densities were ~9000 A/cm2, the McCumber parameters Œ≤c were ~3.5, and the Josephson plasma frequencies wJ~2.5xl012. On a junction with a normal state resistance of ~7Œ©, we observed three Josephson steps and one photon-assisted tunneling step. The widths of the Josephson steps were studied as a function of the laser power. An RSJ model computer simulation with a nonlinear quasiparticle conductance and an rf current bias (assumed because of the low junction resistance) is able to account reasonably well for the laser-power dependence of the critical current (zeroth step) and the second step. However, the temperature dependence is more complex, and a discrepancy still exists between the RSJ model calculation and the data for the hysteretic first step. Copyright ¬© 1985 by The Institute of Electrical and Electronics Engineers, Inc.</t>
  </si>
  <si>
    <t>219-222</t>
  </si>
  <si>
    <t>60009982-60029392;60009982-60013344;60009982-115569033;60009982;115568389-60024592</t>
  </si>
  <si>
    <t>7006711679;7003303053;6701477947;16501091700;22977509800</t>
  </si>
  <si>
    <t>Danchi, W. C.;Free, J. U.;Habbal, F.;Tinkham, M.;Smith, L. N.</t>
  </si>
  <si>
    <t>United States;United States;United States;United States;United Kingdom;Canada</t>
  </si>
  <si>
    <t>Berkeley;Lexington;Quincy;Cambridge;Cambridge;</t>
  </si>
  <si>
    <t>Space Sciences Laboratory at UC Berkeley;Lincoln Laboratory;Eastern Nazarene College;Harvard University;Polaroid Corporation;sperry Research Labs</t>
  </si>
  <si>
    <t>60029392;60024592;60013344;60009982;115569033;115568389</t>
  </si>
  <si>
    <t>Response of Nb-aSi-Nb junctions to 604 GHz radiation</t>
  </si>
  <si>
    <t>10.1109/TMAG.1985.1063816</t>
  </si>
  <si>
    <t>2-s2.0-84927351225</t>
  </si>
  <si>
    <t>['receiving antenna', 'quasioptical coupling', 'quantum theory', 'point contacts', 'measured noise', 'higher frequencies', 'electronics engineers', 'difficulties associated', 'device gives', 'detector array', 'antenna pattern', '100 ghz']</t>
  </si>
  <si>
    <t>In order to avoid the difficulties associated with waveguide and point contacts at frequencies above 100 GHz, a planar integrated circuit combining SIS junctions and a receiving antenna has been developed. The antenna pattern and a study of the quasi-optical coupling using an f/1 TPX lens are presented. Measurements of the direct detection performance of this device at 88 GHz agree well with quantum theory. The measured noise of the device gives an NEP of 5.6 √ó 10‚Äì14 W/‚àöHz. The antenna can readily be scaled to higher frequencies where quasioptical coupling is essential. Being planar, this device can be replicated into a multi-detector array for imaging. Copyright ¬© 1985 by The Institute of Electrical and Electronics Engineers, Inc.</t>
  </si>
  <si>
    <t>216-218</t>
  </si>
  <si>
    <t>Irwin, K. E.;Van Duzer, T. V.;Schwarz, S. E.</t>
  </si>
  <si>
    <t>Irwin K.E.</t>
  </si>
  <si>
    <t>A Planar Antenna-Coupled Superconductor-Insulator-Superconductor Detector</t>
  </si>
  <si>
    <t>10.1109/TMAG.1985.1063704</t>
  </si>
  <si>
    <t>2-s2.0-84935064330</t>
  </si>
  <si>
    <t>Antennas &amp; propagation society newsletter IEEE</t>
  </si>
  <si>
    <t>10.1109/MAP.1985.27813</t>
  </si>
  <si>
    <t>2-s2.0-84939327533</t>
  </si>
  <si>
    <t>['waveguide transition', 'tie antenna', 'series resistance', 'rf showed', 'mixer circuit', 'integrated low', 'fabricated using', 'developed using', '6 db', '30 ghz', '1 ghz', '025 pf']</t>
  </si>
  <si>
    <t>This paper will describe a 30-GHz monolithic low-noise balanced mixer which has been developed using an integrated low-tie antenna to waveguide transition and low parasitic Mott diodes. The diodes and mixer circuit were developed using MBE material and were fabricated using a plated airbridge technology. Measurements on the diode at de and RF showed that the zero bias junction capacitance was 0.025 pF and the. series resistance was 10 Œ©. A mixer conversion loss of 6 dB was measured at 30 GHz with an IF of 1 GHz. ¬© 1985 IEEE</t>
  </si>
  <si>
    <t>2772-2779</t>
  </si>
  <si>
    <t>IEEE Transactions on Electron Devices</t>
  </si>
  <si>
    <t>60015623;60015623;60015623;60015623;60015623;60025778</t>
  </si>
  <si>
    <t>7201759790;7102678715;7401949847;56782563200;7406998119;35272616800</t>
  </si>
  <si>
    <t>Nightingale, Stephen J.;Upton, Alastair;Mitchell, Bruce K.;Palamateer, Susan C.;Smith, Phillip M.;Mishra, Umesh K.</t>
  </si>
  <si>
    <t>Ann Arbor;Boston</t>
  </si>
  <si>
    <t>University of Michigan, Ann Arbor;General Electric Company</t>
  </si>
  <si>
    <t>60025778;60015623</t>
  </si>
  <si>
    <t>Nightingale S.J.</t>
  </si>
  <si>
    <t>A 30-0Hz Monolithic Single Balanced Mixer with Integrated Dipole Receiving Element</t>
  </si>
  <si>
    <t>10.1109/T-ED.1985.22415</t>
  </si>
  <si>
    <t>2-s2.0-84939336338</t>
  </si>
  <si>
    <t>10.1109/MAP.1985.27817</t>
  </si>
  <si>
    <t>2-s2.0-84939347163</t>
  </si>
  <si>
    <t>13-14</t>
  </si>
  <si>
    <t>10.1109/MAP.1985.27789</t>
  </si>
  <si>
    <t>2-s2.0-84939374605</t>
  </si>
  <si>
    <t>['voltage standards', 'v characteristics', 'using nb3sn', 'simultaneously locked', 'initial purpose', 'high critical', 'first step', 'electronics engineers', 'electrical characteristics', 'edge microbridges', 'cu step', '39 bridges']</t>
  </si>
  <si>
    <t>The fabrication and electrical characteristics of series connected arrays of high critical-temperature SNS Josephson microbridges are described the initial purpose of the investigation being the development of voltage standards and ultrastable voltage references operational above 10K. Using Nb3Sn/Cu step-edge microbridges, arrays containing 15 and 39 bridges have been fabricated which operate up to 16.5K. The arrays are irradiated by an antenna producing voltage steps in the array's I-V characteristics in which all the bridges are Simultaneously locked to the first step. Copyright ¬© 1985 by The Institute of Electrical and Electronics Engineers, Inc.</t>
  </si>
  <si>
    <t>Anklam W.J.</t>
  </si>
  <si>
    <t>Fabrication and properties of high TC SNS microbridge series arrays</t>
  </si>
  <si>
    <t>10.1109/TMAG.1985.1063685</t>
  </si>
  <si>
    <t>2-s2.0-84939397156</t>
  </si>
  <si>
    <t>20-21</t>
  </si>
  <si>
    <t>10.1109/MAP.1985.27799</t>
  </si>
  <si>
    <t>2-s2.0-84939717820</t>
  </si>
  <si>
    <t>['william e', 'special session', 'june 27', 'joseph b', 'george sinclair', 'edward c']</t>
  </si>
  <si>
    <t>The proceedings of the APS/URSI Plenary Session held in Boston on June 27, 1984 are described. Invited papers covering early developments in antennas and propagation were presented by five pioneering experts who participated in the developments. Speakers were encouraged to give anecdotal presentations that made specific reference to their own contributions. The speakers were Joseph B. Keller, William E. Gordon, John D. Kraus, George Sinclair, and Harold A. Wheeler. Chairman of the special session was Edward C. Jordan. Manuscripts were compiled by Y. T. Lo and E. C. Jordan. ¬© 1985 IEEE</t>
  </si>
  <si>
    <t>121-122</t>
  </si>
  <si>
    <t>Jordan, Edward C.</t>
  </si>
  <si>
    <t>Jordan E.</t>
  </si>
  <si>
    <t>Introduction</t>
  </si>
  <si>
    <t>10.1109/TAP.1985.1143555</t>
  </si>
  <si>
    <t>2-s2.0-84939727016</t>
  </si>
  <si>
    <t>['successfully damped', 'presented together', 'electronics engineers', 'damping antennae', 'beam stability']</t>
  </si>
  <si>
    <t>High order modes have been successfully damped in the existing NSLS accelerating cavities by the insertion of damping antennae. The location of the antennae was aided by cavity field plots using superfish and their lengths determined experimentally. A description of their construction is presented together with the results of their insertion upon higher order cavity modes and beam stability. Copyright ¬© 1985 by The Institute of Electrical and Electronics Engineers, Inc.</t>
  </si>
  <si>
    <t>2781-2783</t>
  </si>
  <si>
    <t>IEEE Transactions on Nuclear Science</t>
  </si>
  <si>
    <t>60006221-60003970;60006221-60003970</t>
  </si>
  <si>
    <t>6508132852;7201724264</t>
  </si>
  <si>
    <t>Fewell, Norman;Wen, Zhou</t>
  </si>
  <si>
    <t>United States;China</t>
  </si>
  <si>
    <t>Upton;Hangzhou</t>
  </si>
  <si>
    <t>Brookhaven National Laboratory;Zhejiang University</t>
  </si>
  <si>
    <t>60006221;60003970</t>
  </si>
  <si>
    <t>Fewell N.</t>
  </si>
  <si>
    <t>High order mode damping in the NSLS accelerating RF cavities by the use of damping antennae</t>
  </si>
  <si>
    <t>10.1109/TNS.1985.4334179</t>
  </si>
  <si>
    <t>2-s2.0-84939735034</t>
  </si>
  <si>
    <t>['storage ring', 'shunt impedances', 'position limitations', 'mode impedances', 'instabilities driven', 'electronics engineers', 'doris e', 'dangerous modes', 'beam intensity']</t>
  </si>
  <si>
    <t>The beam intensity of the DORIS e+e&lt;sup&gt;-&lt;/sup&gt; storage ring is limited to about 100 mA average circulation current as a result of instabilities driven by higher order RF cavity modes. Thus an investigation has been made of the higher order mode impedances of the DORIS RF accelerator cavities. These cavities are the same as the normally conducting inductively coupled 500 MHz 5-cell structures used in PETRA. The results of the investigation were applied for the construction of inductive and capacitive attenuation antennae corresponding to specific mode spectra and mode impedances. The antennae must fit into the existing 35 mm pick up flanges of the cavities and in spite of these size and position limitations they must be efficient in reducing the shunt impedances of the dangerous modes. Copyright ¬© 1985 by The Institute of Electrical and Electronics Engineers, Inc.</t>
  </si>
  <si>
    <t>2797-2799</t>
  </si>
  <si>
    <t>60030635;60030635;60030635</t>
  </si>
  <si>
    <t>6603307988;6504622307;57196770902</t>
  </si>
  <si>
    <t>Dwersteg, B.;Seesselberg, E.;Zolfaghari, A.</t>
  </si>
  <si>
    <t>Deutsches Elektronen-Synchrotron (DESY)</t>
  </si>
  <si>
    <t>Dwersteg B.</t>
  </si>
  <si>
    <t>Higher order mode couplers for normal conducting doris 5-cell cavities</t>
  </si>
  <si>
    <t>10.1109/TNS.1985.4334185</t>
  </si>
  <si>
    <t>2-s2.0-84939741078</t>
  </si>
  <si>
    <t>10.1109/MAP.1985.27806</t>
  </si>
  <si>
    <t>2-s2.0-84939770747</t>
  </si>
  <si>
    <t>['topside effects', 'substrate permittivity', 'resonant frequency', 'resonance condition', 'rectangular patch', 'copyright 1985']</t>
  </si>
  <si>
    <t>The effects of fields which penetrate from underneath a microstrip patch antenna to the top of the patch can affect the resonance condition for this antenna. Previous cavity models for the rectangular patch have ignored this effect. In this paper, we present an analysis of a one‚Äêdimensional microstrip resonator where topside effects are accounted for. The influences on the unloaded radiation Q and on the resonant frequency are examined as functions of the substrate permittivity. Copyright 1985 by the American Geophysical Union.</t>
  </si>
  <si>
    <t>7403319959;35588296300;6507336534</t>
  </si>
  <si>
    <t>Chang, David C.;Kuester, Edward F.;Mahnad, Ali R.</t>
  </si>
  <si>
    <t>Chang D.</t>
  </si>
  <si>
    <t>Geometrical theory of a one‚Äêdimensional microstrip resonator: The effect of topside charges and currents</t>
  </si>
  <si>
    <t>10.1029/RS020i004p00819</t>
  </si>
  <si>
    <t>2-s2.0-84944832661</t>
  </si>
  <si>
    <t>['‚ äúelement', '¬© 1985', 'rights reserved', 'particularly useful', 'one cell', 'nonuniform spacings', 'general formulation', 'fourier transform', 'form similar', 'forced modes', 'entire area', 'edge effects', 'current tapers', 'antenna arrays', 'active impedance']</t>
  </si>
  <si>
    <t>There are two conventional techniques dealing with mutual coupling problems for antenna arrays. The ‚Äúelement-by-element‚Äù method is useful for small to moderate size arrays. The ‚Äúinfinite periodic structure‚Äù method deals with one cell of infinite periodic structures, including all the mutual coupling effects. It cannot, however, include edge effects, current tapers, and nonuniform spacings. A new technique called the ‚Äúfinite periodic structure‚Äù method, is presented and applied to represent the active impedance of an array. It involves two operations. The first is to convert the discrete array problem into a series of continuous aperture problems by the use of Poisson‚Äôs sum formula. The second is to use spatial Fourier transforms to represent the impedance in a form similar to the infinite periodic structure approach. The active impedance is then given by a convolution integral involving the infinite periodic structure solution and the Fourier transform of the equivalent aperture distribution of the current over the entire area of the array. The formulation is particularly useful for large finite arrays, and edge effects, current tapers, and nonuniform spacings can also be included in the general formulation. Although the general formulation is valid for both the free and forced modes of excitation, the forced excitation problem is discussed to illustrate the method. ¬© 1985, IEEE. All rights reserved.</t>
  </si>
  <si>
    <t>1213-1220</t>
  </si>
  <si>
    <t>60015481;60030821;60030821;60030821</t>
  </si>
  <si>
    <t>7005122046;7005680345;7404979581;6507732141</t>
  </si>
  <si>
    <t>Ishimaru, Akira;Coe, Richard J.;Miller, Gary E.;Geren, W. Preston</t>
  </si>
  <si>
    <t>Chicago;Seattle</t>
  </si>
  <si>
    <t>Boeing Corporation;University of Washington</t>
  </si>
  <si>
    <t>60030821;60015481</t>
  </si>
  <si>
    <t>Ishimaru A.</t>
  </si>
  <si>
    <t>Finite Periodic Structure Approach to Large Scanning Array Problems</t>
  </si>
  <si>
    <t>10.1109/TAP.1985.1143507</t>
  </si>
  <si>
    <t>2-s2.0-84944978827</t>
  </si>
  <si>
    <t>['¬© 1985', 'viable tools', 'surface panels', 'surface distortions', 'simulated far', 'rights reserved', 'reflector antennas', 'reference antenna', 'recent measurement', 'random distortions', 'model based', 'induced current', 'illumination tapers', 'function related', 'field patterns', 'field pattern', 'far field', 'etc .,', 'emphasis given', 'displaced panels', 'curved reflector', 'critically examine', 'also presented', 'also examined']</t>
  </si>
  <si>
    <t>The performance of large reflector antennas can be improved by identifying the location and amount of their surface distortions and then by correcting them. Microwave holography techniques are finding considerable applications as viable tools for performing this task. In these techniques, the complex (amplitude and phase) far-field pattern of the antenna is measured, using a reference antenna. Then, the Fourier transform relationship, which exists between the far field and a function related to the induced current, is invoked to result in the identification of the surface distortions. To critically examine the accuracy of the constructed surface profiles simulation studies are required to incorporate both the effects of systematic and random distortions, particularly the effects of the displaced surface panels. In this paper, different simulation models are investigated with emphasis given to a model based on the vector diffraction analysis of a curved reflector with displaced panels. The simulated far-field patterns are then used to reconstruct the location and amount of displacement of the surface panels by employing a fast Fourier transform (FFT)/iterative procedure. The sensitivity of the microwave holography technique based on the number of far-field sampled points, level of distortions, polarizations, illumination tapers, etc., is also examined. In addition, the relationships between Az-El and u- spaces are addressed in the Appendix. Most of the data are tailored to the dimensions of the NASA/JPL Deep Space Network (DSN) 64-m reflector antennas for which the result of a recent measurement is also presented. ¬© 1985, IEEE. All rights reserved.</t>
  </si>
  <si>
    <t>1194-1203</t>
  </si>
  <si>
    <t>Rahmat-Samii, Yahya</t>
  </si>
  <si>
    <t>Microwave Holography of Large Reflector Antennas‚ÄîSimulation Algorithms</t>
  </si>
  <si>
    <t>10.1109/TAP.1985.1143515</t>
  </si>
  <si>
    <t>2-s2.0-84944986373</t>
  </si>
  <si>
    <t>['waveguide transition', 'tie antenna', 'series resistance', 'rf showed', 'mixer circuit', 'integrated bow', 'fabricated using', 'developed using', '30 ghz', '1 ghz', '025 pf']</t>
  </si>
  <si>
    <t>This paper will describe a 30-GHz monolithic low-noise balanced mixer which has been developed using an integrated bow-tie antenna to waveguide transition and low parasitic Mott diodes. The diodes and mixer circuit were developed using MBE material and were fabricated using a plated airbridge technology. Measurements on the diode at dc and RF showed that the zero bias junction capacitance was 0.025 pF and the series resistance was 10 Œ©. A mixer conversion loss of 6 (dB was measured at 30 GHz with an IF of 1 GHz. ¬© 1985 IEEE</t>
  </si>
  <si>
    <t>1603-1610</t>
  </si>
  <si>
    <t>60015623-60025778;60015623;60015623;60015623;60015623</t>
  </si>
  <si>
    <t>7201759790;7005340022;7401949847;56782563200;7406998119</t>
  </si>
  <si>
    <t>Nightingale, Stephen J.;Upton, M. Alastair G.;Mitchell, Bruce K.;Palamateer, Susan C.;Smith, Phillip M.</t>
  </si>
  <si>
    <t>A 30-GHz Monolithic Single Balanced Mixer with Integrated Dipole Receiving Element</t>
  </si>
  <si>
    <t>10.1109/TMTT.1985.1133264</t>
  </si>
  <si>
    <t>2-s2.0-84948612457</t>
  </si>
  <si>
    <t>['wave antenna', 'slow waves', 'plasma heating', 'icrf power', 'highly efficient', 'heuristic model', 'finite temperature', 'fast waves', 'coupling scheme', 'complemented quantitatively', 'briefly discussed', 'antenna power']</t>
  </si>
  <si>
    <t>The coupling of ICRF power from a slow-wave antenna to a plasma with finite temperature is examined. A heuristic model, allowing explicit representations of ion Bernstein waves, fast waves and slow waves, is used to clarify how the antenna power is partitioned into the various wave energy fluxes. This model is complemented quantitatively by a more elaborate and realistic computer model. It is shown that such antennas can be highly efficient in transferring most of the antenna power directly to ion Bernstein waves, with only a very small fraction going into fast waves. The potentiality of this coupling scheme for plasma heating in ICRF is briefly discussed. ¬© 1985 IOP Publishing Ltd.</t>
  </si>
  <si>
    <t>795-803</t>
  </si>
  <si>
    <t>60023147;60000264;60000264;60023147;60000264</t>
  </si>
  <si>
    <t>22999053900;7202492500;7007043532;7005509402;7102200764</t>
  </si>
  <si>
    <t>Sy, W. N.;Amano, T.;Ando, R.;Fukuyama, A.;Watari, T.</t>
  </si>
  <si>
    <t>Okayama;Nagoya</t>
  </si>
  <si>
    <t>Okayama University;Nagoya University</t>
  </si>
  <si>
    <t>60023147;60000264</t>
  </si>
  <si>
    <t>Sy W.N.</t>
  </si>
  <si>
    <t>Slow-wave antenna coupling to ion bernstein waves for plasma heating in icrf</t>
  </si>
  <si>
    <t>10.1088/0029-5515/25/7/004</t>
  </si>
  <si>
    <t>2-s2.0-84956247211</t>
  </si>
  <si>
    <t>['thereby generating', 'surface plasmons', 'small area', 'sample surface', 'particle serves', 'optical probe', 'new concept', 'harmonic spectrum', 'field extends', 'field confinement', 'diffraction effects', 'also applicable']</t>
  </si>
  <si>
    <t>A new concept is proposed for an optical probe with spatial resolution unlimited by diffraction effects. It is based on optical-field confinement by surface plasmons of a submicromefer-sized metal particle. The particle serves as an antenna that receives an incoming electromagnetic field. The field extends to a nearby sample surface and interacts with a small area on that surface through the nonlinear susceptibility tensors. The induced sample polarization is reradiated by the particle, thereby generating a Raman, a tw'o-photon, or a second-harmonic spectrum. Microscopy is performed by rastering the position of the metal particl√© over the sample surface. Spatial resolution approaching 1 nm is projected. The concept is also applicable to submicrometer optical lithography and ultrahigh- density optical recording. ¬© 1985 Optical Society of America.</t>
  </si>
  <si>
    <t>1538-1541</t>
  </si>
  <si>
    <t>Journal of the Optical Society of America B: Optical Physics</t>
  </si>
  <si>
    <t>Wessel, John</t>
  </si>
  <si>
    <t>Wessel J.</t>
  </si>
  <si>
    <t>Surface-enhanced optical microscopy</t>
  </si>
  <si>
    <t>10.1364/JOSAB.2.001538</t>
  </si>
  <si>
    <t>2-s2.0-84975646107</t>
  </si>
  <si>
    <t>['wide bandwidth', 'speech encoding', 'signal classification', 'path architectures', 'paper reviews', 'noise rejection', 'common framework', 'channel equalization', 'adaptive control']</t>
  </si>
  <si>
    <t>Adaptive linear predictors have found important application in channel equalization, source redundancy removal, speech encoding and analysis, interference and noise rejection, signal classification, adaptive control, and adaptive antenna systems. In an effort to provide adaptive linear predictors of wide bandwidth, several optical implementations have been proposed. This paper reviews and analyzes the existing optical architectures, putting them in a common framework. Four new common-path architectures are proposed and compared with the others. ¬© 1985 Optical Society of America.</t>
  </si>
  <si>
    <t>4247-4259</t>
  </si>
  <si>
    <t>1559128X</t>
  </si>
  <si>
    <t>Applied Optics</t>
  </si>
  <si>
    <t>Cohen, Jonathan D.</t>
  </si>
  <si>
    <t>United States Department of Defense</t>
  </si>
  <si>
    <t>Cohen J.</t>
  </si>
  <si>
    <t>Optical adaptive linear predictors</t>
  </si>
  <si>
    <t>10.1364/AO.24.004247</t>
  </si>
  <si>
    <t>2-s2.0-84975655095</t>
  </si>
  <si>
    <t>['wiley blackwell', 'rights reserved', 'mental size', 'head pigmentation', 'epipharyngeal teeth', 'chironomus meigen', 'abstract variation']</t>
  </si>
  <si>
    <t>Abstract Variation in the morphology of larvae of twenty‚Äêsix cytologically identified species of Chironomus Meigen from Europe is described. Characters studied include tubules on posterior abdominal segments, head pigmentation, mental size and teeth, mandibular and epipharyngeal teeth and antennae. A key to the species, based on these characters and ventromental plate features, is presented. Copyright ¬© 1985, Wiley Blackwell. All rights reserved</t>
  </si>
  <si>
    <t>353-372</t>
  </si>
  <si>
    <t>Systematic Entomology</t>
  </si>
  <si>
    <t>60020650;60020486</t>
  </si>
  <si>
    <t>24385101400;7006982528</t>
  </si>
  <si>
    <t>WEBB, C. J.;SCHOLL, A.</t>
  </si>
  <si>
    <t>United Kingdom;Switzerland</t>
  </si>
  <si>
    <t>Bristol;Bern</t>
  </si>
  <si>
    <t>University of Bristol;University of Bern</t>
  </si>
  <si>
    <t>WEBB C.</t>
  </si>
  <si>
    <t>Identification of larvae of European species of Chironomus Meigen (Diptera: Chironomidae) by morphological characters</t>
  </si>
  <si>
    <t>10.1111/j.1365-3113.1985.tb00143.x</t>
  </si>
  <si>
    <t>2-s2.0-84981611065</t>
  </si>
  <si>
    <t>['wiley company', 'satellite network', 'modular antenna', 'innovative monitor', 'inc .,', 'feed subsystem', 'control functions', '56 kb']</t>
  </si>
  <si>
    <t>Digital network | Ku‚Äêband</t>
  </si>
  <si>
    <t>A nation‚Äêwide data communications service is being placed in service by a major telecommunications carrier. This service will rely on a satellite network being provided and installed by Harris Satellite Communications Corporation. The network supports information data rates from 56 kb/s to 2¬∑048 Mb/s. This data communications network has been architectured to include a number of innovative monitor and control functions, up‚Äêlink power control, modular equipment shelter design and a modular antenna/feed subsystem. This paper will detail this application. Copyright ¬© 1985 Wiley Periodicals, Inc., A Wiley Company</t>
  </si>
  <si>
    <t>221-228</t>
  </si>
  <si>
    <t>International Journal of Satellite Communications</t>
  </si>
  <si>
    <t>July/September 1985</t>
  </si>
  <si>
    <t>McGann, W. E.</t>
  </si>
  <si>
    <t>Harris Corporation</t>
  </si>
  <si>
    <t>McGann W.</t>
  </si>
  <si>
    <t>Ku‚Äêband satellite digital transmission systems</t>
  </si>
  <si>
    <t>10.1002/sat.4600030305</t>
  </si>
  <si>
    <t>2-s2.0-84981624987</t>
  </si>
  <si>
    <t>['supergroup interface', 'paper describes', 'maintenance centre', 'currently installing', 'central location']</t>
  </si>
  <si>
    <t>DSI | INTELSAT | Operations and maintenance | TDMA | Traffic terminal</t>
  </si>
  <si>
    <t>COMSAT has installed two traffic terminals in the Etam earth‚Äêstation and is currently installing a third in the new Roaring Creek earth‚Äêstation to access the INTELSAT TDMA network. This paper describes the COMSAT TDMA traffic terminal equipment from the supergroup interface to the antenna. COMSAT's 1: N redundancy approach for terrestrial interface equipment and DSI unit back‚Äêup is described as well as electrical path length, amplitude and group delay equalization techniques, special on‚Äêline RF monitoring and failure reporting facilities and the operation and maintenance centre which can operate and perform diagnostic testing on up to four traffic terminals from a central location. Copyright ¬© 1985 John Wiley &amp; Sons, Ltd.</t>
  </si>
  <si>
    <t>15-25</t>
  </si>
  <si>
    <t>January ‚Äê June 1985</t>
  </si>
  <si>
    <t>100328195;100328195</t>
  </si>
  <si>
    <t>57190613037;57190612149</t>
  </si>
  <si>
    <t>Benjamin, Melvin C.;Bogaert, Winston M.</t>
  </si>
  <si>
    <t>Washington</t>
  </si>
  <si>
    <t>COMSAT</t>
  </si>
  <si>
    <t>Benjamin M.</t>
  </si>
  <si>
    <t>Comsat's tdma traffic terminal</t>
  </si>
  <si>
    <t>10.1002/sat.4600030106</t>
  </si>
  <si>
    <t>2-s2.0-84981642739</t>
  </si>
  <si>
    <t>['wiley blackwell', 'trichoid types', 'styloconic sensilla', 'six types', 'sensilla chaetica', 'segment 3', 'rights reserved', 'morphological characteristics']</t>
  </si>
  <si>
    <t>Six types of sensilla were identified on the antennae of male and female Dacus tryoni with scanning electron microscopy: sensilla chaetica were restricted to the scape and pedicel; trichoid types I and II, basiconic, clavate and styloconic sensilla were restricted to segment 3. Their morphological characteristics and distributions are described. Copyright ¬© 1985, Wiley Blackwell. All rights reserved</t>
  </si>
  <si>
    <t>31-35</t>
  </si>
  <si>
    <t>Australian Journal of Entomology</t>
  </si>
  <si>
    <t>60025709;60029470</t>
  </si>
  <si>
    <t>6507181932;7102646231</t>
  </si>
  <si>
    <t>Giannakakis, A.;Fletcher, B. S.</t>
  </si>
  <si>
    <t>Melbourne;Sydney</t>
  </si>
  <si>
    <t>Commonwealth Scientific and Industrial Research Organization;The University of Sydney</t>
  </si>
  <si>
    <t>60029470;60025709</t>
  </si>
  <si>
    <t>Giannakakis A.</t>
  </si>
  <si>
    <t>MORPHOLOGY AND DISTRIBUTION OF ANTENNAL SENSILLA OF DACUS TRYONI (FROGGATT) (DIPTERA: TEPHRITIDAE)</t>
  </si>
  <si>
    <t>10.1111/j.1440-6055.1985.tb00180.x</t>
  </si>
  <si>
    <t>2-s2.0-84981856610</t>
  </si>
  <si>
    <t>['wire elements', 'wiley company', 'wide range', 'theoretical calculations', 'straight lines', 'simultaneous equations', 'rotating direction', 'present theory', 'inc .,', 'found useful', 'found sufficient', 'experimental results', 'envelope length', 'conductor separated', '50 œâ', '16 elements']</t>
  </si>
  <si>
    <t>A monopole antenna consisting of a body of revolution is given by a set of simultaneous equations on the rotationally symmetric surface current of a conductor separated with respect to the variable of the envelope length on the surface of the body of revolution and the variable in the rotating direction. The structure is analyzed in detail by means of an extended moment method based on the present theory. As an application, this analysis is applied to a conical monopole antenna. Studies are performed to find body shapes providing broadband characteristics. It is found that antennas with cross sections approximated by straight lines, ellipses and circles have an impedance of 50 œâ over a wide range of frequency. When these shapes are replaced with wire elements for analysis, 16 elements are found sufficient to provide the characteristics for the bodies of revolution. Theoretical calculations and experimental results are compared. Agreement is excellent and the method is found useful. Copyright ¬© 1985 Wiley Periodicals, Inc., A Wiley Company</t>
  </si>
  <si>
    <t>91-101</t>
  </si>
  <si>
    <t>60002784;60002784;60002784</t>
  </si>
  <si>
    <t>7202484181;7103403544;57190921634</t>
  </si>
  <si>
    <t>Kawakami, Haruo;Sato, Gentei;Harada, Hisashi</t>
  </si>
  <si>
    <t>Sophia University</t>
  </si>
  <si>
    <t>Kawakami H.</t>
  </si>
  <si>
    <t>Broadband characteristics of bodies of revolution</t>
  </si>
  <si>
    <t>10.1002/ecja.4410680212</t>
  </si>
  <si>
    <t>2-s2.0-84984321324</t>
  </si>
  <si>
    <t>['wiley company', 'warm plasma', 'triangular shape', 'sleeve length', 'plasma wavelength', 'plasma frequency', 'oscillatory component', 'length almost', 'landau damping', 'input impedance', 'inc .,', 'frequency region', 'external conductor', 'debye length', 'current distribution', 'coaxial feeder']</t>
  </si>
  <si>
    <t>A sleeve monopole antenna in a warm plasma with length almost the plasma wavelength has been analyzed in the frequency region where electron plasma waves exist. The current distribution and the input impedance have been obtained. When Landau damping is not considered, the current distribution is similar to that for a dipole and oscillates violently near the plasma frequency. It approaches a triangular shape as the frequency is increased. The input impedance varies considerably near the plasma frequency depending on the sleeve length. On the other hand, if Landau damping is taken into account, the amplitude of the oscillatory component of the current distribution becomes extremely small. For the input impedance, the effect of the sleeve beyond 25 times the Debye length can be neglected. This result agreed well with the measured input impedance values. It is found that the sleeve as the external conductor of the coaxial feeder has the effect of reducing the input impedance. Copyright ¬© 1985 Wiley Periodicals, Inc., A Wiley Company</t>
  </si>
  <si>
    <t>83-89</t>
  </si>
  <si>
    <t>7402316805;57190925705</t>
  </si>
  <si>
    <t>Morita, Yuzuru;Members, Shigeru Egashira, Regular</t>
  </si>
  <si>
    <t>Morita Y.</t>
  </si>
  <si>
    <t>The sleeve monopole antenna in a warm plasma</t>
  </si>
  <si>
    <t>10.1002/ecja.4410680310</t>
  </si>
  <si>
    <t>2-s2.0-84984373452</t>
  </si>
  <si>
    <t>['using measurements', 'signals received', 'relative phase', 'one instance', 'found possible', 'expected increase', 'decreasing frequency', 'copyright 1985', 'akr source']</t>
  </si>
  <si>
    <t>In addition to its wave rotation sense, the direction of auroral kilometric radiation (AKR) can also be measured with the plasma wave Instrument on Dynamics Explorer 1, from the relative phase of the signals received by its orthogonal electric dipole antennas. By this method, which differs in principle from the previous spin‚Äênull method for measuring wave directions, it has been found possible to pinpoint the AKR source by triangulation, using measurements from different points along the DE‚Äê1 orbit. The resulting apparent source, in one instance, seemed to occupy a well‚Äêdefined auroral‚Äêzone invariant magnetic latitude and showed the expected increase of altitude with decreasing frequency. An analysis of the method also confirmed the validity of the previous rotation sense measurements. Copyright 1985 by the American Geophysical Union.</t>
  </si>
  <si>
    <t>381-384</t>
  </si>
  <si>
    <t>Geophysical Research Letters</t>
  </si>
  <si>
    <t>Calvert, W.</t>
  </si>
  <si>
    <t>Calvert W.</t>
  </si>
  <si>
    <t>DE‚Äê1 measurements of AKR wave directions</t>
  </si>
  <si>
    <t>10.1029/GL012i006p00381</t>
  </si>
  <si>
    <t>2-s2.0-84984516710</t>
  </si>
  <si>
    <t>['ventral edges', 'type material', 'two species', 'two setae', 'trunk limbs', 'three long', 'swimming antennae', 'small setulae', 'sididae family', 'shell valves', 'sarsilatona structure', 'sarsilatona papuana', 'sarsilatona gen', 'sars 1901', 'posterior edges', 'postabdominal claws', 'original clusters', 'new species', 'new genus', 'morphological aspects', 'high body', 'dorsal side', 'different populations', 'detailed redescription', 'daday 1900', 'anal teeth']</t>
  </si>
  <si>
    <t>Brazil | Cladocera | New Guinea | Sarsilatona gen. nov. | Sididae</t>
  </si>
  <si>
    <t>Studies of the type material of two Cladocera species belonging to the Sididae family, Pseudosida papuana Daday 1900 and Latonopsis serricauda Sars 1901, have revealed that they belong to a new genus of the family, Sarsilatona gen. nov. Its members are characterized by a high body and head with an eye located closer to its dorsal side, relatively short antennulae, the presence of hooks on the ends of two setae of the swimming antennae, only small setulae or denticles on the ventral edges of the shell valves, two long unfeathered setae and original clusters of spinules on the posterior edges of the valves, postabdominal claws with three long and thin basal spines and the postabdomen with clusters of anal teeth. These two species are compared with members of their closest genera Latona, Latonopsis, Pseudosida. A detailed redescription and comparison of the structure of Sarsilatona papuana (Daday 1900) comb. nov. and S. serricauda (Sars 1901) comb. nov. from different populations have been made. In the latter species maxillulae, maxillae and trunk limbs have been described. A new species of the indicated genus‚ÄìSarsilatona behningi gen. nov. sp. nov.‚Äìfrom a lake in the Amazon River basin in Brazil has been described. The functional and morphological aspects of Sarsilatona structure are discussed. Copyright ¬© 1985 WILEY‚ÄêVCH Verlag GmbH &amp; Co. KGaA, Weinheim</t>
  </si>
  <si>
    <t>397-425</t>
  </si>
  <si>
    <t>Internationale Revue der gesamten Hydrobiologie und Hydrographie</t>
  </si>
  <si>
    <t>Korovchinsky, N. M.</t>
  </si>
  <si>
    <t>Russian Federation</t>
  </si>
  <si>
    <t>Moscow</t>
  </si>
  <si>
    <t>Severtsov Institute of Evolutionary Morphology and Ecology of Animals</t>
  </si>
  <si>
    <t>Korovchinsky N.</t>
  </si>
  <si>
    <t>Sarsilatona, a New Genus of the Family Sididae (Crustacea, Cladocera) with Two Redescribed Species and One New Species</t>
  </si>
  <si>
    <t>10.1002/iroh.19850700311</t>
  </si>
  <si>
    <t>2-s2.0-84985167693</t>
  </si>
  <si>
    <t>['wiley blackwell', 'thus considered', 'spectral interval', 'rights reserved', 'preferentially associated', 'photosystem ii', 'photosynthetic effectiveness', 'photosynthetic apparatus', 'photon capture', 'marine environment', 'marine coccolithophorid', 'major carotenoid', 'lohm .)', 'high throughout', 'emiliania huxleyi', 'cell absorbance', 'action spectra']</t>
  </si>
  <si>
    <t>19‚Ä≤ hexanoyloxyfucoxanthin | action spectrum | antenna pigment | Emiliania (Coccolithus) huxleyi | photosynthesis</t>
  </si>
  <si>
    <t>Action spectra for modulated O2 production were compared with cell absorbance in Emiliania huxleyi (Lohm.) Hay and Mohler, a marine coccolithophorid in which 19‚Ä≤ hexanoytoxyfucoxanthin is the major carotenoid of the photosynthetic apparatus, Photosynthetic effectiveness (action/absorption) was high throughout the spectral interval, 500‚Äì550 nm, where 19‚Ä≤ hexanoyloxyfucoxanthin accounted for most of the photon capture. 19‚Ä≤ hexanoyloxyfucoxanthin is thus considered to be an efficient antenna pigment for photosynthesis and to be preferentially associated with photosystem II. It may be a quantitatively significant light harvesting pigment for some algae of the marine environment. Copyright ¬© 1985, Wiley Blackwell. All rights reserved</t>
  </si>
  <si>
    <t>282-287</t>
  </si>
  <si>
    <t>Journal of Phycology</t>
  </si>
  <si>
    <t>Haxo, Francis T.</t>
  </si>
  <si>
    <t>Marine Biology Research Division</t>
  </si>
  <si>
    <t>Haxo F.</t>
  </si>
  <si>
    <t>PHOTOSYNTHETIC ACTION SPECTRUM OF THE COCCOLITHOPHORID, EMILIANIA HUXLEYI (HAPTOPHYCEAE): 19‚Ä≤ HEXANOYLOXYFUCOXANTHIN AS ANTENNA PIGMENT</t>
  </si>
  <si>
    <t>10.1111/j.0022-3646.1985.00282.x</t>
  </si>
  <si>
    <t>2-s2.0-84985231188</t>
  </si>
  <si>
    <t>['zoological society', 'westwood ),', 'weakness following', 'three thripids', 'still enclosed', 'schrank ).', 'pronotum split', 'peristaltic movements', 'pattern left', 'oviposition hole', 'left poking', 'larva emerged', 'kakothrips pisivorus', 'hatching spines', 'haplothrips leucanthemi', 'frankliniella fusca', 'follicle cells', 'embryonic cuticle', 'distinct lids', 'distinct lid']</t>
  </si>
  <si>
    <t>The hatching of eggs of thrips (Insecta: Thysanoptera) was investigated for three thripids, Thrips tabuci Lindeman, Frankliniella fusca (Hinds) and Kakothrips pisivorus (Westwood), and for a phlaeothripid, Haplothrips leucanthemi (Schrank). An embryonic cuticle with hatching spines was found in these thripids, and distinct lids were discovered on eggs of the first two species of thripid. At least one species of phlaeothripid lacks hatching spines. Haplothrips leucanthemi eggs did not have a distinct lid; the eggs split along lines of weakness following the pattern left by the follicle cells. Kakothrips pisivorus was observed and photographed during hatching. The larva emerged most of the way out of the egg while still enclosed in embryonic cuticle. Expansion and contraction of the pronotum split the embryonic cuticle, which was then forced down to the tip of the abdomen by peristaltic movements, freeing in turn the antennae and legs. The embryonic cuticle was left poking out of the oviposition hole. 1985 The Zoological Society of London</t>
  </si>
  <si>
    <t>181-190</t>
  </si>
  <si>
    <t>Journal of Zoology</t>
  </si>
  <si>
    <t>Kirk, W. D.J.</t>
  </si>
  <si>
    <t>Kirk W.</t>
  </si>
  <si>
    <t>Egg‚Äêhatching in thrips (Insecta: Thysanoptera)</t>
  </si>
  <si>
    <t>10.1111/j.1469-7998.1985.tb04922.x</t>
  </si>
  <si>
    <t>2-s2.0-84985407361</t>
  </si>
  <si>
    <t>['wall consists', 'wall cells', 'typical arrangement', 'transverse muscle', 'thick layer', 'produced passively', 'polar organization', 'periplaneta americana', 'organ consists', 'opening near', 'large number', 'hemolymph entering', 'growing antenna', 'electron microscopy', 'collagen fibrils', 'caused simultaneously', 'blaberus craniifer', 'basal infoldings', 'antennal heart', 'antennal base', 'antennal apex']</t>
  </si>
  <si>
    <t>The antennal circulatory organ of Periplaneta americana and Blaberus craniifer was investigated by light and electron microscopy. This organ consists of two pulsatile ampullae located near the antennal base which are interconnected by a large transverse muscle and associated blood vessels which run into the antennae. Diastole is caused simultaneously in both ampullae by the transverse muscle. Systole is produced passively by the elasticity of the wall of the ampullae and minute accessory tendons. Both elastic structures contain fine unbanded extracellular filaments. The antennal vessels possess two distinct regions: a proximal convoluted region lying within the hemocoel of the head and a narrower distal region running through the antenna and opening near the antennal apex. The length of the proximal portion increases markedly during ontogeny in correlation with the growing antenna. Its wall consists of a high‚Äêprismatic epithelium ensheathed by a thick layer of collagen fibrils. The structure of the wall cells is comparable to that found in some salt transporting epithelia: it shows a polar organization with basal infoldings, a large number of mitochondria, and typical arrangement of the junctions or mitochondrial‚Äêscalariform junctional complexes. The possible physiological function of this epithelium in ionic or osmoregulation of the hemolymph entering the antenna is discussed. The wall of the distal vessel region consists of a flat single‚Äêlayered epithelium and seems to be specialized only for delivery of hemolymph to antennae. The structure and function of the antennal heart in cockroaches is compared to that found in other insects. Copyright ¬© 1985 Wiley‚ÄêLiss, Inc.</t>
  </si>
  <si>
    <t>255-268</t>
  </si>
  <si>
    <t>Pass, G√ºnther</t>
  </si>
  <si>
    <t>Austria</t>
  </si>
  <si>
    <t>Vienna</t>
  </si>
  <si>
    <t>Universit√§t Wien</t>
  </si>
  <si>
    <t>Pass G.</t>
  </si>
  <si>
    <t>Gross and fine structure of the antennal circulatory organ in cockroaches (Blattodea, Insecta)</t>
  </si>
  <si>
    <t>10.1002/jmor.1051850210</t>
  </si>
  <si>
    <t>2-s2.0-84986685426</t>
  </si>
  <si>
    <t>['volumetric alterations', 'unbranched dendrites', 'two dendrites', 'three neurons', 'structural similarities', 'sheath contains', 'sensillum appears', 'process leads', 'pit surrounded', 'peg tip', 'peg lumen', 'overlying outlets', 'material radiate', 'large number', 'known function', 'inner aspect', 'inflexible sockets', 'hygrosensilla responding', 'filamentous extensions', 'dentritic sheath', 'dendritic sheath', 'dendrites within']</t>
  </si>
  <si>
    <t>At least five nonporous sensilla with inflexible sockets (npsensilla) occur on each antenna of both sexes of adult Rhodnius prolixus. Externally the sensillum appears as a short, rounded peg set into a pit surrounded by a depression. A very electron‚Äêdense material occurs in the peg lumen and the inner aspect of the pit. Filamentous extensions of this material radiate into the overlying outlets. Each sensillum is innervated by three neurons with unbranched dendrites. Two dendrites extend to the peg tip and distally are covered by a dendritic sheath. The portion of these dendrites within the sheath contains a large number of microtubules. The third dendrite terminates near the base of the dentritic sheath and partially wraps around the other two dendrites. Three sheath cells are associated with each sensillum. Based on similarities in structure with sensilla of known function it is probable that the np‚Äêsensilla of R. prolixus are thermo‚Äê/hygrosensilla responding to cold, dryness and wetness. The sensilla have a number of structural similarities with insect rectal sheath cells known to absorb atmospheric water by electroosmosis. Possibly this process leads to volumetric alterations of cuticular elements associated with the dendrites and ultimately to mechanotransduction. Copyright ¬© 1985 Wiley‚ÄêLiss, Inc.</t>
  </si>
  <si>
    <t>15-23</t>
  </si>
  <si>
    <t>7004055931;24497665200</t>
  </si>
  <si>
    <t>McIver, Susan;Siemicki, Roman</t>
  </si>
  <si>
    <t>McIver S.</t>
  </si>
  <si>
    <t>Fine structure of antennal putative thermo‚Äê/hygrosensilla of adult Rhodnius prolixus St√•l (Hemiptera: Reduviidae)</t>
  </si>
  <si>
    <t>10.1002/jmor.1051830103</t>
  </si>
  <si>
    <t>2-s2.0-84986691103</t>
  </si>
  <si>
    <t>['‚ äê1', 'wiley blackwell', 'system excitation', 'rights reserved', 'picosecond pulse', 'photosynthesizing systems', 'occur upon', 'obtained values', 'nonstationary character', 'excitation capturing', 'diffusion parameters', 'also shown']</t>
  </si>
  <si>
    <t>Abstract‚Äî The technique for the determination of diffusion parameters on the basis of nonlinear fluorescence quenching and excitation energy capturing by the traps is discussed. The nonstationary character of the processes of excitation capturing by traps and of singlet‚Äêsinglet annihilation which occur upon the system excitation by a picosecond pulse is taken into account. The obtained values of the diffusion parameters in the artificial pigment‚Äêpolymer antenna system (the diffusion coefficient ‚àº 10‚Äê2 cm2 s‚Äê1 and the diffusion length ‚àº 500 √Ö) are close to those in the photosynthesizing systems. It is also shown that the method of the determination of diffusion parameters on the basis of excitation capturing by the reaction centres may be applied for the study of the native photosynthetic systems. Copyright ¬© 1985, Wiley Blackwell. All rights reserved</t>
  </si>
  <si>
    <t>77-87</t>
  </si>
  <si>
    <t>Photochemistry and Photobiology</t>
  </si>
  <si>
    <t>60007457;60007457;60007457;60007457</t>
  </si>
  <si>
    <t>7201363256;6505925724;6602105730;24396942800</t>
  </si>
  <si>
    <t>Rubin, L. B.;Braginskaya, O. V.;Isakova, M. L.;Efremov, N. A.</t>
  </si>
  <si>
    <t>Lomonosov Moscow State University</t>
  </si>
  <si>
    <t>Rubin L.</t>
  </si>
  <si>
    <t>INVESTIGATION OF MIGRATION PARAMETERS OF ELECTRON EXCITATION ENERGY IN PHOTOSYNTHETIC and ARTIFICIAL SYSTEMS</t>
  </si>
  <si>
    <t>10.1111/j.1751-1097.1985.tb03550.x</t>
  </si>
  <si>
    <t>2-s2.0-84989693705</t>
  </si>
  <si>
    <t>['wiley blackwell', 'vivo state', 'rights reserved', 'rhodopseudomonas sphaeroides', 'protein environment', 'previous study', 'much changed', 'low content', 'isolated complex', 'important result', 'fluorescence lifetime', 'data suggest', 'constraints imposed', 'b875 antenna', 'also carried', '03 ns']</t>
  </si>
  <si>
    <t>Abstract‚Äî We describe a procedure of purification of the B875 antenna complex isolated from the 3P17 mutant strain of Rhodopseudomonas sphaeroides, enriched in B875. The integrity of this isolated complex, as well as a very low content of residual B800‚Äê850 antenna, was suggested from low temperature absorption and resonance Raman spectra. Time resolved experiments were also carried out. The important result is the identity of the fluorescence lifetime of the B875 isolated complex (0.64 ¬± 0.03 ns) with that of the B875 antenna in vivo (0.63 ns), in the membrane of the C71 reaction center‚Äêless mutant of Rhodopseudomonas sphaeroides, measured in our previous study. Our data suggest that the interactions between the bacteriochlorophylls of the complex, as well as the constraints imposed by their protein environment are not much changed from the in vivo state. Copyright ¬© 1985, Wiley Blackwell. All rights reserved</t>
  </si>
  <si>
    <t>573-578</t>
  </si>
  <si>
    <t>60008134;60019615;60008134</t>
  </si>
  <si>
    <t>7004140450;7103125115;7801430388</t>
  </si>
  <si>
    <t>Sebban, Pierre;Robert, Bruno;Jolchine, Genevi√®ve</t>
  </si>
  <si>
    <t>CEA Saclay;CNRS Centre National de la Recherche Scientifique</t>
  </si>
  <si>
    <t>60019615;60008134</t>
  </si>
  <si>
    <t>ISOLATION and SPECTROSCOPIC CHARACTERIZATION OF THE B875 ANTENNA COMPLEX OF A MUTANT OF Rhodopseudomonas sphaeroides</t>
  </si>
  <si>
    <t>10.1111/j.1751-1097.1985.tb01612.x</t>
  </si>
  <si>
    <t>2-s2.0-84989715098</t>
  </si>
  <si>
    <t>['àú50 %)', 'wiley blackwell', 'wavelength range', 'variable hyperchromism', 'secondary structure', 'rights reserved', 'primary structures', 'large amount', 'exciton coupling', 'different degrees', 'cd spectrum', 'cd spectra', 'case except', 'bacteriochlorophyll qy', 'b ).', 'antenna complexes', 'antenna complex', '930 nm', '250 nm']</t>
  </si>
  <si>
    <t>Abstract‚Äî The CD spectra of a range of antenna complexes from several different species of purple photosynthetic bacteria were recorded in the wavelength range of 190 to 930 nm. Analysis of the far UV CD (190 to 250 nm) showed that in each case except for the B800‚Äê850 from Chr. vinosum the secondary structure of the light‚Äêharvesting complexes contains a large amount of Œ±‚Äêhelix (Àú50%) and very little 0‚Äêpleated sheet. This confirms the predictions of the group of Zuber of a high a‚Äêhelical content based upon consideration of the primary structures of several antenna apoproteins. The CD spectra from the carotenoids and the bacteriochlorophylls show considerable variations depending upon the type of antenna complex. The different amplitude ratios in the CD spectrum for the bacteriochlorophyll Qy, Qx and Soret bands indicate not only different degrees of exciton coupling, but also a strong and variable hyperchromism (Scherz and Parson, 1984a, b). Copyright ¬© 1985, Wiley Blackwell. All rights reserved</t>
  </si>
  <si>
    <t>669-678</t>
  </si>
  <si>
    <t>60001490;60028717</t>
  </si>
  <si>
    <t>7006465617;57216047370</t>
  </si>
  <si>
    <t>Cogdell, Richard J.;Scheer, Hugo</t>
  </si>
  <si>
    <t>Germany;United Kingdom</t>
  </si>
  <si>
    <t>Munich;Glasgow</t>
  </si>
  <si>
    <t>Ludwig-Maximilians-Universit√§t M√ºnchen;University of Glasgow</t>
  </si>
  <si>
    <t>60028717;60001490</t>
  </si>
  <si>
    <t>Cogdell R.J.</t>
  </si>
  <si>
    <t>CIRCULAR DICHROISM OF LIGHT‚ÄêHARVESTING COMPLEXES FROM PURPLE PHOTOSYNTHETIC BACTERIA</t>
  </si>
  <si>
    <t>10.1111/j.1751-1097.1985.tb01629.x</t>
  </si>
  <si>
    <t>2-s2.0-84989741986</t>
  </si>
  <si>
    <t>ECS-8119598</t>
  </si>
  <si>
    <t>['usually specified', 'spacecraft missions', 'shape control', 'rms contribution', 'rights reserved', 'procedure serves', 'power required', 'performance requirements', 'output variables', 'output costs', 'mission requirements', 'linear controller', 'limited actuators', 'input costs', 'inc .,', 'important feature', 'flexible structures', 'actuator sizing']</t>
  </si>
  <si>
    <t>The performance requirements of spacecraft missions are usually specified in terms of root-mean-squared (rms) values on both the input and output variables. The rms contribution of each input or output in the overall system performance metric is called the "input" or "output" cost. A technique is derived that allows a linear controller to assign each of the multi-input or output costs. The procedure is illustrated by the design and shape control for NASA's 64-m Hoop-Column Antenna subject to power-limited actuators. By assigning only the output costs rather than the input costs, the procedure serves to determine the power required of the actuators (required input costs) to achieve the mission requirements (specified output costs). This determination of actuator sizing (and location) for the control of flexible structures is an important feature of the method. ¬© 1985 American Institute of Aeronautics and Astronautics, Inc., All rights reserved.</t>
  </si>
  <si>
    <t>454-462</t>
  </si>
  <si>
    <t>60009254-113554187;60022225</t>
  </si>
  <si>
    <t>35571022700;7003588979</t>
  </si>
  <si>
    <t>Skelton, Robert E.;Delorenzo, Michael</t>
  </si>
  <si>
    <t>Colorado Springs;West Lafayette;</t>
  </si>
  <si>
    <t>United States Air Force Academy;Purdue University;School of Aeronautics and Astronautics</t>
  </si>
  <si>
    <t>60022225;60009254;113554187</t>
  </si>
  <si>
    <t>Skelton R.</t>
  </si>
  <si>
    <t>Space structure control design by variance assignment</t>
  </si>
  <si>
    <t>10.2514/3.20005</t>
  </si>
  <si>
    <t>2-s2.0-85003396230</t>
  </si>
  <si>
    <t>['¬© 1985', 'southwestern japan', 'sided cases', 'sexes decrease', 'sand grains', 'rights reserved', 'northern japan', 'northeastern localities', 'northeastern japan', 'mountain brooks', 'male genitalia', 'leaf pieces', 'late spring', 'larvae make', 'larvae live', 'japanese society', 'head length', 'goerodes naraensis', 'geographical variation', 'generally feed', 'fourth instar', 'fifth instar', 'different localities', 'described together', 'cylindrical cases', 'also reported', 'adult varies', 'adult features']</t>
  </si>
  <si>
    <t>The female, pupa, larva and egg of Goerodes naraensis (TANI, 1971) are described together with the geographical variation in the adult features. The habitat, food, case and annual life cycle are also reported. Morphology of the adult varies in different localities, and four local types are distinguished in Japan. The head length and first segment length of antenna of both sexes decrease from southwestern to northeastern localities. The paramere and clasper of male genitalia in southwestern Japan are more protrusive and complex than those in northeastern Japan. The larvae live in mountain brooks and generally feed on allochthonous dead leaves. The larvae make their cylindrical cases of sand grains from first to fourth instar and four-sided cases of leaf pieces at fifth instar. This species has a univoltine life cycle in Sapporo, northern Japan; larvae of the new generation appear in midsummer, develop in autumn, overwinter at fifth instar, and pupate and emerge in late spring. ¬© 1985, The Japanese Society of Limnology. All rights reserved.</t>
  </si>
  <si>
    <t>315-318</t>
  </si>
  <si>
    <t>japanese journal of limnology (rikusuigaku zasshi)</t>
  </si>
  <si>
    <t>Ito, Tomiko</t>
  </si>
  <si>
    <t>Ito T.</t>
  </si>
  <si>
    <t>Description, Geographical Variation and Ecology of Goerodes naraensis (Tani) (Trichoptera, Lepidostomatidae)</t>
  </si>
  <si>
    <t>10.3739/rikusui.46.315</t>
  </si>
  <si>
    <t>2-s2.0-85004367728</t>
  </si>
  <si>
    <t>['wurden nur', 'wurde untersucht', 'weaving behaviour', 'weaver larvae', 'weaver ant', 'von dumpert', 'von c', 'third group', 'texens sind', 'soweit beobachtungen', 'silk layer', 'scale insects', 'relatively smooth', 'new type', 'nest tree', 'nest construction', 'mechanically stimulated', 'leaves outside', 'laboratory observations', 'highly differentiated', 'high density', 'ground speak', 'gombaki z', 'gombaki pavilions', 'gombaki often', 'gombaki gefunden', 'gombaki could', 'gombaki beschrieben', 'genera polyrhachis', 'front end', 'firm surface', 'finished web', 'finished pavilions', 'different manner', 'diesen pavilions', 'die webelarven', 'die frage', 'der blattunterseite', 'camponotus gombaki', 'als c', '94 c']</t>
  </si>
  <si>
    <t>The nest construction behaviour of two new Camponotus (Karavaievia) species from Malaysia, which were described by Dumpert (1985) as C. texens and C. gombaki, were examined. Both species weave silk nests, which are attached under leaves in the case of C. texens and between leaves in the case of C. gombaki. While C. texens regularly houses scale insects in its pavilions, single scale insects were found in only 3 out of 94 C. gombaki pavilions. The pavilions of C. texens have as a rule one chamber, those of C. gombaki often have several. Both Camponotus species weave their nests with the help of last instar larvae. The weaving behaviour of C. texens was examined by the evaluation of films. The weaver larvae, held by the ‚ôÄ‚ôÄ near the front end of their bodies and mechanically stimulated by their antennae, make swinging movements with their front end as they expel their silk. During the weaving sand particles, detritus and bits of plants are fetched by other ‚ôÄ‚ôÄ and built into the silk layer. A third group of ‚ôÄ‚ôÄ works on the as yet loose silk and in this way is responsible for the relatively smooth and firm surface of the finished web. Cooperative leaf pulling of ‚ôÄ‚ôÄ during nest construction was not observed. As far as observations were possible, they revealed no difference in the nest construction behaviour of C. texens and C. gombaki. Whether cooperation occurs in C. gombaki could not be elucidated. Scale insects are carried into the finished pavilions by the texens ‚ôÄ‚ôÄ. They are taken from pavilions with a high density of scale insects. Laboratory observations in which scale insects were pulled by the ‚ôÄ‚ôÄ from leaves outside of the pavilions and thrown to the ground speak for a regulation of the density of the scale insect population. In Malaysia no scale insects were found on the nest tree outside the pavilions. Apart from C. texens no other ants were found on the nest tree. C. gombaki, on the other hand, inhabited the nest tree together with ants of the genera Polyrhachis, Tetraponera, Cataulacus, and Echinopla. While the manner of nesting of Camponotus gombaki is similar to that of Polyrbachis, Camponotus texens represents a new type of weaver ant. Its territory is dominated by one‚Äêchamber pavilions. It usually houses scale insects inside the pavilions and is as highly differentiated in its nest building behaviour as Oecophylla but in a different manner. Das Nestbauverhalten von zwei neuen Camponotus (Karavaievia)‚ÄêArten aus Malaysia, von Dumpert (1985) als C. texens und C. gombaki beschrieben, wurde untersucht. Beide Arten weben Gespinstnester, die von C. texens an der Blattunterseite, von C. gombaki zwischen Bl√§tter angelegt werden. W√§hrend C. texens in ihren Pavilions regelm√§√üig Schildl√§use beherbergt, wurden nur in 3 von 94 C. gombaki‚ÄêPavillons vereinzelt Schildl√§use gefunden. Die Pavilions von C. texens sind in der Regel ein‚Äì, die von C. gombaki h√§ufiger mehrkammerig. Beide Camponotus‚ÄêArten weben ihre Gespinstnester mit Hilfe von Larven des letzten Larvenstadiums. Das Webeverhalten von C. texens wurde durch Auswertung von Filmaufnahmen genauer untersucht. Die Webelarven, die von den ‚ôÄ‚ôÄ im vorderen Teil des K√∂rpers gefa√üt und mit den Antennen mechanisch gereizt werden, f√ºhren beim Abgeben ihrer Seide pendelnde Bewegungen mit dem Vorderk√∂rper aus. W√§hrend des Webens werden von anderen ‚ôÄ‚ôÄ Sandk√∂rner, Detritus und Pflanzenteile herbeigeschafft und in die Seidenschicht eingebaut. Eine dritte Gruppe von ‚ôÄ‚ôÄ bearbeitet die noch lockere Seide und sorgt damit f√ºr die relativ glatte und feste Oberfl√§che des fertigen Gewebes. Das Heranziehen von Bl√§ttern f√ºr den Nestbau wurde nicht beobachtet. Soweit Beobachtungen m√∂glich waren, wurden keine Unterschiede im Webeverhalten zwischen C. texens und C. gombaki gefunden. Die Frage, ob auch C. gombaki Kooperation beim Bauen und beim Teilchentransport zeigt, konnte noch nicht gekl√§rt werden. In die fertigen Pavilions werden von den C. texens‚Äê‚ôÄ‚ôÄ Schildl√§use getragen, die aus Pavilions mit hoher Schildlausdichte geholt werden. F√ºr eine Regulation der Schildlausdichte durch C. texens‚Äê‚ôÄ‚ôÄ sprechen Laborbeobachtungen, nach denen Schildl√§use au√üerhalb der Pavilions von den Bl√§ttern gel√∂st und zu Boden geworfen wurden. In Malaysia wurden auf den Nestb√§umen von C. texens keine Schildl√§use au√üerhalb der Pavilions gefunden. Au√üer C. texens waren keine anderen Ameisen auf dem Nestbaum. C. gombaki dagegen lebte auf dem Nestbaum mit Ameisen der Gattungen Polyrhachis, Tetraponera, Cataulacus und Echinopla zusammen. W√§hrend die Nestbauweise von C. gombaki z. T. dem Typ von Polyrhachis entspricht, repr√§sentiert C. texens einen neuen Typ von Weberameisen, der durch zahlreiche einkammerige Pavilions sein Territorium dominiert, in diesen Pavilions in der Regel Brut und Schildl√§use beherbergt und im Nestbauverhalten ebenso differenziert ist wie Oecophylla, nur auf andere Weise. 1985 Blackwell Verlag GmbH</t>
  </si>
  <si>
    <t>237-249</t>
  </si>
  <si>
    <t>Zeitschrift f√ºr Tierpsychologie</t>
  </si>
  <si>
    <t>January‚ÄêDecember 1985</t>
  </si>
  <si>
    <t>60007762-60072511;60007762-60072511;60007762-60072511</t>
  </si>
  <si>
    <t>56265808500;6602234543;57192362759</t>
  </si>
  <si>
    <t>Maschwitz, Ulrich;Dumpert, Klaus;Schmidt, Gesche</t>
  </si>
  <si>
    <t>Frankfurt am Main;Frankfurt am Main</t>
  </si>
  <si>
    <t>Battelle-Institut;Goethe-Universit√§t Frankfurt am Main</t>
  </si>
  <si>
    <t>60072511;60007762</t>
  </si>
  <si>
    <t>Maschwitz U.</t>
  </si>
  <si>
    <t>Silk Pavilions of Two Camponotus (Karavaievia) Species from Malaysia: Description of a New Nesting Type in Ants (Formicidae: Formicinae))</t>
  </si>
  <si>
    <t>10.1111/j.1439-0310.1985.tb00149.x</t>
  </si>
  <si>
    <t>2-s2.0-85005703007</t>
  </si>
  <si>
    <t>['¬© 1985', 'time coincidence', 'stepping receivers', 'scanning antennas', 'rights reserved', 'representative basis', 'reconnaissance equipments', 'previous studies', 'predicted results', 'parametric windows', 'paper give', 'key factor', 'interception relates', 'intercept time', 'intercept problem', 'formulas summarised', 'electronic warfare', 'electrical engineers']</t>
  </si>
  <si>
    <t>Intercept time is a key factor in the performance of electronic warfare (EW) surveillance and reconnaissance equipments. Interception relates to the probability of time coincidence of two or more parametric windows; scanning antennas, sweeping or stepping receivers and frequency-agile emitters give examples of such windows, where alignment or coincidence is required before detection can occur. Formulas summarised in the paper give a representative basis to the calculation of intercept time statistics, as well as allowing the duration of an intercept to be evaluated. Predicted results from computer modelling indicate that these new formulas give a much better representation of the intercept problem than that given in previous studies. ¬© 1985, The Institution of Electrical Engineers. All rights reserved.</t>
  </si>
  <si>
    <t>215-220</t>
  </si>
  <si>
    <t>100676506-60026242-118918653;100676506-118918653</t>
  </si>
  <si>
    <t>United Kingdom;Canada;United Kingdom</t>
  </si>
  <si>
    <t>Salisbury;;Cobham</t>
  </si>
  <si>
    <t>Defence Science and Technology Laboratory;MEL Defense Systems Limited;Smith Associates Consulting System Engineers Ltd</t>
  </si>
  <si>
    <t>60026242;118918653;100676506</t>
  </si>
  <si>
    <t>Intercept time and its prediction</t>
  </si>
  <si>
    <t>2-s2.0-85011680268</t>
  </si>
  <si>
    <t>['¬© 1985', 'western europe', 'united states', 'three phases', 'technological developments', 'soviet union', 'science fiction', 'satellite communications', 'rights reserved', 'paper outlines', 'new industry', 'major changes', 'growing capabilities', 'electrical engineers', 'dramatic advance', '40 years']</t>
  </si>
  <si>
    <t>Antennas | Radiocommunication | Satellite links and space communication | Space communication</t>
  </si>
  <si>
    <t>Satellite communications have advanced from the realm of science fiction to the commonplace in a period of less than 40 years. The paper outlines the birth and development of this new industry which was pioneered by the United States and the Soviet Union but has since become increasingly international, with growing capabilities in Western Europe, Japan, China and India. The technological developments which have accompanied the growth of satellite communications have been both diverse and complex. To illustrate the rapid technological advance in communications, three phases have been identified which are linked by major changes in the state-of-the-art. The concept of the sky-hook, the end of the fish-warmers and the era of the hub-cap provide convenient milestones against which this dramatic advance can be calibrated. ¬© 1985, The Institution of Electrical Engineers. All rights reserved.</t>
  </si>
  <si>
    <t>Rudge, A.</t>
  </si>
  <si>
    <t>Rudge A.</t>
  </si>
  <si>
    <t>Sky-hooks, fish-warmers and hub-caps: Milestones in satellite communications</t>
  </si>
  <si>
    <t>10.1049/ip-f-1.1985.0001</t>
  </si>
  <si>
    <t>2-s2.0-85024266959</t>
  </si>
  <si>
    <t>['wiley blackwell', 'trap catches', 'timed according', 'tdo ).', 'ta ),', 'store rooms', 'state wherein', 'selectively responsive', 'rights reserved', 'receptor cells', 'readily achieved', 'preventive measures', 'preventive measure', 'may lead', 'limited number', 'fly towards', 'ephestia elutella', 'decreasing light', 'curative measures', 'continual supervision', 'contact insecticides', 'circadian rhythm', 'broadly divided', 'air current']</t>
  </si>
  <si>
    <t>We have broadly divided the methods of storage insect manipulation into curative and preventive measures. Sex and aggregation pheromoncs combined with additional sensory stimuli in adhesive bait traps can be utilized as a preventive measure which may lead to insectistasis (a state wherein the insect population density is diminished to the extent of allowing storage without significant impairment). Insectistasis can be readily achieved by continual supervision of store rooms, use of adhesive bait traps in combination with a limited number of curative measures (e.g. gaseous or contact insecticides) timed according to the extent of trap catches. The sensory stimuli causing male storage moths (Phycitinae) to fly towards these bait traps involve, in sequence, a circadian rhythm, increasing or decreasing light (intensity approximately 1‚Äì10 Lux), an air current, a vertical rectangular figure and the main pheromone component. The antennae of male Anagasta kuehniella, Ephestia elutella and Plodia interpunctella comprise two types of receptor cells, of which one is selectively responsive to (Z,E)‚Äê9,12‚Äêtetradecadienyl acetate (TDA) and (Z)‚Äê9‚Äêtetradecenyl acetate (TA), while the other responds to (Z,E)‚Äê9,12‚Äêtetradecadien‚Äêl‚Äêol (TDO). Copyright ¬© 1985, Wiley Blackwell. All rights reserved</t>
  </si>
  <si>
    <t>43-50</t>
  </si>
  <si>
    <t>EPPO Bulletin</t>
  </si>
  <si>
    <t>7102170884;16212286200</t>
  </si>
  <si>
    <t>LEVINSON, H. Z.;LEVINSON, A. R.</t>
  </si>
  <si>
    <t>LEVINSON H.</t>
  </si>
  <si>
    <t>Use of pheromone traps for the proper timing of fumigation in the storage environment</t>
  </si>
  <si>
    <t>10.1111/j.1365-2338.1985.tb00199.x</t>
  </si>
  <si>
    <t>2-s2.0-85032070472</t>
  </si>
  <si>
    <t>['thesis concludes', 'reflector antennas', 'primary function', 'frequency filtering', 'free space', 'dichroic surfaces']</t>
  </si>
  <si>
    <t>The subject of this thesis is the analysis of dichroic surfaces, the primary function of which is frequency filtering of electromagnetic plane waves in free space. Such devices find direct application in the operation of reflector antennas at two different frequency bands where the dichroic surface eliminates the need for designing single broadband feeds. The thesis concludes with experimental work involving transmission measurements on single and double layer dichroic panels in the 8-18 GHz frequency range.</t>
  </si>
  <si>
    <t>Chalmers Tekniska Hogskola, Doktorsavhandlingar</t>
  </si>
  <si>
    <t>Shuley, Nicholas V.Z.</t>
  </si>
  <si>
    <t>Chalmers University of Technology</t>
  </si>
  <si>
    <t>Shuley N.</t>
  </si>
  <si>
    <t>ANALYSIS OF DICHROIC SURFACES.</t>
  </si>
  <si>
    <t>2-s2.0-85040803657</t>
  </si>
  <si>
    <t>['using information', 'theoretical procedure', 'search problem', 'search path', 'respective features', 'probability density', 'preceding excursion', 'outer radius', 'observed cases', 'large error', 'isopod searches', 'isopod needs', 'inner radius', 'given size', 'given intensity', 'foraging even', 'embankment like', 'embankment around', 'cumulative probability', 'burrow entrance', 'best solves', '15 cm', '10 cm']</t>
  </si>
  <si>
    <t>Each family of the desert isopod Hemilepistus reaumuri uses its faeces to build an embankment around its burrow entrance in the form of a ring with an inner radius of 5-10 cm and an outer radius of 8-15 cm. Although the embankment like the burrow entrance, is detected only by contact with the antennae, it facilitates the return to the burrow after an excursion. When a desert isopod returns from foraging it reaches the burrow entrance itself (diameter 12 mm) only in ca. 12% of the observed cases by "dead reckoning"; the embankment, however, is reached six times more frequently. After detecting this landmark an isopod needs a further 12% of the pathlength of the preceding excursion to locate the burrow entrance. In contrast, it travels five times further to reach its burrow from the same distance (10 cm) if the landmark is missing. The landmark is even more important when the isopod, because of a large error in orientation, can reach its burrow only by searching. Both the characteristics of the search path of H. reaumuri and the success of its search behaviour correspond well to the respective features of a theoretical procedure, which best solves the search problem of the desert isopods assuming that a landmark is available for orientation. The optimal search procedure was calculated by using information about the probability density that an error in orientation has a given size, and the cumulative probability that the landmark is detected if the isopod searches in its region with a given intensity. The coupling of the systematic search strategy of H. reaumuri with landmark orientation shortens the average time needed for homing by one-third. It helps and isopod to return to its burrow after foraging even if all the orientation mechanisms normally used for this task have broken down. ¬© 1985 Springer-Verlag.</t>
  </si>
  <si>
    <t>325-334</t>
  </si>
  <si>
    <t>The influence of landmarks on the systematic search behaviour of the desert isopod Hemilepistus reaumuri - I. Role of the landmark made by the animal</t>
  </si>
  <si>
    <t>10.1007/BF00293210</t>
  </si>
  <si>
    <t>2-s2.0-9844257309</t>
  </si>
  <si>
    <t>['¬© 1985', 'strut surface', 'rights reserved', 'reflector antennas', 'proposed technique', 'moment method', 'letter gives', 'induced currents', 'electrical engineers', 'cylindrical struts', 'certain approximations', 'arbitrary cross']</t>
  </si>
  <si>
    <t>The letter gives a procedure to calculate the scattered fields produced by cylindrical struts of arbitrary cross-section in reflector antennas. This procedure is based on the determination by the moment method, under certain approximations, of the induced currents on the strut surface. Experimental measurements show the accuracy of the proposed technique. ¬© 1985, The Institution of Electrical Engineers. All rights reserved.</t>
  </si>
  <si>
    <t>42-44</t>
  </si>
  <si>
    <t>60032361;60012729</t>
  </si>
  <si>
    <t>55665360600;6602517129</t>
  </si>
  <si>
    <t>Da Silva, L. C.;Henriques, L. M.D.</t>
  </si>
  <si>
    <t>Brazil;Brazil</t>
  </si>
  <si>
    <t>Rio de Janeiro;Sao Jose dos Campos</t>
  </si>
  <si>
    <t>Pontif√≠cia Universidade Cat√≥lica do Rio de Janeiro;Instituto Nacional de Pesquisas Espaciais</t>
  </si>
  <si>
    <t>Da Silva L.C.</t>
  </si>
  <si>
    <t>Analysis of scattering by cylindrical struts of arbitrary cross-section</t>
  </si>
  <si>
    <t>10.1049/el:19850032</t>
  </si>
  <si>
    <t>2-s2.0-0022418027</t>
  </si>
  <si>
    <t>['wavelength part', 'time required', 'structural organization', 'strongly optimized', 'spectral heterogeneity', 'similar array', 'rights reserved', 'reaction centres', 'quantum yield', 'purple bacteria', 'primary conversion', 'photosynthetic unit', 'photosynthetic organisms', 'operative effect', 'obtained compared', 'neither uniform', 'mutual orientation', 'major conclusions', 'macroscopic antenna', 'light energy', 'intermolecular distances', 'important stages', 'high probability', 'harvesting antenna', 'focusing zone', 'experimental studies', 'excitation trapping', 'decrease 300', 'converting system', 'calculations assume', 'basic principles', 'antenna molecules', 'allow optimization']</t>
  </si>
  <si>
    <t>Our previous theoretical analysis of the consistency between the results of experimental studies of two most important stages in the primary conversion of light energy in photosynthesis-the excitation energy transfer within a light-harvesting antenna and the stabilization of this energy in reaction centres-showed that the photosynthetic unit structure is to be strongly optimized in vivo to operate with a 90% quantum yield of primary charge separation in reaction centres, which means that a macroscopic photosynthetic unit is neither uniform nor isotropic. The principles of the structural organization of a light-harvesting antenna of a model photosynthetic unit which allow optimization of excitation energy transfer from antenna molecules to reaction centres are studied here. The time of excitation energy trapping by reaction centres was computed for two-dimensional systems simulating a photosynthetic unit of purple bacteria and the longest-wavelength part of higher plant Photosystem-1 photosynthetic unit. The calculations assume a F√∂rster inductive resonance mechanism for energy transfer within antenna and pairwise dipolar interactions. It was shown that the co-operative effect of several optimizing factors, i.e. (1) anisotropy of intermolecular distances in an antenna; (2) its spectral heterogeneity; (3) mutual orientation of transition moment vectors; (4) availability of the "focusing zone" around reaction centres; (5) definite spatial clustering of reaction centres in macroscopic antenna, can decrease 300-fold the time required for a high probability of excitation trapping to be obtained compared to a similar array of undifferentiated antenna molecules. As the analysis that we offer is of more or less general nature, it is to be hoped that our major conclusions will be valid for any photosynthetic organisms. The basic principles of the structural Organization of an optimal artificial light-converting system are formulated. ¬© 1985 Academic Press Inc (London) Ltd. All rights reserved.</t>
  </si>
  <si>
    <t>41-75</t>
  </si>
  <si>
    <t>Journal of Theoretical Biology</t>
  </si>
  <si>
    <t>60007457;60007457;60009114</t>
  </si>
  <si>
    <t>7003830809;15049241600;7005879270</t>
  </si>
  <si>
    <t>Fetisova, Z. G.;Borisov, A. Yu;Fok, M. V.</t>
  </si>
  <si>
    <t>Russian Federation;Russian Federation</t>
  </si>
  <si>
    <t>Moscow;Moscow</t>
  </si>
  <si>
    <t>P.N. Lebedev Physical Institute of the Russian Academy of Sciences;Lomonosov Moscow State University</t>
  </si>
  <si>
    <t>60009114;60007457</t>
  </si>
  <si>
    <t>Fetisova Z.G.</t>
  </si>
  <si>
    <t>Analysis of structure-function correlations in light-harvesting photosynthetic antenna: Structure optimization parameters</t>
  </si>
  <si>
    <t>S0022-5193(85)80116-8</t>
  </si>
  <si>
    <t>10.1016/S0022-5193(85)80116-8</t>
  </si>
  <si>
    <t>2-s2.0-0039265657</t>
  </si>
  <si>
    <t>['¬© 1985', 'unusual xanthophyll', 'specific light', 'siphonales ).', 'siphonaceous algae', 'ps ii', 'protein complex', 'polypeptide composition', 'novel siphonaxanthin', 'main light', 'lhc ii', 'integral components', 'higher plants', 'harvesting complex', 'harvesting chlorophyll', 'harvesting antenna', 'green light', 'distinctly different', 'contains siphonaxanthin', 'codium sp', 'codium lhc', 'chlorophyll b', 'chl b', 'absorb blue', '27 kda', '19 kda', '100 ps']</t>
  </si>
  <si>
    <t>(Codium sp., Siphonales) | Chlorophyll-protein complex | Fluorescence | Light-harvesting complex | Photosystem I | Siphonaxanthin</t>
  </si>
  <si>
    <t>A novel siphonaxanthin-chlorophyll a b-protein complex associated with Photosystem I (PS I), termed Codium light-harvesting complex of Photosystem I (LHC I), has been isolated from a Codium sp. (Siphonales). The isolation procedure involves fragmentation of a purified Triton X-100 PS I complex with a zwittergent-316/dodecyl-maltoside mixture followed by dodecyl-maltoside sucrose gradient centrifugation. LHC I has a Chl a Chl b ratio of 1.7 and contains siphonaxanthin and no P-700. Fluorescence analyses demonstrates that Chl b (chlorophyll b) and siphonaxanthin are integral components of Codium LHC I. The polypeptide composition of Codium LHC I (24.5, 23, 22.5, 20 and 19 kDa) is distinctly different from that of the main light-harvesting chlorophyll a b-protein complex of PS II (LHC II) which has proteins of 35.5, 34, 28 and 27 kDa. Compared to the LHC I of higher plants, Codium LHC I has more chlorophyll b and an unusual xanthophyll, siphonaxanthin. We conclude that siphonaceous algae have a specific light-harvesting antenna for PS I. The role of Codium LHC I will be to enhance the capacity for PS I to absorb blue-green and green light, the predominant light available in deep oceanic waters and shaded marine habitats. ¬© 1985.</t>
  </si>
  <si>
    <t>154-160</t>
  </si>
  <si>
    <t>BBA - Bioenergetics</t>
  </si>
  <si>
    <t>60023392;60023392</t>
  </si>
  <si>
    <t>24456626700;7406781037</t>
  </si>
  <si>
    <t>Chu, Zhung Xi;Anderson, Jan M.</t>
  </si>
  <si>
    <t>CSIRO Plant Industry</t>
  </si>
  <si>
    <t>Chu Z.</t>
  </si>
  <si>
    <t>Isolation and characterization of a siphonaxanthin-chlorophyll a b-protein complex of Photosystem I from a Codium species (Siphonales)</t>
  </si>
  <si>
    <t>000527288590091X</t>
  </si>
  <si>
    <t>10.1016/0005-2728(85)90091-X</t>
  </si>
  <si>
    <t>2-s2.0-0242631194</t>
  </si>
  <si>
    <t>PCM 83-08190</t>
  </si>
  <si>
    <t>['¬© 1985', 'variable delays', 'two pulses', 'tentatively attributed', 'spaced apart', 'reaction center', 'quenching state', 'quenching efficiencies', 'quenching effect', 'pulse energies', 'photosystem ii', 'originates instead', 'new method', 'nanosecond time', 'mobile excitons', 'longer time', 'lifetime comparable', 'increasing œît', 'fluorescence yield', 'first pulse', 'f0 state', 'excitons generated', 'exciton quenchers', 'exciton annihilation', 'equal intensity', 'enhancement effects', 'decorrelation time', 'core antenna', 'clearly linked', 'bimolecular exciton', 'appears following', 'although contributing', 'also attributed', '6 ns', '530 nm', '140 ps']</t>
  </si>
  <si>
    <t>(Spinach chloroplast) | Chlorophyll fluorescence | Exciton | Fluorescence induction | Photosystem II | Reaction center</t>
  </si>
  <si>
    <t>Fluorescence enhancement phenomena and quenching by exciton-exciton annihilation on subnanosecond and nanosecond time-scales were investigated in spinach chloroplasts utilizing picosecond laser pulse pairs (530 nm, 30 ps wide) of equal intensity, spaced apart in time by variable delays of Œît = 0-6 ns. This new method was devised to study the effect of pulse energies (1¬∑1010-2¬∑1015 photons per cm2) on the overall fluorescence yield in order to deduce the degree of correlation between the two pulses as a function of Œît. In the case of open reaction centers (F0 state) in Photosystem II (PS II), it is shown that the quenching effect of excitons generated by the first pulse on the fluorescence yield of the second pulse diminishes with increasing Œît with a characteristic decorrelation time of 140 ¬± 60 ps. This effect is attributed to either (1) the decay of mobile excitons in the light-harvesting antenna pigment bed as these excitons migrate towards the PS II reaction centers and the associated smaller core antenna pigment pools, or (2) the decay of a quenching state of the reaction center (and/or core antenna) which appears following a rapid (less than 140 ps) trapping of the excitons initially created in the antenna pigment bed. The absence of a significant decay component of exciton quenchers with a lifetime comparable to the 300-600 ps intermediate phase of fluorescence decay kinetics suggests that this phase, although contributing to more than half of the integrated fluorescence emission signal, is not caused by freely mobile exitons migrating in a lake of pigments, but originates instead from smaller pigment pools to which the excitons have migrated. It is proposed that bimolecular exciton-exciton annihilation in these smaller domains dominates annihilation in the larger antenna pigment bed. In the case of closed reaction centers (Fmax state), the decorrelation time between the two pulses is increased to 400 ¬± 100 ps, which is also attributed to either a mobile exciton component or to the decay of a quenching state of the reaction center. At low pulse intensities (below approx. 2 ¬∑ 1012 photons per cm2) anomalous fluorescence enhancement effects are noted, which are clearly linked to the existence of initially open PS II reaction centers. These enhancement effects are different from the well-known fluorescence induction phenomena which occur on longer time-scales, and are tentatively attributed to variations in the quenching efficiencies of transitory photochemical states of PS II reaction centers. ¬© 1985.</t>
  </si>
  <si>
    <t>81-92</t>
  </si>
  <si>
    <t>60019615;60019615;60021784;60019615;60019615</t>
  </si>
  <si>
    <t>56032452500;16439434700;7103169029;6701501074;24310010600</t>
  </si>
  <si>
    <t>Dobek, A.;Deprez, J.;Geacintov, N. E.;Paillotin, G.;Breton, J.</t>
  </si>
  <si>
    <t>New York;Gif-sur-Yvette</t>
  </si>
  <si>
    <t>New York University;CEA Saclay</t>
  </si>
  <si>
    <t>60021784;60019615</t>
  </si>
  <si>
    <t>Dobek A.</t>
  </si>
  <si>
    <t>Chlorophyll fluorescence phenomena in chloroplasts on subnanosecond time-scales probed by picosecond pulse pairs</t>
  </si>
  <si>
    <t>10.1016/0005-2728(85)90084-2</t>
  </si>
  <si>
    <t>2-s2.0-33751053428</t>
  </si>
  <si>
    <t>PCM-80-11819</t>
  </si>
  <si>
    <t>['¬© 1985', 'small pool', 'slightly fluence', 'resolved f685', 'reported largely', 'reaction center', 'pulse fluences', 'ps 532', 'lowest intensities', 'lower intensities', 'large pool', 'independent model', 'higher intensity', 'f735 relative', 'excitation fluence', 'dependent delay', 'component model', 'antenna chlorophylls', '77 k', '735 nm', '2 ps']</t>
  </si>
  <si>
    <t>(Spinach chloroplast) | Chlorophyll fluorescence | Energy transfer</t>
  </si>
  <si>
    <t>Spinach chloroplast chlorophyll fluorescence at 685 and 735 nm (F685 and F735) has been time-resolved with a low-jitter streak camera system. Measurements are reported largely for 77 K, using single 30-ps 532-nm excitation pulses with pulse fluences of 2 ¬∑ 1012 to 2 ¬∑ 1016 photons ¬∑ cm-2. A slightly fluence-dependent delay (16 ¬± 3 ps) found for the rise of F735 relative to F685 is too small to correspond to transfer into the species emitting F735 from the species emitting F685. The rise of F735 is biphasic at lower intensities and monophasic at higher intensity. The delay in the rise of F685 is smaller than approx. 2 ps. The time-resolved F685 is fit with a three-component model in which energy is transferred from a large pool of antenna chlorophylls to a small pool closely connected to the reaction center, all exciton annihilation occurring in the small pool. The F735 biphasic rise and its sensitivity to excitation fluence is explained by a similar but independent model. Data at our lowest intensities are consistent with those obtained by a photon-counting method using very low intensity excitation. ¬© 1985.</t>
  </si>
  <si>
    <t>93-106</t>
  </si>
  <si>
    <t>60027165;60027165;60011253;60027165;60021784;60021784-60019615</t>
  </si>
  <si>
    <t>6602436920;6603814966;7102769845;7202010339;7103169029;24310010600</t>
  </si>
  <si>
    <t>Wittmershaus, Bruce;Nordlund, Thomas M.;Knox, Wayne H.;Knox, Robert S.;Geacintov, Nicholas E.;Breton, Jacques</t>
  </si>
  <si>
    <t>United States;United States;France;United States</t>
  </si>
  <si>
    <t>Rochester;New York;Gif-sur-Yvette;Rochester</t>
  </si>
  <si>
    <t>University of Rochester;New York University;CEA Saclay;University of Rochester Institute of Optics</t>
  </si>
  <si>
    <t>60027165;60021784;60019615;60011253</t>
  </si>
  <si>
    <t>Wittmershaus B.</t>
  </si>
  <si>
    <t>Picosecond studies at 77 K of energy transfer in chloroplasts at low and high excitation intensities</t>
  </si>
  <si>
    <t>10.1016/0005-2728(85)90085-4</t>
  </si>
  <si>
    <t>2-s2.0-4243638206</t>
  </si>
  <si>
    <t>Deutsche Forschungsgemeinschaft</t>
  </si>
  <si>
    <t>DFG</t>
  </si>
  <si>
    <t>['¬© 1985', 'time resolution', 'saturating flashes', 'reaction centers', 'propagation axis', 'polarization originates', 'photovoltage indicates', 'photovoltage developed', 'photosystem ii', 'oxidizing p', 'observed lack', 'membrane side', 'light pulses', 'half amplitude', 'fast rise', 'excitation wavelengths', 'electric polarization', 'could achieve', 'charge separation', 'antenna system', 'anisotropic excitation', '700 resulted', '694 nm', '200 ps', '175 ps']</t>
  </si>
  <si>
    <t>(Pea chloroplast) | Charge separation | Photosynthesis | Photovoltage</t>
  </si>
  <si>
    <t>Excitation of chloroplasts by non-saturating flashes is known to generate an electric polarization of the suspension which can be measured as a photovoltage with electrodes positioned alongside the propagation axis of the light. The polarization originates from the light-gradient in the suspension and the anisotropic excitation of the primary charge separation in the reaction centers of both photosystems. By using a capacitative measuring cuvette and light pulses of 30 ps duration we could achieve a time resolution on the order of 200 ps, even at low ionic strengths. At the excitation wavelengths of 532 and 694 nm, a photovoltage developed with the rise-time of the apparatus when the reaction centers of both photosystems were open. Closing of the reaction centers of Photosystem I by oxidizing P-700 resulted in a photovoltage with the same fast rise, but of half amplitude. This shows that (i) the primary charge separation in both types of reaction centers and (ii) the mean trapping time of excitions from the antenna system by P-680 and P-700 are shorter or equal to 175 ps. When the traps of Photosystem I were closed and the primary quinone acceptor Q in the reaction centers of Photosystem II was reduced, there was almost no photovoltage response around 1 ns. The only primary reaction known under these conditions is the charge separation in Photosystem II between the primary donor P-680 and the intermediary pheophytin acceptor. Assuming this reaction, the observed lack of a photovoltage indicates that the intermediary acceptor Phe lies on the same membrane side as P-680. ¬© 1985.</t>
  </si>
  <si>
    <t>136-144</t>
  </si>
  <si>
    <t>60009731;60009731</t>
  </si>
  <si>
    <t>57202396392;24457885400</t>
  </si>
  <si>
    <t>Trissl, H. W.;Kunze, U.</t>
  </si>
  <si>
    <t>Osnabruck</t>
  </si>
  <si>
    <t>Universit√§t Osnabr√ºck</t>
  </si>
  <si>
    <t>Trissl H.</t>
  </si>
  <si>
    <t>II. Primary electrogenic reactions in chloroplasts probed by picosecond flash-induced dielectric polarization</t>
  </si>
  <si>
    <t>10.1016/0005-2728(85)90089-1</t>
  </si>
  <si>
    <t>2-s2.0-46549100666</t>
  </si>
  <si>
    <t>['¬© 1985', 'two subspecies', 'scent substances', 'scent secretions', 'rights reserved', 'pierid butterflies', 'hebomoia glaucippe', 'found th', 'food plant', 'female butterflies', 'essential oils', 'either subspecies', 'eag responses', 'crataeva religiosa', 'adult male']</t>
  </si>
  <si>
    <t>Crataeva religiosa | E-Ocimene | Essential Oil | Hebomoia glaucippe | Pierid Butterfly | Scent Secretion</t>
  </si>
  <si>
    <t>The scent secretions of two subspecies of Hebomoia glaucippe, which are pierid butterflies, and the essential oils of their food plant were investigated by means of GC and GC-MS. The scent substances of either subspecies are found to be only ¬£-Œ≤-ocimene, and th evolatile components of Crataeva religiosa were identified as 2-hexanal, 3 -hexen -l-ol, p -cymene, limonene, linalool, Œ≤-ionone, and Œ≤-ionone. Electroantennogram (EAG) were recorded with the antennae of adult male and female butterflies. It was found th at EAG responses of male to ¬£-Œ≤-ocimene were greater than those of females. ¬© 1985, Walter de Gruyter. All rights reserved.</t>
  </si>
  <si>
    <t>47-50</t>
  </si>
  <si>
    <t>Zeitschrift fur Naturforschung - Section C Journal of Biosciences</t>
  </si>
  <si>
    <t>60030788;60030788;60030788;60030788;60030788;60028088</t>
  </si>
  <si>
    <t>56049116100;24519479000;7404261706;16464069200;16499569000;15126144100</t>
  </si>
  <si>
    <t>Hayashi, Nanao;Nishi, Akihiko;Murakami, Tadayuki;Maeshima, Kazuyuki;Komae, Hisashi;Sakao, Takashi</t>
  </si>
  <si>
    <t>Higashihiroshima;Kagoshima</t>
  </si>
  <si>
    <t>Hiroshima University;Kagoshima University</t>
  </si>
  <si>
    <t>60030788;60028088</t>
  </si>
  <si>
    <t>Hayashi N.</t>
  </si>
  <si>
    <t>The Scent substances of pierid butterflies (hebomoia glaucippe linnaeus) and the volatile components of their food plants (crataeva religiosa forst.)</t>
  </si>
  <si>
    <t>10.1515/znc-1985-1-211</t>
  </si>
  <si>
    <t>2-s2.0-0010071802</t>
  </si>
  <si>
    <t>['techniques demonstrate', 'rf power', 'prime choice', 'practical antenna', 'power divider', 'next generation', 'microstrip antennas', 'locking techniques', 'large array', 'equally large', 'dividing network', 'diode source', 'cumbersome power', 'coherently locked', 'band gunn', 'attendant losses', 'array must']</t>
  </si>
  <si>
    <t>Microstrip antennas are the prime choice for the next generation of conformal phased arrays. A large array, however, requires an equally large and cumbersome power-dividing network, with its attendant losses. A power divider can be eliminated by supplying each element with RF power through its own source. To produce a practical antenna, however, all the sources in the array must be coherently locked to a single reference frequency. Both phase- and injection-locking techniques have been used to do just that. Experiments with these techniques demonstrate the feasibility of integrating an X-band Gunn-diode source with a microstrip patch antenna.</t>
  </si>
  <si>
    <t>87-88, 90</t>
  </si>
  <si>
    <t>Microwaves &amp; RF</t>
  </si>
  <si>
    <t>100314005;100314005;100314005</t>
  </si>
  <si>
    <t>56283710900;6601969273;57195975290</t>
  </si>
  <si>
    <t>Thomas, H. J.;Fudge, D. L.;Morris, G.</t>
  </si>
  <si>
    <t>Stanmore</t>
  </si>
  <si>
    <t>Marconi Defence Systems Ltd</t>
  </si>
  <si>
    <t>Thomas H.</t>
  </si>
  <si>
    <t>GUNN SOURCE INTEGRATED WITH MICROSTRIP PATCH.</t>
  </si>
  <si>
    <t>2-s2.0-0022008289</t>
  </si>
  <si>
    <t>['recent experiments', 'radiators described', 'multilayer elements', 'microstrip antennas', 'maximum vswr', 'impedance bandwidth', 'closely arrayed', '22 percent', '1 referenced']</t>
  </si>
  <si>
    <t>Recent experiments have shown that the impedance bandwidth of microstrip antennas can be broadened to as high as 22 percent by constructing patch radiators using thick, multilayer elements. The radiators described here have bandwidths of from 10 to 22 percent at S-band (with a maximum VSWR of 1. 5:1 referenced to 50 OMEGA ). The elements, which use circular patches, are fed by a single coaxial probe. They require no eternal matching network and they occupy an area small enough that they can be closely arrayed.</t>
  </si>
  <si>
    <t>93-95</t>
  </si>
  <si>
    <t>6603140745;7102504636</t>
  </si>
  <si>
    <t>Holzheimer, Timothy;Miles, T. O.</t>
  </si>
  <si>
    <t>Holzheimer T.</t>
  </si>
  <si>
    <t>THICK, MULTILAYER ELEMENTS WIDEN ANTENNA BANDWIDTHS.</t>
  </si>
  <si>
    <t>2-s2.0-0022008290</t>
  </si>
  <si>
    <t>['antenna consisting']</t>
  </si>
  <si>
    <t>An effective mathematical model of a multielement antenna consisting of loaded radiators reflecting the external illuminator field is developed. Results of calculations for an antenna consisting of elements in the form of short-circuited rectangular waveguides are presented.</t>
  </si>
  <si>
    <t>74-80</t>
  </si>
  <si>
    <t>Soviet Journal of Communications Technology &amp; Electronics (English translation of Radiotekhnika i Elektronika)</t>
  </si>
  <si>
    <t>Khemalyan, A. D.</t>
  </si>
  <si>
    <t>Khemalyan A.</t>
  </si>
  <si>
    <t>ANALYSIS OF MULTIELEMENT REFLECTOR ANTENNA.</t>
  </si>
  <si>
    <t>2-s2.0-0022008599</t>
  </si>
  <si>
    <t>['wavelength apart', 'regular matrix', 'recent research', 'rapidly reshaped', 'radar beam', 'r switch', 'phase shifter', 'conventional naval', 'airborne platforms']</t>
  </si>
  <si>
    <t>The advent of MMICs and recent research in phased-array radar components - a GaAs MMIC transmit-receive (T/R) module in particular - have made it possible to consider phased arrays for more conventional naval and airborne platforms. The typical T/R module consists of a pulsed FET transmitter connected to the antenna element via a T/R switch that also employs FETs. The transmitter is fed with phase-codes signals via a FET-based digital phase shifter and driver amplifier stages. The radar beam is shaped by combining the outputs of hundreds of these transmitters, spaced about a quarter-wavelength apart in a regular matrix. The beams can be rapidly reshaped by controlling the phase shifter.</t>
  </si>
  <si>
    <t>77-78, 81</t>
  </si>
  <si>
    <t>Pengelly, R. S.</t>
  </si>
  <si>
    <t>Northampton</t>
  </si>
  <si>
    <t>Plessey Research Caswell</t>
  </si>
  <si>
    <t>Pengelly R.</t>
  </si>
  <si>
    <t>INTEGRATED T/R MODULES EMPLOY GaAs ICs.</t>
  </si>
  <si>
    <t>2-s2.0-0022008679</t>
  </si>
  <si>
    <t>['test antenna', 'separation needed', 'reflector geometry', 'reflector catrs', 'reflector catr', 'radiation characteristics', 'plane wave', 'measured accurately', 'maximum size', 'field operation', 'enough separation', 'conventional single', 'compact ranges', 'antenna intended', '50 percent', '100 ghz']</t>
  </si>
  <si>
    <t>Uniform plane waves are the ideal incident field for determining the radiation characteristics of antenna intended for far-field operation. The oldest and most frequently used tool for obtaining these requisite uniform plane waves is distance: If enough separation is provided between the transmitter and the receiver, the portion of the spherical wave illuminating the test antenna will approximate a plane wave. Obtaining the separation needed for proper range operation is not easy. Efforts to improve test results show that compact ranges with two cylindrical reflectors perform better than the more conventional single-reflector CATRs. Using the new CATR design, antennas or targets up to 1. 5 m in diameter can be measured accurately at up to 100 GHz. The maximum size of the dual-reflector CATR can be reduced by about 50 percent when compared to the single-reflector geometry.</t>
  </si>
  <si>
    <t>41-73, 75</t>
  </si>
  <si>
    <t>Vokurka, V. J.</t>
  </si>
  <si>
    <t>Eindhoven</t>
  </si>
  <si>
    <t>Technische Universiteit Eindhoven</t>
  </si>
  <si>
    <t>Vokurka V.</t>
  </si>
  <si>
    <t>SEEING DOUBLE IMPROVES INDOOR RANGE.</t>
  </si>
  <si>
    <t>2-s2.0-0022008794</t>
  </si>
  <si>
    <t>['useful signal', 'requires suppression', 'phased array', 'phase array', 'one observation', 'next due', 'method proposed', 'main beam', 'level control', 'interfering signals', 'independent two', 'described method', 'article suppresses', 'antenna section']</t>
  </si>
  <si>
    <t>In many radar systems the estimation of power of a useful random signal, received through the main beam of a phased array pattern, requires suppression of random interfering signals, received through the sidelobes of the pattern. Unlike the familiar spatial processing methods, when interfering signals are suppressed in the absence of the useful signal, the method proposed in this article suppresses the interfering signals when both the useful and the interfering random stationary signals are incident on the phase array. The basis for using the described method is provided by the possibility to measure the pattern of an antenna section from one observation to the next due to independent two-level control of the phased array.</t>
  </si>
  <si>
    <t>125-127</t>
  </si>
  <si>
    <t>Khinchuk, M. T.</t>
  </si>
  <si>
    <t>Khinchuk M.</t>
  </si>
  <si>
    <t>METHOD FOR NONCOHERENT COMPENSATION OF INTERFERING SIGNALS.</t>
  </si>
  <si>
    <t>2-s2.0-0022009053</t>
  </si>
  <si>
    <t>['technology offers', 'smart projectiles', 'present applications', 'one side', 'microstrip technology', 'low cost', 'ground plane', 'enormous advantages', 'enabling antennas', 'communications systems', 'best illustrated', 'antenna design']</t>
  </si>
  <si>
    <t>Microstrip technology is enabling antennas to be placed on objects that were previously off limits. The enormous advantages this technology offers for antenna design are best illustrated by its present applications. Since they require almost negligible volume and can be produced for very low cost, these antennas can be considered for smart projectiles, as well as satellites, missiles, and communications systems. Basically, a microstrip antenna consists of a current-carrying conductor pattern on one side of a substrate, the back of which is covered with a ground plane. The advantages of the microstrip-array antenna accrue from the simplicity of construction and the thickness of the substrate. Fabrication follows standard printed circuit-techniques.</t>
  </si>
  <si>
    <t>96-99, 113</t>
  </si>
  <si>
    <t>60086608;60086608</t>
  </si>
  <si>
    <t>6701613827;6504696428</t>
  </si>
  <si>
    <t>Colby, G. V.;Bryanos, J. C.</t>
  </si>
  <si>
    <t>Providence</t>
  </si>
  <si>
    <t>Avco Corporation</t>
  </si>
  <si>
    <t>Colby G.</t>
  </si>
  <si>
    <t>MICROSTRIP BRINGS RADAR TO HOSTILE ENVIRONMENTS.</t>
  </si>
  <si>
    <t>2-s2.0-0022009470</t>
  </si>
  <si>
    <t>['versatile antennas', 'semiconductor antennas', 'radiation characteristics', 'monolithic integration', 'components used']</t>
  </si>
  <si>
    <t>It has been reported that the radiation characteristics of semiconductor antennas can be controlled by modulating their conductivity during fabrication and/or operation. This paper describes novel physical layouts integrating these versatile antennas with other components used in the realization of millimeter wave systems. The monolithic integration is discussed for GaAs as well as Si IC technologies. ¬© 1985 Plenum Publishing Corporation.</t>
  </si>
  <si>
    <t>141-147</t>
  </si>
  <si>
    <t>International Journal of Infrared and Millimeter Waves</t>
  </si>
  <si>
    <t>60022659;60022659</t>
  </si>
  <si>
    <t>7004299865;7202185170</t>
  </si>
  <si>
    <t>Jain, F. C.;Bansal, R.</t>
  </si>
  <si>
    <t>Storrs</t>
  </si>
  <si>
    <t>University of Connecticut</t>
  </si>
  <si>
    <t>Jain F.</t>
  </si>
  <si>
    <t>Monolithic semiconductor antennas for millimeter wave Si and GaAs integrated circuit technologies</t>
  </si>
  <si>
    <t>10.1007/BF01009616</t>
  </si>
  <si>
    <t>2-s2.0-0022010659</t>
  </si>
  <si>
    <t>['taper angle', 'paper presents', 'general configuration', 'even within']</t>
  </si>
  <si>
    <t>This paper presents the concept that the tapered microwave anechoic chamber is a general configuration from which other configurations can be visualized by imposing specific restrictions on the taper angle. Even within the range of critical taper angles, where the action of a tapered anechoic chamber accrues, the existence of other restrictions for the chamber to offer better performance than the rectangular anechoic chamber is dealt with. The effect of the source antenna directivity on the choice of the taper angle is highlighted.</t>
  </si>
  <si>
    <t>60-64</t>
  </si>
  <si>
    <t>Journal of the Institution of Engineers. India. Electronics and telecommunication engineering division</t>
  </si>
  <si>
    <t>100633305;100633305;100633305;100633305;100633305</t>
  </si>
  <si>
    <t>6603823434;6508158643;7003755327;6506597685;7402898599</t>
  </si>
  <si>
    <t>Mouly, M. C.Chandra;Vani, N. Vijaya;Devi, N. Rukmini;Sujata, K.;Rao, V. Ranganadha</t>
  </si>
  <si>
    <t>Dep of Electronics &amp; Communication Engineering</t>
  </si>
  <si>
    <t>Mouly M.</t>
  </si>
  <si>
    <t>DESIGN CONSIDERATIONS FOR TAPERED MICROWAVE ANECHOIC CHAMBERS.</t>
  </si>
  <si>
    <t>2-s2.0-0022011261</t>
  </si>
  <si>
    <t>['synthesize patterns', 'norm constraints', 'maximum eigenvalue', 'hermitian matrix', 'eigenvector corresponding', 'analytic solution']</t>
  </si>
  <si>
    <t>An analytic solution to the problem of array pattern synthesis having null and norm constraints is given. It is shown that the required complex weight vector can be obtained by finding the eigenvector corresponding to the maximum eigenvalue of a Hermitian matrix. The generality of the method is illustrated by applying it to synthesize patterns with multiple look directions.</t>
  </si>
  <si>
    <t>44-46</t>
  </si>
  <si>
    <t>Ng, Tung Sang</t>
  </si>
  <si>
    <t>GENERALISED ARRAY PATTERN SYNTHESIS USING THE PROJECTION MATRIX.</t>
  </si>
  <si>
    <t>2-s2.0-0022011675</t>
  </si>
  <si>
    <t>['terrain problems', 'signal format', 'sampling theorem', 'maximum number', 'dvor system', 'doppler vor', 'analytical support', 'alford loops']</t>
  </si>
  <si>
    <t>The signal format radiated by the VOR ground station antenna arrangement is considered. Constraints on the doppler VOR (DVOR) signal format - so that it can cater to a common airborne receiver - are deduced. The elegance of the DVOR system with respect to terrain problems is brought out. Application of Nyquist's sampling theorem and available space criterion for the determination of minimum and maximum number of Alford loops, respectively, lends itself as the analytical support for the design of the DVOR ground station antenna arrangement.</t>
  </si>
  <si>
    <t>60072226;60072226;60072226</t>
  </si>
  <si>
    <t>6603823434;55843884600;7403017159</t>
  </si>
  <si>
    <t>Mouly, M. C.Chandra;Surender, S.;Rao, C. Damodara</t>
  </si>
  <si>
    <t>Vijayawada</t>
  </si>
  <si>
    <t>Velagapudi Ramakrishna Siddhartha Engineering College</t>
  </si>
  <si>
    <t>DESIGN CONSIDERATIONS FOR DOPPLER VOR.</t>
  </si>
  <si>
    <t>2-s2.0-0022012477</t>
  </si>
  <si>
    <t>['two kinds', 'theory validity', 'theory indicates', 'theoretical results', 'slightly separated', 'sfcp antennas', 'quite good', 'microstrip antenna', 'iterative process', 'improved theory', 'experimental results', 'determined numerically']</t>
  </si>
  <si>
    <t>An improved theory to obtain circularly polarized (CP) waves from a singly fed microstrip antenna is presented. This theory indicates that a singly fed circularly polarized (SFCP) microstrip antenna, in general, is able to produce CP waves at two different frequencies, which are just slightly separated. The two CP operating frequencies can be found through an iterative process. Furthermore, the optimum feed location loci can be determined numerically. Finally, the theoretical results for two kinds of SFCP antennas are compared with the experimental results. The agreement is quite good and the theory validity is confirmed.</t>
  </si>
  <si>
    <t>76-82</t>
  </si>
  <si>
    <t>E68</t>
  </si>
  <si>
    <t>0387236X</t>
  </si>
  <si>
    <t>Transactions of the Institute of Electronics and Communication Engineers of Japan. Section E</t>
  </si>
  <si>
    <t>60018735;60018735</t>
  </si>
  <si>
    <t>55624479867;7402420535</t>
  </si>
  <si>
    <t>Suzuki, Yasuo;Chiba, Taneaki</t>
  </si>
  <si>
    <t>Toshiba Corporation</t>
  </si>
  <si>
    <t>Suzuki Y.</t>
  </si>
  <si>
    <t>IMPROVED THEORY FOR A SINGLY FED CIRCULARLY POLARIZED MICROSTRIP ANTENNA.</t>
  </si>
  <si>
    <t>2-s2.0-0022013450</t>
  </si>
  <si>
    <t>['tight housing', 'special technique', 'radiation pattern', 'r less', 'low frequencies', 'immediate operation', 'design embodies', 'article describes', 'approximately hemispherical']</t>
  </si>
  <si>
    <t>The article describes a compact, wideband antenna developed for use on submarines. The antenna can withstand the high pressure experienced at the depths to which modern submarines operate and is ready for immediate operation on re-surfacing. The design embodies a conical logarithmic spiral fed via a very low-loss wideband impedance-transforming balun together with a special technique for improving the v. s. w. r at low frequencies. The bandwidth of the antenna is 225MHz to 1600MHz for v. s. w. r less than 1. 5 and 156MHz to 2600MHz for v. s. w. r less than 2. 5 and the radiation pattern is approximately hemispherical with right-hand circular polarization at all frequencies. Incorporated in the design is a water-tight housing in which an amplifier can be installed. Power handling capacity is 500W.</t>
  </si>
  <si>
    <t>39-45</t>
  </si>
  <si>
    <t>Communication and Broadcasting</t>
  </si>
  <si>
    <t>Wills, Robert G.</t>
  </si>
  <si>
    <t>Chelmsford</t>
  </si>
  <si>
    <t>Marconi Communication Systems Ltd</t>
  </si>
  <si>
    <t>Wills R.</t>
  </si>
  <si>
    <t>SUBMARINE MULTIFUNCTION ANTENNA.</t>
  </si>
  <si>
    <t>2-s2.0-0022015432</t>
  </si>
  <si>
    <t>Radiophysics and Quantum Electronics</t>
  </si>
  <si>
    <t>Neganov, V. A.</t>
  </si>
  <si>
    <t>Neganov V.</t>
  </si>
  <si>
    <t>Method of orthogonalizing transformation for computing eigenwaves of shielded slot structures</t>
  </si>
  <si>
    <t>10.1007/BF01035058</t>
  </si>
  <si>
    <t>2-s2.0-0022019950</t>
  </si>
  <si>
    <t>['wave length', 'surface reflectivity', 'reflection factor', 'radar height', 'normal value', 'meteorological targets', 'estimation based', 'equations shows', 'echo power', 'earth curvature', 'beam width', 'atmospheric sciences', 'antenna elevation']</t>
  </si>
  <si>
    <t>The equations for calculating the echo power from meteorological targets and the energy distribution within radar beam were derived, by taking the earth curvature, atmospheric refractivity gradient, reflection factor and the roughness of the earth's surface into consideration. The estimation based on these equations shows that the rain echo power may deviate from its normal value by a factor of -3 to +6 db depending on the radar height, antenna elevation, wave length, beam width, surface reflectivity and roughness. ¬© 1985 Advances in Atmospheric Sciences.</t>
  </si>
  <si>
    <t>Advances in Atmospheric Sciences</t>
  </si>
  <si>
    <t>Zhenhua, Ma</t>
  </si>
  <si>
    <t>Beijing</t>
  </si>
  <si>
    <t>Institute of Atmospheric Physics Chinese Academy of Sciences</t>
  </si>
  <si>
    <t>Zhenhua M.</t>
  </si>
  <si>
    <t>The effects of earth partial specular reflection on the quantitative rainfall-rate measurements by radar</t>
  </si>
  <si>
    <t>10.1007/BF03179742</t>
  </si>
  <si>
    <t>2-s2.0-77956559642</t>
  </si>
  <si>
    <t>['¬© 1985', 'two core', 'intact cells', 'harvesting antenna', 'excitation energy']</t>
  </si>
  <si>
    <t>Allophycocyanin-B | Cyanobacteria | Excitation transfer | Photosystem II | Phycobilisome | Synechococcus 6301</t>
  </si>
  <si>
    <t>In the cyanobacterium Synechococcus 6301 two photosystem II complexes compete for excitation energy from the same phycobilisome in a statistical pigment bed organization of the light-harvesting antenna. Incubation of intact cells at 0¬∞C causes reversible dissociation of one photosystem II complex from the phycobilisome. Allophycocyanin-B is proposed to link the two core-cylinders of the phycobilisome in the excitation energy transfer pathway. ¬© 1985.</t>
  </si>
  <si>
    <t>79-82</t>
  </si>
  <si>
    <t>60025038;60025038</t>
  </si>
  <si>
    <t>6602538304;57203081985</t>
  </si>
  <si>
    <t>Manodori, Annamaria;Melis, Anastasios</t>
  </si>
  <si>
    <t>Manodori A.</t>
  </si>
  <si>
    <t>Phycobilisome-photosystem II association in Synechococcus 6301 (Cyanophyceae)</t>
  </si>
  <si>
    <t>0014-5793(85)81117-0</t>
  </si>
  <si>
    <t>10.1016/0014-5793(85)81117-0</t>
  </si>
  <si>
    <t>2-s2.0-0005815728</t>
  </si>
  <si>
    <t>['¬© 1985', 'resonator adjustment', 'phenomenon called', 'optical detector', 'optical cavity', 'laser stabilization', 'laser signature', 'inexpensive technique', 'antenna effect']</t>
  </si>
  <si>
    <t>A method is described for detection of CO2 laser power variations which requires no optical detector. It is based on electric field changes near the laser tube induced by the laser power fluctuations within the optical cavity. This phenomenon called by us "antenna effect" is used for laser stabilization. A simple and inexpensive technique for CO2 laser power measurements, resonator adjustment, and for observation of the laser signature is described. ¬© 1985.</t>
  </si>
  <si>
    <t>113-116</t>
  </si>
  <si>
    <t>Optics Communications</t>
  </si>
  <si>
    <t>60019987;60019987;60019987</t>
  </si>
  <si>
    <t>7004484707;6603765174;6701705007</t>
  </si>
  <si>
    <t>Nowicki, R.;Plinski, E. F.;Rzepka, J.</t>
  </si>
  <si>
    <t>Nowicki R.</t>
  </si>
  <si>
    <t>The use of discharge electric field variations to CO&lt;inf&gt;2&lt;/inf&gt; laser stabilization</t>
  </si>
  <si>
    <t>10.1016/0030-4018(85)90243-3</t>
  </si>
  <si>
    <t>2-s2.0-0022013988</t>
  </si>
  <si>
    <t>['undenaturing electrophoresis', 'reaction centre', 'psi antenna', 'protein p3', 'polypeptide r', 'photosystem ii', 'p1 *)', 'oligomeric chlorophyll', 'mesophyll thylakoids', 'mesophyll cells', 'isolation characterized', 'granal thylakoids', 'fluorescence emission', 'containing chlorophyll', 'bundle sheath', 'binding proteins', 'absorption spectrum']</t>
  </si>
  <si>
    <t>absorption spectra | Bundle sheath and mesophyll thylakoids | circular dichroism spectra | fluorescence emission spectra | light harvesting complex I and II</t>
  </si>
  <si>
    <t>In contrast to the granal thylakoids of mesophyll cells, the bundle sheath thylakoids of maize lack photosystem II activity and both of the chlorophyll a binding proteins of photosystem II. The chlorophyll-proteins from bundle sheath and mesophyll thylakoids are separated by undenaturing electrophoresis and after isolation characterized by SDS-urea-PAGE and spectroscopy. The chlorophyll-protein with the highest molecular mass (Chla-P1*) is shown to consist of the reaction centre I containing chlorophyll-protein (Chla-P1) and 12 other polypeptides. Three of the polypeptides are components of the chlorophyll a/b-protein P3, which by its fluorescence emission and absorption spectrum is recognized as PSI antenna. The oligomeric chlorophyll a/b-protein 2** consists of the Chla/b=P2 polypeptides plus a polypeptide R with an apparent molecular weight of 7.800. The bundle sheath thylakoids contain large amounts of the light harvesting complex of the photosystem II which transfers energy efficiently to the PSI reaction centre in absence of the PSII reaction centre. ¬© 1985 Carlsberg Laboratory.</t>
  </si>
  <si>
    <t>127-143</t>
  </si>
  <si>
    <t>Carlsberg Research Communications</t>
  </si>
  <si>
    <t>Bassi, Roberto</t>
  </si>
  <si>
    <t>Copenhagen</t>
  </si>
  <si>
    <t>Carlsberg Research Center</t>
  </si>
  <si>
    <t>Bassi R.</t>
  </si>
  <si>
    <t>Spectral properties and polypeptide composition of the chlorophyll-proteins from thylakoids of granal and agranal chloroplasts of maize (Zea mays L.)</t>
  </si>
  <si>
    <t>10.1007/BF02907141</t>
  </si>
  <si>
    <t>2-s2.0-0001245421</t>
  </si>
  <si>
    <t>['traditional systems', 'reflected signal', 'pulse time', 'energy characteristics', 'comparative analysis', 'beam wobbulation', 'adaptive systems']</t>
  </si>
  <si>
    <t>The results are presented from a comparative analysis of the energy characteristics of traditional radar measuring systems with expectation of the reflected signal and systems in which antennas with beam wobbulation during the pulse time (AWP) are used. It is shown that in adaptive systems with AWP a significant improvement compared with traditional systems can be obtained.</t>
  </si>
  <si>
    <t>56-61</t>
  </si>
  <si>
    <t>Ginzburg, V. M.</t>
  </si>
  <si>
    <t>Ginzburg V.M.</t>
  </si>
  <si>
    <t>ANALYSIS OF THE ENERGY CHARACTERISTICS OF A QUASIHOLOGRAPHIC PULSE MEASURING SYSTEM WITH BEAM WOBBULATION DURING THE TIME OF THE PULSE.</t>
  </si>
  <si>
    <t>2-s2.0-0022022324</t>
  </si>
  <si>
    <t>['three methods', 'statistical problem', 'several configurations', 'selected based', 'readily implemented', 'power efficiency', 'overall reliability', 'layout complexity', 'intermodulation ratio', 'global coverage', 'forming network', 'favorable configuration', 'distributed systems', 'conceptual design', 'band distributed', 'analytic approach', 'amplifier output']</t>
  </si>
  <si>
    <t>A conceptual design and analysis of an L-band distributed-amplifier satellite antenna array system for global coverage are discussed. Several configurations, ranging from an element-fed to a subarray-fed active array, are analyzed. Aspects examined include antenna e. i. r. p. sensitivity to amplifier output variation, maximum amplifier output power, carrier-to-intermodulation ratio (C/IM), efficiency, beam-forming network (BFN) loss, layout complexity, weight of the subsystem, the graceful degradation property of such distributed systems, and overall reliability. The most favorable configuration is selected based on a detailed tradeoff analysis. It is shown that an active array offers high mass-power efficiency which can be readily implemented. The statistical problem of antenna pattern degradation caused by variation in amplifier output is evaluated by three methods: a deterministic upper bound, a Monte Carlo method, and an analytic approach.</t>
  </si>
  <si>
    <t>39-69</t>
  </si>
  <si>
    <t>COMSAT Technical Review</t>
  </si>
  <si>
    <t>Siddiqi, Shakeel</t>
  </si>
  <si>
    <t>Siddiqi S.</t>
  </si>
  <si>
    <t>L-BAND ACTIVE ARRAY SYSTEM FOR GLOBAL COVERAGE.</t>
  </si>
  <si>
    <t>2-s2.0-0022023025</t>
  </si>
  <si>
    <t>['variable along', 'surface impedance', 'obtained results', 'linear dipole', 'inductive loads', 'current along', 'calculating antennas']</t>
  </si>
  <si>
    <t>On the basis of the method of calculating antennas with surface impedance that is variable along the length, the law of variation in the wave propagation constant along a linear dipole is obtained which provides inphase distribution of current along the antenna. The obtained results are used for analysis of antennas with capacitive and inductive loads.</t>
  </si>
  <si>
    <t>84-92</t>
  </si>
  <si>
    <t>57225688610;57198074732</t>
  </si>
  <si>
    <t>Levin, B. M.;Yakovlev, A. D.</t>
  </si>
  <si>
    <t>Levin B.M.</t>
  </si>
  <si>
    <t>ANTENNA WITH LOADS AS AN IMPEDANCE DIPOLE WITH VARIABLE IMPEDANCE.</t>
  </si>
  <si>
    <t>2-s2.0-0022023243</t>
  </si>
  <si>
    <t>['without compensation', 'smaller distortions', 'small elevations', 'radiation pattern', 'linear antennas', 'isotropic model', 'atmosphere yields', 'anisotropic model']</t>
  </si>
  <si>
    <t>Results are presented of calculations of the radiation pattern and directivity of linear antennas in an anisotropic randomly inhomogeneous atmosphere for systems with and without compensation of the arrival angle fluctuations. It is shown that isotropic model of the atmosphere yields too high directivity values (in comparison with the anisotropic model) and smaller distortions in the radiation pattern, particularly for small elevations.</t>
  </si>
  <si>
    <t>68-74</t>
  </si>
  <si>
    <t>7006450972;6508381767;7006332887</t>
  </si>
  <si>
    <t>Armand, N. A.;Kibardina, I. N.;Lomakin, A. N.</t>
  </si>
  <si>
    <t>Armand N.</t>
  </si>
  <si>
    <t>LOSSES IN GAIN AND THE RADIATION PATTERN OF A LINEAR ANTENNA IN ANISOTROPIC TURBULENT ATMOSPHERE.</t>
  </si>
  <si>
    <t>2-s2.0-0022023284</t>
  </si>
  <si>
    <t>['summary description', 'shift keying', 'shared use', 'recommended system', 'rate 1', 'inmarsat system', 'earth stations', 'design feature', 'coding scheme', 'band satellite', 'also described', 'aircraft antennas', 'aircraft antenna', '400 bit']</t>
  </si>
  <si>
    <t>A system is described that can provide data communications via L-band satellite to transoceanic commercial aircraft. This system will provide both air traffic control and company communications data services. The modest satellite capacity that is required can be provided by the INMARSAT space segment. Besides the cost benefits obtained through the shared use of satellites and earth stations in the INMARSAT system, a design that minimizes aircraft equipment costs is also described. This design feature is achieved in part by the use of low-gain, flush-mounted, aircraft antennas. Low data rates are assumed (200 to 400 bit/s) by using differential phase-shift keying (DPSK) modulation and a rate 1/2 convolutional code with interleaved code symbols and soft detection Viterbi decoding. This modulation/coding scheme as chosen to allow reliable operation in the multipath fading environment. After a summary description of the recommended system, this paper examines propagation, aircraft antenna, modulation and coding, acquisition and synzhronization, and network design issues.</t>
  </si>
  <si>
    <t>60007742;60007742;60007742;60007742;60007742</t>
  </si>
  <si>
    <t>6601953916;7501952029;7005168023;6701381400;7102851095</t>
  </si>
  <si>
    <t>Sandrin, William A.;Chen, C. Harry;Hagmann, Walter;Mackenthun, Kenneth N.;Rhodes, Smith A.</t>
  </si>
  <si>
    <t>Sandrin W.A.</t>
  </si>
  <si>
    <t>AERONAUTICAL SATELLITE DATA LINK STUDY.</t>
  </si>
  <si>
    <t>2-s2.0-0022023388</t>
  </si>
  <si>
    <t>['time domain', 'solution algorithm', 'numerical solution', 'nonstationary excitation', 'hallen type', 'cylindrical dipole', 'computed results', 'briefly described', 'basic features']</t>
  </si>
  <si>
    <t>Nonstationary excitation of a cylindrical dipole, formed as a surface of revolution of a piecewise linear generatrix, is discussed. A new integral equation of the Hallen type is derived in the time domain, suitable for numerical solution. Basic features of the solution algorithm are briefly described and some computed results are given and analyzed.</t>
  </si>
  <si>
    <t>129-132</t>
  </si>
  <si>
    <t>7006917106;6506256239</t>
  </si>
  <si>
    <t>Lisitsyn, V. P.;Perunova, V. S.</t>
  </si>
  <si>
    <t>Lisitsyn V.</t>
  </si>
  <si>
    <t>COMPUTATION OF NONSTATIONARY RADIATION OF DIPOLE ANTENNAS WITH THE HELP OF AN INTEGRAL EQUATION IN TIME DOMAIN.</t>
  </si>
  <si>
    <t>2-s2.0-0022023444</t>
  </si>
  <si>
    <t>['reciprocal impedances', 'limiting formulas', 'largely performed', 'highest directivity', 'constant directivity', 'angle scanning', 'aa ).']</t>
  </si>
  <si>
    <t>Wide-angle scanning with a constant directivity of the radiation is largely performed with the use of convex antenna arrays (AA). The purpose of this paper is to find the maximum antenna gain of a ring AA without inverting the matrix of reciprocal impedances and to obtain the limiting formulas for the problem of determing the highest directivity of the radiation.</t>
  </si>
  <si>
    <t>139-142</t>
  </si>
  <si>
    <t>7004856096;7005030448</t>
  </si>
  <si>
    <t>Rybalko, A. M.;Pavlyuk, V. A.</t>
  </si>
  <si>
    <t>Rybalko A.M.</t>
  </si>
  <si>
    <t>LIMITING DIRECTIVITY OF A RING ANTENNA ARRAY.</t>
  </si>
  <si>
    <t>2-s2.0-0022023509</t>
  </si>
  <si>
    <t>['dimensional problems', 'biconical surface']</t>
  </si>
  <si>
    <t>The Kontorovich-Lebedev integral transformation is used to obtain a closed-form rigorous solution of the quasi-three-dimensional problems of excitation of a biconical surface with ideally conducting boundaries by annular, travelling wave slot sources.</t>
  </si>
  <si>
    <t>106-112</t>
  </si>
  <si>
    <t>Goshin, G. G.</t>
  </si>
  <si>
    <t>Goshin G.</t>
  </si>
  <si>
    <t>EXCITATION OF A BICONICAL LINE.</t>
  </si>
  <si>
    <t>2-s2.0-0022023936</t>
  </si>
  <si>
    <t>['velocity associated', 'successful simulation', 'subsequently deployed', 'simulation program', 'second intervals', 'orbit configurations', 'life tests', 'kinetic energy', 'key accomplishments', 'ghz transmit', 'final design', 'engineering models', 'design tool', 'deployment systems', 'deployment system', 'deployment rate', 'deployment mechanism', 'deployment dynamics', 'damped actuators', 'antenna systems', 'angular momentum']</t>
  </si>
  <si>
    <t>The INTELSAT VI satellite is one of the largest commercial communication satellites currently under development. Both its 4- and 6-GHz transmit and receive antenna systems are stowed during launch and subsequently deployed to their on-orbit configurations. The deployment dynamics of both antenna systems are simulated using NBOD2, a general-purpose dynamics computer program. Results of the simulation provide data at fraction-of-a-second intervals for the deployment rate, acceleration, torque, angular momentum, kinetic energy, latch-up time, and latch-up velocity associated with each deployment system. Results of the simulation are then correlated with preliminary empirical data gathered from engineering models on which life tests both with and without system inertia were conducted. The key accomplishments of this simulation program, as addressed here, have been to predict the behavior of both deployment systems; the use of simulation as a design tool in the final design of the deployment mechanism; and the successful simulation of viscous-fluid-damped actuators.</t>
  </si>
  <si>
    <t>127-148</t>
  </si>
  <si>
    <t>James, Paul K.</t>
  </si>
  <si>
    <t>James P.</t>
  </si>
  <si>
    <t>SIMULATION OF DEPLOYMENT DYNAMICS FOR INTELSAT VI TRANSMIT AND RECEIVE BOOM/ANTENNA SYSTEMS.</t>
  </si>
  <si>
    <t>2-s2.0-0022023963</t>
  </si>
  <si>
    <t>['small size', 'radio interference', 'output impedance', 'frequency range', 'dipole antenna', '75 omega', '45 mhz']</t>
  </si>
  <si>
    <t>A small size, active, dipole antenna is described for measurements on the electric field strength of radio interference in a frequency range from 0. 1 to 45 MHz. The antenna's output impedance is 75 OMEGA , and the dc supply voltage is plus 12 v.</t>
  </si>
  <si>
    <t>437-438</t>
  </si>
  <si>
    <t>2 pt 2</t>
  </si>
  <si>
    <t>Instruments and experimental techniques New York</t>
  </si>
  <si>
    <t>100320944;100320944;100320944</t>
  </si>
  <si>
    <t>57224290069;6504749975;7103313639</t>
  </si>
  <si>
    <t>Mikhalev, L. A.;Ogarenko, O. V.;Tishchenko, V. A.</t>
  </si>
  <si>
    <t>All-Russia Scientific-Research Institute for Physicotechnical and Radio-Engineering Measurements</t>
  </si>
  <si>
    <t>Mikhalev L.A.</t>
  </si>
  <si>
    <t>BROADBAND DIPOLE MEASURING ANTENNA.</t>
  </si>
  <si>
    <t>2-s2.0-0022024018</t>
  </si>
  <si>
    <t>['two algorithms', 'theoretical analysis', 'successful beam', 'relaxation technique', 'relaxation method', 'preferable since', 'output phase', 'less susceptible', 'iteration convergence', 'functional analysis', 'forming requires', 'experimental results', 'dominant contributor', 'diagonal dominance', 'converges equally', 'convergence properties', 'computer time']</t>
  </si>
  <si>
    <t>The paper describes two iterative algorithms for computer-controlled beam steering of an hf linear transmitting array in the presence of antenna mutual coupling. The convergence properties of the two algorithms, a modified Newton method and a relaxation technique, are discussed from the point of view of functional analysis and in particular the contraction mapping principle. The theoretical analysis is compared with experimental results. While both algorithms are acceptable, the relaxation method is preferable since it is more economical of computer time and memory, is less susceptible to phase measurement hardware errors and converges equally as well as the modified Newton method. Diagonal dominance of the phase transfer matrix is a condition for iteration convergence that is, successful beam-forming requires that mutual coupling must never become the dominant contributor to output phase on any antenna.</t>
  </si>
  <si>
    <t>79-84</t>
  </si>
  <si>
    <t>Journal of Electrical and Electronics Engineering, Australia</t>
  </si>
  <si>
    <t>100326470;100326470;100326470</t>
  </si>
  <si>
    <t>57199448807;57198880485;7103389860</t>
  </si>
  <si>
    <t>Thomas, R. M.;Roberts, P. M.;Carson, C. T.</t>
  </si>
  <si>
    <t>Electronics Research Lab</t>
  </si>
  <si>
    <t>Thomas R.</t>
  </si>
  <si>
    <t>CONTROL OF PHASED TRANSMISSION FROM A HIGH FREQUENCY ARRAY.</t>
  </si>
  <si>
    <t>2-s2.0-0022024934</t>
  </si>
  <si>
    <t>['technique uses', 'solid state', 'present transponder', 'potential applications', 'passive transponder', 'major advantges', 'low cost', 'long life', 'including animals', 'hybrid technology', 'hostile environment', 'host microcomputer', 'high accuracy', 'energy source', 'easy installation', 'design allows', 'dairy farm', 'antenna reads']</t>
  </si>
  <si>
    <t>A system has been developed to remotely identify moving objects, including animals, with potential applications in industry, commerce and livestock. The technique uses a pulsed radar principle. A power antenna transmits radio frequency bursts and a passive transponder (no energy source) returns a coded signal ('echo'). A separate, time division mutliplexed, antenna reads the echo and a synchronous receiver demodulates the signal which then is decoded by the host microcomputer. The present transponder is 5 cm diameter, 0. 8 cm thick and weighs 16 g. Moreover the design allows for integration by hybrid technology which can yield a unit with an estimated incremental manufacturing cost of less than 5 as well as miniaturization. The complete transponder system is solid state (electronics) with major advantges of: low cost, high accuracy, simplicity, long life, easy installation, and ability to withstand the hostile environment of a dairy farm.</t>
  </si>
  <si>
    <t>622-629</t>
  </si>
  <si>
    <t>Transactions of the American Society of Agricultural Engineers</t>
  </si>
  <si>
    <t>100481904;100481904;100481904</t>
  </si>
  <si>
    <t>55884673000;57196579886;6701314712</t>
  </si>
  <si>
    <t>Sigrimis, N. A.;Scott, N. R.;Czarniecki, C. S.</t>
  </si>
  <si>
    <t>Depatment of Biomedical Engineering</t>
  </si>
  <si>
    <t>Sigrimis N.</t>
  </si>
  <si>
    <t>PASSIVE TRANSPONDER IDENTIFICATION SYSTEM FOR LIVESTOCK.</t>
  </si>
  <si>
    <t>2-s2.0-0022025860</t>
  </si>
  <si>
    <t>['scanner obtained', 'positional accuracy', 'paper describes', 'operational proof', 'next generation', 'new near', 'new generation', 'laser interferometers', 'array radars']</t>
  </si>
  <si>
    <t>A 12-axis laser measurement system, the first of its kind, provides RCA Moorestown's new near-field antenna test facility with the state of the art in mechanical measurement accuracy needed for testing the next generation of lower sidelobe phased-array radars. This paper describes the rationale for and the implementation of this laser calibration system, the operational proof of the system, and its measured accuracy performance. The positional accuracy of the scanner obtained through the laser interferometers and the rapid, automated scanner calibration is making possible nearfield testing of the new generation of low sidelobe antennas.</t>
  </si>
  <si>
    <t>22-27</t>
  </si>
  <si>
    <t>Fuhr, Tim D.</t>
  </si>
  <si>
    <t>Structures &amp; Mechanisms Design Group</t>
  </si>
  <si>
    <t>Fuhr T.</t>
  </si>
  <si>
    <t>LASER MEASUREMENT SYSTEM FOR HIGH-ACCURACY, AUTOMATED NEAR-FIELD PROBE TRACKING.</t>
  </si>
  <si>
    <t>2-s2.0-0022027115</t>
  </si>
  <si>
    <t>['receiving systems', 'radiation performance', 'polarization ellipticity', 'phase difference', 'orthogonal polarizations', 'line antenna', 'isotropic transmission', 'incoming waves', 'important features', 'density matching', 'delta antenna']</t>
  </si>
  <si>
    <t>Important features of the radiation performance of antennas can be presented in radiation triple pattern (RTP) charts. An RTP comprises three diagrams: two field strength patterns for orthogonal polarizations and a radiation density plot expressed by its equivalent field strength. The RTP charts permit many engineering applications and only rigorous polarization matching in receiving systems requires information on the phase difference between the cross-polarized field strength components. Density matching in receiving systems is introduced to make them independent of the polarization ellipticity of incoming waves. Examples are discussed: the tandem-delta antenna and the isotropic transmission-line antenna.</t>
  </si>
  <si>
    <t>54-59</t>
  </si>
  <si>
    <t>Guertler, R. J.F.</t>
  </si>
  <si>
    <t>Camflex Pty Ltd</t>
  </si>
  <si>
    <t>Guertler R.</t>
  </si>
  <si>
    <t>RADIATION DENSITY PLOT AND CROSS-POLARIZED FIELD STRENGTH PATTERNS OF ANTENNAS AND THEIR APPLICATIONS.</t>
  </si>
  <si>
    <t>2-s2.0-0022027795</t>
  </si>
  <si>
    <t>233-239</t>
  </si>
  <si>
    <t>Fedorov, S. A.</t>
  </si>
  <si>
    <t>Fedorov S.</t>
  </si>
  <si>
    <t>Study of electromagnetic waves in pointed pyramidal horns</t>
  </si>
  <si>
    <t>10.1007/BF01035483</t>
  </si>
  <si>
    <t>2-s2.0-0022031094</t>
  </si>
  <si>
    <t>182-188</t>
  </si>
  <si>
    <t>Pelyushenko, S. A.</t>
  </si>
  <si>
    <t>Pelyushenko S.</t>
  </si>
  <si>
    <t>Absolute measurements of antenna parameters by illumination method</t>
  </si>
  <si>
    <t>10.1007/BF01035474</t>
  </si>
  <si>
    <t>2-s2.0-0022031251</t>
  </si>
  <si>
    <t>['transmission rate', 'technology requirements', 'satellite communications', 'satellite communication', 'paper describes', 'link budgets', 'illustration clarifying', 'future services', 'future needs', 'future missions', 'earth station', 'early 1990', 'candidate missions', 'broadcast services', 'another aspect']</t>
  </si>
  <si>
    <t>This paper describes a view of satellite communications missions in the 1990's. It is forecasted not only that future needs of satellite communication/broadcast services will grow, but also that requirements will become more diverse. Another aspect of future services can be the 'personalization' of satellite communications. In this paper we survey 37 representative future missions for provision of communication/broadcast services. The link budgets for each mission are calculated using reasonable assumptions for both satellite antenna size and frequency band used. As a result, we obtain an illustration clarifying the diversification in technology requirements for future missions, which shows the relationship between scale of earth station, frequency and transmission rate. Finally some candidate missions for the early 1990's communication satellite services are postulated.</t>
  </si>
  <si>
    <t>27-38</t>
  </si>
  <si>
    <t>Space communication and broadcasting</t>
  </si>
  <si>
    <t>60092258;60092258;60092258;60092258</t>
  </si>
  <si>
    <t>35466077200;6602543423;7401978176;24281871400</t>
  </si>
  <si>
    <t>Iida, Takashi;Shimoseko, Sachio;Iwasaki, Ken;Shimada, Masaaki</t>
  </si>
  <si>
    <t>SATELLITE COMMUNICATIONS IN THE NEXT DECADE.</t>
  </si>
  <si>
    <t>2-s2.0-0022031411</t>
  </si>
  <si>
    <t>['western europe', 'united states', 'three phases', 'technological developments', 'soviet union', 'science fiction', 'satellite communications', 'paper outlines', 'new industry', 'major changes', 'growing capabilities', 'dramatic advance', '40 years']</t>
  </si>
  <si>
    <t>Satellite communications have advanced from the realm of science fiction to the commonplace in a period of less than 40 years. The paper outlines the birth and development of this new industry which was pioneered by the United States and the Soviet Union but has since become increasingly international, with growing capabilities in Western Europe, Japan, China and India. The technological developments which have accompanied the growth of satellite communications have been both diverse and complex. To illustrate the rapid technological advance in communications, three phases have been identified which are linked by major changes in the state-of-the-art. The concept of the sky-hook, the end of the fish-warmers and the era of the hub-cap provide convenient milestones against which this dramatic advance can be calibrated.</t>
  </si>
  <si>
    <t>Rudge, Alan W.</t>
  </si>
  <si>
    <t>SKY-HOOKS, FISH-WARMERS AND HUB-CAPS: MILESTONES IN SATELLITE COMMUNICATIONS.</t>
  </si>
  <si>
    <t>2-s2.0-0022031412</t>
  </si>
  <si>
    <t>['radiators ensures', 'radiation antennas', 'electromagnetic field']</t>
  </si>
  <si>
    <t>Zenith-radiation antennas are used for local radio broadcasting in the 60-68. 2 m and 73. 84-75. 95 m bands, and in addition, in systems for investigating physical processes occurring in the ionosphere. The authors describe zenith-radiation antennas constructed using plane square radiators. The method of exciting the radiators ensures the radiation of two mutually orthogonal components of the electromagnetic field.</t>
  </si>
  <si>
    <t>30-32</t>
  </si>
  <si>
    <t>39-40</t>
  </si>
  <si>
    <t>Telecommunications and Radio Engineering (English translation of Elektrosvyaz and Radiotekhnika)</t>
  </si>
  <si>
    <t>7006168226;7004141244</t>
  </si>
  <si>
    <t>Belousov, S. P.;Kliger, G. A.</t>
  </si>
  <si>
    <t>Belousov S.</t>
  </si>
  <si>
    <t>ZENITH ANTENNA ARRAYS OF PLANE RADIATORS.</t>
  </si>
  <si>
    <t>2-s2.0-0022031655</t>
  </si>
  <si>
    <t>['technical requirements', 'paper discusses', 'major subsystems', 'ground modes', 'demanding tasks']</t>
  </si>
  <si>
    <t>Multimode airborne radars now have more demanding tasks. The paper discusses the technical requirements of the major subsystems of pulse-Doppler airborne radars. Air-to-air and air-to-ground modes, antenna sidelobe performance, and spectral purity performance are given special consideration.</t>
  </si>
  <si>
    <t>131-135</t>
  </si>
  <si>
    <t>Microwaves and RF</t>
  </si>
  <si>
    <t>Roulston, John F.</t>
  </si>
  <si>
    <t>Ferranti plc</t>
  </si>
  <si>
    <t>Roulston J.</t>
  </si>
  <si>
    <t>DESIGN DECISIONS GUIDE AIRBORNE RADAR.</t>
  </si>
  <si>
    <t>2-s2.0-0022031968</t>
  </si>
  <si>
    <t>['utilization efficiency', 'recent years', 'radio wave', 'propagation channel', 'considerable effect', 'aided method']</t>
  </si>
  <si>
    <t>Investigations in recent years have shown that horizontal ionospheric nonuniformities have a considerable effect on the propagation of radio waves particularly those radiated by highly directional antennas. To estimate the utilization efficiency of antennas, a computer-aided method of calculating the effective field strength along the propagation channel of the radio wave is proposed, which enables both large-scale and fine-structure horizontal ionospheric nonuniformities to be taken into account.</t>
  </si>
  <si>
    <t>20-27</t>
  </si>
  <si>
    <t>Nikonov, G. I.</t>
  </si>
  <si>
    <t>Nikonov G.</t>
  </si>
  <si>
    <t>METHOD OF CALCULATING THE EFFECTIVE FIELD STRENGTH IN SHORT-WAVE RADIO BROADCASTING.</t>
  </si>
  <si>
    <t>2-s2.0-0022034862</t>
  </si>
  <si>
    <t>['traditional condition', 'time components', 'necessary degree', 'interference suppression', 'interference sources', 'high degree']</t>
  </si>
  <si>
    <t>To suppress broadband signals of interference sources, a processing separability condition on the space and time components is proposed, which takes into account the necessary degree of interference suppression. It is shown that for a high degree of suppression, this condition is identical with the traditional condition of space-time signal processing factorizability.</t>
  </si>
  <si>
    <t>6508021786;6603498542;6506142926</t>
  </si>
  <si>
    <t>Danilevskiy, L. N.;Korobko, O. V.;Lyutarevich, B. L.</t>
  </si>
  <si>
    <t>Danilevskiy L.</t>
  </si>
  <si>
    <t>FACTORIZABILITY OF SPACE-TIME PROCESSING OF BROADBAND SIGNALS.</t>
  </si>
  <si>
    <t>2-s2.0-0022034906</t>
  </si>
  <si>
    <t>['several designs', 'line antenna', 'experimental study', 'experimental models', 'endfire fin', 'conducted concerning', '80 ghz', '220 ghz']</t>
  </si>
  <si>
    <t>An experimental study was conducted concerning the development of an endfire fin-line antenna, suitable for imaging array applications at 220 GHz. Experimental models of several designs were built and tested at 80 GHz. The most successful design used a fin-line to dielectric rod transition followed by a dielectric rod antenna.</t>
  </si>
  <si>
    <t>87-89</t>
  </si>
  <si>
    <t>AEU. Archiv fur Elektronik und Ubertragungstechnik</t>
  </si>
  <si>
    <t>60000745;60000745;60000745</t>
  </si>
  <si>
    <t>6603844288;57203875412;55197051100</t>
  </si>
  <si>
    <t>Farr, E.;Webb, K.;Mittra, R.</t>
  </si>
  <si>
    <t>Farr E.</t>
  </si>
  <si>
    <t>Studies in fin-line antenna design for imaging array applications</t>
  </si>
  <si>
    <t>2-s2.0-0022037161</t>
  </si>
  <si>
    <t>222-227</t>
  </si>
  <si>
    <t>7102018982;7005512950;7004294204</t>
  </si>
  <si>
    <t>Kremer, I. Ya;Kostylev, V. I.;Potapov, N. A.</t>
  </si>
  <si>
    <t>Kremer I.</t>
  </si>
  <si>
    <t>Suboptimal detection of extended source of random field in Fresnel zone of a receiving antenna</t>
  </si>
  <si>
    <t>10.1007/BF01035481</t>
  </si>
  <si>
    <t>2-s2.0-0022037945</t>
  </si>
  <si>
    <t>['shift variation', 'minimizing phase', 'measurement system', 'known phase', 'intended beam', 'integrated systems', 'insertion phase', 'individual phased', 'given bandwidth', 'flattening test', 'delay characteristics', 'coaxial components', 'array elements']</t>
  </si>
  <si>
    <t>The ability to control the phase of individual phased-array elements is critical to the operation of these integrated systems. In order for the array to present the intended beam, its T/R modules must have known phase and time-delay characteristics. Thus, an insertion phase-measurement system has been designed to perform insertion phase measurement in wave-guide and coaxial components. In addition, a method of minimizing phase-shift variation and flattening test-set phase response across a given bandwidth has been developed.</t>
  </si>
  <si>
    <t>95-97</t>
  </si>
  <si>
    <t>Martinec, T. L.</t>
  </si>
  <si>
    <t>EG&amp;G</t>
  </si>
  <si>
    <t>Martinec T.</t>
  </si>
  <si>
    <t>OPTIMIZE PHASED-ARRAY T/R PERFORMANCE.</t>
  </si>
  <si>
    <t>2-s2.0-0022039037</t>
  </si>
  <si>
    <t>['varying amounts', 'thermal expansion', 'thermal cycling', 'thermal components', 'sunshield materials', 'solar absorptivity', 'small increase', 'slight decrease', 'mechanical properties', 'low temperatures', 'epoxy composites', 'change except', '3 multiplied']</t>
  </si>
  <si>
    <t>Graphite/epoxy composites (metallized with varying amounts of vapor-deposited aluminum), thermal protection coating, and sunshield materials were exposed to simulated space environmental conditions. The thermophysical, thermo-optical, rf, and mechanical properties were measured. Radiation (3 multiplied by 10**8 rads maximum) and thermal components of the environment were simulated by thermal cycling between minus 175 degree C and plus 50 degree C. Test results indicate that most properties of the composite materials remained practically unchanged after exposure to the simulated radiation environment. However, the solar absorptivity of the thermal protection coating and sunshield materials increased by a factor of two. The mechanical properties of the graphite/epoxy did not change except for a slight decrease in strength at low temperatures and a small increase in the coefficient of thermal expansion.</t>
  </si>
  <si>
    <t>SAMPE Journal</t>
  </si>
  <si>
    <t>60007716;60007716;60007716;60007716</t>
  </si>
  <si>
    <t>6602100953;7102402928;7402343068;6701893127</t>
  </si>
  <si>
    <t>Seehra, S.;Benton, D.;Rosen, J.;Gounder, R.</t>
  </si>
  <si>
    <t>Seehra S.</t>
  </si>
  <si>
    <t>EFFECTS OF SPACE ENVIRONMENTAL CONDITIONS ON GRAPHITE EPOXY COMPOSITES.</t>
  </si>
  <si>
    <t>2-s2.0-17344389634</t>
  </si>
  <si>
    <t>['time delay', 'switched lines', 'status report', 'sidelobe wide', 'receive modules', 'potential application', 'phased arrays', 'phase shifters', 'paper provides', 'future low', 'delay units', 'beam steering']</t>
  </si>
  <si>
    <t>A potential application of MSW technology lies in the area of time delay for future low-sidelobe wide-bandwidth phased array antennas. High-precision MSW electronically tunable analog time-delay units in transmit/receive modules in phased arrays have the potential of greatly enhancing antenna system capabilities, by increasing instantaneous operating bandwidth and decreasing sidelobe levels, over phased array systems using only phase shifters or switched lines for beam steering and control. This paper provides a status report of MSW time delays for such arrays. ¬© 1985 Birkh√§user.</t>
  </si>
  <si>
    <t>335-350</t>
  </si>
  <si>
    <t>0278081X</t>
  </si>
  <si>
    <t>Circuits, Systems, and Signal Processing</t>
  </si>
  <si>
    <t>60001247;60001247</t>
  </si>
  <si>
    <t>57216594449;16462802900</t>
  </si>
  <si>
    <t>Sethares, James C.;Floyd, Robert</t>
  </si>
  <si>
    <t>Sethares J.C.</t>
  </si>
  <si>
    <t>MSW applications for phased array antennas</t>
  </si>
  <si>
    <t>10.1007/BF01600089</t>
  </si>
  <si>
    <t>2-s2.0-34250109693</t>
  </si>
  <si>
    <t>['second element', 'satellite systems', 'microwave techniques', 'microwave ovens', 'lecture traces', 'intruder alarms', 'greatly extended', 'frequency independent', 'essential contribution', 'band waveguides', 'atomic clocks']</t>
  </si>
  <si>
    <t>This lecture traces the development of microwaves during the past four decades or so, and to illustrate in this context the essential contribution that this second element has made. During this period, microwave techniques have been developed for many new applications, ranging from satellite systems and atomic clocks to intruder alarms and microwave ovens. The usable frequency range has been greatly extended, as has the instantaneous bandwidth available, typified by the invention of 'frequency independent' antenna and wide-band waveguides such as microstrip.</t>
  </si>
  <si>
    <t>Proceedings of The Royal Society of London, Series A: Mathematical and Physical Sciences</t>
  </si>
  <si>
    <t>Cullen, A. L.</t>
  </si>
  <si>
    <t>Cullen A.L.</t>
  </si>
  <si>
    <t>MICROWAVES: THE ART AND THE SCIENCE.</t>
  </si>
  <si>
    <t>2-s2.0-0022421005</t>
  </si>
  <si>
    <t>PCM79-03665</t>
  </si>
  <si>
    <t>['¬© 1985', 'structural organization', 'rhodopseudomonas sphaeroides', 'polyethylene glycol', 'peripheral b800', 'induced fusion', 'induced dissociation', 'harvesting system', 'harvesting complexes', 'fluorescence emission', 'also observed', '77 k']</t>
  </si>
  <si>
    <t>The role of phospholipid in the structural organization of the light-harvesting complexes of Rhodopseudomonas sphaeroides was examined in photosynthetic (chromatophore) membrane vesicles fused with liposomes. Photochemically active preparations with progressive phospholipid enrichment up to &gt; 15-fold were obtained by both polyethylene glycol- and acidic-pH-induced fusion. Their fluorescence emission at ~ 300 and 77 K was increased by 2-3.5-fold from the peripheral B800-850 antenna relative to that from the core B875 antenna. Up to 30-40% reduction in the efficiency of excitation energy transfer between B850 and B875 was also observed at 77 K suggesting a selective, phospholipid-induced dissociation of a portion of the B800-850 from the rest of the light-harvesting system. Bacterial photosynthesis Bacteriochlorophyll-protein complex Fluorescence spectroscopy Light-harvesting complex Liposome fusion Photosynthetic membrane (Rhodopseudomonas sphaeroides). ¬© 1985.</t>
  </si>
  <si>
    <t>145-150</t>
  </si>
  <si>
    <t>60119141;60019816;60008734;60119141;60119141;60119141</t>
  </si>
  <si>
    <t>6602326447;7202691944;35599806700;6603200778;7004456032;7006668582</t>
  </si>
  <si>
    <t>Pennoyer, Jeffrey D.;Kramer, Herman J.M.;van Grondelle, Rienk;Westerhuis, Willem H.J.;Amesz, Jan;Niederman, Robert A.</t>
  </si>
  <si>
    <t>United States;Netherlands;Netherlands</t>
  </si>
  <si>
    <t>New Brunswick;Leiden;Amsterdam</t>
  </si>
  <si>
    <t>Rutgers University‚ÄìNew Brunswick;Leiden University;Vrije Universiteit Amsterdam</t>
  </si>
  <si>
    <t>60119141;60019816;60008734</t>
  </si>
  <si>
    <t>Pennoyer J.D.</t>
  </si>
  <si>
    <t>Excitation energy transfer in Rhodopseudomonas sphaeroides chromatophore membranes fused with liposomes</t>
  </si>
  <si>
    <t>10.1016/0014-5793(85)81172-8</t>
  </si>
  <si>
    <t>2-s2.0-0021996539</t>
  </si>
  <si>
    <t>['solubilized b800', 'separated proteoliposomes', 'proteoliposomes containing', 'nk3 chromatophores', 'membrane fusion', 'lateral diffusion', 'intracytoplasmic membranes', 'fused proteoliposome', 'fused membranes', 'functional contact', 'excitons migrated', 'control experiments', 'chromatophore vesicles', 'chromatophore mixture', 'b870 bacteriochlorophyll', '850 complexes', '850 complex', '77k showed']</t>
  </si>
  <si>
    <t>Absorption spectra | Carotenoid band shift | Excition transfer | Fluorescence emission spectra | Light-harvesting complexes | Rhodopseudomonas capsulata</t>
  </si>
  <si>
    <t>Intracytoplasmic membranes of the mutant strain NK3 of Rhodopseudomonas capsulata lacking the lightharvesting complex B800-850 were fused with proteoliposomes containing the B800-850 complex. Fluorescence emission spectroscopy at 77K showed that after fusion the fluorescence of the B850 bacteriochlorophyll disappeared nearly completely and the B870 fluorescence became prominent. This result and control experiments with proteoliposome-chromatophore mixture and with chromatophore and solubilized B800-850 complexes, respectively, indicate that in fused membranes a reorientation of membrane particles took place and excitons migrated from B850 to B870 bacteriochlorophyll. In fused proteoliposome-chromatophore vesicles a light-induced carotenoid band shift was observed, reflecting the building of an electrical membrane potential due to chargeseparation. Carotenoid band shift was not observed in separated proteoliposomes and NK3 chromatophores. It is concluded that by membrane fusion and lateral diffusion of membrane particles reaction center-light-harvesting B870 complexes came in functional contact with B800-850 antenna complexes. ¬© 1985 Springer-Verlag.</t>
  </si>
  <si>
    <t>239-243</t>
  </si>
  <si>
    <t>1432072X</t>
  </si>
  <si>
    <t>Archives of Microbiology</t>
  </si>
  <si>
    <t>7404608866;6601975192;7102742634</t>
  </si>
  <si>
    <t>Garcia, Augusto F.;Gad'on, Nasser;Drews, Gerhart</t>
  </si>
  <si>
    <t>Garcia A.</t>
  </si>
  <si>
    <t>Fusion of proteoliposomes containing the B800-850 light-harvesting complex with membranes of the mutant strain NK3 of Rhodopseudomonas capsulata lacking B800-850</t>
  </si>
  <si>
    <t>10.1007/BF00408065</t>
  </si>
  <si>
    <t>2-s2.0-0021987973</t>
  </si>
  <si>
    <t>['instantaneous bandwidth', 'delay lines', '4 ghz', '2 ghz']</t>
  </si>
  <si>
    <t>An electro-optical technique using optical fibers as delay lines, configured to act as beamformers for phased array antennas, is described. A breadboard feasibility demonstration unit has been constructed to form three simultaneous, independently formed beams for an eight-element linear phased array antenna. The unit was designed for an instantaneous bandwidth of 2 GHz over the band of 2 to 4 GHz.</t>
  </si>
  <si>
    <t>121-123, 126</t>
  </si>
  <si>
    <t>Microwave journal</t>
  </si>
  <si>
    <t>Cardone, Leo</t>
  </si>
  <si>
    <t>Van Nuys</t>
  </si>
  <si>
    <t>ITT Gilfillan</t>
  </si>
  <si>
    <t>Cardone L.</t>
  </si>
  <si>
    <t>ULTRA-WIDEBAND MICROWAVE BEAMFORMING TECHNIQUE.</t>
  </si>
  <si>
    <t>2-s2.0-0022040809</t>
  </si>
  <si>
    <t>351-355</t>
  </si>
  <si>
    <t>Lerer, A. M.</t>
  </si>
  <si>
    <t>Lerer A.</t>
  </si>
  <si>
    <t>Solution of paired integral equations for microstrip and slot lines</t>
  </si>
  <si>
    <t>10.1007/BF01034609</t>
  </si>
  <si>
    <t>2-s2.0-0022041353</t>
  </si>
  <si>
    <t>['spectrum analyzers', 'phased arrays', 'performance improvements', 'missile guidance', 'microwave systems', 'digital conversion', 'command centers']</t>
  </si>
  <si>
    <t>The market for fiber optic component use in microwave systems is forecast, 1984-1994. The advantages of fiber optic transmission lines are outlined for remoting of command centers from antennas and for phased arrays, spectrum analyzers, delay line signal processors, missile guidance and analog-to-digital conversion. Performance improvements of the various fiber optic components also are forecast.</t>
  </si>
  <si>
    <t>100425754;100425754</t>
  </si>
  <si>
    <t>7402007096;7103038893</t>
  </si>
  <si>
    <t>Montgomery, Jeff D.;Dixon, Frank W.</t>
  </si>
  <si>
    <t>Redwood City</t>
  </si>
  <si>
    <t>Electronicast Corp</t>
  </si>
  <si>
    <t>Montgomery J.</t>
  </si>
  <si>
    <t>MICROWAVE FIBER OPTICS FORECAST.</t>
  </si>
  <si>
    <t>2-s2.0-0022042055</t>
  </si>
  <si>
    <t>;;;;;;;;;</t>
  </si>
  <si>
    <t>36942021300;7003517086;6602979515;6701613915;6603121762;6701788746;7006178731;57188648750;7005051797;7401824591</t>
  </si>
  <si>
    <t>Boiko, G. N.;Erukhimov, L. M.;Zyuzin, V. A.;Komrakov, G. P.;Metelev, S. A.;Mityakov, N. A.;Nikonov, V. A.;Ryzhov, V. A.;Tokarev, Yu V.;Frolov, V. L.</t>
  </si>
  <si>
    <t>Boiko G.N.</t>
  </si>
  <si>
    <t>Dynamic characteristics of stimulated radio emission from ionospheric plasma</t>
  </si>
  <si>
    <t>10.1007/BF01034596</t>
  </si>
  <si>
    <t>2-s2.0-0022042113</t>
  </si>
  <si>
    <t>['uses multiplexing', 'tv sets', 'tv adaptor', 'transmission path', 'stereo tv', 'standard method', 'right channels', 'original left', 'mixed together', 'local station', 'home antenna', 'final leg', 'feature ensures', 'existing mono']</t>
  </si>
  <si>
    <t>A standard method of including stereo sound in the final leg of the transmission path - from local station to home antenna is considered. Stereo TV, like stereo FM radio, uses multiplexing. The original left and right channels are mixed together, forming an L plus R monaural signal that is broadcast and received in the same way as in the past. This feature ensures that stereo TV broadcasts will be compatible with existing mono-only TV sets and VCRs. To receive television programming with stereo sound consumers will need special equipment, such as a stereo-TV adaptor.</t>
  </si>
  <si>
    <t>High technology</t>
  </si>
  <si>
    <t>Mitchell, Peter W.</t>
  </si>
  <si>
    <t>High Technology</t>
  </si>
  <si>
    <t>Mitchell P.W.</t>
  </si>
  <si>
    <t>MULTICHANNEL SOUND.</t>
  </si>
  <si>
    <t>2-s2.0-0022043473</t>
  </si>
  <si>
    <t>['successfully tested', 'shaped subreflector', 'receive signals', 'paper describes', 'offset reflector', 'low sidelobes', 'distortions introduced', 'dielectric cone', 'compact design']</t>
  </si>
  <si>
    <t>A dual-offset reflector with a foam dielectrics cone feed and a shaped subreflector is described. The antenna is designed to receive signals from direct broadcast satellites. It combines a compact design with a relatively high efficiency and low sidelobes. The paper describes the theoretical design procedure, including the shaping of the subreflector which corrects for distortions introduced by the dielectric cone. A 12 GHz model is described which has been built and successfully tested.</t>
  </si>
  <si>
    <t>110-114</t>
  </si>
  <si>
    <t>60022109;60022109</t>
  </si>
  <si>
    <t>6507040737;7006827241</t>
  </si>
  <si>
    <t>Voglis, E. E.;Olver, A. D.</t>
  </si>
  <si>
    <t>Voglis E.</t>
  </si>
  <si>
    <t>SHAPED DUAL-OFFSET ANTENNA WITH DIELECTRIC CONE FEED FOR DBS RECEPTION.</t>
  </si>
  <si>
    <t>2-s2.0-0022044427</t>
  </si>
  <si>
    <t>['hospitals become', 'hospital staff', 'hospital site', 'healthcare professionals', 'health education', 'divided equally', '24 hours', '12 hours']</t>
  </si>
  <si>
    <t>As hospitals become more competitive, they are turning to satellite delivered programming to market their services. The Hospital Satellite Network (SHN) is described that now spans 37 states. Distributed via Spacenet 1, transponder no. 6, 24 hours a day, programming is divided equally between patients and healthcare professionals, with 12 hours of health education and information for hospital staff each day and 12 hours of entertainment and information for patients. Reception equipment includes Scientific-Atlanta's 3. 2-meter motorized antennas installed at the hospital site. Dishes are provided by HSN, which leases the equipment from Scientific-Atlanta.</t>
  </si>
  <si>
    <t>31-32</t>
  </si>
  <si>
    <t>Satellite Communications</t>
  </si>
  <si>
    <t>Stephens, Guy M.</t>
  </si>
  <si>
    <t>Stephens G.M.</t>
  </si>
  <si>
    <t>SATELLITES FOR HEALTHCARE.</t>
  </si>
  <si>
    <t>2-s2.0-0022046745</t>
  </si>
  <si>
    <t>['radiation resistance', 'inverted l', 'intership working', 'greater emphasis']</t>
  </si>
  <si>
    <t>The International Maritime Organization is presently rearranging maritime radio with greater emphasis on use of 2182kHz for distress and intership working. Efficiency and radiation resistance of electrically short transmitting antennas - the inverted L-kind in particular - are investigated for this application.</t>
  </si>
  <si>
    <t>24-28</t>
  </si>
  <si>
    <t>Electronics &amp; wireless world</t>
  </si>
  <si>
    <t>Wiseman, J. J.</t>
  </si>
  <si>
    <t>Wiseman J.</t>
  </si>
  <si>
    <t>HOW LONG IS A PIECE OF WIRE?</t>
  </si>
  <si>
    <t>2-s2.0-0022048055</t>
  </si>
  <si>
    <t>['toll center', 'relay system', 'power supply', 'one body', 'maximum capacity', 'eo routes', 'end office', 'emergency operation', 'electrical characteristics', 'commercial test', 'april 1985', '3 mb', '12m system']</t>
  </si>
  <si>
    <t>A transportable digital microwave radio-relay system for emergency operation (the 11P-12M system) has been developed to restore transmission lines between Toll Center (TC) and End Office (EO) when they are interrupted. The 11P-12M system consists of radio-equipment, digital processing units, power supply and an antenna in one body, which is placed on a tripod. Its maximum capacity is 6. 3 Mb/s multiplied by 2. The 11P-12M system is expected to be able to rapidly restore TC-EO routes. In order to confirm the electrical characteristics and mobility of this system, a commercial test will start in April 1985.</t>
  </si>
  <si>
    <t>109-113</t>
  </si>
  <si>
    <t>Japan telecommunications review</t>
  </si>
  <si>
    <t>Yoshida, Teruaki</t>
  </si>
  <si>
    <t>Nippon Telegraph and Telephone Corporation</t>
  </si>
  <si>
    <t>Yoshida T.</t>
  </si>
  <si>
    <t>TRANSPORTABLE DIGITAL MICROWAVE RADIO-RELAY SYSTEM FOR EMERGENCY OPERATION - 11P-12M.</t>
  </si>
  <si>
    <t>2-s2.0-0022050459</t>
  </si>
  <si>
    <t>['mathematical model', 'computation method', 'circular polarizition', 'chinese territory']</t>
  </si>
  <si>
    <t>A mathematical model of the circularly polarized feed is developed in this paper. The approach for the Jacobi-Bessel series expansion of the physical optics radiation integral studied by R. Mittra et al. is extended to the case of circular polarizition. A computation method for the circularly polarized contoured beam of the offset reflector antennas is analysed. Representative numerical result is given for effective isotropic radiated power contour-plot of the western zone coverage of Chinese territory by the 7-element array illumination. ¬© 1985 Science Press.</t>
  </si>
  <si>
    <t>95-102</t>
  </si>
  <si>
    <t>60102437;107860144</t>
  </si>
  <si>
    <t>24793295500;24789229000</t>
  </si>
  <si>
    <t>Zhenwei, Liu;Zhenxuan, Fu</t>
  </si>
  <si>
    <t>China;China</t>
  </si>
  <si>
    <t>Beijing;Beijing</t>
  </si>
  <si>
    <t>China Academy of Space Technology;Beijing Institute of Information and Control</t>
  </si>
  <si>
    <t>Zhenwei L.</t>
  </si>
  <si>
    <t>Circularly polarized contoured beam antenna with offset reflectorarray feeds</t>
  </si>
  <si>
    <t>10.1007/BF02778804</t>
  </si>
  <si>
    <t>2-s2.0-51649147540</t>
  </si>
  <si>
    <t>['¬© 1985', 'type complexes', 'structures must', 'rhodospirillaceae ).', 'observed variability', 'namely b850', 'mg ligand', 'local environments', 'likely candidate', 'isolated states', 'isolated state', 'intracytoplasmic membrane', 'extremely similar', 'distinguished among', 'dihydrophorbin ring', 'complexes observed', 'bchl interactions', 'antenna bchl', '800 ns']</t>
  </si>
  <si>
    <t>(Rhodospirillaceae) | Bacterial photosynthesis | Bacteriochlorophyll | Light-harvesting complex | Resonance Raman spectroscopy</t>
  </si>
  <si>
    <t>Several antenna complexes of Rhodospirillales were studied, within the intracytoplasmic membrane or in their isolated states by comparing resonance Raman spectra of their bacteriochlorophyll (BChl) molecules. It has been found that in B880-type complexes the states of BChl are extremely similar, in terms of their local environments. By contrast, at least two families of structures must be distinguished among the B850-800-type complexes, namely B850-800 S (from Chromatiaceae) and B850-800 NS (from Rhodospirillaceae). It appears that the more the energy of the lower singlet level of antenna BChl is decreased from its value in the isolated state, the smaller is the observed variability in its proteic host sites in the set of complexes observed. On the other hand, resonance Raman spectroscopy permits to conclude that the ground-state interactions assumed by the dihydrophorbin ring of BChl a within these complexes most probably are protein-BChl and not BChl-BChl or lipids-BChl interactions. Histidine is a likely candidate as the Mg ligand for the 880 and 850 nm absorbing molecules, but not for the 800 nm absorbing ones. ¬© 1985.</t>
  </si>
  <si>
    <t>60019615;60019615</t>
  </si>
  <si>
    <t>7103125115;7201814095</t>
  </si>
  <si>
    <t>Robert, Bruno;Lutz, Marc</t>
  </si>
  <si>
    <t>Structures of antenna complexes of several Rhodospirillales from their resonance Raman spectra</t>
  </si>
  <si>
    <t>10.1016/0005-2728(85)90048-9</t>
  </si>
  <si>
    <t>2-s2.0-0021949019</t>
  </si>
  <si>
    <t>['¬© 1985', 'total light', 'strongly parallel', 'stretch axis', 'rhodopseudomonas sphaeroides', 'reaction centres', 'pigmenting cells', 'photosynthetic unit', 'membranes prepared', 'intracytoplasmic membranes', 'interconnect approx', 'high aeration', 'harvesting system', 'harvesting network', 'fluorescence emission', 'excitation spectroscopy', 'development appears', 'cells grown', 'bacteriochlorophyll distance', 'bacteriochlorophyll content', 'average bacteriochlorophyll', 'aerobic culture', '850 antenna', '5 nm', '4 k', '3 ].', '2 ].', '15 nm', '1 ].']</t>
  </si>
  <si>
    <t>(Rps. sphaeroides) | Bacterial photosynthesis | Energy transfer | Light-harvesting complex | Linear dichroism | Membrane development</t>
  </si>
  <si>
    <t>Photosynthetic membrane formation was induced in a nonpigmented, aerobic culture of Rhodopseudomonas sphaeroides. During the course of the experiment, the bacteriochlorophyll content of the cells increased approx. 40-fold [1]. Membranes prepared from pigmenting cells were analysed by fluorescence emission and excitation spectroscopy at 4 K; at all stages efficient energy transfer was observed between B850 and B875 bacteriochlorophylls within the light-harvesting system [2]. A light-harvesting domain containing several interconnected traps (reaction centres) and about 200 B875 bacteriochlorophylls was present in membranes from cells grown under high aeration. Over the course of the experiment the size of this domain increases 5-fold in intracytoplasmic membranes, with the result that the total light-harvesting network is composed of 3000 bacteriochlorophyll molecules; these surround and interconnect approx. 30 reaction centres. We estimate the average reaction centre-reaction centre distance in mature intracystoplasmic membranes to be about 15 nm and the average bacteriochlorophyll-bacteriochlorophyll distance to be about 1.5 nm [3]. An examination of the linear dichroism properties of stretched pigmenting membranes demonstrated that all orientations of pigments are maintained during development, the orientation of the B875 absorbance band being strongly parallel to the stretch axis. The expansion of the photosynthetic unit during development appears to involve the addition of B800-850 antenna to form increasingly random aggregates around highly ordered B875 antenna complexes. ¬© 1985.</t>
  </si>
  <si>
    <t>44-51</t>
  </si>
  <si>
    <t>60020650;60003878;60008734</t>
  </si>
  <si>
    <t>13105070700;7202691944;35599806700</t>
  </si>
  <si>
    <t>Hunter, C. N.;Kramer, H. J.M.;van Grondelle, R.</t>
  </si>
  <si>
    <t>United Kingdom;Netherlands;Netherlands</t>
  </si>
  <si>
    <t>Bristol;Amsterdam;Leiden</t>
  </si>
  <si>
    <t>University of Bristol;Vrije Universiteit Amsterdam;Sterrewacht Leiden</t>
  </si>
  <si>
    <t>60020650;60008734;60003878</t>
  </si>
  <si>
    <t>Hunter C.N.</t>
  </si>
  <si>
    <t>Linear dichroism and fluorescence emission of antenna complexes during photosynthetic unit assembly in Rhodopseudomonas sphaeroides</t>
  </si>
  <si>
    <t>10.1016/0005-2728(85)90051-9</t>
  </si>
  <si>
    <t>2-s2.0-0021978828</t>
  </si>
  <si>
    <t>['¬© 1985', 'two types', 'triplet spectrum', 'transport chain', 'transferred freely', 'sulfur centers', 'reduction state', 'reduced ground', 'reaction center', 'higher plants', 'epr study', 'acceptors chain', '8 k', '2 ms', '1 ms']</t>
  </si>
  <si>
    <t>(Mastigocladus sp.) | ESR | Iron-sulfur center | Photosystem I | Reaction center | Triplet state</t>
  </si>
  <si>
    <t>EPR study of reduced ground and photoexcited triplet state of Photosystem I reaction center in the thermophylic cyanobacterium Mastigocladus laminosus at 8 K is reported. In the reduced ground state preparation, the iron-sulfur EPR spectra are found to be similar to that of Photosystem I reaction center of higher plants. Two types of transient photoexcited triplets are observed and are correlated to the reduction state of the iron-sulfur centers. When electrons can be transferred freely through the acceptors chain, a polarized triplet spectrum is observed, typical of spin-orbit intersystem crossing mechanism with lifetime of approx. 2 ms and is attributed to chlorophyll a, either at the antenna or at A1 in the electron-transport chain. When the iron-sulfur centers are reduced the triplet spectrum is typical of a radical-pair intersystem crossing mechanism with triplet lifetime shorter than 1 ms, and is attributed to P-700. Both species have similar spectroscopic zero field splitting parameters identifying both as chlorophyll a. ¬© 1985.</t>
  </si>
  <si>
    <t>35-43</t>
  </si>
  <si>
    <t>60022403;60022403;60007903;60007903</t>
  </si>
  <si>
    <t>7004464888;57212322945;57212691809;7003757625</t>
  </si>
  <si>
    <t>Nechushtai, Rachel;Nelson, Nathan;Gonen, Oded;Levanon, Haim</t>
  </si>
  <si>
    <t>Israel;Israel</t>
  </si>
  <si>
    <t>Haifa;Jerusalem</t>
  </si>
  <si>
    <t>Technion - Israel Institute of Technology;Hebrew University of Jerusalem</t>
  </si>
  <si>
    <t>60022403;60007903</t>
  </si>
  <si>
    <t>Nechushtai R.</t>
  </si>
  <si>
    <t>Photosystem I reaction center from Mastigocladus laminosus. Correlation between reduction state of the iron-sulfur centers and the triplet formation mechanisms</t>
  </si>
  <si>
    <t>10.1016/0005-2728(85)90050-7</t>
  </si>
  <si>
    <t>2-s2.0-4243944712</t>
  </si>
  <si>
    <t>Fondation pour la Recherche M√©dicale</t>
  </si>
  <si>
    <t>UUKC 83-13</t>
  </si>
  <si>
    <t>FRM</t>
  </si>
  <si>
    <t>['¬© 1985', 'two fractions', 'total glycopeptides', 'retarded fraction', 'retained fraction', 'remaining 55', 'pronase digestion', 'primary structure', 'previously determined', 'nmr spectroscopy', 'methylation analysis', 'human serotransferrin', 'glycopeptides obtained', 'glcnac antenna', 'affinity chromatography', 'additional neuac', 'acetyllactosaminic type']</t>
  </si>
  <si>
    <t>Glycopeptides obtained from human serotransferrin by pronase digestion were separated into two fractions by affinity chromatography on Con A-Sepharose. The retarded fraction (85% of total glycopeptides) contained sialylated biantennary glycans of the N-acetyllactosaminic type, the primary structure of which has been previously determined. The non-retained fraction (15% of total glycopeptides) consisted of two isomeric triantennary glycans of the N-acetyllactosaminic type. The primary structure have been elucidated by methylation analysis and 500 MHz 1H-NMR spectroscopy. Both contain an additional NeuAc(Œ±2 ‚Üí 3)Gal(Œ≤ ‚Üí 4)GlcNAc antenna. The latter is linked to C-4 of the (Œ±1‚Üí3) bound Man residue in 45% of the glycans in the non-retained fraction but to C-6 of the (Œ±1 ‚Üí 6) bound Man residue, in the remaining 55% of the glycans in this fraction. Transferrin NMR analysis Glycan structure Glycoprotein heterogeneity. ¬© 1985.</t>
  </si>
  <si>
    <t>65-69</t>
  </si>
  <si>
    <t>60104298;60104298;60104298;60007989;60007989</t>
  </si>
  <si>
    <t>7006843431;6505568560;56377616100;7006107403;35473444200</t>
  </si>
  <si>
    <t>Spik, Genevi√®ve;Debruyne, V√©ronique;Montreuil, Jean;van Halbeek, Herman;Vliegenthart, Johannes F.G.</t>
  </si>
  <si>
    <t>France;Netherlands</t>
  </si>
  <si>
    <t>Villeneuve-d'Ascq;Utrecht</t>
  </si>
  <si>
    <t>Unit√© de Glycobiologie Structurale et Fonctionnelle (UGSF);Utrecht University</t>
  </si>
  <si>
    <t>60104298;60007989</t>
  </si>
  <si>
    <t>Spik G.</t>
  </si>
  <si>
    <t>Primary structure of two sialylated triantennary glycans from human serotransferrin</t>
  </si>
  <si>
    <t>10.1016/0014-5793(85)80955-8</t>
  </si>
  <si>
    <t>2-s2.0-0021914345</t>
  </si>
  <si>
    <t>['œ ≤)', '¬© 1985', 'small bacteriochlorophyll', 'protein consists', 'complete amino', 'binding polypeptides', 'binding polypeptide', 'acid sequence']</t>
  </si>
  <si>
    <t>The small bacteriochlorophyll-binding polypeptide(Œ≤) of the light-harvesting complex B800-850 from the phototrophic bacterium Rhodopseudomonas capsulata was purified from the complex and the membrane, respectively. The complete amino-acid sequence has been determined. The Mr of the polypeptide is 4597. The protein consists of 49 amino acids, 64% of which are hydrophobic. Homology with other bacteriochlorophyll-binding polypeptides is discussed. Bacteriochlorophyll-binding polypeptide Primary structure Rhodopseudomonas capsulata B800-850 antenna pigment complex. ¬© 1985.</t>
  </si>
  <si>
    <t>91-94</t>
  </si>
  <si>
    <t>60025641-60007257;60007257;60025641</t>
  </si>
  <si>
    <t>7005687711;7402404216;7102742634</t>
  </si>
  <si>
    <t>Tadros, Monier Habib;Frank, Rainer;Drews, Gerhart</t>
  </si>
  <si>
    <t>Freiburg im Breisgau;Heidelberg</t>
  </si>
  <si>
    <t>Universit√§t Freiburg im Breisgau;European Molecular Biology Laboratory Heidelberg</t>
  </si>
  <si>
    <t>60025641;60007257</t>
  </si>
  <si>
    <t>Tadros M.</t>
  </si>
  <si>
    <t>The complete amino-acid sequence of the small bacteriochlorophyll-binding polypeptide B800-850Œ≤ from light-harvesting complex B800-850 of Rhodopseudomonas capsulata</t>
  </si>
  <si>
    <t>10.1016/0014-5793(85)80960-1</t>
  </si>
  <si>
    <t>2-s2.0-0021992634</t>
  </si>
  <si>
    <t>Fondation Simone et Cino Del Duca</t>
  </si>
  <si>
    <t>['¬© 1985', 'rock lobster', 'retrogradely transported', 'result indicates', 'motor neurons', 'granular blue', 'fluorescent tracer', 'central ganglion', 'axon terminals', 'appropriate post', 'antennal muscle']</t>
  </si>
  <si>
    <t>antennal muscle | fluorescent retrograde labelling | fluorescent tracer | Granular blue | motor neurons | rock lobster</t>
  </si>
  <si>
    <t>Retrograde axonal transport and fluorescent retrograde labelling of neurons were investigated in a crustacean motor system. A fluorescent tracer (Granular blue) was injected into an antennal muscle of rock lobster in order to identify the motor neurons innervating it. After an appropriate post-injection survival time, the fluorescent tracer was found to have labelled motor neurons in the central ganglion. This result indicates that after uptake by the axon terminals, the fluorescent tracer was retrogradely transported through axons of motor neurons to the parent cell bodies. ¬© 1985.</t>
  </si>
  <si>
    <t>97-102</t>
  </si>
  <si>
    <t>Neuroscience Letters</t>
  </si>
  <si>
    <t>60008134;60029616</t>
  </si>
  <si>
    <t>6603211907;57216177777</t>
  </si>
  <si>
    <t>Rossi-Durand, C.;Sorensen, K. E.</t>
  </si>
  <si>
    <t>Denmark;France</t>
  </si>
  <si>
    <t>Aarhus;Paris</t>
  </si>
  <si>
    <t>Aarhus Universitet;CNRS Centre National de la Recherche Scientifique</t>
  </si>
  <si>
    <t>60029616;60008134</t>
  </si>
  <si>
    <t>Rossi-Durand C.</t>
  </si>
  <si>
    <t>Use of the fluorescent retrograde tracer, granular blue, in crustacean motor system studies</t>
  </si>
  <si>
    <t>10.1016/0304-3940(85)90001-1</t>
  </si>
  <si>
    <t>2-s2.0-0021999536</t>
  </si>
  <si>
    <t>['wax models', 'polar plots', 'known behavior', 'exact model', 'dielectric antenna', 'antenna sensillum', '4x amplification', '30 ¬∞', '1 cm']</t>
  </si>
  <si>
    <t>Wax models were made of three basic types of lovebug, Plecia neartica Hardy, antenna sensillum. Polar plots of amplified guided radiation at 3.1 cm are given. Highly directional beamwidths of 20 and 30¬∞ and 4X amplification are demonstrated by two of the configurations and a circular pattern 3X amplification by the third steeply curved model. All three radiation patterns correlate very well with the known behavior of the lovebug. This exact model is evidence for an IR-dielectric antenna (scent) system of sensillum insect communication. ¬© 1985 Optical Society of America.</t>
  </si>
  <si>
    <t>1094-1097</t>
  </si>
  <si>
    <t>Callahan, Philip S.</t>
  </si>
  <si>
    <t>USDA Agricultural Research Service, Gainesville</t>
  </si>
  <si>
    <t>Callahan P.</t>
  </si>
  <si>
    <t>Dielectric waveguide modeling at 3.0 cm of the antenna sensilla of the lovebug, plecia neartica hardy</t>
  </si>
  <si>
    <t>10.1364/AO.24.001094</t>
  </si>
  <si>
    <t>2-s2.0-0342814025</t>
  </si>
  <si>
    <t>['wavelength criteria', 'three sensilla', 'nonlinear molecular', 'natural attractant', 'important attractant', 'generalized description', 'female antennae', 'emission theory', 'diesel exhaust', 'abundant aldehyde', '79 -,']</t>
  </si>
  <si>
    <t>Irradiated automobile exhaust fumes and their components were tested as an attractant for the lovebug, Plecia nearctica Hardy. Of the five different aldehydes tested, formaldehyde and heptaldehyde were the two most attractive. Formaldehyde is the abundant aldehyde in the fumes of diesel exhaust and is probably the single most important attractant. A generalized description is given of the female antennae. Three different types of sensillum (spine) match the 1-2-wavelength criteria for an open-resonator dielectric antenna, as given by Kiely. A nonlinear IR spectrum obtained by blowing saturated formaldehyde air through a punch-hole scatter antenna is given. The 10.93-, 22.73-, 26.88-, 32.79-, and 42.19-jam maserlike lines match the predicted wavelength resonant modes for the three sensilla. This is considered direct evidence for a man-generated wavelength mimic of a natural attractant and also direct evidence of the validity of Callahan‚Äôs dielectric waveguide-nonlinear molecular (maserlike) emission theory of the insect communication system. ¬© 1985 Optical Society of America.</t>
  </si>
  <si>
    <t>1088-1093</t>
  </si>
  <si>
    <t>60103678;60103678;60103678</t>
  </si>
  <si>
    <t>7005669951;24529562600;57189883188</t>
  </si>
  <si>
    <t>Callahan, Philip S.;Carlysle, Thelma C.;Denmark, Harold A.</t>
  </si>
  <si>
    <t>Mechanism of attraction of the lovebug, plecia nearctica, to southern highways: Further evidence for the ir-dielectric waveguide theory of insect olfaction</t>
  </si>
  <si>
    <t>10.1364/AO.24.001088</t>
  </si>
  <si>
    <t>2-s2.0-0343248611</t>
  </si>
  <si>
    <t>['two photosystem', 'two chlorophyll', 'three polypeptides', 'reaction centre', 'protein composition', 'p1 complex', 'maize thylakoids', 'high chlorophyll', 'following sequence', 'energy transfer', 'denaturing sds', 'connecting antenna', 'b ratio', 'another chlorophyll', '77 k', '730 nm', '700 chl', '680 nm', '680 acts', '25 kd', '24 kd']</t>
  </si>
  <si>
    <t>77 K fluorescence emission spectra | Absorption spectra | chlorophyll-proteins | circular dichroism spectra | energy transfer | gel electrophoresis | light-harvesting complexes of photosystem I | polypeptide composition | Zea mays</t>
  </si>
  <si>
    <t>Two photosystem I (PSI) preparations were purified by non-denaturing SDS-PAGE or sucrose gradient ultracentrifugation and examined as to their chlorophyll-protein composition. In both preparations a minimum of two chlorophyll-proteins can be distinguished in addition to the 110 kD P-700 Chl a -P1 complex. One (LHCI-730) is a chlorophyll-protein (Mr 40 kD) having a high chlorophyll a/b ratio, and a major 77 K fluorescence peak at 730 nm. It consists of three polypeptides with apparent molecular weights of 21, 22.5 and 24 kD. Another chlorophyll-protein (LHCI-680) with a lower molecular weight (Mr 25 kD) fluoresces at 77 K with a maximum at 680 nm. This chlorophyll-protein has a high chlorophyll b content and two constituent polypeptides of 20 and 25 kD. Absorption, 77 K fluorescence and circular dichroism spectra of the PSI related chlorophyll-proteins are presented and compared with those of photosystem II chlorophyll-proteins from maize thylakoids. We propose a model for energy transfer in the photosystem I reaction centre with the following sequence: LHCI-730‚ÜíLHCI-680 ‚ÜíChl a -P1. LHCI-680 acts as a connecting antenna which can also transfer energy from Chl a/b -P2. This model was used to interpret the 77 K fluorescence emission from two barley mutants. ¬© 1985 Carlsberg Laboratory.</t>
  </si>
  <si>
    <t>145-162</t>
  </si>
  <si>
    <t>60000481;60072195;60019782</t>
  </si>
  <si>
    <t>35553979700;6602286800;7402414929</t>
  </si>
  <si>
    <t>Bassi, Roberto;Machold, Otto;Simpson, David</t>
  </si>
  <si>
    <t>Germany;Denmark;Italy</t>
  </si>
  <si>
    <t>Gatersleben;Copenhagen;Padua</t>
  </si>
  <si>
    <t>Leibniz Institute of Plant Genetics and Crop Plant Research;Carlsberg Research Center;Universit√† degli Studi di Padova</t>
  </si>
  <si>
    <t>60072195;60019782;60000481</t>
  </si>
  <si>
    <t>Chlorophyll-proteins of two photosystem I preparations from maize</t>
  </si>
  <si>
    <t>10.1007/BF02907142</t>
  </si>
  <si>
    <t>2-s2.0-0001375469</t>
  </si>
  <si>
    <t>['wider range', 'vice versa', 'units recorded', 'units coded', 'three joints', 'second antennae', 'receptor types', 'receptive input', 'range tested', 'proximal organ', 'others coded', 'nerve bundles', 'maintained change', 'longitudinal axes', 'long axis', 'logarithmic change', 'larger units', 'joint position', 'joint allows', 'fully flexed', 'fully extended', 'f joints', 'extracellular recordings', 'distal segments', 'displacement velocity', 'discharge frequency', 'directionally selective', 'directional properties', 'chordotonal organs', 'active movement', '200 ¬∞/', '160 hz']</t>
  </si>
  <si>
    <t>1. The crayfish Cherax destructor can direct the tips of its second antennae to any point in a large solid angle covering the area in front, above, behind and to the side of its body. 2. The articulations at three joints are important for the mobility of the antennae: the carpopodite/flagellar (C/F) joint, the meropodite/carpopodite (M/C) joint, and the ischiopodite/meropodite (I/M) joint. 3. During active movement the M/C and C/F joints articulate synchronously and about the same plane. Together these two joints allow the tip of the flagellum to be swept through nearly 180¬∞ from in front of the animal to behind it. 4. The I/M joint allows the distal segments to be rotated by about 160¬∞ around the long axis of the antenna. 5. Two chordotonal organs monitor the movements of the antenna about its transverse and longitudinal axes: the distal organ measures the displacement of the M/C and C/F joints; the proximal organ that of the I/M joint. 6. Extracellular recordings from the nerve bundles of the two chordotonal organs during displacement of the individual joints revealed a range of receptor types: Smaller amplitude units have higher tonic discharge rates than larger units. All units recorded were directionally selective, and responded during movement of the joint. Some units coded the change in joint position as well as the displacement velocity, others coded only the displacement velocity. 7. Position sensitive units changed their tonic discharge frequency by a factor of about 2 in response to a maintained change in joint position from fully flexed to fully extended or vice versa, depending on their directional properties. 8. Velocity sensitive units covered a wider range, their frequency of discharge typically changing from about 40 to 160 Hz for constant angular velocities between 25 and 200¬∞/s. The discharge frequency of pure velocity detectors increased linearly in relation to the logarithmic change in displacement velocity, over the range tested. 9. It is proposed that the chordotonal organs and the mechanoreceptors on the flagellum together constitute the receptive input for an active touch system, capable not only of detecting the presence, but also the shape of objects in their vicinity. ¬© 1985 Springer-Verlag.</t>
  </si>
  <si>
    <t>363-373</t>
  </si>
  <si>
    <t>Journal of Comparative Physiology A</t>
  </si>
  <si>
    <t>Sandeman, D. C.</t>
  </si>
  <si>
    <t>Sandeman D.</t>
  </si>
  <si>
    <t>Crayfish antennae as tactile organs: their mobility and the responses of their proprioceptors to displacement</t>
  </si>
  <si>
    <t>10.1007/BF00618126</t>
  </si>
  <si>
    <t>2-s2.0-0005813747</t>
  </si>
  <si>
    <t>['two proteins', 'react specifically', 'oxygen concentration', 'noninduced cells', 'mr 60', 'mr 47', 'mr 26', 'introducing light', 'chlorosome polypeptides', 'chloroflexus aurantiacus', '12 h']</t>
  </si>
  <si>
    <t>Bacteriochlorophyll | Chloroflexus | Light-harvesting complexes | Polyproteins | Protein processing</t>
  </si>
  <si>
    <t>Chloroflexus aurantiacus can be induced to shift from respiratory to photosynthetic energy production by introducing light and/or lowering the oxygen concentration of a culture. After induction, cells synthesize bacteriochlorophyll and proteins for the formation of a functional photosynthetic apparatus. Bacteriochlorophyll is detectable within 2 h after induction. Chlorosome polypeptides are detected after 8-12 h. Two proteins, Mr 60,000 and Mr 47,000, are present in both induced and noninduced cells and react specifically with antibodies against chlorosome polypeptides. Immunological data suggest that these proteins (Mr 60,000 and 47,000) are polyproteins which are transcribed and translated in the dark. When cells are exposed to light or low oxygen tension these proteins are processed into functional polypeptides required in the assembly of the chlorosome. The reaction center polypeptide (Mr 26,000) appears to be part of a separate genetic control system. ¬© 1985 Springer-Verlag.</t>
  </si>
  <si>
    <t>344-347</t>
  </si>
  <si>
    <t>60014313;60014313</t>
  </si>
  <si>
    <t>16465183900;35593628100</t>
  </si>
  <si>
    <t>Redling, T. E.;Fuller, R. C.</t>
  </si>
  <si>
    <t>Redling T.</t>
  </si>
  <si>
    <t>Protein processing as a regulatory mechanism in the synthesis of the photosynthetic antenna in Chloroflexus</t>
  </si>
  <si>
    <t>10.1007/BF00428847</t>
  </si>
  <si>
    <t>2-s2.0-0021813135</t>
  </si>
  <si>
    <t>['uk ),', 'prime contractor', 'peter hickman', 'olof lundberg', 'netherlands ).', 'maritime service', 'managing director', 'director general', 'detailed account', 'consortium headed', 'communications division', 'bae space', 'author gives', '2 class', '15 april']</t>
  </si>
  <si>
    <t>Inmarsat has announced the contract for the manufacture of its second generation satellites. The Inmarsat-2 class will be built by a consortium headed by British Aerospace Dynamics (UK), as prime contractor, and including the Hughes Aircraft Company (US), Matra Espace (France) and Fokker (Netherlands). The contract was signed on 15 April by Olof Lundberg, Inmarsat's director general, and Peter Hickman, managing director of BAe space and communications division. The author gives a detailed account of the order in which these satellites will be placed in orbit as well as the expected significant improvements in the maritime service.</t>
  </si>
  <si>
    <t>Lloyd's ship manager</t>
  </si>
  <si>
    <t>Maconachie, Bill</t>
  </si>
  <si>
    <t>Maconachie B.</t>
  </si>
  <si>
    <t>INMARSAT OPTS FOR OWN SATELLITES TO MEET GROWING MARITIME NEEDS.</t>
  </si>
  <si>
    <t>2-s2.0-0022057330</t>
  </si>
  <si>
    <t>['weighting function', 'weighting coefficient', 'various values', 'synthesized pattern', 'synthesis procedure', 'synthesis criterion', 'specified angles', 'problem reduces', 'numerical results', 'elliptical antennas', 'current norm', 'create nulls', 'circular antennas']</t>
  </si>
  <si>
    <t>A synthesis procedure of closed planar antennas with a specified amplitude pattern is presented. The sum of the mean square difference between the given and the synthesized pattern and the current norm (with a free weighting coefficient) is used as the criterion of proximity between the given and the synthesized pattern. The problem reduces to a nonlinear integral equation. Numerical Results are given for circular antennas and for elliptical antennas with various values of eccentricity. The effect of the weighting coefficient of the current norm on the results of the synthesis is investigated. The possibility of using a weighting function in the synthesis criterion to create nulls at specified angles of the pattern is illustrated.</t>
  </si>
  <si>
    <t>35-40</t>
  </si>
  <si>
    <t>6603346090;6603901427</t>
  </si>
  <si>
    <t>Andriychuk, M. I.;Voytovich, N. N.</t>
  </si>
  <si>
    <t>Andriychuk M.</t>
  </si>
  <si>
    <t>SYNTHESIS OF A CLOSED PLANAR ANTENNA WITH A GIVEN AMPLITUDE PATTERN.</t>
  </si>
  <si>
    <t>2-s2.0-0022057405</t>
  </si>
  <si>
    <t>['time filter', 'time domain', 'frequency characteristics', 'filter parameters', 'different numbers', 'band noise', 'antenna element']</t>
  </si>
  <si>
    <t>A method is proposed for synthesizing a space-time filter that processes in the time domain. The frequency characteristics for different numbers of sections in each antenna element and value of the element delay tau as well as the dependence of the suppression of wide-band noise on the filter parameters are investigated.</t>
  </si>
  <si>
    <t>66-72</t>
  </si>
  <si>
    <t>6508021786;6602503689;6603498542</t>
  </si>
  <si>
    <t>Danilevskiy, L. N.;Domanov, Yu A.;Korobko, O. V.</t>
  </si>
  <si>
    <t>INVESTIGATION OF A SPACE-TIME FILTER FOR PROCESSING WIDE-BAND SIGNALS.</t>
  </si>
  <si>
    <t>2-s2.0-0022057406</t>
  </si>
  <si>
    <t>['wide range', 'transfer chain', 'theoretical parameters', 'process parameters', 'photosynthesis process', 'photocatalytic reaction', 'photocatalytic equipment', 'operating efficiently', 'one sun', 'investigated using', 'good description', 'experimental data']</t>
  </si>
  <si>
    <t>The characteristics of a photocatalytic reaction have been investigated using as an example the photosynthesis process with participation of an electron-transfer chain. The equations obtained give a good description of the experimental data. The productivity and efficiency of the system has been modeled over a wide range of the process parameters, including the electron-transfer process rates, the pigment antenna values, and the rate of the oxidative respiratory process. The theoretical parameters of the photocatalytic equipment have been found which is most capable of operating efficiently for absorbed light energy intensities in 'one sun' and in 'one hundred suns. '</t>
  </si>
  <si>
    <t>453-459</t>
  </si>
  <si>
    <t>3 pt 1</t>
  </si>
  <si>
    <t>Kinetics and Catalysis</t>
  </si>
  <si>
    <t>Varfolomeev, S. D.</t>
  </si>
  <si>
    <t>Varfolomeev S.</t>
  </si>
  <si>
    <t>MOLECULAR PHOTOCATALYTIC PROCESSES. II. OPTIMUM CHARACTERISTICS WITH LIGHT INTENSITIES OF 'ONE SUN' AND 'ONE HUNDRED SUNS'.</t>
  </si>
  <si>
    <t>2-s2.0-0022057838</t>
  </si>
  <si>
    <t>['strong relationship', 'reception regimes', 'received power', 'limiting condition', 'finite even', 'author tries']</t>
  </si>
  <si>
    <t>Considering the strong relationship between operation of an antenna in the transmission and reception regimes as well as the M. S. Neiman's formula from which it follows that the received power is proportional to antenna directive gain, we can, obviously, assume that in the presence of losses in the antenna surrounding medium the maximum antenna directive gain will be finite even in the absence of the limiting condition. Here the author tries to show this.</t>
  </si>
  <si>
    <t>132-139</t>
  </si>
  <si>
    <t>Fel'd, Ya N.</t>
  </si>
  <si>
    <t>Fel'd Y.</t>
  </si>
  <si>
    <t>MAXIMUM VALUE OF THE DIRECTIVE GAIN OF AN ANTENNA LOCATED IN A LOSSY MEDIUM.</t>
  </si>
  <si>
    <t>2-s2.0-0022058340</t>
  </si>
  <si>
    <t>['tensile strength', 'situ test', 'known area', 'cut away', 'adhesive strength']</t>
  </si>
  <si>
    <t>A nondestructive, in situ test to measure the adhesive strength of reflective paint used on rf antenna surfaces is described. To ensure that only the paint and its associated bond strength are tested, any fillets of adhesive that are formed between the stud and the antenna surface must be scribed or cut away. By doing so, only the known area is tested and not any elements of tensile strength of the adhesive or paint.</t>
  </si>
  <si>
    <t>IBM technical disclosure bulletin</t>
  </si>
  <si>
    <t xml:space="preserve">Anon, </t>
  </si>
  <si>
    <t>Anon</t>
  </si>
  <si>
    <t>FIELD TEST FOR PAINT INTEGRITY.</t>
  </si>
  <si>
    <t>2-s2.0-0022058965</t>
  </si>
  <si>
    <t>['test activity', 'effective use', 'concentrated effort', 'complex digital', 'analog testing']</t>
  </si>
  <si>
    <t>The use of mini and microcomputers in the test activity is not new, but over the years more and more applications have surfaced. At Missile and Surface Radar Division, where both complex digital and analog testing is required, a concentrated effort has been made to reduce manufacturing test times through the effective use of automation and automated test equipment.</t>
  </si>
  <si>
    <t>66-70</t>
  </si>
  <si>
    <t>100357899;100357899</t>
  </si>
  <si>
    <t>6603868132;7103329517</t>
  </si>
  <si>
    <t>Hynes, B. A.;Dunlap, R. M.</t>
  </si>
  <si>
    <t>Missile &amp; Surface Radar Div</t>
  </si>
  <si>
    <t>Hynes B.</t>
  </si>
  <si>
    <t>AUTOMTED TESTING - THE TRANSITION TO PRODUCTION.</t>
  </si>
  <si>
    <t>2-s2.0-0022059464</t>
  </si>
  <si>
    <t>['two categories', 'rigorous solution', 'radiation problem', 'obtained without', 'integral equation', 'hopf method', 'current response']</t>
  </si>
  <si>
    <t>A rigorous solution to the current response on a dipole is obtained without any restrictions. The integral equation (IE) giving the current pulse sequence response in the scattering or radiation problem is separated into two categories of time-order recurrent IE. One is a full region IE, which can be solved by the integral transform technique; the other is a half region IE, which can be solved with the Wiener-Hopf method in addition to the integral transform technique.</t>
  </si>
  <si>
    <t>541-555</t>
  </si>
  <si>
    <t>Scientia sinica. Series A. Mathematical, physical, astronomical and technical sciences</t>
  </si>
  <si>
    <t>Shen, Haoming</t>
  </si>
  <si>
    <t>Institute of Electronics Chinese Academy of Sciences</t>
  </si>
  <si>
    <t>Shen H.</t>
  </si>
  <si>
    <t>RIGOROUS TRANSIENT SOLUTION TO THE CURRENT RESPONSE ON A DIPOLE.</t>
  </si>
  <si>
    <t>2-s2.0-0022060212</t>
  </si>
  <si>
    <t>['verified experimentally', 'rectangular waveguide', 'rectangular form', 'input admittance', 'function approach', 'experimental values', 'circular form', 'arbitrary terminations']</t>
  </si>
  <si>
    <t>The problem of a coaxially fed antenna in a rectangular waveguide with arbitrary terminations is considered. The analysis uses Green's function approach, which takes into account the circular form of the source and the rectangular form of the guide. The theory is verified experimentally. The comparison between theoretical and experimental values of the input admittance of the antenna shows good agreement.</t>
  </si>
  <si>
    <t>190-192</t>
  </si>
  <si>
    <t>Bialkowski, M. E.</t>
  </si>
  <si>
    <t>Probe antenna in arbitrarily terminated rectangular waveguide</t>
  </si>
  <si>
    <t>2-s2.0-0022061181</t>
  </si>
  <si>
    <t>['three second', 'te mode', 'radiation occurred', 'power ranged', 'output power', 'obtained previously', 'nine first', 'mounted detectors', 'measured frequency', 'magnetic field', 'harmonic radiations', 'harmonic modes', 'extensive redesign', 'electron beam', 'calibrated detectors', 'also estimated', '54 kg', '240 ghz', '200 w', '2 kw']</t>
  </si>
  <si>
    <t>First- and second-harmonic radiations in frequency regions centered around 120 and 240 GHz, respectively, have been observed from a gyromonotron employing magnetic fields between 34 and 54 kG and a magnetron injection gun preducing a 30-kV, 1- to 2-A electron beam. Extensive redesign of the cavity, electron beam tunnel holders, and vacuum envelope resulted in greatly improved tube performance over that obtained previously. Nine first-harmonic modes and three second-harmonic modes were identified with specific TE cavity modes. These identifications were based on agreement between the measured frequency of a radiation and the calculated resonant frequency of a TE mode, and one or both of the following: (a) the agreement between the magnetic field at which the radiation occurred and that predicted by linear theory calculations of threshold current versus magnetic field for that mode; and (b) the similarity between the far-field antenna pattern measured with calibrated, waveguide-mounted detectors and that predicted for that mode. Output power was measured with a Scientech 362 Calorimeter and also estimated by integrating the far-field antenna patterns measured with the calibrated detectors. The power ranged from a fraction of a watt to 200 W for second-harmonic modes, and from tens of watts to 2 kW for first-harmonic modes. ¬© 1985 Plenum Publishing Corporation.</t>
  </si>
  <si>
    <t>339-366</t>
  </si>
  <si>
    <t>Silverstein, J. D.</t>
  </si>
  <si>
    <t>Adelphi</t>
  </si>
  <si>
    <t>U.S. Army Research Laboratory</t>
  </si>
  <si>
    <t>Silverstein J.</t>
  </si>
  <si>
    <t>First- and second-harmonic radiations from a near-millimeter-wave gyromonotron</t>
  </si>
  <si>
    <t>10.1007/BF01009764</t>
  </si>
  <si>
    <t>2-s2.0-0022061224</t>
  </si>
  <si>
    <t>['two applications', 'second example', 'present paper', 'preceding paper', 'physical mass', 'number r', 'number p', 'modal characteristics', 'measuring degrees', 'identified results', 'first example', 'excited modes', 'damping matrix', 'called incomplete']</t>
  </si>
  <si>
    <t>In a preceding paper a theory of incomplete system matrix identification was presented. With this theory it is possible to identify the incomplete physical mass, stiffness and damping matrix as well as the modal characteristics of a structure from incomplete dynamic excitation. The excitation is called incomplete if the number r of excited modes is smaller than the number p of measuring degrees of freedom. In the present paper, two applications are presented. In the first example, a theoretical five degree of freedom vibration system is used to simulate dynamic test response. The sensitivity of the identified results with respect to simulated measurement errors is investigated. In the second example, measured vibration test data of a communication satellite antenna structure are used to identify the modal characteristics and the physical mass-modified stiffness matrix of the structure.</t>
  </si>
  <si>
    <t>178-187</t>
  </si>
  <si>
    <t>0342068X</t>
  </si>
  <si>
    <t>Zeitschrift fur Flugwissenschaften und Weltraumforschung</t>
  </si>
  <si>
    <t>Link, Michael</t>
  </si>
  <si>
    <t>Kassel</t>
  </si>
  <si>
    <t>Universit√§t Kassel</t>
  </si>
  <si>
    <t>Link M.</t>
  </si>
  <si>
    <t>APPLICATION OF A METHOD FOR IDENTIFYING INCOMPLETE SYSTEM MATRICES USING VIBRATION TEST DATA.</t>
  </si>
  <si>
    <t>2-s2.0-0022062606</t>
  </si>
  <si>
    <t>['unwanted interference', 'penalty function', 'optimum choice', 'important factor', 'extensively carried', 'especially investigated', 'desired signal', 'constraint coefficient', 'analytical limitation', 'also shown']</t>
  </si>
  <si>
    <t>An adaptive antenna array system with phase-only control and under the principle of DCMP (directionally constrained minimization of power) is discussed. A new penalty function is introduced for the system in order to take into consideration the protection of the desired signal while minimizing the unwanted interference and/or noise. Because of the analytical limitation, computer simulation experiments are extensively carried out. The constraint coefficient that is the most important factor the penalty function is especially investigated, and the optimum choice is given. It is also shown that the theoretical consideration leads to the same value. Finally, the quantization of phaseshifters is attempted, and the limit of its performance is shown.</t>
  </si>
  <si>
    <t>325-330</t>
  </si>
  <si>
    <t>60011001;60011001</t>
  </si>
  <si>
    <t>7003894513;7102188996</t>
  </si>
  <si>
    <t>Kikuma, Nobuyoshi;Takao, Kazuaki</t>
  </si>
  <si>
    <t>Kikuma N.</t>
  </si>
  <si>
    <t>DIRECTIONALLY CONSTRAINED ADAPTIVE ARRAY WITH PHASE-ONLY CONTROL.</t>
  </si>
  <si>
    <t>2-s2.0-0022064677</t>
  </si>
  <si>
    <t>['system availability', 'steerable antennas', 'rational assignment', 'providing information', 'precipitation events', 'planning satellites', 'outage time', 'increased burst', 'fade durations', 'extra eirp', 'experimental results', 'board resource']</t>
  </si>
  <si>
    <t>Models and experimental results on the behavior of fade durations during precipitation events are described. Fade durations are studied for two distinct purposes: for providing information to be used in planning satellites which use a common on-board resource (extra EIRP, increased burst-length, steerable antennas, lower frequency beacon) to be assigned to particular stations undergoing severe attenuation; and for a rational assignment of the outage time to the system availability or to the signal quality design criteria.</t>
  </si>
  <si>
    <t>194-202</t>
  </si>
  <si>
    <t>Alta frequenza</t>
  </si>
  <si>
    <t>PROJECT COST 205: DYNAMIC CHARACTERISTICS OF RAIN ATTENUATION.</t>
  </si>
  <si>
    <t>2-s2.0-0022064756</t>
  </si>
  <si>
    <t>['theoretical results', 'resonant frequency', 'radiation patterns', 'mutual admittances', 'lumped elements', 'input impedance', 'antenna operated']</t>
  </si>
  <si>
    <t>An analysis of an annular ring microstrip antenna is presented. The antenna is modelled as a lossy resonant cavity characterised by lumped circuit elements. The value of these lumped elements is obtained from a knowledge of the self and mutual admittances between two radiating circular apertures and the energy stored within the volume of the cavity. A closed form expression for the resonant frequency of the antenna operated in the TM//1//2 mode is given. The input impedance and radiation patterns of the antenna have been measured and found to agree with theoretical results.</t>
  </si>
  <si>
    <t>185-189</t>
  </si>
  <si>
    <t>ANALYSIS OF ANNULAR RING MICROSTRIP ANTENNA USING CAVITY MODEL.</t>
  </si>
  <si>
    <t>2-s2.0-0022064771</t>
  </si>
  <si>
    <t>['many existent', 'future implementatioin', 'community antenna', 'chief importance', 'broadcast satellites', 'broadband isdn']</t>
  </si>
  <si>
    <t>Among the many existent and apparent broadband network alternatives, terrestrial broadcasting transmitters, communications/broadcast satellites, community antenna and wired broadcasting systems, and broadband ISDN seem to be the ones of chief importance. For the future implementatioin of the broadband ISDN different alternatives are feasible, the expansion of the ISDN into a broadband ISDN being the one that lies at hand.</t>
  </si>
  <si>
    <t>Telcom Report (English Edition)</t>
  </si>
  <si>
    <t>Armbruester, Heinrich</t>
  </si>
  <si>
    <t>Siemens AG</t>
  </si>
  <si>
    <t>Armbruester H.</t>
  </si>
  <si>
    <t>WIRED BROADCASTING SYSTEMS AND BROADBAND ISDN: COEXISTING OR COMPETING?</t>
  </si>
  <si>
    <t>2-s2.0-0022066864</t>
  </si>
  <si>
    <t>['two sites', 'tm beacon', 'strong evidence', 'satellite signals', 'satellite paths', 'refractive index', 'radio path', 'often caused', 'normally associated', 'june 1982', 'federal republic', 'dish together', 'december 1983', 'cumulus clouds']</t>
  </si>
  <si>
    <t>Results of investigtions on the fluctuations of the amplitude of signals in Earth-satellite paths are described. Measurements have been made at two sites, i. e. at Louvain-la-Neuve, Belgium, where events have been recorded from 1981 until 1983 on the OTS-TM beacon with a 4. 6-m dish together with a 12 and 13 GHz radiometer and at Leeheim, Federal Republic of Germany, where scintillations were recorded from June 1982 to December 1983 with a 3 m and a 8. 5 m antenna, simultaneously. Fluctuations of the amplitude of satellite signals are often caused by small scale inhomogeneities of the refractive index in the troposphere and there is strong evidence that at least in the 11 GHz band they are normally associated with cumulus clouds in the radio path (clear-air scintillations).</t>
  </si>
  <si>
    <t xml:space="preserve">Anon </t>
  </si>
  <si>
    <t>PROJECT COST 205: SCINTILLATIONS IN EARTH-SATELLITE LINKS.</t>
  </si>
  <si>
    <t>2-s2.0-0022067141</t>
  </si>
  <si>
    <t>['rectangular waveguide', 'mounting post', 'little bandwidth', 'establish guidelines', 'equivalent circuits', 'coaxial probe']</t>
  </si>
  <si>
    <t>The equivalent circuits of both a tuning or mounting post and a coaxial probe in a rectangular waveguide below cutoff are investigated in order to establish guidelines for choosing optimum dimensions. The post is shown to be a versatile circuit element but coaxial probe coupling has only little bandwidth.</t>
  </si>
  <si>
    <t>193-198</t>
  </si>
  <si>
    <t>7007008452;6507852349;7003548609</t>
  </si>
  <si>
    <t>Last, Reinhard;Poddig, Rolf;Schuenemann, Klaus</t>
  </si>
  <si>
    <t>Last R.</t>
  </si>
  <si>
    <t>CIRCUIT ELEMENTS IN WAVEGUIDE-BELOW-CUTOFF TECHNIQUE.</t>
  </si>
  <si>
    <t>2-s2.0-0022067179</t>
  </si>
  <si>
    <t>['zero thickness', 'total field', 'slit may', 'radiation field', 'numerical results', 'narrow slit', 'infinite extent', 'gain turns', 'gain characteristics', 'field components', 'far field', '20 ghz', '1 mm']</t>
  </si>
  <si>
    <t>The diffraction of the radiation field of a linearly polarised feed with a circularly symmetrical gain pattern by a narrow slit in a perfectly conducting screen of infinite extent and zero thickness is investigated. Using known results for plane wave diffraction by a narrow slit, the field in the slit may be calculcated. Expressions are given for the field components in the far field. Cross-polarisation and gain characteristics of the total field have been calculated. Numerical results are presented for slit widths less than 1 mm at 20 GHz. The influence on cross-polarisation and gain turns out to be small.</t>
  </si>
  <si>
    <t>179-184</t>
  </si>
  <si>
    <t>60021681;60021681</t>
  </si>
  <si>
    <t>6506950545;35610223800</t>
  </si>
  <si>
    <t>Neelen, Arno H.;Maanders, Eduard J.</t>
  </si>
  <si>
    <t>Amsterdam</t>
  </si>
  <si>
    <t>Royal Philips</t>
  </si>
  <si>
    <t>Neelen A.</t>
  </si>
  <si>
    <t>DIFFRACTION OF A LINEARLY POLARISED RADIATION FIELD BY A NARROW SLIT IN A PLANE CONDUCTING REFLECTOR.</t>
  </si>
  <si>
    <t>2-s2.0-0022068806</t>
  </si>
  <si>
    <t>['wake side', 'surface oil', 'speed flow', 'related shapes', 'pressure sides', 'practical applications', 'normal force', 'lifting surfaces', 'incident mainly', 'high angle', 'flow technique', 'flow patterns', 'flow field', 'flat squaresharp', 'flat plates', 'edged plate', 'distinct changes', 'abrupt change']</t>
  </si>
  <si>
    <t>Low aspect ratio, flat plates in low speed flow experience an abrupt and relatively large change in normal force at some high angle of incidence. Such plates have practical applications, e. g. , as lifting surfaces on missiles or in related shapes, e. g. , in heliostats, antennas, etc. A flat squaresharp-edged plate, was investigated in low-speed flow at angles of incident mainly between alpha approximately equals 26 degree and alpha approximately equals 60 degree . Flow patterns were obtained by means of surface oil-flow technique, smoke flow visualizations and tufts. Vortex shedding behind the plate was studied with the aid of a stroboscope and a hot-wire. Pressures were measured on the suction and pressure sides and the normal force obtained from them. A substantial and abrupt change in the normal force was observed at alpha approximately equals 30 degree , accompanied by distinct changes in the flow field on the wake side and downstream of the plate.</t>
  </si>
  <si>
    <t>134-142</t>
  </si>
  <si>
    <t>60009506;60009506</t>
  </si>
  <si>
    <t>7201958386;55391722400</t>
  </si>
  <si>
    <t>Stahl, Wolfgang H.;Mahmood, Muzafferuddin</t>
  </si>
  <si>
    <t>Saudi Arabia</t>
  </si>
  <si>
    <t>Dhahran</t>
  </si>
  <si>
    <t>King Fahd University of Petroleum and Minerals</t>
  </si>
  <si>
    <t>Stahl W.</t>
  </si>
  <si>
    <t>SOME ASPECTS OF THE FLOW PAST A SQUARE FLAT PLATE AT HIGH INCIDENCE.</t>
  </si>
  <si>
    <t>2-s2.0-0022068924</t>
  </si>
  <si>
    <t>['unsignificantly correlated', 'test ),', 'selective hypothesis', 'rutilus rutilus', 'rotifers increased', 'never consumed', 'large numbers', 'junk publishers', 'free bags', 'fish predation', 'far greater', 'bosmina longirostris', 'bag experiments', 'ad .)']</t>
  </si>
  <si>
    <t>body-size | Bosmina | eye-size | fish-predation | roach</t>
  </si>
  <si>
    <t>Prey selection mechanisms of juveniles of the particulate feeding roach (Rutilus rutilus) were tested in bag experiments in lake Gjersj√∏n. Cladocerans and large developmental stages (cop. IV-ad.) of copepods were consumed in large numbers both in the bags added fish and in lake, while rotifers increased in numbers in bags added fish. The effect of fish predation on the small cladoceran Bosmina longirostris was tested by comparing morphological structures in fish-free bags and bags added fish. The results strongly support the visibility selective hypothesis, as eye-diameter became significantly smaller in bags added fish (P &lt; 0.05, T-test), while body-size, length of antennae and mucro, frequency and number of eggs were slightly or unsignificantly correlated with presence or absence of fish. Further, while roach was found to consume large numbers of Bosmina longirostris, the far greater but nearly unpigmented Asplanchna priodonta was never consumed. Additionally, other data further supporting the visibility-selective hypothesis are discussed. ¬© 1985 Dr W. Junk Publishers.</t>
  </si>
  <si>
    <t>73-79</t>
  </si>
  <si>
    <t>Hydrobiologia</t>
  </si>
  <si>
    <t>Hessen, Dag O.</t>
  </si>
  <si>
    <t>Oslo</t>
  </si>
  <si>
    <t>Universitetet i Oslo</t>
  </si>
  <si>
    <t>Hessen D.</t>
  </si>
  <si>
    <t>Selective zooplankton predation by pre-adult roach (Rutilus rutilus): The size-selective hypothesis versus the visibility-selective hypothesis</t>
  </si>
  <si>
    <t>10.1007/BF00011400</t>
  </si>
  <si>
    <t>2-s2.0-0022235948</t>
  </si>
  <si>
    <t>['wave antennas', 'wave antenna', 'long periods', 'geophysical quantities', 'geophysical phenomena', 'experimental apparatus', 'electrical antenna', 'continuous operation', 'apparatus consists']</t>
  </si>
  <si>
    <t>Astronomical observations (listed by technique of observation) | Experimental tests of general relativity and observations of gravitational radiation | PACS. 91.30 | Seismology</t>
  </si>
  <si>
    <t>We describe an experimental apparatus, designed for studying the correlations between the background of gravitational-wave antennas and geophysical phenomena, that has been installed in the Department of Physics of the University of Rome ¬´La Sapienza¬ª. The apparatus consists of a 2300 kg room temperature gravitational-wave antenna, of sensors of geophysical quantities (accelerometer, gravimeter and electrical antenna) and of a computer-based data acquisition system designed for continuous operation over long periods of time. ¬© 1985 Societ√† Italiana di Fisica.</t>
  </si>
  <si>
    <t>300-319</t>
  </si>
  <si>
    <t>Il Nuovo Cimento C</t>
  </si>
  <si>
    <t>60021660;60032350-60021660;60032350-60021660;60032350-60021660-60082962;60021660-60082962</t>
  </si>
  <si>
    <t>24785804500;25649375000;7003386560;7004243218;55880048200</t>
  </si>
  <si>
    <t>Bronzini, T.;Frasca, S.;Pizzella, G.;Pallottino, G. V.;vannaroni, G.</t>
  </si>
  <si>
    <t>Istituto di Fisica dello Spazio Interplanetario, Rome;Sapienza Universit√† di Roma;Istituto Nazionale di Fisica Nucleare - INFN</t>
  </si>
  <si>
    <t>60082962;60032350;60021660</t>
  </si>
  <si>
    <t>Bronzini T.</t>
  </si>
  <si>
    <t>An experimental apparatus for studying the background of gravitational-wave antennas and its correlation with geophysical phenomena</t>
  </si>
  <si>
    <t>10.1007/BF02574715</t>
  </si>
  <si>
    <t>2-s2.0-51649157441</t>
  </si>
  <si>
    <t>['¬© 1985', 'two longer', 'two components', 'spectrum peaks', 'spectral peak', 'second type', 'reaction centers', 'ps ii', 'preferentially related', 'preexponential factors', 'picosecond resolution', 'photon timing', 'opposite dependence', 'major contribution', 'lived components', 'lived component', 'lhc ii', 'large increase', 'fmax state', 'fast component', 'f0 ),', 'exponential analysis', 'excitation spectra', 'earlier conclusion', 'arises mainly', 'also found', '80 ps', '706 nm', '700 nm', '696 nm', '690 nm', '685 nm', '682 nm', '443 ).', '3 ns', '180 ps', '160 ps', '16 ns', '100 ps']</t>
  </si>
  <si>
    <t>(Chlorella, kinetics) | Chlorophyll fluorescence | Fluorescence decay | Green alga | Photosynthesis | Photosystem I | Photosystem II</t>
  </si>
  <si>
    <t>The time-resolved fluorescence emission and excitation spectra of Chlorella vulgaris cells have been measured by single-photon timing with picosecond resolution. In a three-exponential analysis the time-resolved excitation spectra recorded at 685 and 706 nm emission wavelength with closed PS II reaction centers show large variations of the preexponential factors of the different decay components as a function of wavelength. At Œªem = 685 nm the major contribution to the fluorescence decay originates from two components with life-times of 2.1-2.4 and 1.2-1.3 ns. A short-lived component with life-times of 0.1-0.16 ns of relatively small amplitude is also found. When the emission is detected at 706 nm, the short-lived component with a life-time of less than 0.1 ns predominates. Time-resolved emission spectra using Œªexc = 630 or Œªexc = 652 nm show a spectral peak of the two longer-lived components at about 680-685 nm, whereas the fast component is red-shifted as compared to the others and shows a maximum at about 690 nm. The emission spectrum observed upon excitation at 696 nm with closed PS II reaction centers shows a large increase in the amplitude of the fast component with a lifetime of 80-100 ps as compared to that at 630 nm excitation. At almost open Photosystem II (PS II) reaction centers (F0), the life-time of the fast component decreased from 150-160 ps at 682 nm to less than 100 ps at 720 nm emission wavelength. We conclude that at least two pigment pools contribute to the fast component. One is attributed to PS II and the other to Photosystem I (PS I). They have life-times of approx. 180 ps and 80 ps, respectively. The 80 ps (PS I) contribution has a spectral maximum slightly below 700 nm, whereas the 180 ps (PS II) spectrum peaks at 680-685 nm. The spectra of the middle decay component œÑm and its sensitivity to inhibitors of PS II suggest that this component is not preferentially related to LHC II but arises mainly from Chl a pigments probably associated with a second type of PS II centers. The amplitudes of the fast (180 ps, PS II) component and the long-lived decay show an opposite dependence on the state of the PS II centers and confirm our earlier conclusion that the contribution of PS II to the fast component probably disappears at the Fmax state (Haehnel W., Holzwarth, A.R. and Wendler, J. (1983) Photochem. Photobiol. 34, 435-443). Our data are discussed in terms of Œ±,Œ≤-heterogeneity in PS II centers. ¬© 1985.</t>
  </si>
  <si>
    <t>155-167</t>
  </si>
  <si>
    <t>60072285;60072285;60005322</t>
  </si>
  <si>
    <t>35501122300;24395584500;57209053577</t>
  </si>
  <si>
    <t>Holzwarth, Alfred R.;Wendler, Joachim;Haehnel, Wolfgang</t>
  </si>
  <si>
    <t>Mulheim an der Ruhr;Bochum</t>
  </si>
  <si>
    <t>Max Planck Institute for Chemical Energy Conversion;Ruhr-Universitat Bochum</t>
  </si>
  <si>
    <t>60072285;60005322</t>
  </si>
  <si>
    <t>Holzwarth A.</t>
  </si>
  <si>
    <t>Time-resolved picosecond fluorescence spectra of the antenna chlorophylls in Chlorella vulgaris. Resolution of Photosystem I fluorescence</t>
  </si>
  <si>
    <t>10.1016/0005-2728(85)90119-7</t>
  </si>
  <si>
    <t>2-s2.0-0000310574</t>
  </si>
  <si>
    <t>['¬© 1985', 'therefore act', 'results showed', 'open ocean', 'magnesium 2', 'harvesting capacity', 'divinylpheoporphyrin a5', 'detergent extracts', 'chlorophyll emission', 'chl b', 'alga accumulates', '700 nm']</t>
  </si>
  <si>
    <t>(Mantoniella) | Chlorophyll | Chlorophyll c-like pigments | Chlorophyll fluorescence | Excitation energy</t>
  </si>
  <si>
    <t>Fluorescence excitation spectra (between 400-500 and 610-700 nm) for chlorophyll emission from particles and detergent extracts of the primitive green microalga, Mantoniella, were measured. The results showed that the prophyrin, magnesium 2,4-divinylpheoporphyrin a5, which this alga accumulates in addition to Chl b, also can transfer excitation energy to Chl a, and therefore act as antenna for photosynthesis. Evidence was found that magnesium 2,4-divinylpheoporphyrin a5 has a Soret band near 450 nm in vivo which further increases the light-harvesting capacity of these algae growing deep in the open ocean. ¬© 1985.</t>
  </si>
  <si>
    <t>143-146</t>
  </si>
  <si>
    <t>Brown, Jeanette S.</t>
  </si>
  <si>
    <t>Carnegie Institution of Washington</t>
  </si>
  <si>
    <t>Brown J.</t>
  </si>
  <si>
    <t>Three photosynthetic antenna porphyrins in a primitive green alga</t>
  </si>
  <si>
    <t>10.1016/0005-2728(85)90117-3</t>
  </si>
  <si>
    <t>2-s2.0-0343674594</t>
  </si>
  <si>
    <t>['¬© 1985', 'rights reserved', 'largest bandwidth', 'good agreement', 'fourth resonances', 'electrical engineers']</t>
  </si>
  <si>
    <t>Antennas | Dipole antennas</t>
  </si>
  <si>
    <t>The flat folded dipole has its largest bandwidth when low dielectric substrate is used, and when it acts at both third and fourth resonances. Theory and experiments are in good agreement. ¬© 1985, The Institution of Electrical Engineers. All rights reserved.</t>
  </si>
  <si>
    <t>426-427</t>
  </si>
  <si>
    <t>60030553;106643574</t>
  </si>
  <si>
    <t>7006052449;6506682047</t>
  </si>
  <si>
    <t>Dubost, G.;Rabbaa, A.</t>
  </si>
  <si>
    <t>France;Morocco</t>
  </si>
  <si>
    <t>Rennes;Casablanca</t>
  </si>
  <si>
    <t>Universite de Rennes 1;University of Casablanca</t>
  </si>
  <si>
    <t>Dubost G.</t>
  </si>
  <si>
    <t>Substrate influence on flat folded dipole bandwidth</t>
  </si>
  <si>
    <t>10.1049/el:19850303</t>
  </si>
  <si>
    <t>2-s2.0-0022421989</t>
  </si>
  <si>
    <t>['¬© 1985', 'rights reserved', 'radiation patterns', 'new type', 'ellipticity properties', 'electrical engineers', 'approximately 15']</t>
  </si>
  <si>
    <t>Antenna arrays | Antennas | Planar antennas</t>
  </si>
  <si>
    <t>A new type of planar array composed of a pair of dielectric resonator antennas has been devised and tested. Both the radiation patterns and ellipticity properties are presented. The 2 dB ellipticity bandwidth obtained was approximately 15% at X-band. ¬© 1985, The Institution of Electrical Engineers. All rights reserved.</t>
  </si>
  <si>
    <t>60028263;60028263</t>
  </si>
  <si>
    <t>6603687544;7006081894</t>
  </si>
  <si>
    <t>Haneishi, M.;Takazawa, H.</t>
  </si>
  <si>
    <t>Saitama</t>
  </si>
  <si>
    <t>Saitama University</t>
  </si>
  <si>
    <t>Haneishi M.</t>
  </si>
  <si>
    <t>Broadband circularly polarised planar array composed of a pair of dielectric resonator antennas</t>
  </si>
  <si>
    <t>10.1049/el:19850311</t>
  </si>
  <si>
    <t>2-s2.0-0022422003</t>
  </si>
  <si>
    <t>['¬© 1985', 'rights reserved', 'practical example', 'hence wideband', 'electrically thick', 'electrical engineers', '12 ghz']</t>
  </si>
  <si>
    <t>Electrically thick (and hence wideband) microstrip patch antenna elements are difficult to excite without adversely affecting their performance. A novel feeding technique is presented which circumvents the difficulties. A simple design theory is presented and a practical example is described which operates between 11 and 12 GHz. ¬© 1985, The Institution of Electrical Engineers. All rights reserved.</t>
  </si>
  <si>
    <t>497-499</t>
  </si>
  <si>
    <t>60011897;60011897;60011897</t>
  </si>
  <si>
    <t>7102708897;6701605698;7004047217</t>
  </si>
  <si>
    <t>Fong, K. S.;Pues, H. F.;Withers, M. J.</t>
  </si>
  <si>
    <t>Fong K.</t>
  </si>
  <si>
    <t>Wideband multilayer coaxial-fed microstrip antenna element</t>
  </si>
  <si>
    <t>10.1049/el:19850352</t>
  </si>
  <si>
    <t>2-s2.0-0022062476</t>
  </si>
  <si>
    <t>['¬© 1985', 'whole bacteria', 'reversibly transformed', 'pk value', 'ph form', 'ones absorbing', 'form b800', 'energy transfer', 'ectothiorhodospira halochloris', 'circular dichroism', 'bacteriochlorophyll b', '1020 nm', '1020 fraction', '1020 according']</t>
  </si>
  <si>
    <t>(Ectothiorhodospira) | Bacterial photosynthesis | Bacteriochlorophyll b | Circular dichroism | Energy transfer</t>
  </si>
  <si>
    <t>An antenna fraction designated B800/1020 according to its near-infrared absorption maxima has been isolated from the bacteriochlorophyll b-containing photosynthetic bacterium, Ectothiorhodospira halochloris. It contains five polypeptides (approx. 4.5, 6.0, 6.5, 15.5 and 35 kDa), at least five strongly interacting BChl b chromophores and no carotenoids. Energy is transferred from the chromophores absorbing around 800 nm to the ones absorbing at 1020 nm. The B800/1020 fraction as well as chromatophores, sphaeroplasts or whole bacteria are reversibly transformed with acid to form B800/960 with a pK value of approx. 6.3. Circular dichroism and low-temperature fluorescence data of the 'low-pH form' indicate only little structural rearrangement of the chromophores and a retention of the energy transfer. ¬© 1985.</t>
  </si>
  <si>
    <t>60028717;60028717</t>
  </si>
  <si>
    <t>7402618696;57216047370</t>
  </si>
  <si>
    <t>Steiner, R.;Scheer, H.</t>
  </si>
  <si>
    <t>Steiner R.</t>
  </si>
  <si>
    <t>Characterisation of a B800/1020 antenna from the photosynthetic bacteria Ectothiorhodospira halochloris and Ectothiorhodospira abdelmalekii</t>
  </si>
  <si>
    <t>10.1016/0005-2728(85)90259-2</t>
  </si>
  <si>
    <t>2-s2.0-0021850139</t>
  </si>
  <si>
    <t>['various characteristics', 'scattering characteristics', 'receiving antenna', 'finite length', 'discussed using']</t>
  </si>
  <si>
    <t>An electrodynamically correct model of a receiving antenna is discussed using an open-ended waveguide antenna of finite length as an example. The load is taken into account by replacing it with electromagnetic field curves whose parameters depend on the external (incident) field. Various characteristics of the receiving antenna, including the scattering characteristics, are computed and discussed.</t>
  </si>
  <si>
    <t>6507519142;6508175678</t>
  </si>
  <si>
    <t>Martsafey, V. V.;Tsalimov, G. F.</t>
  </si>
  <si>
    <t>Martsafey V.</t>
  </si>
  <si>
    <t>ON THE ELECTRODYNAMIC MODEL OF A RECEIVING ANTENNA.</t>
  </si>
  <si>
    <t>2-s2.0-0022072667</t>
  </si>
  <si>
    <t>['surface current', 'specified modulus', 'problem eliminates', 'numerical examples', 'near field', 'fresnel zone', 'dimensional antenna']</t>
  </si>
  <si>
    <t>A method is proposed for finding the shape and the surface current of a two-dimensional antenna with a specified amplitude radiation pattern and a specified modulus of the field on some circle r equals a, and the norm of the near field. All these terms carry functional weights. Such a formulation of the problem eliminates the possibility of rapidly oscillating solutions appearing. In particular, this formulation enables one to minimize the field at specific points within the Fresnel zone. Numerical examples are given.</t>
  </si>
  <si>
    <t>Voytovich, N. N.</t>
  </si>
  <si>
    <t>Voytovich N.</t>
  </si>
  <si>
    <t>SYNTHESIS OF A CLOSED PLANAR ANTENNA WITH CONSTRAINTS IMPOSED ON THE NEAR FIELD.</t>
  </si>
  <si>
    <t>2-s2.0-0022074428</t>
  </si>
  <si>
    <t>['unequal lengths', 'uda array', 'spectral domains', 'radiation pattern', 'paper presents', 'numerical comparison', 'matrix inversion', 'linear arrays', 'large arrays', 'iterative solution', 'input impedance', 'fourier transform', 'convenient means', 'computational efficiency', 'boundary conditions', 'array elements']</t>
  </si>
  <si>
    <t>The paper presents a spectral iteration technique for the analysis of linear arrays of unequally spaced dipoles of unequal lengths. As an example, the Yagi-Uda array is considered for illustration. Analysis is carried out in both the spatial as well as the spectral domains, the two being linked by the Fourier transform. The fast Fourier transform algorithm is employed to obtain an iterative solution to the electric-field integral equation, and the need for matrix inversion is circumvented. This technique also provides a convenient means for testing the satisfaction of the boundary conditions on the array elements. Numerical comparison of the input impedance and radiation pattern have been made with results deduced elsewhere by other methods. The computational efficiency of this technique has been found to be significant for large arrays.</t>
  </si>
  <si>
    <t>198-202</t>
  </si>
  <si>
    <t>SPECTRAL ITERATION TECHNIQUE FOR THE ANALYSIS OF YAGI-UDA ARRAYS.</t>
  </si>
  <si>
    <t>2-s2.0-0022075516</t>
  </si>
  <si>
    <t>['vertical polarization', 'separate channels', 'paper describes', 'noise figure', 'cover 2', 'band multiple', 'array antenna', '5 db', '4 ghz']</t>
  </si>
  <si>
    <t>The paper describes an S-band multiple-beam receiving antenna designed to cover 2. 2 to 2. 4 GHz with a noise figure of just 1. 5 db. The module provides input filtering and amplification, and forms five independent beams for a phased-array antenna. Each array uses 144 modules to provide azimuth beam steering, with separate channels for horizontal and vertical polarization.</t>
  </si>
  <si>
    <t>74-76, 78</t>
  </si>
  <si>
    <t>Prather, W. Horton</t>
  </si>
  <si>
    <t>Norcross</t>
  </si>
  <si>
    <t>Electromagnetic Sciences Inc</t>
  </si>
  <si>
    <t>Prather W.H.</t>
  </si>
  <si>
    <t>MIXED MEDIA OPTIMIZE PHASED-ARRAY MODULE.</t>
  </si>
  <si>
    <t>2-s2.0-0022075561</t>
  </si>
  <si>
    <t>['sensitivity study', 'rf sensors', 'relative translations', 'reflector steering', 'reflector deformations', 'paper addresses', 'multibeam antenna', 'mechanical components', 'italsat programme', 'electrical configuration', 'antenna pointing']</t>
  </si>
  <si>
    <t>This paper addresses and discusses some sources of pointing error peculiar to multibeam satellite antennas, where rf sensors are used to support the task of antenna pointing. In particular those errors and error contributions inherent in the electrical configuration of a multibeam antenna, such as 'defocusing' arising from the presence of reflector steering, reflector deformations and relative translations between mechanical components are discussed. In addition, the results of a sensitivity study are presented and discussed in some depth, covering a specific antenna geometry associated with the ITALSAT programme.</t>
  </si>
  <si>
    <t>131-150</t>
  </si>
  <si>
    <t>Perrotta, G.</t>
  </si>
  <si>
    <t>Selenia S.p.A.</t>
  </si>
  <si>
    <t>Perrotta G.</t>
  </si>
  <si>
    <t>ACCURACY LIMITATIONS OF rf SENSOR FINE POINTING SYSTEMS IN MULTIBEAM ANTENNAS.</t>
  </si>
  <si>
    <t>2-s2.0-0022075569</t>
  </si>
  <si>
    <t>['spare channels', 'small number', 'size used', 'rain fading', 'permit switching', 'new york', 'lower frequency', 'large number', 'increased relative', 'improvements achievable', 'frequency diversity', 'earth stations', 'correction coding']</t>
  </si>
  <si>
    <t>Since heavy rain is infrequent, a small number of spare channels at C-band or Ku-band can protect a large number of channels at Ka-band against rain fading if the system is designed to permit switching of links from Ka-band to a lower frequency. The improvement in availability is greatest if it is possible to switch to C-band and if the satellite antenna size for C-band can be increased relative to the size used for Ka-band. Calculations for earth stations in the vicinity of New York and Miami are presented. The improvements achievable by frequency diversity are compared with those achievable by error-correction coding and data rate reduction.</t>
  </si>
  <si>
    <t>Mangulis, V.</t>
  </si>
  <si>
    <t>Sarnoff Corporation</t>
  </si>
  <si>
    <t>Mangulis V.</t>
  </si>
  <si>
    <t>PROTECTION OF Ka-BAND SATELLITE CHANNELS AGAINST RAIN FADING BY SPARE CHANNELS AT A LOWER FREQUENCY.</t>
  </si>
  <si>
    <t>2-s2.0-0022075682</t>
  </si>
  <si>
    <t>['usable bandwidth', 'two modes', 'range 460', 'quasioptical systems', 'phase difference', 'mode horns', 'higher frequency', '510 ghz', '230 ghz']</t>
  </si>
  <si>
    <t>Dual-mode horns have been built and tested at 230 GHz and in the range 460-510 GHz. In particular, attention has been paid to the phase difference between the two modes, resulting in horns that have good Gaussian beams for use in quasioptical systems, and a usable bandwidth of more than 6% at the higher frequency.</t>
  </si>
  <si>
    <t>215-218</t>
  </si>
  <si>
    <t>Ediss, G. A.</t>
  </si>
  <si>
    <t>Ediss G.</t>
  </si>
  <si>
    <t>DUAL-MODE HORNS AT MILLIMETRE AND SUBMILLIMETRE WAVELENGTHS.</t>
  </si>
  <si>
    <t>2-s2.0-0022076019</t>
  </si>
  <si>
    <t>['tracking height', 'part 1', 'microwave engineer', 'article introduced', 'antenna fades', 'anomalous refraction', 'anomalous propagation', 'anomalous clutter', 'although errors']</t>
  </si>
  <si>
    <t>Part 1 of this article introduced the types of anomalous refraction that can exist in the atmosphere and how these might affect microwave systems. Although errors can be expected from tracking height, antenna fades, and anomalous clutter, this article should help the microwave engineer to calculate atmospheric refractivity and to predict what types of anomalous propagation to expect.</t>
  </si>
  <si>
    <t>103-104, 107</t>
  </si>
  <si>
    <t>Ko, Harvey</t>
  </si>
  <si>
    <t>Ko H.</t>
  </si>
  <si>
    <t>DON'T LET DUCTING CLUTTER SYSTEM SPECS. PART 2.</t>
  </si>
  <si>
    <t>2-s2.0-0022077240</t>
  </si>
  <si>
    <t>['static controllers', 'state shape', 'limited number', 'controller gains', 'control actuators', 'approximation method', 'antenna controller']</t>
  </si>
  <si>
    <t>aerospace structures | control theory | Distributed parameter systems | partial differential equations</t>
  </si>
  <si>
    <t>In this paper, we propose an on-line control approach which will adjust the steady-state shape of a large antenna arbitrarily close to any achievable desired profile. The method makes use of distributed parameter system theory and allows refocusing using a limited number of control actuators and sensors. The controller gains are calculated by approximating the solution to an infinite-dimensional optimal quasi-static control problem. We prove a very general convergence result for such quasi-static controllers here and apply it to the antenna controller to show convergence using any Galerkin (finite-element) approximation method. ¬© 1985 Plenum Publishing Corporation.</t>
  </si>
  <si>
    <t>153-170</t>
  </si>
  <si>
    <t>Journal of Optimization Theory and Applications</t>
  </si>
  <si>
    <t>Balas, M. J.</t>
  </si>
  <si>
    <t>Troy</t>
  </si>
  <si>
    <t>Rensselaer Polytechnic Institute</t>
  </si>
  <si>
    <t>Balas M.</t>
  </si>
  <si>
    <t>Optimal quasi-static shape control for large aerospace antennae</t>
  </si>
  <si>
    <t>10.1007/BF00938421</t>
  </si>
  <si>
    <t>2-s2.0-0022077559</t>
  </si>
  <si>
    <t>['trunk amplifiers', 'relative importance', 'making process', 'key parameters', 'detailed examination', 'conclusions presented', 'applied specifically']</t>
  </si>
  <si>
    <t>The decision-making process in the selection of one of three available integrated circuit technologies is considered for the community antenna TV systems. The three available technologies are described and the key parameters and relative importance of each as they apply to trunk, bridger and line extender amplifiers are discussed. A more detailed examination is made of the advantages and disadvantages of each technology as applied specifically to trunk amplifiers. Finally, some system application comparisons are reviewed and the conclusions presented.</t>
  </si>
  <si>
    <t>19-24</t>
  </si>
  <si>
    <t>Cable television engineering</t>
  </si>
  <si>
    <t>Dahlquist, John</t>
  </si>
  <si>
    <t>Slough</t>
  </si>
  <si>
    <t>General Instrument Ltd</t>
  </si>
  <si>
    <t>Dahlquist J.</t>
  </si>
  <si>
    <t>PROS AND CONS OF VHF TRUNK LINE TECHNOLOGIES.</t>
  </si>
  <si>
    <t>2-s2.0-0022079924</t>
  </si>
  <si>
    <t>['use associated', 'typical size', 'recent upgrading', 'polarisation frequency', 'paper describes', 'mechanical aspects', 'generally installed']</t>
  </si>
  <si>
    <t>This paper describes the recent upgrading of the Overseas Telecommunications Commission Moree 1 earth station antenna for dual-polarisation frequency re-use associated with the new Intelsat V series of satellites. The antenna, is 27. 4 m in diameter, well below the typical size of 32 m now generally installed. The electromagnetic and mechanical aspects of the upgrading are considered in detail. Finally, the results of measurements on the antenna to satisfy the Intelsat mandatory requirements are described.</t>
  </si>
  <si>
    <t>180-188</t>
  </si>
  <si>
    <t>60029470;60029470;60029470;60029470;60029470;60029470;60029470;60029470</t>
  </si>
  <si>
    <t>57217802857;7201399131;35571713000;7101948992;6506648388;7006558857;7003303431;7601410921</t>
  </si>
  <si>
    <t>Thomas, Bruce Mac A.;James, Graeme L.;Greene, Kieren J.;Parsons, Barry E.;Yabsley, Donald E.;Humphries, Philip W.;Cudmore, Robert A.M.;Lee, Sonny M.C.</t>
  </si>
  <si>
    <t>Thomas B.M.A.</t>
  </si>
  <si>
    <t>UPGRADE OF THE OTC(A) MOREE 1 EARTH STATION ANTENNA.</t>
  </si>
  <si>
    <t>2-s2.0-0022080105</t>
  </si>
  <si>
    <t>['tdma controller', 'second part', 'scpc terminal', 'sbs ),', 'paper describes', 'oriented systems', 'light weight', 'first part', 'commercial equipment', 'burst modem']</t>
  </si>
  <si>
    <t>The first part of this paper summarizes Fujitsu's R&amp;D activities in the satellite communication field, which have recently been focused on digital-oriented systems such as the burst modem and TDMA controller. Fujitsu's activities also cover the development of small earth stations featuring high-performance RF semiconductor devices with sophisticated MIC technologies. A 30/20 GHz CFRP antenna with high surface accuracy and light weight is another unique development by Fujitsu. The second part of this paper describes some examples of commercial equipment, including a TDMA burst model for Satellite Business Systems (SBS), an SCPC terminal for the Norwegian domestic satellite system, and a 30/20 GHz earth station for the CS-2 (Japanese domestic communication satellite).</t>
  </si>
  <si>
    <t>259-284</t>
  </si>
  <si>
    <t>Fujitsu Scientific and Technical Journal</t>
  </si>
  <si>
    <t>60007951;60007951;60007951;60007951</t>
  </si>
  <si>
    <t>56240586600;7401915539;7402501847;7401529722</t>
  </si>
  <si>
    <t>Yamada, Katsura;Tsuji, Yoshikazu;Fukui, Mamoru;Katoh, Tadayoshi</t>
  </si>
  <si>
    <t>Minato</t>
  </si>
  <si>
    <t>Fujitsu Ltd.</t>
  </si>
  <si>
    <t>Yamada K.</t>
  </si>
  <si>
    <t>SATELLITE COMMUNICATION.</t>
  </si>
  <si>
    <t>2-s2.0-0022080147</t>
  </si>
  <si>
    <t>['two conductors', 'ridged waveguide', 'ridge extensions', 'radiation pattern', 'poor vswr', 'patterns caused', 'paper describes', 'microwave absorber', 'measured vswr', 'maximum separation', 'gain data', 'exponentially extending', 'broadband antenna', 'aperture matching']</t>
  </si>
  <si>
    <t>This paper describes a novel balanced transmission line antenna where the maximum separation between the two conductors is only a fraction of a wavelength at the lowest operating frequency. The balanced transmission line is formed by exponentially extending the ridges of a double-ridged waveguide. The poor VSWR and patterns caused by reflections from the tips of the ridge extensions are improved by a combination of aperture matching and the use of microwave absorber. Measured VSWR, radiation pattern and gain data are presented for this compact, broadband antenna over the 2 to 11 GHz frequency range.</t>
  </si>
  <si>
    <t>62-66</t>
  </si>
  <si>
    <t>2-s2.0-0022080520</t>
  </si>
  <si>
    <t>['rapid rise', 'radio frequency', 'handling control', 'electronic memory', 'bar coding', 'assembly lines', 'antenna system', 'another method']</t>
  </si>
  <si>
    <t>Among the automatic identification methods, bar coding is undoubtedly the most widespread. But another method, radio frequency (RF) identification is poised for a rapid rise, particularly in the area of materials handling systems control. Applications include flexible manufacturing systems, inventory handling systems, and identification and handling control on assembly lines. RF technology employs a small integrated circuit with an electronic memory, an antenna system, and a reader.</t>
  </si>
  <si>
    <t>76-77</t>
  </si>
  <si>
    <t>Modern Materials Handling</t>
  </si>
  <si>
    <t>RADIO-FREQUENCY IDENTIFICATION - A RUNDOWN ON THE BASICS.</t>
  </si>
  <si>
    <t>2-s2.0-0022082795</t>
  </si>
  <si>
    <t>['simple termination', 'paper describes', 'measured performance', 'matching section', 'low vswr', 'improved performance', 'impedance match', 'helix turns', 'free end', 'first turn', 'conductor diameter', 'briefly reviewed', 'also presented', '50 omega']</t>
  </si>
  <si>
    <t>This paper describes the measured performance of an impedance matching section incorporated into the first turn of a peripherally fed helical antenna to transform its impedance to 50 OMEGA . The design of the matching section is briefly reviewed. The measured results show that very low VSWR (1,2:1) can be achieved over the usable frequency range of the antenna. In addition to showing the basic impedance matching performance, results are also presented to illustrate the effect of the number of helix turns and of the conductor diameter on the impedance match. Antenna pattern data show that improved performance can be achieved by a simple termination at the free end of the helix.</t>
  </si>
  <si>
    <t>2-s2.0-0022083677</t>
  </si>
  <si>
    <t>['wide bandwidth', 'turn helices', 'therefore easy', 'satellite working', 'ordinary local', 'low q', 'distance operation', 'dimensional inaccuracies', 'construct successfully', 'antenna design', 'accurately matching']</t>
  </si>
  <si>
    <t>This antenna design was produced for satellite working with Oscar-10, but it has also proved excellent for ordinary local and long-distance operation. It has eliminated at a stroke the frustration of accurately matching and phasing crossed Yagis to true circular polarization and obtaining an acceptable s. w. r. throughout the band. Compared with other antennas it has a very wide bandwidth - a low Q - which makes it forgiving of dimensional inaccuracies. It is therefore easy to construct successfully. This article describes 9 and 16-turn helices for the 430-440MHz amateur band.</t>
  </si>
  <si>
    <t>43-46</t>
  </si>
  <si>
    <t>Miller, James</t>
  </si>
  <si>
    <t>HELICAL ANTENNAS FOR 435MHz.</t>
  </si>
  <si>
    <t>2-s2.0-0022083742</t>
  </si>
  <si>
    <t>['stereo operation', 'paper describes', 'directional arrays', 'difficulties noted', 'couple power', 'antenna elements']</t>
  </si>
  <si>
    <t>The networks commonly used to couple power from the transmitter to the antenna elements in M. F. directional arrays are: (i) difficult to adjust and (ii) introduce differential phase shift which may be unacceptable for A. M. stereo operation. This paper describes the use of a simple 90 degree hybrid (lumped-constant directional coupler) as a 'power-divider' and shows its effectiveness in avoiding the difficulties noted above.</t>
  </si>
  <si>
    <t>Mondel, Robert H.</t>
  </si>
  <si>
    <t>Faculty of Engineering</t>
  </si>
  <si>
    <t>Mondel R.H.</t>
  </si>
  <si>
    <t>SIMPLIFIED COUPLING NETWORK FOR M. F. DIRECTIONAL ARRAYS.</t>
  </si>
  <si>
    <t>2-s2.0-0022084172</t>
  </si>
  <si>
    <t>['¬© 1985', 'zfs values', 'zero field', 'triplet states', 'rights reserved', 'rhodopseudomonas capsulata', 'light harvesting', 'antenna system', '4 cm1']</t>
  </si>
  <si>
    <t>Fluorescence-ODMR | Light Harvesting Pigments | Rhodopseudomonas sphaeroides</t>
  </si>
  <si>
    <t>Fluorescence detected ODMR measurements in zero field on the triplet states of light harvesting (LH) pigments in chromatophores from Rhodopseudomonas sphaeroides R 26.1 and Rhodopseudomonas capsulata A la + are reported. In both cases at least two distinct triplet states in the antenna system with zfs values of D between 209 and 217 and E between 56 and 67 √ó 10-4 cm1 are observed. ¬© 1985, Walter de Gruyter. All rights reserved.</t>
  </si>
  <si>
    <t>379-387</t>
  </si>
  <si>
    <t>60015815;60015815;60015815</t>
  </si>
  <si>
    <t>6603789154;6603701731;57209549313</t>
  </si>
  <si>
    <t>Angerhofer, A.;von Sch√ºtz, J. U.;Wolf, H. C.</t>
  </si>
  <si>
    <t>Stuttgart</t>
  </si>
  <si>
    <t>Universit√§t Stuttgart</t>
  </si>
  <si>
    <t>Angerhofer A.</t>
  </si>
  <si>
    <t>Fluorescence-ODMR of Light Harvesting Pigments of Photosynthetic Bacteria</t>
  </si>
  <si>
    <t>10.1515/znc-1985-5-616</t>
  </si>
  <si>
    <t>2-s2.0-1642289034</t>
  </si>
  <si>
    <t>['topics discussed', 'radiation patterns', 'periodical perturbations', 'autoadaptive arrays', 'author discusses', 'antenna type']</t>
  </si>
  <si>
    <t>The author discusses the evolution of radar from the period immediately following World War II until the present. Among the topics discussed are antenna pattern purity; choice of antenna type; tolerances for radiation patterns; quantified phase shifters; periodical perturbations; autoadaptive arrays; and purity of emission.</t>
  </si>
  <si>
    <t>Carpentier, Michel H.</t>
  </si>
  <si>
    <t>Puteaux</t>
  </si>
  <si>
    <t>Thales Group</t>
  </si>
  <si>
    <t>Carpentier M.</t>
  </si>
  <si>
    <t>PRESENT AND FUTURE EVOLUTION OF RADARS.</t>
  </si>
  <si>
    <t>2-s2.0-17144448223</t>
  </si>
  <si>
    <t>['waves transmitted', 'waves scattered', 'two sets', 'transport equation', 'several expressions', 'scattering matrix', 'rough boundaries', 'random medium', 'random layer', 'previous expression', 'previous bethe', 'perfectly random', 'ieee trans', 'green function', 'general theory', 'expressions obtained', 'corresponding expressions', 'conventional method', 'coherent terms', 'coherence distance', 'available beyond', 'antennas propag', 'also shown', 'also obtained', 'addition formulas', '1981 )]']</t>
  </si>
  <si>
    <t>Several expressions for the mutual coherence function are obtained for waves scattered by a random layer with rough boundaries (including those waves transmitted through) by modifying the previous Bethe-Salpeter (B-S) equation for a random medium with one rough boundary. Considering that the medium and the boundaries are involved in the equation on exactly the same footing, two sets of addition formulas are prepared for the incoherent and coherent terms, respectively, to obtain various expressions of the mutual coherence function by exchanging the roles of the medium and the boundaries. The conventional method of solving the transport equation is shown to be available only when the separation of the boundaries is sufficiently large compared with the coherence distance of the wave, whereas the expressions obtained are available beyond this limit. The previous expression by Fung and Eom [IEEE Trans. Antennas Propag. AP-29, 899 (1981)] is also shown to be reproduced with the present exact formulation, as long as one of the boundaries is perfectly random. The corresponding expressions for fixed scatterers embedded in a (homogeneous or semi-infinite) random medium are also obtained, which show an explicit shadowing effect. Summarized in the appendixes are basic equations including addition formulas, the Green function and the scattering matrix of the B-S equation, and a general theory of fixed scatterers embedded in a random medium. ¬© 1985 Optical Society of America.</t>
  </si>
  <si>
    <t>932-944</t>
  </si>
  <si>
    <t>Journal of the Optical Society of America A: Optics and Image Science, and Vision</t>
  </si>
  <si>
    <t>Furutsu, K.</t>
  </si>
  <si>
    <t>Musashimurayama</t>
  </si>
  <si>
    <t>Nakato 187-6</t>
  </si>
  <si>
    <t>Furutsu K.</t>
  </si>
  <si>
    <t>Transport theory and boundary-value solutions. II. Addition theorem of scattering matrices and applications</t>
  </si>
  <si>
    <t>10.1364/JOSAA.2.000932</t>
  </si>
  <si>
    <t>2-s2.0-84975563707</t>
  </si>
  <si>
    <t>['transport equation', 'sufficient accuracy', 'several expressions', 'random medium', 'previous paper', 'previous expression', 'present b', 'practical accuracy', 'one boundary', 'medium free', 'latter may', 'introduced independently', 'ieee trans', 'governing equation', 'generalized version', 'direct connection', 'corresponding matrix', 'conventional method', 'antennas propag', 'also random', '1981 )]']</t>
  </si>
  <si>
    <t>The mutual coherence function of a wave in a random medium with one rough boundary is considered, and the governing equation is obtained in a form of the Bethe-Salpeter (B-S) equation, such that the medium and the boundary are involved on exactly the same footing. The method is based on a previous paper for a purely random boundary, and the present B-S equation is a generalized version of the governing equation when the medium is also random. The equation is compared with the conventional method of solving the transport equation, showing the correspondence of each quantity in detail, and it is concluded that they are equivalent to a sufficient accuracy in the case of one boundary. To obtain the solution, incoherent scattering matrices are introduced independently for both the boundary and the medium, where the former has a direct connection with the conventional scattering cross section per unit area and the latter may be obtained by solving the transport equation. Hence the solution is obtained in several expressions in terms of an effective scattering matrix of the boundary as affected by the random medium and also in terms of a corresponding matrix of the medium free from the boundary. The previous expression by Fung and Eom [ IEEE Trans. Antennas Propag. AP-29, 899 (1981)] is reproduced to practical accuracy by the present exact formulation. ¬© 1985 Optical Society of America.</t>
  </si>
  <si>
    <t>913-931</t>
  </si>
  <si>
    <t>Transport theory and boundary-value solutions. I. The Bethe‚ÄìSalpeter equation and scattering matrices</t>
  </si>
  <si>
    <t>10.1364/JOSAA.2.000913</t>
  </si>
  <si>
    <t>2-s2.0-84975566436</t>
  </si>
  <si>
    <t>['¬© 1985', 'wave frequencies', 'slottedwaveguide array', 'rights reserved', 'planar antenna', 'metallic discs', 'line discontinuities', 'guide surface', 'electrical engineers', 'described using']</t>
  </si>
  <si>
    <t>Antennas | Planar antenna array</t>
  </si>
  <si>
    <t>A leaky-wave planar antenna for millimetre-wave frequencies is described using a dielectric slab line, fed by a slottedwaveguide array. The radiation of the planar antenna is induced by line discontinuities such as metallic discs on the guide surface. ¬© 1985, The Institution of Electrical Engineers. All rights reserved.</t>
  </si>
  <si>
    <t>536-538</t>
  </si>
  <si>
    <t>Huder, B.</t>
  </si>
  <si>
    <t>Nurnberg</t>
  </si>
  <si>
    <t>AEG</t>
  </si>
  <si>
    <t>Huder B.</t>
  </si>
  <si>
    <t>94 GHz dielectric slab-line leaky-wave antenna</t>
  </si>
  <si>
    <t>10.1049/el:19850379</t>
  </si>
  <si>
    <t>2-s2.0-0022419964</t>
  </si>
  <si>
    <t>383-387</t>
  </si>
  <si>
    <t>Journal of Magnetic Resonance (1969)</t>
  </si>
  <si>
    <t>7102703307;7006083616</t>
  </si>
  <si>
    <t>Pace, M. D.;Britt, A. D.</t>
  </si>
  <si>
    <t>Pace M.</t>
  </si>
  <si>
    <t>Microwave helix as a surface coil antenna</t>
  </si>
  <si>
    <t>10.1016/0022-2364(85)90331-2</t>
  </si>
  <si>
    <t>2-s2.0-46549091585</t>
  </si>
  <si>
    <t>['¬© 1985', 'thin layer', 'tested experimentally', 'rights reserved', 'permittivity material', 'metal wall', 'electrical engineers', 'corrugated horn', 'analysed theoretically']</t>
  </si>
  <si>
    <t>Antennas | Crosspolarisation | Dielectric | Feeds | HEu mode | Horn antennas</t>
  </si>
  <si>
    <t>A conical horn loaded with a solid dielectric cone, separated from the metal wall by a thin layer of low-permittivity material or air, is analysed theoretically and tested experimentally. This simple feed exhibits excellent radiation properties, with a crosspolar bandwidth similar to that of a corrugated horn. ¬© 1985, The Institution of Electrical Engineers. All rights reserved.</t>
  </si>
  <si>
    <t>563-564</t>
  </si>
  <si>
    <t>60013141;60013141</t>
  </si>
  <si>
    <t>55884538900;7003766305</t>
  </si>
  <si>
    <t>Lier, E.;Aas, J. A.</t>
  </si>
  <si>
    <t>Lier E.</t>
  </si>
  <si>
    <t>Simple hybrid mode horn feed loaded with a dielectric cone</t>
  </si>
  <si>
    <t>10.1049/el:19850398</t>
  </si>
  <si>
    <t>2-s2.0-0022076482</t>
  </si>
  <si>
    <t>['¬© 1985', 'technique uses', 'spatial resolution', 'rights reserved', 'practical results', 'microwave measurement', 'electrical engineers', 'annular sections']</t>
  </si>
  <si>
    <t>Antennas | Microwave circuits and systems | Microwave measurement</t>
  </si>
  <si>
    <t>A method for microwave measurement of the reflector antenna surface profile is described. The technique uses a focused monostatic secondary reflector located on axis at approximately two focal lengths from the reflector under test. Measurement of the two-way phase change provides profile error information over a set of annular sections. Practical results are provided to illustrate the spatial resolution and sensitivity of the technique. ¬© 1985, The Institution of Electrical Engineers. All rights reserved.</t>
  </si>
  <si>
    <t>560-561</t>
  </si>
  <si>
    <t>60001881;60001881</t>
  </si>
  <si>
    <t>7404251432;7004274934</t>
  </si>
  <si>
    <t>Bennett, J. C.;Swan, D. G.</t>
  </si>
  <si>
    <t>Microwave technique for reflector antenna profile measurement</t>
  </si>
  <si>
    <t>10.1049/el:19850396</t>
  </si>
  <si>
    <t>2-s2.0-0022076908</t>
  </si>
  <si>
    <t>['¬© 1985', 'wheat mutant', 'wavelength emission', 'type plants', 'three mutants', 'strongly influenced', 'respective wild', 'predominant long', 'normal amounts', 'mutants included', 'melilotus alba', 'measurable amounts', 'lacking one', 'hordeum vulgare', 'f2 barley', 'examined using', 'essentially identical', 'endogenous polypeptides', 'emission maximum', 'data suggest', 'data indicate', 'containing reduced', 'clover mutant', 'chlorophyll basis', 'chlorophyll b', 'chlorophyl b', 'cd3 wheat', 'barley mutant', 'atp concentration', 'antennae components', '740 nm', '720 nm']</t>
  </si>
  <si>
    <t>The properties of three higher plant mutants having less than normal amounts of chlorophyll b were compared with their respective wild-types. These mutants included the chlorophyll-b-lacking U374 sweet clover (Melilotus alba) and chlorina-f2 barley (Hordeum vulgare) as well as the chlorophyll b-deficient CD3 wheat (Triticum aestivum). Fluorescence emission spectra from leaves of the sweet-clover mutant at 77 K show great similarity to the previously published spectrum of the barley mutant; rather than the predominant long-wavelength emission at approx. 740 nm in the wild-type plants, an emission maximum at approx. 720 nm is observed. The wheat mutant, containing reduced but measurable amounts of chlorophyl b, had 77 K long-wavelength fluorescence emissions at both 720 and 740 nm. These data indicate that these PS-I-derived fluorescence emissions are strongly influenced by the presence of antennae components. When examined for the ability to perform a light-induced State 1-State 2 transition in vivo, none was detected in the U374 sweet clover, whereas the CD3 wheat was capable of this process. The phosphorylation of endogenous polypeptides in isolated thylakoid membranes was examined using [Œ≥-32P]ATP as substrate for the thylakoid protein kinase activities. All three mutants had higher thylakoid protein kinase activity than the respective normal plants on a chlorophyll basis. The response of the mutant and normal sweet clover thylakoid protein kinase activities to ATP concentration was essentially identical. In contrast, the thylakoid protein kinase activities in the barley and wheat mutants appeared to saturate at markedly lower ATP concentrations than in the respective normal plants. These data suggest that the chlorina-f2 and CD3 mutants may be lacking one of the thylakoid protein kinases normally present in wild-type plants and that mutants lacking chlorophyll b may be of at least two different types. ¬© 1985.</t>
  </si>
  <si>
    <t>156-163</t>
  </si>
  <si>
    <t>60026306;60026306-60001359;60026306;60001359</t>
  </si>
  <si>
    <t>7003316547;7006933123;15222390400;26643542200</t>
  </si>
  <si>
    <t>Markwell, John P.;Webber, Andrew N.;Danko, Stephen J.;Baker, Neil R.</t>
  </si>
  <si>
    <t>United States;United Kingdom</t>
  </si>
  <si>
    <t>Lincoln;Colchester</t>
  </si>
  <si>
    <t>University of Nebraska‚ÄìLincoln;University of Essex</t>
  </si>
  <si>
    <t>60026306;60001359</t>
  </si>
  <si>
    <t>Markwell J.</t>
  </si>
  <si>
    <t>Fluorescence emission spectra and thylakoid protein kinase activities of three higher plant mutants deficient in chlorophyll b</t>
  </si>
  <si>
    <t>10.1016/0005-2728(85)90038-6</t>
  </si>
  <si>
    <t>2-s2.0-46549091187</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</si>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</sst>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1984"/>
      <sheetName val="1983"/>
      <sheetName val="1982"/>
      <sheetName val="1981"/>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4A48F-8709-AF49-A755-FA072C07BA3D}">
  <dimension ref="A1:AW673"/>
  <sheetViews>
    <sheetView tabSelected="1" topLeftCell="AM1" workbookViewId="0">
      <selection activeCell="AK13" sqref="AK13"/>
    </sheetView>
  </sheetViews>
  <sheetFormatPr baseColWidth="10" defaultRowHeight="16" x14ac:dyDescent="0.2"/>
  <sheetData>
    <row r="1" spans="1:49" s="12" customFormat="1" x14ac:dyDescent="0.2">
      <c r="A1" s="15"/>
      <c r="B1" s="15" t="s">
        <v>7287</v>
      </c>
      <c r="C1" s="15" t="s">
        <v>7286</v>
      </c>
      <c r="D1" s="15" t="s">
        <v>7285</v>
      </c>
      <c r="E1" s="15" t="s">
        <v>7284</v>
      </c>
      <c r="F1" s="15" t="s">
        <v>7283</v>
      </c>
      <c r="G1" s="15" t="s">
        <v>7282</v>
      </c>
      <c r="H1" s="15" t="s">
        <v>7281</v>
      </c>
      <c r="I1" s="15" t="s">
        <v>7280</v>
      </c>
      <c r="J1" s="15" t="s">
        <v>7279</v>
      </c>
      <c r="K1" s="15" t="s">
        <v>7278</v>
      </c>
      <c r="L1" s="15" t="s">
        <v>7277</v>
      </c>
      <c r="M1" s="15" t="s">
        <v>7276</v>
      </c>
      <c r="N1" s="15" t="s">
        <v>7275</v>
      </c>
      <c r="O1" s="15" t="s">
        <v>7274</v>
      </c>
      <c r="P1" s="15" t="s">
        <v>7273</v>
      </c>
      <c r="Q1" s="15" t="s">
        <v>7272</v>
      </c>
      <c r="R1" s="20" t="s">
        <v>7271</v>
      </c>
      <c r="S1" s="15" t="s">
        <v>7270</v>
      </c>
      <c r="T1" s="15" t="s">
        <v>7270</v>
      </c>
      <c r="U1" s="15" t="s">
        <v>7269</v>
      </c>
      <c r="V1" s="20" t="s">
        <v>7268</v>
      </c>
      <c r="W1" s="15" t="s">
        <v>7267</v>
      </c>
      <c r="X1" s="14" t="s">
        <v>7266</v>
      </c>
      <c r="Y1" s="19" t="s">
        <v>7265</v>
      </c>
      <c r="Z1" s="18" t="s">
        <v>7250</v>
      </c>
      <c r="AA1" s="15" t="s">
        <v>7264</v>
      </c>
      <c r="AB1" s="15" t="s">
        <v>7263</v>
      </c>
      <c r="AC1" s="15" t="s">
        <v>7262</v>
      </c>
      <c r="AD1" s="15" t="s">
        <v>7261</v>
      </c>
      <c r="AE1" s="15" t="s">
        <v>7260</v>
      </c>
      <c r="AF1" s="15" t="s">
        <v>7259</v>
      </c>
      <c r="AG1" s="15" t="s">
        <v>7258</v>
      </c>
      <c r="AH1" s="15" t="s">
        <v>7257</v>
      </c>
      <c r="AI1" s="15" t="s">
        <v>7256</v>
      </c>
      <c r="AJ1" s="15" t="s">
        <v>7255</v>
      </c>
      <c r="AK1" s="14" t="s">
        <v>7254</v>
      </c>
      <c r="AL1" s="15" t="s">
        <v>7253</v>
      </c>
      <c r="AM1" s="17" t="s">
        <v>7252</v>
      </c>
      <c r="AN1" s="16" t="s">
        <v>7251</v>
      </c>
      <c r="AO1" s="16" t="s">
        <v>7250</v>
      </c>
      <c r="AP1" s="15" t="s">
        <v>7249</v>
      </c>
      <c r="AQ1" s="15" t="s">
        <v>7248</v>
      </c>
      <c r="AR1" s="15" t="s">
        <v>7247</v>
      </c>
      <c r="AS1" s="15" t="s">
        <v>7246</v>
      </c>
      <c r="AT1" s="14" t="s">
        <v>7245</v>
      </c>
      <c r="AU1" s="13" t="s">
        <v>7244</v>
      </c>
      <c r="AV1" s="13" t="s">
        <v>7243</v>
      </c>
      <c r="AW1" s="13" t="s">
        <v>7242</v>
      </c>
    </row>
    <row r="2" spans="1:49" x14ac:dyDescent="0.2">
      <c r="A2">
        <v>0</v>
      </c>
      <c r="B2" t="s">
        <v>7241</v>
      </c>
      <c r="C2" t="s">
        <v>7240</v>
      </c>
      <c r="D2">
        <v>5272885900386</v>
      </c>
      <c r="F2" t="s">
        <v>7239</v>
      </c>
      <c r="G2" t="s">
        <v>15</v>
      </c>
      <c r="H2" t="s">
        <v>14</v>
      </c>
      <c r="I2" t="s">
        <v>7238</v>
      </c>
      <c r="J2" t="s">
        <v>7237</v>
      </c>
      <c r="K2" t="s">
        <v>7236</v>
      </c>
      <c r="L2" t="s">
        <v>7235</v>
      </c>
      <c r="M2" t="s">
        <v>7234</v>
      </c>
      <c r="N2">
        <v>4</v>
      </c>
      <c r="O2" t="s">
        <v>7233</v>
      </c>
      <c r="P2" t="s">
        <v>7232</v>
      </c>
      <c r="Q2" t="s">
        <v>7231</v>
      </c>
      <c r="R2" s="7">
        <v>31224</v>
      </c>
      <c r="S2" s="8">
        <f t="shared" ref="S2:S5" si="0">YEAR(R2)</f>
        <v>1985</v>
      </c>
      <c r="T2" s="8">
        <v>1985</v>
      </c>
      <c r="U2" s="8">
        <f t="shared" ref="U2:U5" si="1">2022-T2</f>
        <v>37</v>
      </c>
      <c r="V2" s="7">
        <v>31224</v>
      </c>
      <c r="W2" t="s">
        <v>6042</v>
      </c>
      <c r="X2" s="2">
        <v>1.59</v>
      </c>
      <c r="Y2" s="6">
        <f t="shared" ref="Y2:Y65" si="2">(X2-$Z$4)/($Z$3-$Z$4)</f>
        <v>4.2444141907583888E-2</v>
      </c>
      <c r="AA2">
        <v>52728</v>
      </c>
      <c r="AB2">
        <v>16791</v>
      </c>
      <c r="AD2" t="s">
        <v>4</v>
      </c>
      <c r="AE2">
        <v>808</v>
      </c>
      <c r="AF2">
        <v>1</v>
      </c>
      <c r="AH2" t="s">
        <v>7230</v>
      </c>
      <c r="AI2" t="s">
        <v>7229</v>
      </c>
      <c r="AK2" t="s">
        <v>7228</v>
      </c>
      <c r="AL2">
        <v>9</v>
      </c>
      <c r="AM2" s="5">
        <f t="shared" ref="AM2:AM5" si="3">AL2/U2</f>
        <v>0.24324324324324326</v>
      </c>
      <c r="AN2" s="4">
        <f t="shared" ref="AN2:AN65" si="4">(AM2-$AO$4)/($AO$3-$AO$4)</f>
        <v>3.684108189977179E-4</v>
      </c>
      <c r="AO2" s="3"/>
      <c r="AP2">
        <v>0</v>
      </c>
      <c r="AR2" t="s">
        <v>0</v>
      </c>
      <c r="AT2" s="2" t="s">
        <v>19</v>
      </c>
      <c r="AU2" s="1">
        <f t="shared" ref="AU2:AU5" si="5">(Y2*0.7+AN2*0.3)*100</f>
        <v>2.9821422581008039</v>
      </c>
      <c r="AV2" s="1">
        <f t="shared" ref="AV2:AV5" si="6">(Y2*0.5+AN2*0.5)*100</f>
        <v>2.1406276363290804</v>
      </c>
      <c r="AW2" s="1">
        <f t="shared" ref="AW2:AW5" si="7">(Y2*0.3+AN2*0.7)*100</f>
        <v>1.2991130145573566</v>
      </c>
    </row>
    <row r="3" spans="1:49" x14ac:dyDescent="0.2">
      <c r="A3">
        <v>1</v>
      </c>
      <c r="B3" t="s">
        <v>7227</v>
      </c>
      <c r="C3" t="s">
        <v>7226</v>
      </c>
      <c r="F3" t="s">
        <v>7225</v>
      </c>
      <c r="G3" t="s">
        <v>15</v>
      </c>
      <c r="H3" t="s">
        <v>14</v>
      </c>
      <c r="I3" t="s">
        <v>2177</v>
      </c>
      <c r="J3">
        <v>60001881</v>
      </c>
      <c r="K3" t="s">
        <v>2176</v>
      </c>
      <c r="L3" t="s">
        <v>2175</v>
      </c>
      <c r="M3" t="s">
        <v>530</v>
      </c>
      <c r="N3">
        <v>2</v>
      </c>
      <c r="O3" t="s">
        <v>7224</v>
      </c>
      <c r="P3" t="s">
        <v>7223</v>
      </c>
      <c r="Q3" t="s">
        <v>7222</v>
      </c>
      <c r="R3" s="7">
        <v>31218</v>
      </c>
      <c r="S3" s="8">
        <f t="shared" si="0"/>
        <v>1985</v>
      </c>
      <c r="T3" s="8">
        <v>1985</v>
      </c>
      <c r="U3" s="8">
        <f t="shared" si="1"/>
        <v>37</v>
      </c>
      <c r="V3" s="7">
        <v>31218</v>
      </c>
      <c r="W3" t="s">
        <v>540</v>
      </c>
      <c r="X3" s="2">
        <v>0.375</v>
      </c>
      <c r="Y3" s="6">
        <f t="shared" si="2"/>
        <v>1.0010410827260351E-2</v>
      </c>
      <c r="Z3">
        <v>37.460999999999999</v>
      </c>
      <c r="AA3">
        <v>135194</v>
      </c>
      <c r="AB3">
        <v>24918</v>
      </c>
      <c r="AD3" t="s">
        <v>4</v>
      </c>
      <c r="AE3">
        <v>21</v>
      </c>
      <c r="AF3">
        <v>13</v>
      </c>
      <c r="AH3" t="s">
        <v>7221</v>
      </c>
      <c r="AI3" t="s">
        <v>7220</v>
      </c>
      <c r="AJ3" t="s">
        <v>7219</v>
      </c>
      <c r="AK3" t="s">
        <v>7218</v>
      </c>
      <c r="AL3">
        <v>1</v>
      </c>
      <c r="AM3" s="5">
        <f t="shared" si="3"/>
        <v>2.7027027027027029E-2</v>
      </c>
      <c r="AN3" s="4">
        <f t="shared" si="4"/>
        <v>4.0934535444190883E-5</v>
      </c>
      <c r="AO3" s="3">
        <v>660.25</v>
      </c>
      <c r="AP3">
        <v>0</v>
      </c>
      <c r="AR3" t="s">
        <v>0</v>
      </c>
      <c r="AT3" s="2">
        <v>1.3140000000000001</v>
      </c>
      <c r="AU3" s="1">
        <f t="shared" si="5"/>
        <v>0.70195679397155031</v>
      </c>
      <c r="AV3" s="1">
        <f t="shared" si="6"/>
        <v>0.50256726813522712</v>
      </c>
      <c r="AW3" s="1">
        <f t="shared" si="7"/>
        <v>0.30317774229890387</v>
      </c>
    </row>
    <row r="4" spans="1:49" x14ac:dyDescent="0.2">
      <c r="A4">
        <v>2</v>
      </c>
      <c r="B4" t="s">
        <v>7217</v>
      </c>
      <c r="C4" t="s">
        <v>7216</v>
      </c>
      <c r="F4" t="s">
        <v>7215</v>
      </c>
      <c r="G4" t="s">
        <v>15</v>
      </c>
      <c r="H4" t="s">
        <v>14</v>
      </c>
      <c r="I4" t="s">
        <v>7214</v>
      </c>
      <c r="J4">
        <v>60013141</v>
      </c>
      <c r="K4" t="s">
        <v>3341</v>
      </c>
      <c r="L4" t="s">
        <v>3340</v>
      </c>
      <c r="M4" t="s">
        <v>3339</v>
      </c>
      <c r="N4">
        <v>2</v>
      </c>
      <c r="O4" t="s">
        <v>7213</v>
      </c>
      <c r="P4" t="s">
        <v>7212</v>
      </c>
      <c r="Q4" t="s">
        <v>7211</v>
      </c>
      <c r="R4" s="7">
        <v>31218</v>
      </c>
      <c r="S4" s="8">
        <f t="shared" si="0"/>
        <v>1985</v>
      </c>
      <c r="T4" s="8">
        <v>1985</v>
      </c>
      <c r="U4" s="8">
        <f t="shared" si="1"/>
        <v>37</v>
      </c>
      <c r="V4" s="7">
        <v>31218</v>
      </c>
      <c r="W4" t="s">
        <v>540</v>
      </c>
      <c r="X4" s="2">
        <v>0.375</v>
      </c>
      <c r="Y4" s="6">
        <f t="shared" si="2"/>
        <v>1.0010410827260351E-2</v>
      </c>
      <c r="Z4">
        <v>0</v>
      </c>
      <c r="AA4">
        <v>135194</v>
      </c>
      <c r="AB4">
        <v>24918</v>
      </c>
      <c r="AD4" t="s">
        <v>4</v>
      </c>
      <c r="AE4">
        <v>21</v>
      </c>
      <c r="AF4">
        <v>13</v>
      </c>
      <c r="AH4" t="s">
        <v>7210</v>
      </c>
      <c r="AI4" t="s">
        <v>7209</v>
      </c>
      <c r="AJ4" t="s">
        <v>7208</v>
      </c>
      <c r="AK4" t="s">
        <v>7207</v>
      </c>
      <c r="AL4">
        <v>27</v>
      </c>
      <c r="AM4" s="5">
        <f t="shared" si="3"/>
        <v>0.72972972972972971</v>
      </c>
      <c r="AN4" s="4">
        <f t="shared" si="4"/>
        <v>1.1052324569931537E-3</v>
      </c>
      <c r="AO4" s="3">
        <v>0</v>
      </c>
      <c r="AP4">
        <v>0</v>
      </c>
      <c r="AR4" t="s">
        <v>0</v>
      </c>
      <c r="AT4" s="2">
        <v>1.3140000000000001</v>
      </c>
      <c r="AU4" s="1">
        <f t="shared" si="5"/>
        <v>0.73388573161801918</v>
      </c>
      <c r="AV4" s="1">
        <f t="shared" si="6"/>
        <v>0.55578216421267523</v>
      </c>
      <c r="AW4" s="1">
        <f t="shared" si="7"/>
        <v>0.37767859680733129</v>
      </c>
    </row>
    <row r="5" spans="1:49" x14ac:dyDescent="0.2">
      <c r="A5">
        <v>3</v>
      </c>
      <c r="B5" t="s">
        <v>7206</v>
      </c>
      <c r="C5" t="s">
        <v>7205</v>
      </c>
      <c r="D5">
        <v>22236485903312</v>
      </c>
      <c r="F5" t="s">
        <v>7204</v>
      </c>
      <c r="G5" t="s">
        <v>15</v>
      </c>
      <c r="H5" t="s">
        <v>14</v>
      </c>
      <c r="I5" t="s">
        <v>7203</v>
      </c>
      <c r="J5">
        <v>60027271</v>
      </c>
      <c r="K5" t="s">
        <v>4281</v>
      </c>
      <c r="L5" t="s">
        <v>517</v>
      </c>
      <c r="M5" t="s">
        <v>122</v>
      </c>
      <c r="N5">
        <v>2</v>
      </c>
      <c r="O5" t="s">
        <v>7202</v>
      </c>
      <c r="P5" t="s">
        <v>7201</v>
      </c>
      <c r="Q5" t="s">
        <v>4278</v>
      </c>
      <c r="R5" s="7">
        <v>31213</v>
      </c>
      <c r="S5" s="8">
        <f t="shared" si="0"/>
        <v>1985</v>
      </c>
      <c r="T5" s="8">
        <v>1985</v>
      </c>
      <c r="U5" s="8">
        <f t="shared" si="1"/>
        <v>37</v>
      </c>
      <c r="V5" s="7">
        <v>31213</v>
      </c>
      <c r="W5" t="s">
        <v>7200</v>
      </c>
      <c r="X5" s="2" t="s">
        <v>19</v>
      </c>
      <c r="Y5" s="6" t="e">
        <f t="shared" si="2"/>
        <v>#VALUE!</v>
      </c>
      <c r="AA5">
        <v>222364</v>
      </c>
      <c r="AB5">
        <v>9800153153</v>
      </c>
      <c r="AD5" t="s">
        <v>4</v>
      </c>
      <c r="AE5">
        <v>63</v>
      </c>
      <c r="AF5">
        <v>2</v>
      </c>
      <c r="AH5" t="s">
        <v>7199</v>
      </c>
      <c r="AL5">
        <v>0</v>
      </c>
      <c r="AM5" s="5">
        <f t="shared" si="3"/>
        <v>0</v>
      </c>
      <c r="AN5" s="4">
        <f t="shared" si="4"/>
        <v>0</v>
      </c>
      <c r="AO5" s="3"/>
      <c r="AP5">
        <v>0</v>
      </c>
      <c r="AR5" t="s">
        <v>0</v>
      </c>
      <c r="AT5" s="2" t="s">
        <v>19</v>
      </c>
      <c r="AU5" s="1" t="e">
        <f t="shared" si="5"/>
        <v>#VALUE!</v>
      </c>
      <c r="AV5" s="1" t="e">
        <f t="shared" si="6"/>
        <v>#VALUE!</v>
      </c>
      <c r="AW5" s="1" t="e">
        <f t="shared" si="7"/>
        <v>#VALUE!</v>
      </c>
    </row>
    <row r="6" spans="1:49" x14ac:dyDescent="0.2">
      <c r="A6">
        <v>4</v>
      </c>
      <c r="B6" t="s">
        <v>7198</v>
      </c>
      <c r="C6" t="s">
        <v>7197</v>
      </c>
      <c r="F6" t="s">
        <v>7196</v>
      </c>
      <c r="G6" t="s">
        <v>15</v>
      </c>
      <c r="H6" t="s">
        <v>14</v>
      </c>
      <c r="I6" t="s">
        <v>7195</v>
      </c>
      <c r="J6">
        <v>60075697</v>
      </c>
      <c r="K6" t="s">
        <v>7194</v>
      </c>
      <c r="L6" t="s">
        <v>7193</v>
      </c>
      <c r="M6" t="s">
        <v>91</v>
      </c>
      <c r="N6">
        <v>1</v>
      </c>
      <c r="O6" t="s">
        <v>7192</v>
      </c>
      <c r="P6">
        <v>6602297603</v>
      </c>
      <c r="Q6">
        <v>60075697</v>
      </c>
      <c r="R6" s="7">
        <v>31204</v>
      </c>
      <c r="S6" s="8">
        <f t="shared" ref="S6:S69" si="8">YEAR(R6)</f>
        <v>1985</v>
      </c>
      <c r="T6" s="8">
        <v>1985</v>
      </c>
      <c r="U6" s="8">
        <f t="shared" ref="U6:U69" si="9">2022-T6</f>
        <v>37</v>
      </c>
      <c r="V6" s="7">
        <v>31204</v>
      </c>
      <c r="W6" t="s">
        <v>540</v>
      </c>
      <c r="X6" s="2">
        <v>0.375</v>
      </c>
      <c r="Y6" s="6">
        <f t="shared" si="2"/>
        <v>1.0010410827260351E-2</v>
      </c>
      <c r="AA6">
        <v>135194</v>
      </c>
      <c r="AB6">
        <v>24918</v>
      </c>
      <c r="AD6" t="s">
        <v>4</v>
      </c>
      <c r="AE6">
        <v>21</v>
      </c>
      <c r="AF6">
        <v>12</v>
      </c>
      <c r="AH6" t="s">
        <v>7191</v>
      </c>
      <c r="AI6" t="s">
        <v>7190</v>
      </c>
      <c r="AJ6" t="s">
        <v>7189</v>
      </c>
      <c r="AK6" t="s">
        <v>7188</v>
      </c>
      <c r="AL6">
        <v>1</v>
      </c>
      <c r="AM6" s="5">
        <f t="shared" ref="AM6:AM69" si="10">AL6/U6</f>
        <v>2.7027027027027029E-2</v>
      </c>
      <c r="AN6" s="4">
        <f t="shared" si="4"/>
        <v>4.0934535444190883E-5</v>
      </c>
      <c r="AO6" s="3"/>
      <c r="AP6">
        <v>0</v>
      </c>
      <c r="AR6" t="s">
        <v>0</v>
      </c>
      <c r="AT6" s="2">
        <v>1.3140000000000001</v>
      </c>
      <c r="AU6" s="1">
        <f t="shared" ref="AU6:AU69" si="11">(Y6*0.7+AN6*0.3)*100</f>
        <v>0.70195679397155031</v>
      </c>
      <c r="AV6" s="1">
        <f t="shared" ref="AV6:AV69" si="12">(Y6*0.5+AN6*0.5)*100</f>
        <v>0.50256726813522712</v>
      </c>
      <c r="AW6" s="1">
        <f t="shared" ref="AW6:AW69" si="13">(Y6*0.3+AN6*0.7)*100</f>
        <v>0.30317774229890387</v>
      </c>
    </row>
    <row r="7" spans="1:49" x14ac:dyDescent="0.2">
      <c r="A7">
        <v>5</v>
      </c>
      <c r="B7" t="s">
        <v>7187</v>
      </c>
      <c r="C7" t="s">
        <v>7186</v>
      </c>
      <c r="F7" t="s">
        <v>7185</v>
      </c>
      <c r="G7" t="s">
        <v>15</v>
      </c>
      <c r="H7" t="s">
        <v>14</v>
      </c>
      <c r="I7" t="s">
        <v>7178</v>
      </c>
      <c r="J7">
        <v>116880465</v>
      </c>
      <c r="K7" t="s">
        <v>7177</v>
      </c>
      <c r="L7" t="s">
        <v>7176</v>
      </c>
      <c r="M7" t="s">
        <v>544</v>
      </c>
      <c r="N7">
        <v>1</v>
      </c>
      <c r="O7" t="s">
        <v>7175</v>
      </c>
      <c r="P7">
        <v>57191227423</v>
      </c>
      <c r="Q7">
        <v>116880465</v>
      </c>
      <c r="R7" s="7">
        <v>31199</v>
      </c>
      <c r="S7" s="8">
        <f t="shared" si="8"/>
        <v>1985</v>
      </c>
      <c r="T7" s="8">
        <v>1985</v>
      </c>
      <c r="U7" s="8">
        <f t="shared" si="9"/>
        <v>37</v>
      </c>
      <c r="V7" s="7">
        <v>31199</v>
      </c>
      <c r="W7" t="s">
        <v>7174</v>
      </c>
      <c r="X7" s="2">
        <v>0.80300000000000005</v>
      </c>
      <c r="Y7" s="6">
        <f t="shared" si="2"/>
        <v>2.1435626384773501E-2</v>
      </c>
      <c r="AA7">
        <v>10847529</v>
      </c>
      <c r="AB7">
        <v>12320</v>
      </c>
      <c r="AC7">
        <v>15208532</v>
      </c>
      <c r="AD7" t="s">
        <v>4</v>
      </c>
      <c r="AE7">
        <v>2</v>
      </c>
      <c r="AF7">
        <v>6</v>
      </c>
      <c r="AH7" t="s">
        <v>7184</v>
      </c>
      <c r="AI7" t="s">
        <v>7183</v>
      </c>
      <c r="AK7" t="s">
        <v>7182</v>
      </c>
      <c r="AL7">
        <v>12</v>
      </c>
      <c r="AM7" s="5">
        <f t="shared" si="10"/>
        <v>0.32432432432432434</v>
      </c>
      <c r="AN7" s="4">
        <f t="shared" si="4"/>
        <v>4.9121442533029054E-4</v>
      </c>
      <c r="AO7" s="3"/>
      <c r="AP7">
        <v>0</v>
      </c>
      <c r="AR7" t="s">
        <v>0</v>
      </c>
      <c r="AT7" s="2" t="s">
        <v>19</v>
      </c>
      <c r="AU7" s="1">
        <f t="shared" si="11"/>
        <v>1.5152302796940538</v>
      </c>
      <c r="AV7" s="1">
        <f t="shared" si="12"/>
        <v>1.0963420405051896</v>
      </c>
      <c r="AW7" s="1">
        <f t="shared" si="13"/>
        <v>0.67745380131632527</v>
      </c>
    </row>
    <row r="8" spans="1:49" x14ac:dyDescent="0.2">
      <c r="A8">
        <v>6</v>
      </c>
      <c r="B8" t="s">
        <v>7181</v>
      </c>
      <c r="C8" t="s">
        <v>7180</v>
      </c>
      <c r="F8" t="s">
        <v>7179</v>
      </c>
      <c r="G8" t="s">
        <v>15</v>
      </c>
      <c r="H8" t="s">
        <v>14</v>
      </c>
      <c r="I8" t="s">
        <v>7178</v>
      </c>
      <c r="J8">
        <v>116880465</v>
      </c>
      <c r="K8" t="s">
        <v>7177</v>
      </c>
      <c r="L8" t="s">
        <v>7176</v>
      </c>
      <c r="M8" t="s">
        <v>544</v>
      </c>
      <c r="N8">
        <v>1</v>
      </c>
      <c r="O8" t="s">
        <v>7175</v>
      </c>
      <c r="P8">
        <v>57191227423</v>
      </c>
      <c r="Q8">
        <v>116880465</v>
      </c>
      <c r="R8" s="7">
        <v>31199</v>
      </c>
      <c r="S8" s="8">
        <f t="shared" si="8"/>
        <v>1985</v>
      </c>
      <c r="T8" s="8">
        <v>1985</v>
      </c>
      <c r="U8" s="8">
        <f t="shared" si="9"/>
        <v>37</v>
      </c>
      <c r="V8" s="7">
        <v>31199</v>
      </c>
      <c r="W8" t="s">
        <v>7174</v>
      </c>
      <c r="X8" s="2">
        <v>0.80300000000000005</v>
      </c>
      <c r="Y8" s="6">
        <f t="shared" si="2"/>
        <v>2.1435626384773501E-2</v>
      </c>
      <c r="AA8">
        <v>10847529</v>
      </c>
      <c r="AB8">
        <v>12320</v>
      </c>
      <c r="AC8">
        <v>15208532</v>
      </c>
      <c r="AD8" t="s">
        <v>4</v>
      </c>
      <c r="AE8">
        <v>2</v>
      </c>
      <c r="AF8">
        <v>6</v>
      </c>
      <c r="AH8" t="s">
        <v>7173</v>
      </c>
      <c r="AI8" t="s">
        <v>7172</v>
      </c>
      <c r="AK8" t="s">
        <v>7171</v>
      </c>
      <c r="AL8">
        <v>9</v>
      </c>
      <c r="AM8" s="5">
        <f t="shared" si="10"/>
        <v>0.24324324324324326</v>
      </c>
      <c r="AN8" s="4">
        <f t="shared" si="4"/>
        <v>3.684108189977179E-4</v>
      </c>
      <c r="AO8" s="3"/>
      <c r="AP8">
        <v>0</v>
      </c>
      <c r="AR8" t="s">
        <v>0</v>
      </c>
      <c r="AT8" s="2" t="s">
        <v>19</v>
      </c>
      <c r="AU8" s="1">
        <f t="shared" si="11"/>
        <v>1.5115461715040766</v>
      </c>
      <c r="AV8" s="1">
        <f t="shared" si="12"/>
        <v>1.0902018601885608</v>
      </c>
      <c r="AW8" s="1">
        <f t="shared" si="13"/>
        <v>0.66885754887304527</v>
      </c>
    </row>
    <row r="9" spans="1:49" x14ac:dyDescent="0.2">
      <c r="A9">
        <v>7</v>
      </c>
      <c r="B9" t="s">
        <v>7170</v>
      </c>
      <c r="F9" t="s">
        <v>7169</v>
      </c>
      <c r="G9" t="s">
        <v>15</v>
      </c>
      <c r="H9" t="s">
        <v>14</v>
      </c>
      <c r="I9" t="s">
        <v>7168</v>
      </c>
      <c r="J9">
        <v>60019269</v>
      </c>
      <c r="K9" t="s">
        <v>7167</v>
      </c>
      <c r="L9" t="s">
        <v>7166</v>
      </c>
      <c r="M9" t="s">
        <v>272</v>
      </c>
      <c r="N9">
        <v>1</v>
      </c>
      <c r="O9" t="s">
        <v>7165</v>
      </c>
      <c r="P9">
        <v>7004950320</v>
      </c>
      <c r="Q9">
        <v>60019269</v>
      </c>
      <c r="R9" s="7">
        <v>31199</v>
      </c>
      <c r="S9" s="8">
        <f t="shared" si="8"/>
        <v>1985</v>
      </c>
      <c r="T9" s="8">
        <v>1985</v>
      </c>
      <c r="U9" s="8">
        <f t="shared" si="9"/>
        <v>37</v>
      </c>
      <c r="V9" s="7">
        <v>31199</v>
      </c>
      <c r="W9" t="s">
        <v>6551</v>
      </c>
      <c r="X9" s="2" t="s">
        <v>19</v>
      </c>
      <c r="Y9" s="6" t="e">
        <f t="shared" si="2"/>
        <v>#VALUE!</v>
      </c>
      <c r="AA9">
        <v>262897</v>
      </c>
      <c r="AB9">
        <v>18580</v>
      </c>
      <c r="AD9" t="s">
        <v>4</v>
      </c>
      <c r="AE9">
        <v>28</v>
      </c>
      <c r="AF9">
        <v>6</v>
      </c>
      <c r="AI9" t="s">
        <v>7164</v>
      </c>
      <c r="AK9" t="s">
        <v>7163</v>
      </c>
      <c r="AL9">
        <v>0</v>
      </c>
      <c r="AM9" s="5">
        <f t="shared" si="10"/>
        <v>0</v>
      </c>
      <c r="AN9" s="4">
        <f t="shared" si="4"/>
        <v>0</v>
      </c>
      <c r="AO9" s="3"/>
      <c r="AP9">
        <v>0</v>
      </c>
      <c r="AR9" t="s">
        <v>0</v>
      </c>
      <c r="AT9" s="2">
        <v>0.30599999999999999</v>
      </c>
      <c r="AU9" s="1" t="e">
        <f t="shared" si="11"/>
        <v>#VALUE!</v>
      </c>
      <c r="AV9" s="1" t="e">
        <f t="shared" si="12"/>
        <v>#VALUE!</v>
      </c>
      <c r="AW9" s="1" t="e">
        <f t="shared" si="13"/>
        <v>#VALUE!</v>
      </c>
    </row>
    <row r="10" spans="1:49" x14ac:dyDescent="0.2">
      <c r="A10">
        <v>8</v>
      </c>
      <c r="B10" t="s">
        <v>7162</v>
      </c>
      <c r="C10" t="s">
        <v>7161</v>
      </c>
      <c r="F10" t="s">
        <v>7160</v>
      </c>
      <c r="G10" t="s">
        <v>15</v>
      </c>
      <c r="H10" t="s">
        <v>14</v>
      </c>
      <c r="I10" t="s">
        <v>7159</v>
      </c>
      <c r="J10">
        <v>60015815</v>
      </c>
      <c r="K10" t="s">
        <v>7158</v>
      </c>
      <c r="L10" t="s">
        <v>7157</v>
      </c>
      <c r="M10" t="s">
        <v>91</v>
      </c>
      <c r="N10">
        <v>3</v>
      </c>
      <c r="O10" t="s">
        <v>7156</v>
      </c>
      <c r="P10" t="s">
        <v>7155</v>
      </c>
      <c r="Q10" t="s">
        <v>7154</v>
      </c>
      <c r="R10" s="7">
        <v>31199</v>
      </c>
      <c r="S10" s="8">
        <f t="shared" si="8"/>
        <v>1985</v>
      </c>
      <c r="T10" s="8">
        <v>1985</v>
      </c>
      <c r="U10" s="8">
        <f t="shared" si="9"/>
        <v>37</v>
      </c>
      <c r="V10" s="7">
        <v>31199</v>
      </c>
      <c r="W10" t="s">
        <v>6102</v>
      </c>
      <c r="X10" s="2">
        <v>0.30099999999999999</v>
      </c>
      <c r="Y10" s="6">
        <f t="shared" si="2"/>
        <v>8.0350230906809754E-3</v>
      </c>
      <c r="AA10">
        <v>9395075</v>
      </c>
      <c r="AB10">
        <v>14954</v>
      </c>
      <c r="AC10">
        <v>18657125</v>
      </c>
      <c r="AD10" t="s">
        <v>4</v>
      </c>
      <c r="AE10">
        <v>40</v>
      </c>
      <c r="AF10" s="9">
        <v>44352</v>
      </c>
      <c r="AH10" t="s">
        <v>7153</v>
      </c>
      <c r="AI10" t="s">
        <v>7152</v>
      </c>
      <c r="AJ10" t="s">
        <v>7151</v>
      </c>
      <c r="AK10" t="s">
        <v>7150</v>
      </c>
      <c r="AL10">
        <v>8</v>
      </c>
      <c r="AM10" s="5">
        <f t="shared" si="10"/>
        <v>0.21621621621621623</v>
      </c>
      <c r="AN10" s="4">
        <f t="shared" si="4"/>
        <v>3.2747628355352706E-4</v>
      </c>
      <c r="AO10" s="3"/>
      <c r="AP10">
        <v>1</v>
      </c>
      <c r="AQ10" t="s">
        <v>6084</v>
      </c>
      <c r="AR10" t="s">
        <v>0</v>
      </c>
      <c r="AS10" t="s">
        <v>6083</v>
      </c>
      <c r="AT10" s="2" t="s">
        <v>19</v>
      </c>
      <c r="AU10" s="1">
        <f t="shared" si="11"/>
        <v>0.57227590485427404</v>
      </c>
      <c r="AV10" s="1">
        <f t="shared" si="12"/>
        <v>0.41812496871172511</v>
      </c>
      <c r="AW10" s="1">
        <f t="shared" si="13"/>
        <v>0.26397403256917618</v>
      </c>
    </row>
    <row r="11" spans="1:49" x14ac:dyDescent="0.2">
      <c r="A11">
        <v>9</v>
      </c>
      <c r="B11" t="s">
        <v>7149</v>
      </c>
      <c r="F11" t="s">
        <v>7148</v>
      </c>
      <c r="G11" t="s">
        <v>15</v>
      </c>
      <c r="H11" t="s">
        <v>14</v>
      </c>
      <c r="I11" t="s">
        <v>7147</v>
      </c>
      <c r="J11">
        <v>60090755</v>
      </c>
      <c r="K11" t="s">
        <v>7146</v>
      </c>
      <c r="L11" t="s">
        <v>2732</v>
      </c>
      <c r="M11" t="s">
        <v>43</v>
      </c>
      <c r="N11">
        <v>1</v>
      </c>
      <c r="O11" t="s">
        <v>7145</v>
      </c>
      <c r="P11">
        <v>6506365489</v>
      </c>
      <c r="Q11">
        <v>60090755</v>
      </c>
      <c r="R11" s="7">
        <v>31199</v>
      </c>
      <c r="S11" s="8">
        <f t="shared" si="8"/>
        <v>1985</v>
      </c>
      <c r="T11" s="8">
        <v>1985</v>
      </c>
      <c r="U11" s="8">
        <f t="shared" si="9"/>
        <v>37</v>
      </c>
      <c r="V11" s="7">
        <v>31199</v>
      </c>
      <c r="W11" t="s">
        <v>6374</v>
      </c>
      <c r="X11" s="2">
        <v>0.14099999999999999</v>
      </c>
      <c r="Y11" s="6">
        <f t="shared" si="2"/>
        <v>3.7639144710498915E-3</v>
      </c>
      <c r="AA11">
        <v>7252986</v>
      </c>
      <c r="AB11">
        <v>18037</v>
      </c>
      <c r="AD11" t="s">
        <v>4</v>
      </c>
      <c r="AE11">
        <v>5</v>
      </c>
      <c r="AF11">
        <v>2</v>
      </c>
      <c r="AH11" t="s">
        <v>2975</v>
      </c>
      <c r="AI11" t="s">
        <v>7144</v>
      </c>
      <c r="AK11" t="s">
        <v>7143</v>
      </c>
      <c r="AL11">
        <v>0</v>
      </c>
      <c r="AM11" s="5">
        <f t="shared" si="10"/>
        <v>0</v>
      </c>
      <c r="AN11" s="4">
        <f t="shared" si="4"/>
        <v>0</v>
      </c>
      <c r="AO11" s="3"/>
      <c r="AP11">
        <v>0</v>
      </c>
      <c r="AR11" t="s">
        <v>0</v>
      </c>
      <c r="AT11" s="2" t="s">
        <v>19</v>
      </c>
      <c r="AU11" s="1">
        <f t="shared" si="11"/>
        <v>0.26347401297349238</v>
      </c>
      <c r="AV11" s="1">
        <f t="shared" si="12"/>
        <v>0.18819572355249459</v>
      </c>
      <c r="AW11" s="1">
        <f t="shared" si="13"/>
        <v>0.11291743413149673</v>
      </c>
    </row>
    <row r="12" spans="1:49" x14ac:dyDescent="0.2">
      <c r="A12">
        <v>10</v>
      </c>
      <c r="B12" t="s">
        <v>7142</v>
      </c>
      <c r="F12" t="s">
        <v>7141</v>
      </c>
      <c r="G12" t="s">
        <v>15</v>
      </c>
      <c r="H12" t="s">
        <v>14</v>
      </c>
      <c r="I12" t="s">
        <v>622</v>
      </c>
      <c r="N12">
        <v>1</v>
      </c>
      <c r="O12" t="s">
        <v>7140</v>
      </c>
      <c r="P12">
        <v>57225911529</v>
      </c>
      <c r="R12" s="7">
        <v>31199</v>
      </c>
      <c r="S12" s="8">
        <f t="shared" si="8"/>
        <v>1985</v>
      </c>
      <c r="T12" s="8">
        <v>1985</v>
      </c>
      <c r="U12" s="8">
        <f t="shared" si="9"/>
        <v>37</v>
      </c>
      <c r="V12" s="7">
        <v>31199</v>
      </c>
      <c r="W12" t="s">
        <v>6609</v>
      </c>
      <c r="X12" s="2" t="s">
        <v>19</v>
      </c>
      <c r="Y12" s="6" t="e">
        <f t="shared" si="2"/>
        <v>#VALUE!</v>
      </c>
      <c r="AA12">
        <v>2663244</v>
      </c>
      <c r="AB12">
        <v>35055</v>
      </c>
      <c r="AD12" t="s">
        <v>4</v>
      </c>
      <c r="AE12">
        <v>91</v>
      </c>
      <c r="AF12">
        <v>1592</v>
      </c>
      <c r="AH12" t="s">
        <v>7139</v>
      </c>
      <c r="AI12" t="s">
        <v>7138</v>
      </c>
      <c r="AK12" t="s">
        <v>7137</v>
      </c>
      <c r="AL12">
        <v>0</v>
      </c>
      <c r="AM12" s="5">
        <f t="shared" si="10"/>
        <v>0</v>
      </c>
      <c r="AN12" s="4">
        <f t="shared" si="4"/>
        <v>0</v>
      </c>
      <c r="AO12" s="3"/>
      <c r="AP12">
        <v>0</v>
      </c>
      <c r="AR12" t="s">
        <v>0</v>
      </c>
      <c r="AT12" s="2" t="s">
        <v>19</v>
      </c>
      <c r="AU12" s="1" t="e">
        <f t="shared" si="11"/>
        <v>#VALUE!</v>
      </c>
      <c r="AV12" s="1" t="e">
        <f t="shared" si="12"/>
        <v>#VALUE!</v>
      </c>
      <c r="AW12" s="1" t="e">
        <f t="shared" si="13"/>
        <v>#VALUE!</v>
      </c>
    </row>
    <row r="13" spans="1:49" x14ac:dyDescent="0.2">
      <c r="A13">
        <v>11</v>
      </c>
      <c r="B13" t="s">
        <v>7136</v>
      </c>
      <c r="F13" t="s">
        <v>950</v>
      </c>
      <c r="G13" t="s">
        <v>15</v>
      </c>
      <c r="H13" t="s">
        <v>14</v>
      </c>
      <c r="I13" t="s">
        <v>864</v>
      </c>
      <c r="J13">
        <v>60013272</v>
      </c>
      <c r="K13" t="s">
        <v>863</v>
      </c>
      <c r="L13" t="s">
        <v>862</v>
      </c>
      <c r="M13" t="s">
        <v>861</v>
      </c>
      <c r="N13">
        <v>1</v>
      </c>
      <c r="O13" t="s">
        <v>949</v>
      </c>
      <c r="P13">
        <v>7404140488</v>
      </c>
      <c r="Q13">
        <v>60013272</v>
      </c>
      <c r="R13" s="7">
        <v>31199</v>
      </c>
      <c r="S13" s="8">
        <f t="shared" si="8"/>
        <v>1985</v>
      </c>
      <c r="T13" s="8">
        <v>1985</v>
      </c>
      <c r="U13" s="8">
        <f t="shared" si="9"/>
        <v>37</v>
      </c>
      <c r="V13" s="7">
        <v>31199</v>
      </c>
      <c r="W13" t="s">
        <v>857</v>
      </c>
      <c r="X13" s="2">
        <v>0.14399999999999999</v>
      </c>
      <c r="Y13" s="6">
        <f t="shared" si="2"/>
        <v>3.8439977576679744E-3</v>
      </c>
      <c r="AA13">
        <v>382221</v>
      </c>
      <c r="AB13">
        <v>19255</v>
      </c>
      <c r="AD13" t="s">
        <v>4</v>
      </c>
      <c r="AE13">
        <v>76</v>
      </c>
      <c r="AF13">
        <v>2</v>
      </c>
      <c r="AH13" t="s">
        <v>6292</v>
      </c>
      <c r="AI13" t="s">
        <v>7135</v>
      </c>
      <c r="AK13" t="s">
        <v>7134</v>
      </c>
      <c r="AL13">
        <v>1</v>
      </c>
      <c r="AM13" s="5">
        <f t="shared" si="10"/>
        <v>2.7027027027027029E-2</v>
      </c>
      <c r="AN13" s="4">
        <f t="shared" si="4"/>
        <v>4.0934535444190883E-5</v>
      </c>
      <c r="AO13" s="3"/>
      <c r="AP13">
        <v>0</v>
      </c>
      <c r="AR13" t="s">
        <v>0</v>
      </c>
      <c r="AT13" s="2" t="s">
        <v>19</v>
      </c>
      <c r="AU13" s="1">
        <f t="shared" si="11"/>
        <v>0.27030787910008391</v>
      </c>
      <c r="AV13" s="1">
        <f t="shared" si="12"/>
        <v>0.19424661465560827</v>
      </c>
      <c r="AW13" s="1">
        <f t="shared" si="13"/>
        <v>0.11818535021113259</v>
      </c>
    </row>
    <row r="14" spans="1:49" x14ac:dyDescent="0.2">
      <c r="A14">
        <v>12</v>
      </c>
      <c r="B14" t="s">
        <v>7133</v>
      </c>
      <c r="F14" t="s">
        <v>7132</v>
      </c>
      <c r="G14" t="s">
        <v>15</v>
      </c>
      <c r="H14" t="s">
        <v>14</v>
      </c>
      <c r="I14" t="s">
        <v>6816</v>
      </c>
      <c r="N14">
        <v>1</v>
      </c>
      <c r="O14" t="s">
        <v>6815</v>
      </c>
      <c r="P14">
        <v>1</v>
      </c>
      <c r="R14" s="7">
        <v>31199</v>
      </c>
      <c r="S14" s="8">
        <f t="shared" si="8"/>
        <v>1985</v>
      </c>
      <c r="T14" s="8">
        <v>1985</v>
      </c>
      <c r="U14" s="8">
        <f t="shared" si="9"/>
        <v>37</v>
      </c>
      <c r="V14" s="7">
        <v>31199</v>
      </c>
      <c r="W14" t="s">
        <v>7131</v>
      </c>
      <c r="X14" s="2" t="s">
        <v>19</v>
      </c>
      <c r="Y14" s="6" t="e">
        <f t="shared" si="2"/>
        <v>#VALUE!</v>
      </c>
      <c r="AA14">
        <v>268038</v>
      </c>
      <c r="AB14">
        <v>23353</v>
      </c>
      <c r="AD14" t="s">
        <v>4</v>
      </c>
      <c r="AE14">
        <v>40</v>
      </c>
      <c r="AF14">
        <v>7</v>
      </c>
      <c r="AH14" t="s">
        <v>7130</v>
      </c>
      <c r="AI14" t="s">
        <v>7129</v>
      </c>
      <c r="AK14" t="s">
        <v>7128</v>
      </c>
      <c r="AL14">
        <v>2</v>
      </c>
      <c r="AM14" s="5">
        <f t="shared" si="10"/>
        <v>5.4054054054054057E-2</v>
      </c>
      <c r="AN14" s="4">
        <f t="shared" si="4"/>
        <v>8.1869070888381765E-5</v>
      </c>
      <c r="AO14" s="3"/>
      <c r="AP14">
        <v>0</v>
      </c>
      <c r="AR14" t="s">
        <v>0</v>
      </c>
      <c r="AT14" s="2" t="s">
        <v>19</v>
      </c>
      <c r="AU14" s="1" t="e">
        <f t="shared" si="11"/>
        <v>#VALUE!</v>
      </c>
      <c r="AV14" s="1" t="e">
        <f t="shared" si="12"/>
        <v>#VALUE!</v>
      </c>
      <c r="AW14" s="1" t="e">
        <f t="shared" si="13"/>
        <v>#VALUE!</v>
      </c>
    </row>
    <row r="15" spans="1:49" x14ac:dyDescent="0.2">
      <c r="A15">
        <v>13</v>
      </c>
      <c r="B15" t="s">
        <v>7127</v>
      </c>
      <c r="F15" t="s">
        <v>865</v>
      </c>
      <c r="G15" t="s">
        <v>15</v>
      </c>
      <c r="H15" t="s">
        <v>14</v>
      </c>
      <c r="I15" t="s">
        <v>864</v>
      </c>
      <c r="J15">
        <v>60013272</v>
      </c>
      <c r="K15" t="s">
        <v>863</v>
      </c>
      <c r="L15" t="s">
        <v>862</v>
      </c>
      <c r="M15" t="s">
        <v>861</v>
      </c>
      <c r="N15">
        <v>2</v>
      </c>
      <c r="O15" t="s">
        <v>860</v>
      </c>
      <c r="P15" t="s">
        <v>859</v>
      </c>
      <c r="Q15" t="s">
        <v>858</v>
      </c>
      <c r="R15" s="7">
        <v>31199</v>
      </c>
      <c r="S15" s="8">
        <f t="shared" si="8"/>
        <v>1985</v>
      </c>
      <c r="T15" s="8">
        <v>1985</v>
      </c>
      <c r="U15" s="8">
        <f t="shared" si="9"/>
        <v>37</v>
      </c>
      <c r="V15" s="7">
        <v>31199</v>
      </c>
      <c r="W15" t="s">
        <v>857</v>
      </c>
      <c r="X15" s="2">
        <v>0.14399999999999999</v>
      </c>
      <c r="Y15" s="6">
        <f t="shared" si="2"/>
        <v>3.8439977576679744E-3</v>
      </c>
      <c r="AA15">
        <v>382221</v>
      </c>
      <c r="AB15">
        <v>19255</v>
      </c>
      <c r="AD15" t="s">
        <v>4</v>
      </c>
      <c r="AE15">
        <v>76</v>
      </c>
      <c r="AF15">
        <v>2</v>
      </c>
      <c r="AH15" t="s">
        <v>7126</v>
      </c>
      <c r="AI15" t="s">
        <v>7125</v>
      </c>
      <c r="AK15" t="s">
        <v>7124</v>
      </c>
      <c r="AL15">
        <v>0</v>
      </c>
      <c r="AM15" s="5">
        <f t="shared" si="10"/>
        <v>0</v>
      </c>
      <c r="AN15" s="4">
        <f t="shared" si="4"/>
        <v>0</v>
      </c>
      <c r="AO15" s="3"/>
      <c r="AP15">
        <v>0</v>
      </c>
      <c r="AR15" t="s">
        <v>0</v>
      </c>
      <c r="AT15" s="2" t="s">
        <v>19</v>
      </c>
      <c r="AU15" s="1">
        <f t="shared" si="11"/>
        <v>0.26907984303675819</v>
      </c>
      <c r="AV15" s="1">
        <f t="shared" si="12"/>
        <v>0.19219988788339873</v>
      </c>
      <c r="AW15" s="1">
        <f t="shared" si="13"/>
        <v>0.11531993273003922</v>
      </c>
    </row>
    <row r="16" spans="1:49" x14ac:dyDescent="0.2">
      <c r="A16">
        <v>14</v>
      </c>
      <c r="B16" t="s">
        <v>7123</v>
      </c>
      <c r="F16" t="s">
        <v>7122</v>
      </c>
      <c r="G16" t="s">
        <v>15</v>
      </c>
      <c r="H16" t="s">
        <v>14</v>
      </c>
      <c r="I16" t="s">
        <v>7121</v>
      </c>
      <c r="J16">
        <v>60007951</v>
      </c>
      <c r="K16" t="s">
        <v>7120</v>
      </c>
      <c r="L16" t="s">
        <v>7119</v>
      </c>
      <c r="M16" t="s">
        <v>544</v>
      </c>
      <c r="N16">
        <v>4</v>
      </c>
      <c r="O16" t="s">
        <v>7118</v>
      </c>
      <c r="P16" t="s">
        <v>7117</v>
      </c>
      <c r="Q16" t="s">
        <v>7116</v>
      </c>
      <c r="R16" s="7">
        <v>31199</v>
      </c>
      <c r="S16" s="8">
        <f t="shared" si="8"/>
        <v>1985</v>
      </c>
      <c r="T16" s="8">
        <v>1985</v>
      </c>
      <c r="U16" s="8">
        <f t="shared" si="9"/>
        <v>37</v>
      </c>
      <c r="V16" s="7">
        <v>31199</v>
      </c>
      <c r="W16" t="s">
        <v>7115</v>
      </c>
      <c r="X16" s="2">
        <v>0.161</v>
      </c>
      <c r="Y16" s="6">
        <f t="shared" si="2"/>
        <v>4.2978030485037776E-3</v>
      </c>
      <c r="AA16">
        <v>162523</v>
      </c>
      <c r="AB16">
        <v>16740</v>
      </c>
      <c r="AD16" t="s">
        <v>4</v>
      </c>
      <c r="AE16">
        <v>21</v>
      </c>
      <c r="AF16">
        <v>3</v>
      </c>
      <c r="AH16" t="s">
        <v>7114</v>
      </c>
      <c r="AI16" t="s">
        <v>7113</v>
      </c>
      <c r="AK16" t="s">
        <v>7112</v>
      </c>
      <c r="AL16">
        <v>0</v>
      </c>
      <c r="AM16" s="5">
        <f t="shared" si="10"/>
        <v>0</v>
      </c>
      <c r="AN16" s="4">
        <f t="shared" si="4"/>
        <v>0</v>
      </c>
      <c r="AO16" s="3"/>
      <c r="AP16">
        <v>0</v>
      </c>
      <c r="AR16" t="s">
        <v>0</v>
      </c>
      <c r="AT16" s="2" t="s">
        <v>19</v>
      </c>
      <c r="AU16" s="1">
        <f t="shared" si="11"/>
        <v>0.30084621339526441</v>
      </c>
      <c r="AV16" s="1">
        <f t="shared" si="12"/>
        <v>0.21489015242518889</v>
      </c>
      <c r="AW16" s="1">
        <f t="shared" si="13"/>
        <v>0.12893409145511334</v>
      </c>
    </row>
    <row r="17" spans="1:49" x14ac:dyDescent="0.2">
      <c r="A17">
        <v>15</v>
      </c>
      <c r="B17" t="s">
        <v>7111</v>
      </c>
      <c r="F17" t="s">
        <v>7110</v>
      </c>
      <c r="G17" t="s">
        <v>15</v>
      </c>
      <c r="H17" t="s">
        <v>14</v>
      </c>
      <c r="I17" t="s">
        <v>7109</v>
      </c>
      <c r="J17">
        <v>60029470</v>
      </c>
      <c r="K17" t="s">
        <v>3918</v>
      </c>
      <c r="L17" t="s">
        <v>1645</v>
      </c>
      <c r="M17" t="s">
        <v>43</v>
      </c>
      <c r="N17">
        <v>8</v>
      </c>
      <c r="O17" t="s">
        <v>7108</v>
      </c>
      <c r="P17" t="s">
        <v>7107</v>
      </c>
      <c r="Q17" t="s">
        <v>7106</v>
      </c>
      <c r="R17" s="7">
        <v>31199</v>
      </c>
      <c r="S17" s="8">
        <f t="shared" si="8"/>
        <v>1985</v>
      </c>
      <c r="T17" s="8">
        <v>1985</v>
      </c>
      <c r="U17" s="8">
        <f t="shared" si="9"/>
        <v>37</v>
      </c>
      <c r="V17" s="7">
        <v>31199</v>
      </c>
      <c r="W17" t="s">
        <v>6374</v>
      </c>
      <c r="X17" s="2">
        <v>0.14099999999999999</v>
      </c>
      <c r="Y17" s="6">
        <f t="shared" si="2"/>
        <v>3.7639144710498915E-3</v>
      </c>
      <c r="AA17">
        <v>7252986</v>
      </c>
      <c r="AB17">
        <v>18037</v>
      </c>
      <c r="AD17" t="s">
        <v>4</v>
      </c>
      <c r="AE17">
        <v>5</v>
      </c>
      <c r="AF17">
        <v>2</v>
      </c>
      <c r="AH17" t="s">
        <v>7105</v>
      </c>
      <c r="AI17" t="s">
        <v>7104</v>
      </c>
      <c r="AK17" t="s">
        <v>7103</v>
      </c>
      <c r="AL17">
        <v>2</v>
      </c>
      <c r="AM17" s="5">
        <f t="shared" si="10"/>
        <v>5.4054054054054057E-2</v>
      </c>
      <c r="AN17" s="4">
        <f t="shared" si="4"/>
        <v>8.1869070888381765E-5</v>
      </c>
      <c r="AO17" s="3"/>
      <c r="AP17">
        <v>0</v>
      </c>
      <c r="AR17" t="s">
        <v>0</v>
      </c>
      <c r="AT17" s="2" t="s">
        <v>19</v>
      </c>
      <c r="AU17" s="1">
        <f t="shared" si="11"/>
        <v>0.26593008510014382</v>
      </c>
      <c r="AV17" s="1">
        <f t="shared" si="12"/>
        <v>0.19228917709691365</v>
      </c>
      <c r="AW17" s="1">
        <f t="shared" si="13"/>
        <v>0.11864826909368346</v>
      </c>
    </row>
    <row r="18" spans="1:49" x14ac:dyDescent="0.2">
      <c r="A18">
        <v>16</v>
      </c>
      <c r="B18" t="s">
        <v>7102</v>
      </c>
      <c r="F18" t="s">
        <v>7101</v>
      </c>
      <c r="G18" t="s">
        <v>15</v>
      </c>
      <c r="H18" t="s">
        <v>14</v>
      </c>
      <c r="I18" t="s">
        <v>7100</v>
      </c>
      <c r="J18">
        <v>100637830</v>
      </c>
      <c r="K18" t="s">
        <v>7099</v>
      </c>
      <c r="L18" t="s">
        <v>7098</v>
      </c>
      <c r="M18" t="s">
        <v>530</v>
      </c>
      <c r="N18">
        <v>1</v>
      </c>
      <c r="O18" t="s">
        <v>7097</v>
      </c>
      <c r="P18">
        <v>36811224700</v>
      </c>
      <c r="Q18">
        <v>100637830</v>
      </c>
      <c r="R18" s="7">
        <v>31199</v>
      </c>
      <c r="S18" s="8">
        <f t="shared" si="8"/>
        <v>1985</v>
      </c>
      <c r="T18" s="8">
        <v>1985</v>
      </c>
      <c r="U18" s="8">
        <f t="shared" si="9"/>
        <v>37</v>
      </c>
      <c r="V18" s="7">
        <v>31199</v>
      </c>
      <c r="W18" t="s">
        <v>7096</v>
      </c>
      <c r="X18" s="2" t="s">
        <v>19</v>
      </c>
      <c r="Y18" s="6" t="e">
        <f t="shared" si="2"/>
        <v>#VALUE!</v>
      </c>
      <c r="AA18">
        <v>3084213</v>
      </c>
      <c r="AB18">
        <v>39048</v>
      </c>
      <c r="AD18" t="s">
        <v>4</v>
      </c>
      <c r="AE18">
        <v>13</v>
      </c>
      <c r="AF18">
        <v>1</v>
      </c>
      <c r="AH18" t="s">
        <v>7095</v>
      </c>
      <c r="AI18" t="s">
        <v>7094</v>
      </c>
      <c r="AK18" t="s">
        <v>7093</v>
      </c>
      <c r="AL18">
        <v>0</v>
      </c>
      <c r="AM18" s="5">
        <f t="shared" si="10"/>
        <v>0</v>
      </c>
      <c r="AN18" s="4">
        <f t="shared" si="4"/>
        <v>0</v>
      </c>
      <c r="AO18" s="3"/>
      <c r="AP18">
        <v>0</v>
      </c>
      <c r="AR18" t="s">
        <v>0</v>
      </c>
      <c r="AT18" s="2" t="s">
        <v>19</v>
      </c>
      <c r="AU18" s="1" t="e">
        <f t="shared" si="11"/>
        <v>#VALUE!</v>
      </c>
      <c r="AV18" s="1" t="e">
        <f t="shared" si="12"/>
        <v>#VALUE!</v>
      </c>
      <c r="AW18" s="1" t="e">
        <f t="shared" si="13"/>
        <v>#VALUE!</v>
      </c>
    </row>
    <row r="19" spans="1:49" x14ac:dyDescent="0.2">
      <c r="A19">
        <v>17</v>
      </c>
      <c r="B19" t="s">
        <v>7092</v>
      </c>
      <c r="C19" t="s">
        <v>7091</v>
      </c>
      <c r="F19" t="s">
        <v>7090</v>
      </c>
      <c r="G19" t="s">
        <v>15</v>
      </c>
      <c r="H19" t="s">
        <v>14</v>
      </c>
      <c r="I19" t="s">
        <v>7089</v>
      </c>
      <c r="J19">
        <v>60025534</v>
      </c>
      <c r="K19" t="s">
        <v>7088</v>
      </c>
      <c r="L19" t="s">
        <v>7087</v>
      </c>
      <c r="M19" t="s">
        <v>122</v>
      </c>
      <c r="N19">
        <v>1</v>
      </c>
      <c r="O19" t="s">
        <v>7086</v>
      </c>
      <c r="P19">
        <v>7004861131</v>
      </c>
      <c r="Q19">
        <v>60025534</v>
      </c>
      <c r="R19" s="7">
        <v>31199</v>
      </c>
      <c r="S19" s="8">
        <f t="shared" si="8"/>
        <v>1985</v>
      </c>
      <c r="T19" s="8">
        <v>1985</v>
      </c>
      <c r="U19" s="8">
        <f t="shared" si="9"/>
        <v>37</v>
      </c>
      <c r="V19" s="7">
        <v>31199</v>
      </c>
      <c r="W19" t="s">
        <v>7085</v>
      </c>
      <c r="X19" s="2">
        <v>1.109</v>
      </c>
      <c r="Y19" s="6">
        <f t="shared" si="2"/>
        <v>2.9604121619817944E-2</v>
      </c>
      <c r="AA19">
        <v>223239</v>
      </c>
      <c r="AB19">
        <v>23966</v>
      </c>
      <c r="AC19">
        <v>15732878</v>
      </c>
      <c r="AD19" t="s">
        <v>4</v>
      </c>
      <c r="AE19">
        <v>46</v>
      </c>
      <c r="AF19">
        <v>2</v>
      </c>
      <c r="AH19" t="s">
        <v>7084</v>
      </c>
      <c r="AI19" t="s">
        <v>7083</v>
      </c>
      <c r="AJ19" t="s">
        <v>7082</v>
      </c>
      <c r="AK19" t="s">
        <v>7081</v>
      </c>
      <c r="AL19">
        <v>27</v>
      </c>
      <c r="AM19" s="5">
        <f t="shared" si="10"/>
        <v>0.72972972972972971</v>
      </c>
      <c r="AN19" s="4">
        <f t="shared" si="4"/>
        <v>1.1052324569931537E-3</v>
      </c>
      <c r="AO19" s="3"/>
      <c r="AP19">
        <v>0</v>
      </c>
      <c r="AR19" t="s">
        <v>0</v>
      </c>
      <c r="AT19" s="2" t="s">
        <v>19</v>
      </c>
      <c r="AU19" s="1">
        <f t="shared" si="11"/>
        <v>2.1054454870970503</v>
      </c>
      <c r="AV19" s="1">
        <f t="shared" si="12"/>
        <v>1.5354677038405549</v>
      </c>
      <c r="AW19" s="1">
        <f t="shared" si="13"/>
        <v>0.96548992058405914</v>
      </c>
    </row>
    <row r="20" spans="1:49" x14ac:dyDescent="0.2">
      <c r="A20">
        <v>18</v>
      </c>
      <c r="B20" t="s">
        <v>7080</v>
      </c>
      <c r="F20" t="s">
        <v>7079</v>
      </c>
      <c r="G20" t="s">
        <v>15</v>
      </c>
      <c r="H20" t="s">
        <v>14</v>
      </c>
      <c r="I20" t="s">
        <v>7078</v>
      </c>
      <c r="J20">
        <v>60005248</v>
      </c>
      <c r="K20" t="s">
        <v>632</v>
      </c>
      <c r="L20" t="s">
        <v>631</v>
      </c>
      <c r="M20" t="s">
        <v>122</v>
      </c>
      <c r="N20">
        <v>1</v>
      </c>
      <c r="O20" t="s">
        <v>7077</v>
      </c>
      <c r="P20">
        <v>7201926430</v>
      </c>
      <c r="Q20">
        <v>60005248</v>
      </c>
      <c r="R20" s="7">
        <v>31199</v>
      </c>
      <c r="S20" s="8">
        <f t="shared" si="8"/>
        <v>1985</v>
      </c>
      <c r="T20" s="8">
        <v>1985</v>
      </c>
      <c r="U20" s="8">
        <f t="shared" si="9"/>
        <v>37</v>
      </c>
      <c r="V20" s="7">
        <v>31199</v>
      </c>
      <c r="W20" t="s">
        <v>6448</v>
      </c>
      <c r="X20" s="2">
        <v>0.10100000000000001</v>
      </c>
      <c r="Y20" s="6">
        <f t="shared" si="2"/>
        <v>2.6961373161421215E-3</v>
      </c>
      <c r="AA20">
        <v>7452883</v>
      </c>
      <c r="AB20">
        <v>18563</v>
      </c>
      <c r="AD20" t="s">
        <v>4</v>
      </c>
      <c r="AE20">
        <v>24</v>
      </c>
      <c r="AF20">
        <v>6</v>
      </c>
      <c r="AH20" t="s">
        <v>7076</v>
      </c>
      <c r="AI20" t="s">
        <v>7075</v>
      </c>
      <c r="AK20" t="s">
        <v>7074</v>
      </c>
      <c r="AL20">
        <v>1</v>
      </c>
      <c r="AM20" s="5">
        <f t="shared" si="10"/>
        <v>2.7027027027027029E-2</v>
      </c>
      <c r="AN20" s="4">
        <f t="shared" si="4"/>
        <v>4.0934535444190883E-5</v>
      </c>
      <c r="AO20" s="3"/>
      <c r="AP20">
        <v>0</v>
      </c>
      <c r="AR20" t="s">
        <v>0</v>
      </c>
      <c r="AT20" s="2" t="s">
        <v>19</v>
      </c>
      <c r="AU20" s="1">
        <f t="shared" si="11"/>
        <v>0.18995764819327424</v>
      </c>
      <c r="AV20" s="1">
        <f t="shared" si="12"/>
        <v>0.13685359257931562</v>
      </c>
      <c r="AW20" s="1">
        <f t="shared" si="13"/>
        <v>8.3749536965357002E-2</v>
      </c>
    </row>
    <row r="21" spans="1:49" x14ac:dyDescent="0.2">
      <c r="A21">
        <v>19</v>
      </c>
      <c r="B21" t="s">
        <v>7073</v>
      </c>
      <c r="F21" t="s">
        <v>7072</v>
      </c>
      <c r="G21" t="s">
        <v>15</v>
      </c>
      <c r="H21" t="s">
        <v>14</v>
      </c>
      <c r="I21" t="s">
        <v>7071</v>
      </c>
      <c r="J21">
        <v>60001754</v>
      </c>
      <c r="K21" t="s">
        <v>2030</v>
      </c>
      <c r="L21" t="s">
        <v>2029</v>
      </c>
      <c r="M21" t="s">
        <v>91</v>
      </c>
      <c r="N21">
        <v>1</v>
      </c>
      <c r="O21" t="s">
        <v>7070</v>
      </c>
      <c r="P21">
        <v>6602109154</v>
      </c>
      <c r="Q21">
        <v>60001754</v>
      </c>
      <c r="R21" s="7">
        <v>31199</v>
      </c>
      <c r="S21" s="8">
        <f t="shared" si="8"/>
        <v>1985</v>
      </c>
      <c r="T21" s="8">
        <v>1985</v>
      </c>
      <c r="U21" s="8">
        <f t="shared" si="9"/>
        <v>37</v>
      </c>
      <c r="V21" s="7">
        <v>31199</v>
      </c>
      <c r="W21" s="11" t="s">
        <v>1366</v>
      </c>
      <c r="X21" s="2">
        <v>2.383</v>
      </c>
      <c r="Y21" s="6">
        <f t="shared" si="2"/>
        <v>6.3612824003630442E-2</v>
      </c>
      <c r="AA21">
        <v>1437097</v>
      </c>
      <c r="AB21">
        <v>101236</v>
      </c>
      <c r="AD21" t="s">
        <v>4</v>
      </c>
      <c r="AE21">
        <v>132</v>
      </c>
      <c r="AF21">
        <v>3</v>
      </c>
      <c r="AH21" t="s">
        <v>7069</v>
      </c>
      <c r="AI21" t="s">
        <v>7068</v>
      </c>
      <c r="AK21" t="s">
        <v>7067</v>
      </c>
      <c r="AL21">
        <v>5</v>
      </c>
      <c r="AM21" s="5">
        <f t="shared" si="10"/>
        <v>0.13513513513513514</v>
      </c>
      <c r="AN21" s="4">
        <f t="shared" si="4"/>
        <v>2.046726772209544E-4</v>
      </c>
      <c r="AO21" s="3"/>
      <c r="AP21">
        <v>0</v>
      </c>
      <c r="AR21" t="s">
        <v>0</v>
      </c>
      <c r="AT21" s="2" t="s">
        <v>19</v>
      </c>
      <c r="AU21" s="1">
        <f t="shared" si="11"/>
        <v>4.4590378605707599</v>
      </c>
      <c r="AV21" s="1">
        <f t="shared" si="12"/>
        <v>3.1908748340425697</v>
      </c>
      <c r="AW21" s="1">
        <f t="shared" si="13"/>
        <v>1.9227118075143803</v>
      </c>
    </row>
    <row r="22" spans="1:49" x14ac:dyDescent="0.2">
      <c r="A22">
        <v>20</v>
      </c>
      <c r="B22" t="s">
        <v>7066</v>
      </c>
      <c r="F22" t="s">
        <v>7065</v>
      </c>
      <c r="G22" t="s">
        <v>15</v>
      </c>
      <c r="H22" t="s">
        <v>14</v>
      </c>
      <c r="I22" t="s">
        <v>7064</v>
      </c>
      <c r="J22">
        <v>60010547</v>
      </c>
      <c r="K22" t="s">
        <v>7063</v>
      </c>
      <c r="L22" t="s">
        <v>205</v>
      </c>
      <c r="M22" t="s">
        <v>122</v>
      </c>
      <c r="N22">
        <v>1</v>
      </c>
      <c r="O22" t="s">
        <v>7062</v>
      </c>
      <c r="P22">
        <v>6603248012</v>
      </c>
      <c r="Q22">
        <v>60010547</v>
      </c>
      <c r="R22" s="7">
        <v>31199</v>
      </c>
      <c r="S22" s="8">
        <f t="shared" si="8"/>
        <v>1985</v>
      </c>
      <c r="T22" s="8">
        <v>1985</v>
      </c>
      <c r="U22" s="8">
        <f t="shared" si="9"/>
        <v>37</v>
      </c>
      <c r="V22" s="7">
        <v>31199</v>
      </c>
      <c r="W22" t="s">
        <v>6424</v>
      </c>
      <c r="X22" s="2" t="s">
        <v>19</v>
      </c>
      <c r="Y22" s="6" t="e">
        <f t="shared" si="2"/>
        <v>#VALUE!</v>
      </c>
      <c r="AA22">
        <v>1679368</v>
      </c>
      <c r="AB22">
        <v>35103</v>
      </c>
      <c r="AD22" t="s">
        <v>4</v>
      </c>
      <c r="AE22">
        <v>3</v>
      </c>
      <c r="AF22">
        <v>2</v>
      </c>
      <c r="AH22" t="s">
        <v>1159</v>
      </c>
      <c r="AI22" t="s">
        <v>7061</v>
      </c>
      <c r="AK22" t="s">
        <v>7060</v>
      </c>
      <c r="AL22">
        <v>1</v>
      </c>
      <c r="AM22" s="5">
        <f t="shared" si="10"/>
        <v>2.7027027027027029E-2</v>
      </c>
      <c r="AN22" s="4">
        <f t="shared" si="4"/>
        <v>4.0934535444190883E-5</v>
      </c>
      <c r="AO22" s="3"/>
      <c r="AP22">
        <v>0</v>
      </c>
      <c r="AR22" t="s">
        <v>0</v>
      </c>
      <c r="AT22" s="2" t="s">
        <v>19</v>
      </c>
      <c r="AU22" s="1" t="e">
        <f t="shared" si="11"/>
        <v>#VALUE!</v>
      </c>
      <c r="AV22" s="1" t="e">
        <f t="shared" si="12"/>
        <v>#VALUE!</v>
      </c>
      <c r="AW22" s="1" t="e">
        <f t="shared" si="13"/>
        <v>#VALUE!</v>
      </c>
    </row>
    <row r="23" spans="1:49" x14ac:dyDescent="0.2">
      <c r="A23">
        <v>21</v>
      </c>
      <c r="B23" t="s">
        <v>7059</v>
      </c>
      <c r="F23" t="s">
        <v>7058</v>
      </c>
      <c r="G23" t="s">
        <v>15</v>
      </c>
      <c r="H23" t="s">
        <v>14</v>
      </c>
      <c r="I23" t="s">
        <v>7057</v>
      </c>
      <c r="J23">
        <v>60084299</v>
      </c>
      <c r="K23" t="s">
        <v>7056</v>
      </c>
      <c r="L23" t="s">
        <v>4606</v>
      </c>
      <c r="M23" t="s">
        <v>298</v>
      </c>
      <c r="N23">
        <v>1</v>
      </c>
      <c r="O23" t="s">
        <v>7055</v>
      </c>
      <c r="P23">
        <v>7003966550</v>
      </c>
      <c r="Q23">
        <v>60084299</v>
      </c>
      <c r="R23" s="7">
        <v>31199</v>
      </c>
      <c r="S23" s="8">
        <f t="shared" si="8"/>
        <v>1985</v>
      </c>
      <c r="T23" s="8">
        <v>1985</v>
      </c>
      <c r="U23" s="8">
        <f t="shared" si="9"/>
        <v>37</v>
      </c>
      <c r="V23" s="7">
        <v>31199</v>
      </c>
      <c r="W23" t="s">
        <v>6424</v>
      </c>
      <c r="X23" s="2" t="s">
        <v>19</v>
      </c>
      <c r="Y23" s="6" t="e">
        <f t="shared" si="2"/>
        <v>#VALUE!</v>
      </c>
      <c r="AA23">
        <v>1679368</v>
      </c>
      <c r="AB23">
        <v>35103</v>
      </c>
      <c r="AD23" t="s">
        <v>4</v>
      </c>
      <c r="AE23">
        <v>3</v>
      </c>
      <c r="AF23">
        <v>2</v>
      </c>
      <c r="AH23" t="s">
        <v>7054</v>
      </c>
      <c r="AI23" t="s">
        <v>7053</v>
      </c>
      <c r="AK23" t="s">
        <v>7052</v>
      </c>
      <c r="AL23">
        <v>1</v>
      </c>
      <c r="AM23" s="5">
        <f t="shared" si="10"/>
        <v>2.7027027027027029E-2</v>
      </c>
      <c r="AN23" s="4">
        <f t="shared" si="4"/>
        <v>4.0934535444190883E-5</v>
      </c>
      <c r="AO23" s="3"/>
      <c r="AP23">
        <v>0</v>
      </c>
      <c r="AR23" t="s">
        <v>0</v>
      </c>
      <c r="AT23" s="2" t="s">
        <v>19</v>
      </c>
      <c r="AU23" s="1" t="e">
        <f t="shared" si="11"/>
        <v>#VALUE!</v>
      </c>
      <c r="AV23" s="1" t="e">
        <f t="shared" si="12"/>
        <v>#VALUE!</v>
      </c>
      <c r="AW23" s="1" t="e">
        <f t="shared" si="13"/>
        <v>#VALUE!</v>
      </c>
    </row>
    <row r="24" spans="1:49" x14ac:dyDescent="0.2">
      <c r="A24">
        <v>22</v>
      </c>
      <c r="B24" t="s">
        <v>7051</v>
      </c>
      <c r="F24" t="s">
        <v>7050</v>
      </c>
      <c r="G24" t="s">
        <v>15</v>
      </c>
      <c r="H24" t="s">
        <v>14</v>
      </c>
      <c r="I24" t="s">
        <v>7049</v>
      </c>
      <c r="J24">
        <v>100352200</v>
      </c>
      <c r="K24" t="s">
        <v>7048</v>
      </c>
      <c r="L24" t="s">
        <v>7047</v>
      </c>
      <c r="M24" t="s">
        <v>122</v>
      </c>
      <c r="N24">
        <v>1</v>
      </c>
      <c r="O24" t="s">
        <v>7046</v>
      </c>
      <c r="P24">
        <v>7003360906</v>
      </c>
      <c r="Q24">
        <v>100352200</v>
      </c>
      <c r="R24" s="7">
        <v>31199</v>
      </c>
      <c r="S24" s="8">
        <f t="shared" si="8"/>
        <v>1985</v>
      </c>
      <c r="T24" s="8">
        <v>1985</v>
      </c>
      <c r="U24" s="8">
        <f t="shared" si="9"/>
        <v>37</v>
      </c>
      <c r="V24" s="7">
        <v>31199</v>
      </c>
      <c r="W24" t="s">
        <v>6448</v>
      </c>
      <c r="X24" s="2">
        <v>0.10100000000000001</v>
      </c>
      <c r="Y24" s="6">
        <f t="shared" si="2"/>
        <v>2.6961373161421215E-3</v>
      </c>
      <c r="AA24">
        <v>7452883</v>
      </c>
      <c r="AB24">
        <v>18563</v>
      </c>
      <c r="AD24" t="s">
        <v>4</v>
      </c>
      <c r="AE24">
        <v>24</v>
      </c>
      <c r="AF24">
        <v>6</v>
      </c>
      <c r="AH24" t="s">
        <v>7045</v>
      </c>
      <c r="AI24" t="s">
        <v>7044</v>
      </c>
      <c r="AK24" t="s">
        <v>7043</v>
      </c>
      <c r="AL24">
        <v>0</v>
      </c>
      <c r="AM24" s="5">
        <f t="shared" si="10"/>
        <v>0</v>
      </c>
      <c r="AN24" s="4">
        <f t="shared" si="4"/>
        <v>0</v>
      </c>
      <c r="AO24" s="3"/>
      <c r="AP24">
        <v>0</v>
      </c>
      <c r="AR24" t="s">
        <v>0</v>
      </c>
      <c r="AT24" s="2" t="s">
        <v>19</v>
      </c>
      <c r="AU24" s="1">
        <f t="shared" si="11"/>
        <v>0.18872961212994849</v>
      </c>
      <c r="AV24" s="1">
        <f t="shared" si="12"/>
        <v>0.13480686580710607</v>
      </c>
      <c r="AW24" s="1">
        <f t="shared" si="13"/>
        <v>8.0884119484263647E-2</v>
      </c>
    </row>
    <row r="25" spans="1:49" x14ac:dyDescent="0.2">
      <c r="A25">
        <v>23</v>
      </c>
      <c r="B25" t="s">
        <v>7042</v>
      </c>
      <c r="F25" t="s">
        <v>7041</v>
      </c>
      <c r="G25" t="s">
        <v>15</v>
      </c>
      <c r="H25" t="s">
        <v>14</v>
      </c>
      <c r="I25" t="s">
        <v>1696</v>
      </c>
      <c r="J25">
        <v>60014097</v>
      </c>
      <c r="K25" t="s">
        <v>1695</v>
      </c>
      <c r="L25" t="s">
        <v>446</v>
      </c>
      <c r="M25" t="s">
        <v>434</v>
      </c>
      <c r="N25">
        <v>2</v>
      </c>
      <c r="O25" t="s">
        <v>1694</v>
      </c>
      <c r="P25" t="s">
        <v>1693</v>
      </c>
      <c r="Q25" t="s">
        <v>1692</v>
      </c>
      <c r="R25" s="7">
        <v>31199</v>
      </c>
      <c r="S25" s="8">
        <f t="shared" si="8"/>
        <v>1985</v>
      </c>
      <c r="T25" s="8">
        <v>1985</v>
      </c>
      <c r="U25" s="8">
        <f t="shared" si="9"/>
        <v>37</v>
      </c>
      <c r="V25" s="7">
        <v>31199</v>
      </c>
      <c r="W25" s="11" t="s">
        <v>1366</v>
      </c>
      <c r="X25" s="2">
        <v>2.383</v>
      </c>
      <c r="Y25" s="6">
        <f t="shared" si="2"/>
        <v>6.3612824003630442E-2</v>
      </c>
      <c r="AA25">
        <v>1437097</v>
      </c>
      <c r="AB25">
        <v>101236</v>
      </c>
      <c r="AD25" t="s">
        <v>4</v>
      </c>
      <c r="AE25">
        <v>132</v>
      </c>
      <c r="AF25">
        <v>3</v>
      </c>
      <c r="AH25" t="s">
        <v>7040</v>
      </c>
      <c r="AI25" t="s">
        <v>7039</v>
      </c>
      <c r="AK25" t="s">
        <v>7038</v>
      </c>
      <c r="AL25">
        <v>1</v>
      </c>
      <c r="AM25" s="5">
        <f t="shared" si="10"/>
        <v>2.7027027027027029E-2</v>
      </c>
      <c r="AN25" s="4">
        <f t="shared" si="4"/>
        <v>4.0934535444190883E-5</v>
      </c>
      <c r="AO25" s="3"/>
      <c r="AP25">
        <v>0</v>
      </c>
      <c r="AR25" t="s">
        <v>0</v>
      </c>
      <c r="AT25" s="2" t="s">
        <v>19</v>
      </c>
      <c r="AU25" s="1">
        <f t="shared" si="11"/>
        <v>4.4541257163174564</v>
      </c>
      <c r="AV25" s="1">
        <f t="shared" si="12"/>
        <v>3.182687926953732</v>
      </c>
      <c r="AW25" s="1">
        <f t="shared" si="13"/>
        <v>1.9112501375900064</v>
      </c>
    </row>
    <row r="26" spans="1:49" x14ac:dyDescent="0.2">
      <c r="A26">
        <v>24</v>
      </c>
      <c r="B26" t="s">
        <v>7037</v>
      </c>
      <c r="F26" t="s">
        <v>7036</v>
      </c>
      <c r="G26" t="s">
        <v>15</v>
      </c>
      <c r="H26" t="s">
        <v>14</v>
      </c>
      <c r="I26" t="s">
        <v>7035</v>
      </c>
      <c r="N26">
        <v>1</v>
      </c>
      <c r="O26" t="s">
        <v>7034</v>
      </c>
      <c r="P26">
        <v>6603901427</v>
      </c>
      <c r="R26" s="7">
        <v>31199</v>
      </c>
      <c r="S26" s="8">
        <f t="shared" si="8"/>
        <v>1985</v>
      </c>
      <c r="T26" s="8">
        <v>1985</v>
      </c>
      <c r="U26" s="8">
        <f t="shared" si="9"/>
        <v>37</v>
      </c>
      <c r="V26" s="7">
        <v>31199</v>
      </c>
      <c r="W26" t="s">
        <v>6136</v>
      </c>
      <c r="X26" s="2" t="s">
        <v>19</v>
      </c>
      <c r="Y26" s="6" t="e">
        <f t="shared" si="2"/>
        <v>#VALUE!</v>
      </c>
      <c r="AB26">
        <v>74127</v>
      </c>
      <c r="AD26" t="s">
        <v>4</v>
      </c>
      <c r="AE26">
        <v>30</v>
      </c>
      <c r="AF26">
        <v>6</v>
      </c>
      <c r="AH26" s="10">
        <v>42705</v>
      </c>
      <c r="AI26" t="s">
        <v>7033</v>
      </c>
      <c r="AK26" t="s">
        <v>7032</v>
      </c>
      <c r="AL26">
        <v>0</v>
      </c>
      <c r="AM26" s="5">
        <f t="shared" si="10"/>
        <v>0</v>
      </c>
      <c r="AN26" s="4">
        <f t="shared" si="4"/>
        <v>0</v>
      </c>
      <c r="AO26" s="3"/>
      <c r="AP26">
        <v>0</v>
      </c>
      <c r="AR26" t="s">
        <v>0</v>
      </c>
      <c r="AT26" s="2" t="s">
        <v>19</v>
      </c>
      <c r="AU26" s="1" t="e">
        <f t="shared" si="11"/>
        <v>#VALUE!</v>
      </c>
      <c r="AV26" s="1" t="e">
        <f t="shared" si="12"/>
        <v>#VALUE!</v>
      </c>
      <c r="AW26" s="1" t="e">
        <f t="shared" si="13"/>
        <v>#VALUE!</v>
      </c>
    </row>
    <row r="27" spans="1:49" x14ac:dyDescent="0.2">
      <c r="A27">
        <v>25</v>
      </c>
      <c r="B27" t="s">
        <v>7031</v>
      </c>
      <c r="F27" t="s">
        <v>7030</v>
      </c>
      <c r="G27" t="s">
        <v>15</v>
      </c>
      <c r="H27" t="s">
        <v>14</v>
      </c>
      <c r="I27" t="s">
        <v>7029</v>
      </c>
      <c r="N27">
        <v>2</v>
      </c>
      <c r="O27" t="s">
        <v>7028</v>
      </c>
      <c r="P27" t="s">
        <v>7027</v>
      </c>
      <c r="Q27" t="s">
        <v>895</v>
      </c>
      <c r="R27" s="7">
        <v>31199</v>
      </c>
      <c r="S27" s="8">
        <f t="shared" si="8"/>
        <v>1985</v>
      </c>
      <c r="T27" s="8">
        <v>1985</v>
      </c>
      <c r="U27" s="8">
        <f t="shared" si="9"/>
        <v>37</v>
      </c>
      <c r="V27" s="7">
        <v>31199</v>
      </c>
      <c r="W27" t="s">
        <v>6136</v>
      </c>
      <c r="X27" s="2" t="s">
        <v>19</v>
      </c>
      <c r="Y27" s="6" t="e">
        <f t="shared" si="2"/>
        <v>#VALUE!</v>
      </c>
      <c r="AB27">
        <v>74127</v>
      </c>
      <c r="AD27" t="s">
        <v>4</v>
      </c>
      <c r="AE27">
        <v>30</v>
      </c>
      <c r="AF27">
        <v>6</v>
      </c>
      <c r="AH27" t="s">
        <v>6608</v>
      </c>
      <c r="AI27" t="s">
        <v>7026</v>
      </c>
      <c r="AK27" t="s">
        <v>7025</v>
      </c>
      <c r="AL27">
        <v>0</v>
      </c>
      <c r="AM27" s="5">
        <f t="shared" si="10"/>
        <v>0</v>
      </c>
      <c r="AN27" s="4">
        <f t="shared" si="4"/>
        <v>0</v>
      </c>
      <c r="AO27" s="3"/>
      <c r="AP27">
        <v>0</v>
      </c>
      <c r="AR27" t="s">
        <v>0</v>
      </c>
      <c r="AT27" s="2" t="s">
        <v>19</v>
      </c>
      <c r="AU27" s="1" t="e">
        <f t="shared" si="11"/>
        <v>#VALUE!</v>
      </c>
      <c r="AV27" s="1" t="e">
        <f t="shared" si="12"/>
        <v>#VALUE!</v>
      </c>
      <c r="AW27" s="1" t="e">
        <f t="shared" si="13"/>
        <v>#VALUE!</v>
      </c>
    </row>
    <row r="28" spans="1:49" x14ac:dyDescent="0.2">
      <c r="A28">
        <v>26</v>
      </c>
      <c r="B28" t="s">
        <v>7024</v>
      </c>
      <c r="C28" t="s">
        <v>7023</v>
      </c>
      <c r="D28">
        <v>5272885902592</v>
      </c>
      <c r="F28" t="s">
        <v>7022</v>
      </c>
      <c r="G28" t="s">
        <v>15</v>
      </c>
      <c r="H28" t="s">
        <v>14</v>
      </c>
      <c r="I28" t="s">
        <v>7021</v>
      </c>
      <c r="J28">
        <v>60028717</v>
      </c>
      <c r="K28" t="s">
        <v>135</v>
      </c>
      <c r="L28" t="s">
        <v>134</v>
      </c>
      <c r="M28" t="s">
        <v>91</v>
      </c>
      <c r="N28">
        <v>2</v>
      </c>
      <c r="O28" t="s">
        <v>7020</v>
      </c>
      <c r="P28" t="s">
        <v>7019</v>
      </c>
      <c r="Q28" t="s">
        <v>7018</v>
      </c>
      <c r="R28" s="7">
        <v>31198</v>
      </c>
      <c r="S28" s="8">
        <f t="shared" si="8"/>
        <v>1985</v>
      </c>
      <c r="T28" s="8">
        <v>1985</v>
      </c>
      <c r="U28" s="8">
        <f t="shared" si="9"/>
        <v>37</v>
      </c>
      <c r="V28" s="7">
        <v>31198</v>
      </c>
      <c r="W28" t="s">
        <v>6042</v>
      </c>
      <c r="X28" s="2">
        <v>1.59</v>
      </c>
      <c r="Y28" s="6">
        <f t="shared" si="2"/>
        <v>4.2444141907583888E-2</v>
      </c>
      <c r="AA28">
        <v>52728</v>
      </c>
      <c r="AB28">
        <v>16791</v>
      </c>
      <c r="AD28" t="s">
        <v>4</v>
      </c>
      <c r="AE28">
        <v>807</v>
      </c>
      <c r="AF28">
        <v>3</v>
      </c>
      <c r="AH28" t="s">
        <v>2951</v>
      </c>
      <c r="AI28" t="s">
        <v>7017</v>
      </c>
      <c r="AJ28" t="s">
        <v>7016</v>
      </c>
      <c r="AK28" t="s">
        <v>7015</v>
      </c>
      <c r="AL28">
        <v>20</v>
      </c>
      <c r="AM28" s="5">
        <f t="shared" si="10"/>
        <v>0.54054054054054057</v>
      </c>
      <c r="AN28" s="4">
        <f t="shared" si="4"/>
        <v>8.186907088838176E-4</v>
      </c>
      <c r="AO28" s="3"/>
      <c r="AP28">
        <v>0</v>
      </c>
      <c r="AR28" t="s">
        <v>0</v>
      </c>
      <c r="AT28" s="2" t="s">
        <v>19</v>
      </c>
      <c r="AU28" s="1">
        <f t="shared" si="11"/>
        <v>2.9956506547973865</v>
      </c>
      <c r="AV28" s="1">
        <f t="shared" si="12"/>
        <v>2.1631416308233851</v>
      </c>
      <c r="AW28" s="1">
        <f t="shared" si="13"/>
        <v>1.3306326068493837</v>
      </c>
    </row>
    <row r="29" spans="1:49" x14ac:dyDescent="0.2">
      <c r="A29">
        <v>27</v>
      </c>
      <c r="B29" t="s">
        <v>7014</v>
      </c>
      <c r="C29" t="s">
        <v>7013</v>
      </c>
      <c r="F29" t="s">
        <v>7012</v>
      </c>
      <c r="G29" t="s">
        <v>15</v>
      </c>
      <c r="H29" t="s">
        <v>14</v>
      </c>
      <c r="I29" t="s">
        <v>7011</v>
      </c>
      <c r="J29">
        <v>60011897</v>
      </c>
      <c r="K29" t="s">
        <v>3254</v>
      </c>
      <c r="L29" t="s">
        <v>3253</v>
      </c>
      <c r="M29" t="s">
        <v>530</v>
      </c>
      <c r="N29">
        <v>3</v>
      </c>
      <c r="O29" t="s">
        <v>7010</v>
      </c>
      <c r="P29" t="s">
        <v>7009</v>
      </c>
      <c r="Q29" t="s">
        <v>7008</v>
      </c>
      <c r="R29" s="7">
        <v>31190</v>
      </c>
      <c r="S29" s="8">
        <f t="shared" si="8"/>
        <v>1985</v>
      </c>
      <c r="T29" s="8">
        <v>1985</v>
      </c>
      <c r="U29" s="8">
        <f t="shared" si="9"/>
        <v>37</v>
      </c>
      <c r="V29" s="7">
        <v>31190</v>
      </c>
      <c r="W29" t="s">
        <v>540</v>
      </c>
      <c r="X29" s="2">
        <v>0.375</v>
      </c>
      <c r="Y29" s="6">
        <f t="shared" si="2"/>
        <v>1.0010410827260351E-2</v>
      </c>
      <c r="AA29">
        <v>135194</v>
      </c>
      <c r="AB29">
        <v>24918</v>
      </c>
      <c r="AD29" t="s">
        <v>4</v>
      </c>
      <c r="AE29">
        <v>21</v>
      </c>
      <c r="AF29">
        <v>11</v>
      </c>
      <c r="AH29" t="s">
        <v>7007</v>
      </c>
      <c r="AI29" t="s">
        <v>7006</v>
      </c>
      <c r="AJ29" t="s">
        <v>3513</v>
      </c>
      <c r="AK29" t="s">
        <v>7005</v>
      </c>
      <c r="AL29">
        <v>41</v>
      </c>
      <c r="AM29" s="5">
        <f t="shared" si="10"/>
        <v>1.1081081081081081</v>
      </c>
      <c r="AN29" s="4">
        <f t="shared" si="4"/>
        <v>1.678315953211826E-3</v>
      </c>
      <c r="AO29" s="3"/>
      <c r="AP29">
        <v>0</v>
      </c>
      <c r="AR29" t="s">
        <v>0</v>
      </c>
      <c r="AT29" s="2">
        <v>1.3140000000000001</v>
      </c>
      <c r="AU29" s="1">
        <f t="shared" si="11"/>
        <v>0.75107823650457939</v>
      </c>
      <c r="AV29" s="1">
        <f t="shared" si="12"/>
        <v>0.58443633902360881</v>
      </c>
      <c r="AW29" s="1">
        <f t="shared" si="13"/>
        <v>0.41779444154263834</v>
      </c>
    </row>
    <row r="30" spans="1:49" x14ac:dyDescent="0.2">
      <c r="A30">
        <v>28</v>
      </c>
      <c r="B30" t="s">
        <v>7004</v>
      </c>
      <c r="C30" t="s">
        <v>7003</v>
      </c>
      <c r="F30" t="s">
        <v>7002</v>
      </c>
      <c r="G30" t="s">
        <v>15</v>
      </c>
      <c r="H30" t="s">
        <v>14</v>
      </c>
      <c r="I30" t="s">
        <v>7001</v>
      </c>
      <c r="J30">
        <v>60028263</v>
      </c>
      <c r="K30" t="s">
        <v>7000</v>
      </c>
      <c r="L30" t="s">
        <v>6999</v>
      </c>
      <c r="M30" t="s">
        <v>544</v>
      </c>
      <c r="N30">
        <v>2</v>
      </c>
      <c r="O30" t="s">
        <v>6998</v>
      </c>
      <c r="P30" t="s">
        <v>6997</v>
      </c>
      <c r="Q30" t="s">
        <v>6996</v>
      </c>
      <c r="R30" s="7">
        <v>31176</v>
      </c>
      <c r="S30" s="8">
        <f t="shared" si="8"/>
        <v>1985</v>
      </c>
      <c r="T30" s="8">
        <v>1985</v>
      </c>
      <c r="U30" s="8">
        <f t="shared" si="9"/>
        <v>37</v>
      </c>
      <c r="V30" s="7">
        <v>31176</v>
      </c>
      <c r="W30" t="s">
        <v>540</v>
      </c>
      <c r="X30" s="2">
        <v>0.375</v>
      </c>
      <c r="Y30" s="6">
        <f t="shared" si="2"/>
        <v>1.0010410827260351E-2</v>
      </c>
      <c r="AA30">
        <v>135194</v>
      </c>
      <c r="AB30">
        <v>24918</v>
      </c>
      <c r="AD30" t="s">
        <v>4</v>
      </c>
      <c r="AE30">
        <v>21</v>
      </c>
      <c r="AF30">
        <v>10</v>
      </c>
      <c r="AH30" t="s">
        <v>6361</v>
      </c>
      <c r="AI30" t="s">
        <v>6995</v>
      </c>
      <c r="AJ30" t="s">
        <v>6994</v>
      </c>
      <c r="AK30" t="s">
        <v>6993</v>
      </c>
      <c r="AL30">
        <v>56</v>
      </c>
      <c r="AM30" s="5">
        <f t="shared" si="10"/>
        <v>1.5135135135135136</v>
      </c>
      <c r="AN30" s="4">
        <f t="shared" si="4"/>
        <v>2.2923339848746893E-3</v>
      </c>
      <c r="AO30" s="3"/>
      <c r="AP30">
        <v>0</v>
      </c>
      <c r="AR30" t="s">
        <v>0</v>
      </c>
      <c r="AT30" s="2">
        <v>1.3140000000000001</v>
      </c>
      <c r="AU30" s="1">
        <f t="shared" si="11"/>
        <v>0.76949877745446527</v>
      </c>
      <c r="AV30" s="1">
        <f t="shared" si="12"/>
        <v>0.61513724060675201</v>
      </c>
      <c r="AW30" s="1">
        <f t="shared" si="13"/>
        <v>0.46077570375903881</v>
      </c>
    </row>
    <row r="31" spans="1:49" x14ac:dyDescent="0.2">
      <c r="A31">
        <v>29</v>
      </c>
      <c r="B31" t="s">
        <v>6992</v>
      </c>
      <c r="C31" t="s">
        <v>6991</v>
      </c>
      <c r="F31" t="s">
        <v>6990</v>
      </c>
      <c r="G31" t="s">
        <v>15</v>
      </c>
      <c r="H31" t="s">
        <v>14</v>
      </c>
      <c r="I31" t="s">
        <v>6989</v>
      </c>
      <c r="J31" t="s">
        <v>6983</v>
      </c>
      <c r="K31" t="s">
        <v>6988</v>
      </c>
      <c r="L31" t="s">
        <v>6987</v>
      </c>
      <c r="M31" t="s">
        <v>6986</v>
      </c>
      <c r="N31">
        <v>2</v>
      </c>
      <c r="O31" t="s">
        <v>6985</v>
      </c>
      <c r="P31" t="s">
        <v>6984</v>
      </c>
      <c r="Q31" t="s">
        <v>6983</v>
      </c>
      <c r="R31" s="7">
        <v>31176</v>
      </c>
      <c r="S31" s="8">
        <f t="shared" si="8"/>
        <v>1985</v>
      </c>
      <c r="T31" s="8">
        <v>1985</v>
      </c>
      <c r="U31" s="8">
        <f t="shared" si="9"/>
        <v>37</v>
      </c>
      <c r="V31" s="7">
        <v>31176</v>
      </c>
      <c r="W31" t="s">
        <v>540</v>
      </c>
      <c r="X31" s="2">
        <v>0.375</v>
      </c>
      <c r="Y31" s="6">
        <f t="shared" si="2"/>
        <v>1.0010410827260351E-2</v>
      </c>
      <c r="AA31">
        <v>135194</v>
      </c>
      <c r="AB31">
        <v>24918</v>
      </c>
      <c r="AD31" t="s">
        <v>4</v>
      </c>
      <c r="AE31">
        <v>21</v>
      </c>
      <c r="AF31">
        <v>10</v>
      </c>
      <c r="AH31" t="s">
        <v>6982</v>
      </c>
      <c r="AI31" t="s">
        <v>6981</v>
      </c>
      <c r="AJ31" t="s">
        <v>6980</v>
      </c>
      <c r="AK31" t="s">
        <v>6979</v>
      </c>
      <c r="AL31">
        <v>2</v>
      </c>
      <c r="AM31" s="5">
        <f t="shared" si="10"/>
        <v>5.4054054054054057E-2</v>
      </c>
      <c r="AN31" s="4">
        <f t="shared" si="4"/>
        <v>8.1869070888381765E-5</v>
      </c>
      <c r="AO31" s="3"/>
      <c r="AP31">
        <v>0</v>
      </c>
      <c r="AR31" t="s">
        <v>0</v>
      </c>
      <c r="AT31" s="2">
        <v>1.3140000000000001</v>
      </c>
      <c r="AU31" s="1">
        <f t="shared" si="11"/>
        <v>0.70318483003487597</v>
      </c>
      <c r="AV31" s="1">
        <f t="shared" si="12"/>
        <v>0.50461399490743664</v>
      </c>
      <c r="AW31" s="1">
        <f t="shared" si="13"/>
        <v>0.30604315977999724</v>
      </c>
    </row>
    <row r="32" spans="1:49" x14ac:dyDescent="0.2">
      <c r="A32">
        <v>30</v>
      </c>
      <c r="B32" t="s">
        <v>6978</v>
      </c>
      <c r="C32" t="s">
        <v>6977</v>
      </c>
      <c r="D32">
        <v>5272885901173</v>
      </c>
      <c r="F32" t="s">
        <v>6976</v>
      </c>
      <c r="G32" t="s">
        <v>15</v>
      </c>
      <c r="H32" t="s">
        <v>14</v>
      </c>
      <c r="I32" t="s">
        <v>6975</v>
      </c>
      <c r="J32">
        <v>60024613</v>
      </c>
      <c r="K32" t="s">
        <v>6974</v>
      </c>
      <c r="L32" t="s">
        <v>517</v>
      </c>
      <c r="M32" t="s">
        <v>122</v>
      </c>
      <c r="N32">
        <v>1</v>
      </c>
      <c r="O32" t="s">
        <v>6973</v>
      </c>
      <c r="P32">
        <v>7409449087</v>
      </c>
      <c r="Q32">
        <v>60024613</v>
      </c>
      <c r="R32" s="7">
        <v>31170</v>
      </c>
      <c r="S32" s="8">
        <f t="shared" si="8"/>
        <v>1985</v>
      </c>
      <c r="T32" s="8">
        <v>1985</v>
      </c>
      <c r="U32" s="8">
        <f t="shared" si="9"/>
        <v>37</v>
      </c>
      <c r="V32" s="7">
        <v>31170</v>
      </c>
      <c r="W32" t="s">
        <v>6042</v>
      </c>
      <c r="X32" s="2">
        <v>1.59</v>
      </c>
      <c r="Y32" s="6">
        <f t="shared" si="2"/>
        <v>4.2444141907583888E-2</v>
      </c>
      <c r="AA32">
        <v>52728</v>
      </c>
      <c r="AB32">
        <v>16791</v>
      </c>
      <c r="AD32" t="s">
        <v>4</v>
      </c>
      <c r="AE32">
        <v>807</v>
      </c>
      <c r="AF32">
        <v>2</v>
      </c>
      <c r="AH32" t="s">
        <v>6972</v>
      </c>
      <c r="AI32" t="s">
        <v>6971</v>
      </c>
      <c r="AJ32" t="s">
        <v>6970</v>
      </c>
      <c r="AK32" t="s">
        <v>6969</v>
      </c>
      <c r="AL32">
        <v>22</v>
      </c>
      <c r="AM32" s="5">
        <f t="shared" si="10"/>
        <v>0.59459459459459463</v>
      </c>
      <c r="AN32" s="4">
        <f t="shared" si="4"/>
        <v>9.0055977977219939E-4</v>
      </c>
      <c r="AO32" s="3"/>
      <c r="AP32">
        <v>0</v>
      </c>
      <c r="AR32" t="s">
        <v>0</v>
      </c>
      <c r="AT32" s="2" t="s">
        <v>19</v>
      </c>
      <c r="AU32" s="1">
        <f t="shared" si="11"/>
        <v>2.9981067269240382</v>
      </c>
      <c r="AV32" s="1">
        <f t="shared" si="12"/>
        <v>2.1672350843678045</v>
      </c>
      <c r="AW32" s="1">
        <f t="shared" si="13"/>
        <v>1.3363634418115704</v>
      </c>
    </row>
    <row r="33" spans="1:49" x14ac:dyDescent="0.2">
      <c r="A33">
        <v>31</v>
      </c>
      <c r="B33" t="s">
        <v>6968</v>
      </c>
      <c r="C33" t="s">
        <v>6967</v>
      </c>
      <c r="D33">
        <v>5272885901197</v>
      </c>
      <c r="F33" t="s">
        <v>6966</v>
      </c>
      <c r="G33" t="s">
        <v>15</v>
      </c>
      <c r="H33" t="s">
        <v>14</v>
      </c>
      <c r="I33" t="s">
        <v>6965</v>
      </c>
      <c r="J33" t="s">
        <v>6964</v>
      </c>
      <c r="K33" t="s">
        <v>6963</v>
      </c>
      <c r="L33" t="s">
        <v>6962</v>
      </c>
      <c r="M33" t="s">
        <v>3141</v>
      </c>
      <c r="N33">
        <v>3</v>
      </c>
      <c r="O33" t="s">
        <v>6961</v>
      </c>
      <c r="P33" t="s">
        <v>6960</v>
      </c>
      <c r="Q33" t="s">
        <v>6959</v>
      </c>
      <c r="R33" s="7">
        <v>31170</v>
      </c>
      <c r="S33" s="8">
        <f t="shared" si="8"/>
        <v>1985</v>
      </c>
      <c r="T33" s="8">
        <v>1985</v>
      </c>
      <c r="U33" s="8">
        <f t="shared" si="9"/>
        <v>37</v>
      </c>
      <c r="V33" s="7">
        <v>31170</v>
      </c>
      <c r="W33" t="s">
        <v>6042</v>
      </c>
      <c r="X33" s="2">
        <v>1.59</v>
      </c>
      <c r="Y33" s="6">
        <f t="shared" si="2"/>
        <v>4.2444141907583888E-2</v>
      </c>
      <c r="AA33">
        <v>52728</v>
      </c>
      <c r="AB33">
        <v>16791</v>
      </c>
      <c r="AD33" t="s">
        <v>4</v>
      </c>
      <c r="AE33">
        <v>807</v>
      </c>
      <c r="AF33">
        <v>2</v>
      </c>
      <c r="AH33" t="s">
        <v>6958</v>
      </c>
      <c r="AI33" t="s">
        <v>6957</v>
      </c>
      <c r="AJ33" t="s">
        <v>6956</v>
      </c>
      <c r="AK33" t="s">
        <v>6955</v>
      </c>
      <c r="AL33">
        <v>66</v>
      </c>
      <c r="AM33" s="5">
        <f t="shared" si="10"/>
        <v>1.7837837837837838</v>
      </c>
      <c r="AN33" s="4">
        <f t="shared" si="4"/>
        <v>2.7016793393165981E-3</v>
      </c>
      <c r="AO33" s="3"/>
      <c r="AP33">
        <v>0</v>
      </c>
      <c r="AQ33" t="s">
        <v>6084</v>
      </c>
      <c r="AR33" t="s">
        <v>0</v>
      </c>
      <c r="AS33" t="s">
        <v>6083</v>
      </c>
      <c r="AT33" s="2" t="s">
        <v>19</v>
      </c>
      <c r="AU33" s="1">
        <f t="shared" si="11"/>
        <v>3.0521403137103698</v>
      </c>
      <c r="AV33" s="1">
        <f t="shared" si="12"/>
        <v>2.2572910623450246</v>
      </c>
      <c r="AW33" s="1">
        <f t="shared" si="13"/>
        <v>1.4624418109796782</v>
      </c>
    </row>
    <row r="34" spans="1:49" x14ac:dyDescent="0.2">
      <c r="A34">
        <v>32</v>
      </c>
      <c r="B34" t="s">
        <v>6954</v>
      </c>
      <c r="C34" t="s">
        <v>6953</v>
      </c>
      <c r="F34" t="s">
        <v>6952</v>
      </c>
      <c r="G34" t="s">
        <v>15</v>
      </c>
      <c r="H34" t="s">
        <v>14</v>
      </c>
      <c r="I34" t="s">
        <v>6951</v>
      </c>
      <c r="J34" t="s">
        <v>6950</v>
      </c>
      <c r="K34" t="s">
        <v>6949</v>
      </c>
      <c r="L34" t="s">
        <v>2334</v>
      </c>
      <c r="M34" t="s">
        <v>2333</v>
      </c>
      <c r="N34">
        <v>5</v>
      </c>
      <c r="O34" t="s">
        <v>6948</v>
      </c>
      <c r="P34" t="s">
        <v>6947</v>
      </c>
      <c r="Q34" t="s">
        <v>6946</v>
      </c>
      <c r="R34" s="7">
        <v>31168</v>
      </c>
      <c r="S34" s="8">
        <f t="shared" si="8"/>
        <v>1985</v>
      </c>
      <c r="T34" s="8">
        <v>1985</v>
      </c>
      <c r="U34" s="8">
        <f t="shared" si="9"/>
        <v>37</v>
      </c>
      <c r="V34" s="7">
        <v>31168</v>
      </c>
      <c r="W34" t="s">
        <v>6945</v>
      </c>
      <c r="X34" s="2" t="s">
        <v>19</v>
      </c>
      <c r="Y34" s="6" t="e">
        <f t="shared" si="2"/>
        <v>#VALUE!</v>
      </c>
      <c r="AA34">
        <v>3905551</v>
      </c>
      <c r="AB34">
        <v>15400155600</v>
      </c>
      <c r="AD34" t="s">
        <v>4</v>
      </c>
      <c r="AE34">
        <v>8</v>
      </c>
      <c r="AF34">
        <v>3</v>
      </c>
      <c r="AH34" t="s">
        <v>6944</v>
      </c>
      <c r="AI34" t="s">
        <v>6943</v>
      </c>
      <c r="AJ34" t="s">
        <v>6942</v>
      </c>
      <c r="AK34" t="s">
        <v>6941</v>
      </c>
      <c r="AL34">
        <v>8</v>
      </c>
      <c r="AM34" s="5">
        <f t="shared" si="10"/>
        <v>0.21621621621621623</v>
      </c>
      <c r="AN34" s="4">
        <f t="shared" si="4"/>
        <v>3.2747628355352706E-4</v>
      </c>
      <c r="AO34" s="3"/>
      <c r="AP34">
        <v>0</v>
      </c>
      <c r="AR34" t="s">
        <v>0</v>
      </c>
      <c r="AT34" s="2" t="s">
        <v>19</v>
      </c>
      <c r="AU34" s="1" t="e">
        <f t="shared" si="11"/>
        <v>#VALUE!</v>
      </c>
      <c r="AV34" s="1" t="e">
        <f t="shared" si="12"/>
        <v>#VALUE!</v>
      </c>
      <c r="AW34" s="1" t="e">
        <f t="shared" si="13"/>
        <v>#VALUE!</v>
      </c>
    </row>
    <row r="35" spans="1:49" x14ac:dyDescent="0.2">
      <c r="A35">
        <v>33</v>
      </c>
      <c r="B35" t="s">
        <v>6940</v>
      </c>
      <c r="C35" t="s">
        <v>6939</v>
      </c>
      <c r="F35" t="s">
        <v>6938</v>
      </c>
      <c r="G35" t="s">
        <v>15</v>
      </c>
      <c r="H35" t="s">
        <v>14</v>
      </c>
      <c r="I35" t="s">
        <v>6937</v>
      </c>
      <c r="J35">
        <v>60010348</v>
      </c>
      <c r="K35" t="s">
        <v>6936</v>
      </c>
      <c r="L35" t="s">
        <v>6935</v>
      </c>
      <c r="M35" t="s">
        <v>3339</v>
      </c>
      <c r="N35">
        <v>1</v>
      </c>
      <c r="O35" t="s">
        <v>6934</v>
      </c>
      <c r="P35">
        <v>7005265132</v>
      </c>
      <c r="Q35">
        <v>60010348</v>
      </c>
      <c r="R35" s="7">
        <v>31168</v>
      </c>
      <c r="S35" s="8">
        <f t="shared" si="8"/>
        <v>1985</v>
      </c>
      <c r="T35" s="8">
        <v>1985</v>
      </c>
      <c r="U35" s="8">
        <f t="shared" si="9"/>
        <v>37</v>
      </c>
      <c r="V35" s="7">
        <v>31168</v>
      </c>
      <c r="W35" t="s">
        <v>6933</v>
      </c>
      <c r="X35" s="2">
        <v>0.84299999999999997</v>
      </c>
      <c r="Y35" s="6">
        <f t="shared" si="2"/>
        <v>2.250340353968127E-2</v>
      </c>
      <c r="AA35">
        <v>188158</v>
      </c>
      <c r="AB35">
        <v>15168</v>
      </c>
      <c r="AC35">
        <v>15735117</v>
      </c>
      <c r="AD35" t="s">
        <v>4</v>
      </c>
      <c r="AE35">
        <v>124</v>
      </c>
      <c r="AF35">
        <v>1</v>
      </c>
      <c r="AH35" t="s">
        <v>6932</v>
      </c>
      <c r="AI35" t="s">
        <v>6931</v>
      </c>
      <c r="AJ35" t="s">
        <v>6930</v>
      </c>
      <c r="AK35" t="s">
        <v>6929</v>
      </c>
      <c r="AL35">
        <v>26</v>
      </c>
      <c r="AM35" s="5">
        <f t="shared" si="10"/>
        <v>0.70270270270270274</v>
      </c>
      <c r="AN35" s="4">
        <f t="shared" si="4"/>
        <v>1.0642979215489629E-3</v>
      </c>
      <c r="AO35" s="3"/>
      <c r="AP35">
        <v>0</v>
      </c>
      <c r="AR35" t="s">
        <v>0</v>
      </c>
      <c r="AT35" s="2">
        <v>2.694</v>
      </c>
      <c r="AU35" s="1">
        <f t="shared" si="11"/>
        <v>1.607167185424158</v>
      </c>
      <c r="AV35" s="1">
        <f t="shared" si="12"/>
        <v>1.1783850730615117</v>
      </c>
      <c r="AW35" s="1">
        <f t="shared" si="13"/>
        <v>0.74960296069886545</v>
      </c>
    </row>
    <row r="36" spans="1:49" x14ac:dyDescent="0.2">
      <c r="A36">
        <v>34</v>
      </c>
      <c r="B36" t="s">
        <v>6928</v>
      </c>
      <c r="F36" t="s">
        <v>6927</v>
      </c>
      <c r="G36" t="s">
        <v>15</v>
      </c>
      <c r="H36" t="s">
        <v>14</v>
      </c>
      <c r="I36" t="s">
        <v>6926</v>
      </c>
      <c r="J36">
        <v>60009506</v>
      </c>
      <c r="K36" t="s">
        <v>6925</v>
      </c>
      <c r="L36" t="s">
        <v>6924</v>
      </c>
      <c r="M36" t="s">
        <v>6923</v>
      </c>
      <c r="N36">
        <v>2</v>
      </c>
      <c r="O36" t="s">
        <v>6922</v>
      </c>
      <c r="P36" t="s">
        <v>6921</v>
      </c>
      <c r="Q36" t="s">
        <v>6920</v>
      </c>
      <c r="R36" s="7">
        <v>31168</v>
      </c>
      <c r="S36" s="8">
        <f t="shared" si="8"/>
        <v>1985</v>
      </c>
      <c r="T36" s="8">
        <v>1985</v>
      </c>
      <c r="U36" s="8">
        <f t="shared" si="9"/>
        <v>37</v>
      </c>
      <c r="V36" s="7">
        <v>31168</v>
      </c>
      <c r="W36" t="s">
        <v>6858</v>
      </c>
      <c r="X36" s="2" t="s">
        <v>19</v>
      </c>
      <c r="Y36" s="6" t="e">
        <f t="shared" si="2"/>
        <v>#VALUE!</v>
      </c>
      <c r="AA36" t="s">
        <v>6857</v>
      </c>
      <c r="AB36">
        <v>31578</v>
      </c>
      <c r="AD36" t="s">
        <v>4</v>
      </c>
      <c r="AE36">
        <v>9</v>
      </c>
      <c r="AF36">
        <v>3</v>
      </c>
      <c r="AH36" t="s">
        <v>6919</v>
      </c>
      <c r="AI36" t="s">
        <v>6918</v>
      </c>
      <c r="AK36" t="s">
        <v>6917</v>
      </c>
      <c r="AL36">
        <v>8</v>
      </c>
      <c r="AM36" s="5">
        <f t="shared" si="10"/>
        <v>0.21621621621621623</v>
      </c>
      <c r="AN36" s="4">
        <f t="shared" si="4"/>
        <v>3.2747628355352706E-4</v>
      </c>
      <c r="AO36" s="3"/>
      <c r="AP36">
        <v>0</v>
      </c>
      <c r="AR36" t="s">
        <v>0</v>
      </c>
      <c r="AT36" s="2" t="s">
        <v>19</v>
      </c>
      <c r="AU36" s="1" t="e">
        <f t="shared" si="11"/>
        <v>#VALUE!</v>
      </c>
      <c r="AV36" s="1" t="e">
        <f t="shared" si="12"/>
        <v>#VALUE!</v>
      </c>
      <c r="AW36" s="1" t="e">
        <f t="shared" si="13"/>
        <v>#VALUE!</v>
      </c>
    </row>
    <row r="37" spans="1:49" x14ac:dyDescent="0.2">
      <c r="A37">
        <v>35</v>
      </c>
      <c r="B37" t="s">
        <v>6916</v>
      </c>
      <c r="F37" t="s">
        <v>6915</v>
      </c>
      <c r="G37" t="s">
        <v>15</v>
      </c>
      <c r="H37" t="s">
        <v>14</v>
      </c>
      <c r="I37" t="s">
        <v>6914</v>
      </c>
      <c r="J37">
        <v>60021681</v>
      </c>
      <c r="K37" t="s">
        <v>6913</v>
      </c>
      <c r="L37" t="s">
        <v>6912</v>
      </c>
      <c r="M37" t="s">
        <v>218</v>
      </c>
      <c r="N37">
        <v>2</v>
      </c>
      <c r="O37" t="s">
        <v>6911</v>
      </c>
      <c r="P37" t="s">
        <v>6910</v>
      </c>
      <c r="Q37" t="s">
        <v>6909</v>
      </c>
      <c r="R37" s="7">
        <v>31168</v>
      </c>
      <c r="S37" s="8">
        <f t="shared" si="8"/>
        <v>1985</v>
      </c>
      <c r="T37" s="8">
        <v>1985</v>
      </c>
      <c r="U37" s="8">
        <f t="shared" si="9"/>
        <v>37</v>
      </c>
      <c r="V37" s="7">
        <v>31168</v>
      </c>
      <c r="W37" t="s">
        <v>6471</v>
      </c>
      <c r="X37" s="2">
        <v>0.54700000000000004</v>
      </c>
      <c r="Y37" s="6">
        <f t="shared" si="2"/>
        <v>1.4601852593363766E-2</v>
      </c>
      <c r="AA37">
        <v>11096</v>
      </c>
      <c r="AB37">
        <v>31211</v>
      </c>
      <c r="AD37" t="s">
        <v>4</v>
      </c>
      <c r="AE37">
        <v>39</v>
      </c>
      <c r="AF37">
        <v>3</v>
      </c>
      <c r="AH37" t="s">
        <v>6908</v>
      </c>
      <c r="AI37" t="s">
        <v>6907</v>
      </c>
      <c r="AK37" t="s">
        <v>6906</v>
      </c>
      <c r="AL37">
        <v>1</v>
      </c>
      <c r="AM37" s="5">
        <f t="shared" si="10"/>
        <v>2.7027027027027029E-2</v>
      </c>
      <c r="AN37" s="4">
        <f t="shared" si="4"/>
        <v>4.0934535444190883E-5</v>
      </c>
      <c r="AO37" s="3"/>
      <c r="AP37">
        <v>0</v>
      </c>
      <c r="AR37" t="s">
        <v>0</v>
      </c>
      <c r="AT37" s="2" t="s">
        <v>19</v>
      </c>
      <c r="AU37" s="1">
        <f t="shared" si="11"/>
        <v>1.0233577175987894</v>
      </c>
      <c r="AV37" s="1">
        <f t="shared" si="12"/>
        <v>0.73213935644039785</v>
      </c>
      <c r="AW37" s="1">
        <f t="shared" si="13"/>
        <v>0.44092099528200634</v>
      </c>
    </row>
    <row r="38" spans="1:49" x14ac:dyDescent="0.2">
      <c r="A38">
        <v>36</v>
      </c>
      <c r="B38" t="s">
        <v>6905</v>
      </c>
      <c r="F38" t="s">
        <v>6904</v>
      </c>
      <c r="G38" t="s">
        <v>15</v>
      </c>
      <c r="H38" t="s">
        <v>14</v>
      </c>
      <c r="I38" t="s">
        <v>6903</v>
      </c>
      <c r="N38">
        <v>3</v>
      </c>
      <c r="O38" t="s">
        <v>6902</v>
      </c>
      <c r="P38" t="s">
        <v>6901</v>
      </c>
      <c r="Q38" t="s">
        <v>377</v>
      </c>
      <c r="R38" s="7">
        <v>31168</v>
      </c>
      <c r="S38" s="8">
        <f t="shared" si="8"/>
        <v>1985</v>
      </c>
      <c r="T38" s="8">
        <v>1985</v>
      </c>
      <c r="U38" s="8">
        <f t="shared" si="9"/>
        <v>37</v>
      </c>
      <c r="V38" s="7">
        <v>31168</v>
      </c>
      <c r="W38" t="s">
        <v>6471</v>
      </c>
      <c r="X38" s="2">
        <v>0.54700000000000004</v>
      </c>
      <c r="Y38" s="6">
        <f t="shared" si="2"/>
        <v>1.4601852593363766E-2</v>
      </c>
      <c r="AA38">
        <v>11096</v>
      </c>
      <c r="AB38">
        <v>31211</v>
      </c>
      <c r="AD38" t="s">
        <v>4</v>
      </c>
      <c r="AE38">
        <v>39</v>
      </c>
      <c r="AF38">
        <v>3</v>
      </c>
      <c r="AH38" t="s">
        <v>6900</v>
      </c>
      <c r="AI38" t="s">
        <v>6899</v>
      </c>
      <c r="AK38" t="s">
        <v>6898</v>
      </c>
      <c r="AL38">
        <v>0</v>
      </c>
      <c r="AM38" s="5">
        <f t="shared" si="10"/>
        <v>0</v>
      </c>
      <c r="AN38" s="4">
        <f t="shared" si="4"/>
        <v>0</v>
      </c>
      <c r="AO38" s="3"/>
      <c r="AP38">
        <v>0</v>
      </c>
      <c r="AR38" t="s">
        <v>0</v>
      </c>
      <c r="AT38" s="2" t="s">
        <v>19</v>
      </c>
      <c r="AU38" s="1">
        <f t="shared" si="11"/>
        <v>1.0221296815354637</v>
      </c>
      <c r="AV38" s="1">
        <f t="shared" si="12"/>
        <v>0.73009262966818833</v>
      </c>
      <c r="AW38" s="1">
        <f t="shared" si="13"/>
        <v>0.43805557780091298</v>
      </c>
    </row>
    <row r="39" spans="1:49" x14ac:dyDescent="0.2">
      <c r="A39">
        <v>37</v>
      </c>
      <c r="B39" t="s">
        <v>6897</v>
      </c>
      <c r="F39" t="s">
        <v>6896</v>
      </c>
      <c r="G39" t="s">
        <v>15</v>
      </c>
      <c r="H39" t="s">
        <v>14</v>
      </c>
      <c r="I39" t="s">
        <v>6895</v>
      </c>
      <c r="N39">
        <v>1</v>
      </c>
      <c r="O39" t="s">
        <v>6815</v>
      </c>
      <c r="P39">
        <v>1</v>
      </c>
      <c r="R39" s="7">
        <v>31168</v>
      </c>
      <c r="S39" s="8">
        <f t="shared" si="8"/>
        <v>1985</v>
      </c>
      <c r="T39" s="8">
        <v>1985</v>
      </c>
      <c r="U39" s="8">
        <f t="shared" si="9"/>
        <v>37</v>
      </c>
      <c r="V39" s="7">
        <v>31168</v>
      </c>
      <c r="W39" t="s">
        <v>6877</v>
      </c>
      <c r="X39" s="2">
        <v>0.125</v>
      </c>
      <c r="Y39" s="6">
        <f t="shared" si="2"/>
        <v>3.3368036090867838E-3</v>
      </c>
      <c r="AA39">
        <v>26557</v>
      </c>
      <c r="AB39">
        <v>40401</v>
      </c>
      <c r="AD39" t="s">
        <v>4</v>
      </c>
      <c r="AE39">
        <v>54</v>
      </c>
      <c r="AF39">
        <v>3</v>
      </c>
      <c r="AH39" t="s">
        <v>1596</v>
      </c>
      <c r="AI39" t="s">
        <v>6894</v>
      </c>
      <c r="AK39" t="s">
        <v>6893</v>
      </c>
      <c r="AL39">
        <v>1</v>
      </c>
      <c r="AM39" s="5">
        <f t="shared" si="10"/>
        <v>2.7027027027027029E-2</v>
      </c>
      <c r="AN39" s="4">
        <f t="shared" si="4"/>
        <v>4.0934535444190883E-5</v>
      </c>
      <c r="AO39" s="3"/>
      <c r="AP39">
        <v>0</v>
      </c>
      <c r="AR39" t="s">
        <v>0</v>
      </c>
      <c r="AT39" s="2" t="s">
        <v>19</v>
      </c>
      <c r="AU39" s="1">
        <f t="shared" si="11"/>
        <v>0.23480428869940054</v>
      </c>
      <c r="AV39" s="1">
        <f t="shared" si="12"/>
        <v>0.16888690722654873</v>
      </c>
      <c r="AW39" s="1">
        <f t="shared" si="13"/>
        <v>0.10296952575369687</v>
      </c>
    </row>
    <row r="40" spans="1:49" x14ac:dyDescent="0.2">
      <c r="A40">
        <v>38</v>
      </c>
      <c r="B40" t="s">
        <v>6892</v>
      </c>
      <c r="F40" t="s">
        <v>6891</v>
      </c>
      <c r="G40" t="s">
        <v>15</v>
      </c>
      <c r="H40" t="s">
        <v>14</v>
      </c>
      <c r="I40" t="s">
        <v>6890</v>
      </c>
      <c r="J40">
        <v>60028673</v>
      </c>
      <c r="K40" t="s">
        <v>6889</v>
      </c>
      <c r="L40" t="s">
        <v>134</v>
      </c>
      <c r="M40" t="s">
        <v>91</v>
      </c>
      <c r="N40">
        <v>1</v>
      </c>
      <c r="O40" t="s">
        <v>6888</v>
      </c>
      <c r="P40">
        <v>6603895158</v>
      </c>
      <c r="Q40">
        <v>60028673</v>
      </c>
      <c r="R40" s="7">
        <v>31168</v>
      </c>
      <c r="S40" s="8">
        <f t="shared" si="8"/>
        <v>1985</v>
      </c>
      <c r="T40" s="8">
        <v>1985</v>
      </c>
      <c r="U40" s="8">
        <f t="shared" si="9"/>
        <v>37</v>
      </c>
      <c r="V40" s="7">
        <v>31168</v>
      </c>
      <c r="W40" t="s">
        <v>6887</v>
      </c>
      <c r="X40" s="2" t="s">
        <v>19</v>
      </c>
      <c r="Y40" s="6" t="e">
        <f t="shared" si="2"/>
        <v>#VALUE!</v>
      </c>
      <c r="AA40">
        <v>3444880</v>
      </c>
      <c r="AB40">
        <v>38773</v>
      </c>
      <c r="AD40" t="s">
        <v>4</v>
      </c>
      <c r="AE40">
        <v>8</v>
      </c>
      <c r="AF40">
        <v>3</v>
      </c>
      <c r="AH40" t="s">
        <v>904</v>
      </c>
      <c r="AI40" t="s">
        <v>6886</v>
      </c>
      <c r="AK40" t="s">
        <v>6885</v>
      </c>
      <c r="AL40">
        <v>2</v>
      </c>
      <c r="AM40" s="5">
        <f t="shared" si="10"/>
        <v>5.4054054054054057E-2</v>
      </c>
      <c r="AN40" s="4">
        <f t="shared" si="4"/>
        <v>8.1869070888381765E-5</v>
      </c>
      <c r="AO40" s="3"/>
      <c r="AP40">
        <v>0</v>
      </c>
      <c r="AR40" t="s">
        <v>0</v>
      </c>
      <c r="AT40" s="2" t="s">
        <v>19</v>
      </c>
      <c r="AU40" s="1" t="e">
        <f t="shared" si="11"/>
        <v>#VALUE!</v>
      </c>
      <c r="AV40" s="1" t="e">
        <f t="shared" si="12"/>
        <v>#VALUE!</v>
      </c>
      <c r="AW40" s="1" t="e">
        <f t="shared" si="13"/>
        <v>#VALUE!</v>
      </c>
    </row>
    <row r="41" spans="1:49" x14ac:dyDescent="0.2">
      <c r="A41">
        <v>39</v>
      </c>
      <c r="B41" t="s">
        <v>6884</v>
      </c>
      <c r="F41" t="s">
        <v>6883</v>
      </c>
      <c r="G41" t="s">
        <v>15</v>
      </c>
      <c r="H41" t="s">
        <v>14</v>
      </c>
      <c r="I41" t="s">
        <v>2133</v>
      </c>
      <c r="J41">
        <v>60004750</v>
      </c>
      <c r="K41" t="s">
        <v>1957</v>
      </c>
      <c r="L41" t="s">
        <v>1956</v>
      </c>
      <c r="M41" t="s">
        <v>434</v>
      </c>
      <c r="N41">
        <v>2</v>
      </c>
      <c r="O41" t="s">
        <v>2132</v>
      </c>
      <c r="P41" t="s">
        <v>1954</v>
      </c>
      <c r="Q41" t="s">
        <v>1953</v>
      </c>
      <c r="R41" s="7">
        <v>31168</v>
      </c>
      <c r="S41" s="8">
        <f t="shared" si="8"/>
        <v>1985</v>
      </c>
      <c r="T41" s="8">
        <v>1985</v>
      </c>
      <c r="U41" s="8">
        <f t="shared" si="9"/>
        <v>37</v>
      </c>
      <c r="V41" s="7">
        <v>31168</v>
      </c>
      <c r="W41" t="s">
        <v>6471</v>
      </c>
      <c r="X41" s="2">
        <v>0.54700000000000004</v>
      </c>
      <c r="Y41" s="6">
        <f t="shared" si="2"/>
        <v>1.4601852593363766E-2</v>
      </c>
      <c r="AA41">
        <v>11096</v>
      </c>
      <c r="AB41">
        <v>31211</v>
      </c>
      <c r="AD41" t="s">
        <v>4</v>
      </c>
      <c r="AE41">
        <v>39</v>
      </c>
      <c r="AF41">
        <v>3</v>
      </c>
      <c r="AH41" t="s">
        <v>6882</v>
      </c>
      <c r="AI41" t="s">
        <v>6881</v>
      </c>
      <c r="AK41" t="s">
        <v>6880</v>
      </c>
      <c r="AL41">
        <v>13</v>
      </c>
      <c r="AM41" s="5">
        <f t="shared" si="10"/>
        <v>0.35135135135135137</v>
      </c>
      <c r="AN41" s="4">
        <f t="shared" si="4"/>
        <v>5.3214896077448143E-4</v>
      </c>
      <c r="AO41" s="3"/>
      <c r="AP41">
        <v>0</v>
      </c>
      <c r="AR41" t="s">
        <v>0</v>
      </c>
      <c r="AT41" s="2" t="s">
        <v>19</v>
      </c>
      <c r="AU41" s="1">
        <f t="shared" si="11"/>
        <v>1.038094150358698</v>
      </c>
      <c r="AV41" s="1">
        <f t="shared" si="12"/>
        <v>0.75670007770691239</v>
      </c>
      <c r="AW41" s="1">
        <f t="shared" si="13"/>
        <v>0.47530600505512671</v>
      </c>
    </row>
    <row r="42" spans="1:49" x14ac:dyDescent="0.2">
      <c r="A42">
        <v>40</v>
      </c>
      <c r="B42" t="s">
        <v>6879</v>
      </c>
      <c r="F42" t="s">
        <v>6878</v>
      </c>
      <c r="G42" t="s">
        <v>15</v>
      </c>
      <c r="H42" t="s">
        <v>14</v>
      </c>
      <c r="I42" t="s">
        <v>6816</v>
      </c>
      <c r="N42">
        <v>1</v>
      </c>
      <c r="O42" t="s">
        <v>6815</v>
      </c>
      <c r="P42">
        <v>1</v>
      </c>
      <c r="R42" s="7">
        <v>31168</v>
      </c>
      <c r="S42" s="8">
        <f t="shared" si="8"/>
        <v>1985</v>
      </c>
      <c r="T42" s="8">
        <v>1985</v>
      </c>
      <c r="U42" s="8">
        <f t="shared" si="9"/>
        <v>37</v>
      </c>
      <c r="V42" s="7">
        <v>31168</v>
      </c>
      <c r="W42" t="s">
        <v>6877</v>
      </c>
      <c r="X42" s="2">
        <v>0.125</v>
      </c>
      <c r="Y42" s="6">
        <f t="shared" si="2"/>
        <v>3.3368036090867838E-3</v>
      </c>
      <c r="AA42">
        <v>26557</v>
      </c>
      <c r="AB42">
        <v>40401</v>
      </c>
      <c r="AD42" t="s">
        <v>4</v>
      </c>
      <c r="AE42">
        <v>54</v>
      </c>
      <c r="AF42">
        <v>3</v>
      </c>
      <c r="AH42" t="s">
        <v>6876</v>
      </c>
      <c r="AI42" t="s">
        <v>6875</v>
      </c>
      <c r="AK42" t="s">
        <v>6874</v>
      </c>
      <c r="AL42">
        <v>2</v>
      </c>
      <c r="AM42" s="5">
        <f t="shared" si="10"/>
        <v>5.4054054054054057E-2</v>
      </c>
      <c r="AN42" s="4">
        <f t="shared" si="4"/>
        <v>8.1869070888381765E-5</v>
      </c>
      <c r="AO42" s="3"/>
      <c r="AP42">
        <v>0</v>
      </c>
      <c r="AR42" t="s">
        <v>0</v>
      </c>
      <c r="AT42" s="2" t="s">
        <v>19</v>
      </c>
      <c r="AU42" s="1">
        <f t="shared" si="11"/>
        <v>0.23603232476272629</v>
      </c>
      <c r="AV42" s="1">
        <f t="shared" si="12"/>
        <v>0.17093363399875827</v>
      </c>
      <c r="AW42" s="1">
        <f t="shared" si="13"/>
        <v>0.10583494323479023</v>
      </c>
    </row>
    <row r="43" spans="1:49" x14ac:dyDescent="0.2">
      <c r="A43">
        <v>41</v>
      </c>
      <c r="B43" t="s">
        <v>6873</v>
      </c>
      <c r="F43" t="s">
        <v>6872</v>
      </c>
      <c r="G43" t="s">
        <v>15</v>
      </c>
      <c r="H43" t="s">
        <v>14</v>
      </c>
      <c r="I43" t="s">
        <v>6871</v>
      </c>
      <c r="J43">
        <v>60011001</v>
      </c>
      <c r="K43" t="s">
        <v>4806</v>
      </c>
      <c r="L43" t="s">
        <v>4805</v>
      </c>
      <c r="M43" t="s">
        <v>544</v>
      </c>
      <c r="N43">
        <v>2</v>
      </c>
      <c r="O43" t="s">
        <v>6870</v>
      </c>
      <c r="P43" t="s">
        <v>6869</v>
      </c>
      <c r="Q43" t="s">
        <v>6868</v>
      </c>
      <c r="R43" s="7">
        <v>31168</v>
      </c>
      <c r="S43" s="8">
        <f t="shared" si="8"/>
        <v>1985</v>
      </c>
      <c r="T43" s="8">
        <v>1985</v>
      </c>
      <c r="U43" s="8">
        <f t="shared" si="9"/>
        <v>37</v>
      </c>
      <c r="V43" s="7">
        <v>31168</v>
      </c>
      <c r="W43" t="s">
        <v>6221</v>
      </c>
      <c r="X43" s="2" t="s">
        <v>19</v>
      </c>
      <c r="Y43" s="6" t="e">
        <f t="shared" si="2"/>
        <v>#VALUE!</v>
      </c>
      <c r="AA43" t="s">
        <v>6220</v>
      </c>
      <c r="AB43">
        <v>30906</v>
      </c>
      <c r="AD43" t="s">
        <v>4</v>
      </c>
      <c r="AE43" t="s">
        <v>6219</v>
      </c>
      <c r="AF43">
        <v>5</v>
      </c>
      <c r="AH43" t="s">
        <v>6867</v>
      </c>
      <c r="AI43" t="s">
        <v>6866</v>
      </c>
      <c r="AK43" t="s">
        <v>6865</v>
      </c>
      <c r="AL43">
        <v>0</v>
      </c>
      <c r="AM43" s="5">
        <f t="shared" si="10"/>
        <v>0</v>
      </c>
      <c r="AN43" s="4">
        <f t="shared" si="4"/>
        <v>0</v>
      </c>
      <c r="AO43" s="3"/>
      <c r="AP43">
        <v>0</v>
      </c>
      <c r="AR43" t="s">
        <v>0</v>
      </c>
      <c r="AT43" s="2" t="s">
        <v>19</v>
      </c>
      <c r="AU43" s="1" t="e">
        <f t="shared" si="11"/>
        <v>#VALUE!</v>
      </c>
      <c r="AV43" s="1" t="e">
        <f t="shared" si="12"/>
        <v>#VALUE!</v>
      </c>
      <c r="AW43" s="1" t="e">
        <f t="shared" si="13"/>
        <v>#VALUE!</v>
      </c>
    </row>
    <row r="44" spans="1:49" x14ac:dyDescent="0.2">
      <c r="A44">
        <v>42</v>
      </c>
      <c r="B44" t="s">
        <v>6864</v>
      </c>
      <c r="F44" t="s">
        <v>6863</v>
      </c>
      <c r="G44" t="s">
        <v>15</v>
      </c>
      <c r="H44" t="s">
        <v>14</v>
      </c>
      <c r="I44" t="s">
        <v>6862</v>
      </c>
      <c r="J44">
        <v>60018123</v>
      </c>
      <c r="K44" t="s">
        <v>6861</v>
      </c>
      <c r="L44" t="s">
        <v>6860</v>
      </c>
      <c r="M44" t="s">
        <v>91</v>
      </c>
      <c r="N44">
        <v>1</v>
      </c>
      <c r="O44" t="s">
        <v>6859</v>
      </c>
      <c r="P44">
        <v>16638130200</v>
      </c>
      <c r="Q44">
        <v>60018123</v>
      </c>
      <c r="R44" s="7">
        <v>31168</v>
      </c>
      <c r="S44" s="8">
        <f t="shared" si="8"/>
        <v>1985</v>
      </c>
      <c r="T44" s="8">
        <v>1985</v>
      </c>
      <c r="U44" s="8">
        <f t="shared" si="9"/>
        <v>37</v>
      </c>
      <c r="V44" s="7">
        <v>31168</v>
      </c>
      <c r="W44" t="s">
        <v>6858</v>
      </c>
      <c r="X44" s="2" t="s">
        <v>19</v>
      </c>
      <c r="Y44" s="6" t="e">
        <f t="shared" si="2"/>
        <v>#VALUE!</v>
      </c>
      <c r="AA44" t="s">
        <v>6857</v>
      </c>
      <c r="AB44">
        <v>31578</v>
      </c>
      <c r="AD44" t="s">
        <v>4</v>
      </c>
      <c r="AE44">
        <v>9</v>
      </c>
      <c r="AF44">
        <v>3</v>
      </c>
      <c r="AH44" t="s">
        <v>6856</v>
      </c>
      <c r="AI44" t="s">
        <v>6855</v>
      </c>
      <c r="AK44" t="s">
        <v>6854</v>
      </c>
      <c r="AL44">
        <v>3</v>
      </c>
      <c r="AM44" s="5">
        <f t="shared" si="10"/>
        <v>8.1081081081081086E-2</v>
      </c>
      <c r="AN44" s="4">
        <f t="shared" si="4"/>
        <v>1.2280360633257263E-4</v>
      </c>
      <c r="AO44" s="3"/>
      <c r="AP44">
        <v>0</v>
      </c>
      <c r="AR44" t="s">
        <v>0</v>
      </c>
      <c r="AT44" s="2" t="s">
        <v>19</v>
      </c>
      <c r="AU44" s="1" t="e">
        <f t="shared" si="11"/>
        <v>#VALUE!</v>
      </c>
      <c r="AV44" s="1" t="e">
        <f t="shared" si="12"/>
        <v>#VALUE!</v>
      </c>
      <c r="AW44" s="1" t="e">
        <f t="shared" si="13"/>
        <v>#VALUE!</v>
      </c>
    </row>
    <row r="45" spans="1:49" x14ac:dyDescent="0.2">
      <c r="A45">
        <v>43</v>
      </c>
      <c r="B45" t="s">
        <v>6853</v>
      </c>
      <c r="C45" t="s">
        <v>6852</v>
      </c>
      <c r="F45" t="s">
        <v>6851</v>
      </c>
      <c r="G45" t="s">
        <v>15</v>
      </c>
      <c r="H45" t="s">
        <v>14</v>
      </c>
      <c r="I45" t="s">
        <v>6850</v>
      </c>
      <c r="J45">
        <v>60033252</v>
      </c>
      <c r="K45" t="s">
        <v>6849</v>
      </c>
      <c r="L45" t="s">
        <v>6848</v>
      </c>
      <c r="M45" t="s">
        <v>122</v>
      </c>
      <c r="N45">
        <v>1</v>
      </c>
      <c r="O45" t="s">
        <v>6847</v>
      </c>
      <c r="P45">
        <v>7102739385</v>
      </c>
      <c r="Q45">
        <v>60033252</v>
      </c>
      <c r="R45" s="7">
        <v>31168</v>
      </c>
      <c r="S45" s="8">
        <f t="shared" si="8"/>
        <v>1985</v>
      </c>
      <c r="T45" s="8">
        <v>1985</v>
      </c>
      <c r="U45" s="8">
        <f t="shared" si="9"/>
        <v>37</v>
      </c>
      <c r="V45" s="7">
        <v>31168</v>
      </c>
      <c r="W45" t="s">
        <v>6180</v>
      </c>
      <c r="X45" s="2">
        <v>0.61499999999999999</v>
      </c>
      <c r="Y45" s="6">
        <f t="shared" si="2"/>
        <v>1.6417073756706976E-2</v>
      </c>
      <c r="AA45">
        <v>1959271</v>
      </c>
      <c r="AB45">
        <v>12141</v>
      </c>
      <c r="AC45">
        <v>15729559</v>
      </c>
      <c r="AD45" t="s">
        <v>4</v>
      </c>
      <c r="AE45">
        <v>6</v>
      </c>
      <c r="AF45">
        <v>5</v>
      </c>
      <c r="AH45" t="s">
        <v>6846</v>
      </c>
      <c r="AI45" t="s">
        <v>6845</v>
      </c>
      <c r="AK45" t="s">
        <v>6844</v>
      </c>
      <c r="AL45">
        <v>3</v>
      </c>
      <c r="AM45" s="5">
        <f t="shared" si="10"/>
        <v>8.1081081081081086E-2</v>
      </c>
      <c r="AN45" s="4">
        <f t="shared" si="4"/>
        <v>1.2280360633257263E-4</v>
      </c>
      <c r="AO45" s="3"/>
      <c r="AP45">
        <v>0</v>
      </c>
      <c r="AR45" t="s">
        <v>0</v>
      </c>
      <c r="AT45" s="2" t="s">
        <v>19</v>
      </c>
      <c r="AU45" s="1">
        <f t="shared" si="11"/>
        <v>1.1528792711594653</v>
      </c>
      <c r="AV45" s="1">
        <f t="shared" si="12"/>
        <v>0.8269938681519774</v>
      </c>
      <c r="AW45" s="1">
        <f t="shared" si="13"/>
        <v>0.50110846514448937</v>
      </c>
    </row>
    <row r="46" spans="1:49" x14ac:dyDescent="0.2">
      <c r="A46">
        <v>44</v>
      </c>
      <c r="B46" t="s">
        <v>6843</v>
      </c>
      <c r="F46" t="s">
        <v>6842</v>
      </c>
      <c r="G46" t="s">
        <v>15</v>
      </c>
      <c r="H46" t="s">
        <v>14</v>
      </c>
      <c r="I46" t="s">
        <v>5119</v>
      </c>
      <c r="J46">
        <v>60019870</v>
      </c>
      <c r="K46" t="s">
        <v>5118</v>
      </c>
      <c r="L46" t="s">
        <v>5117</v>
      </c>
      <c r="M46" t="s">
        <v>43</v>
      </c>
      <c r="N46">
        <v>1</v>
      </c>
      <c r="O46" t="s">
        <v>6841</v>
      </c>
      <c r="P46">
        <v>35570164700</v>
      </c>
      <c r="Q46">
        <v>60019870</v>
      </c>
      <c r="R46" s="7">
        <v>31168</v>
      </c>
      <c r="S46" s="8">
        <f t="shared" si="8"/>
        <v>1985</v>
      </c>
      <c r="T46" s="8">
        <v>1985</v>
      </c>
      <c r="U46" s="8">
        <f t="shared" si="9"/>
        <v>37</v>
      </c>
      <c r="V46" s="7">
        <v>31168</v>
      </c>
      <c r="W46" t="s">
        <v>6471</v>
      </c>
      <c r="X46" s="2">
        <v>0.54700000000000004</v>
      </c>
      <c r="Y46" s="6">
        <f t="shared" si="2"/>
        <v>1.4601852593363766E-2</v>
      </c>
      <c r="AA46">
        <v>11096</v>
      </c>
      <c r="AB46">
        <v>31211</v>
      </c>
      <c r="AD46" t="s">
        <v>4</v>
      </c>
      <c r="AE46">
        <v>39</v>
      </c>
      <c r="AF46">
        <v>3</v>
      </c>
      <c r="AH46" t="s">
        <v>6840</v>
      </c>
      <c r="AI46" t="s">
        <v>6839</v>
      </c>
      <c r="AK46" t="s">
        <v>6838</v>
      </c>
      <c r="AL46">
        <v>4</v>
      </c>
      <c r="AM46" s="5">
        <f t="shared" si="10"/>
        <v>0.10810810810810811</v>
      </c>
      <c r="AN46" s="4">
        <f t="shared" si="4"/>
        <v>1.6373814177676353E-4</v>
      </c>
      <c r="AO46" s="3"/>
      <c r="AP46">
        <v>0</v>
      </c>
      <c r="AR46" t="s">
        <v>0</v>
      </c>
      <c r="AT46" s="2" t="s">
        <v>19</v>
      </c>
      <c r="AU46" s="1">
        <f t="shared" si="11"/>
        <v>1.0270418257887663</v>
      </c>
      <c r="AV46" s="1">
        <f t="shared" si="12"/>
        <v>0.73827953675702651</v>
      </c>
      <c r="AW46" s="1">
        <f t="shared" si="13"/>
        <v>0.44951724772528645</v>
      </c>
    </row>
    <row r="47" spans="1:49" x14ac:dyDescent="0.2">
      <c r="A47">
        <v>45</v>
      </c>
      <c r="B47" t="s">
        <v>6837</v>
      </c>
      <c r="F47" t="s">
        <v>6836</v>
      </c>
      <c r="G47" t="s">
        <v>15</v>
      </c>
      <c r="H47" t="s">
        <v>14</v>
      </c>
      <c r="I47" t="s">
        <v>6835</v>
      </c>
      <c r="J47">
        <v>60027021</v>
      </c>
      <c r="K47" t="s">
        <v>6834</v>
      </c>
      <c r="L47" t="s">
        <v>6249</v>
      </c>
      <c r="M47" t="s">
        <v>3505</v>
      </c>
      <c r="N47">
        <v>1</v>
      </c>
      <c r="O47" t="s">
        <v>6833</v>
      </c>
      <c r="P47">
        <v>55477358500</v>
      </c>
      <c r="Q47">
        <v>60027021</v>
      </c>
      <c r="R47" s="7">
        <v>31168</v>
      </c>
      <c r="S47" s="8">
        <f t="shared" si="8"/>
        <v>1985</v>
      </c>
      <c r="T47" s="8">
        <v>1985</v>
      </c>
      <c r="U47" s="8">
        <f t="shared" si="9"/>
        <v>37</v>
      </c>
      <c r="V47" s="7">
        <v>31168</v>
      </c>
      <c r="W47" t="s">
        <v>6832</v>
      </c>
      <c r="X47" s="2" t="s">
        <v>19</v>
      </c>
      <c r="Y47" s="6" t="e">
        <f t="shared" si="2"/>
        <v>#VALUE!</v>
      </c>
      <c r="AA47">
        <v>2535831</v>
      </c>
      <c r="AB47">
        <v>33812</v>
      </c>
      <c r="AD47" t="s">
        <v>4</v>
      </c>
      <c r="AE47">
        <v>28</v>
      </c>
      <c r="AF47">
        <v>5</v>
      </c>
      <c r="AH47" t="s">
        <v>6831</v>
      </c>
      <c r="AI47" t="s">
        <v>6830</v>
      </c>
      <c r="AK47" t="s">
        <v>6829</v>
      </c>
      <c r="AL47">
        <v>0</v>
      </c>
      <c r="AM47" s="5">
        <f t="shared" si="10"/>
        <v>0</v>
      </c>
      <c r="AN47" s="4">
        <f t="shared" si="4"/>
        <v>0</v>
      </c>
      <c r="AO47" s="3"/>
      <c r="AP47">
        <v>0</v>
      </c>
      <c r="AR47" t="s">
        <v>0</v>
      </c>
      <c r="AT47" s="2" t="s">
        <v>19</v>
      </c>
      <c r="AU47" s="1" t="e">
        <f t="shared" si="11"/>
        <v>#VALUE!</v>
      </c>
      <c r="AV47" s="1" t="e">
        <f t="shared" si="12"/>
        <v>#VALUE!</v>
      </c>
      <c r="AW47" s="1" t="e">
        <f t="shared" si="13"/>
        <v>#VALUE!</v>
      </c>
    </row>
    <row r="48" spans="1:49" x14ac:dyDescent="0.2">
      <c r="A48">
        <v>46</v>
      </c>
      <c r="B48" t="s">
        <v>6828</v>
      </c>
      <c r="F48" t="s">
        <v>6827</v>
      </c>
      <c r="G48" t="s">
        <v>15</v>
      </c>
      <c r="H48" t="s">
        <v>14</v>
      </c>
      <c r="I48" t="s">
        <v>6826</v>
      </c>
      <c r="J48">
        <v>100357899</v>
      </c>
      <c r="K48" t="s">
        <v>6825</v>
      </c>
      <c r="M48" t="s">
        <v>122</v>
      </c>
      <c r="N48">
        <v>2</v>
      </c>
      <c r="O48" t="s">
        <v>6824</v>
      </c>
      <c r="P48" t="s">
        <v>6823</v>
      </c>
      <c r="Q48" t="s">
        <v>6822</v>
      </c>
      <c r="R48" s="7">
        <v>31168</v>
      </c>
      <c r="S48" s="8">
        <f t="shared" si="8"/>
        <v>1985</v>
      </c>
      <c r="T48" s="8">
        <v>1985</v>
      </c>
      <c r="U48" s="8">
        <f t="shared" si="9"/>
        <v>37</v>
      </c>
      <c r="V48" s="7">
        <v>31168</v>
      </c>
      <c r="W48" t="s">
        <v>694</v>
      </c>
      <c r="X48" s="2" t="s">
        <v>19</v>
      </c>
      <c r="Y48" s="6" t="e">
        <f t="shared" si="2"/>
        <v>#VALUE!</v>
      </c>
      <c r="AA48">
        <v>486574</v>
      </c>
      <c r="AB48">
        <v>36602</v>
      </c>
      <c r="AD48" t="s">
        <v>4</v>
      </c>
      <c r="AE48">
        <v>30</v>
      </c>
      <c r="AF48">
        <v>3</v>
      </c>
      <c r="AH48" t="s">
        <v>6821</v>
      </c>
      <c r="AI48" t="s">
        <v>6820</v>
      </c>
      <c r="AK48" t="s">
        <v>6819</v>
      </c>
      <c r="AL48">
        <v>0</v>
      </c>
      <c r="AM48" s="5">
        <f t="shared" si="10"/>
        <v>0</v>
      </c>
      <c r="AN48" s="4">
        <f t="shared" si="4"/>
        <v>0</v>
      </c>
      <c r="AO48" s="3"/>
      <c r="AP48">
        <v>0</v>
      </c>
      <c r="AR48" t="s">
        <v>0</v>
      </c>
      <c r="AT48" s="2" t="s">
        <v>19</v>
      </c>
      <c r="AU48" s="1" t="e">
        <f t="shared" si="11"/>
        <v>#VALUE!</v>
      </c>
      <c r="AV48" s="1" t="e">
        <f t="shared" si="12"/>
        <v>#VALUE!</v>
      </c>
      <c r="AW48" s="1" t="e">
        <f t="shared" si="13"/>
        <v>#VALUE!</v>
      </c>
    </row>
    <row r="49" spans="1:49" x14ac:dyDescent="0.2">
      <c r="A49">
        <v>47</v>
      </c>
      <c r="B49" t="s">
        <v>6818</v>
      </c>
      <c r="F49" t="s">
        <v>6817</v>
      </c>
      <c r="G49" t="s">
        <v>15</v>
      </c>
      <c r="H49" t="s">
        <v>14</v>
      </c>
      <c r="I49" t="s">
        <v>6816</v>
      </c>
      <c r="N49">
        <v>1</v>
      </c>
      <c r="O49" t="s">
        <v>6815</v>
      </c>
      <c r="P49">
        <v>1</v>
      </c>
      <c r="R49" s="7">
        <v>31168</v>
      </c>
      <c r="S49" s="8">
        <f t="shared" si="8"/>
        <v>1985</v>
      </c>
      <c r="T49" s="8">
        <v>1985</v>
      </c>
      <c r="U49" s="8">
        <f t="shared" si="9"/>
        <v>37</v>
      </c>
      <c r="V49" s="7">
        <v>31168</v>
      </c>
      <c r="W49" t="s">
        <v>6814</v>
      </c>
      <c r="X49" s="2" t="s">
        <v>19</v>
      </c>
      <c r="Y49" s="6" t="e">
        <f t="shared" si="2"/>
        <v>#VALUE!</v>
      </c>
      <c r="AA49">
        <v>188689</v>
      </c>
      <c r="AB49">
        <v>99388</v>
      </c>
      <c r="AD49" t="s">
        <v>4</v>
      </c>
      <c r="AE49">
        <v>27</v>
      </c>
      <c r="AF49">
        <v>12</v>
      </c>
      <c r="AH49">
        <v>7255</v>
      </c>
      <c r="AI49" t="s">
        <v>6813</v>
      </c>
      <c r="AK49" t="s">
        <v>6812</v>
      </c>
      <c r="AL49">
        <v>0</v>
      </c>
      <c r="AM49" s="5">
        <f t="shared" si="10"/>
        <v>0</v>
      </c>
      <c r="AN49" s="4">
        <f t="shared" si="4"/>
        <v>0</v>
      </c>
      <c r="AO49" s="3"/>
      <c r="AP49">
        <v>0</v>
      </c>
      <c r="AR49" t="s">
        <v>0</v>
      </c>
      <c r="AT49" s="2" t="s">
        <v>19</v>
      </c>
      <c r="AU49" s="1" t="e">
        <f t="shared" si="11"/>
        <v>#VALUE!</v>
      </c>
      <c r="AV49" s="1" t="e">
        <f t="shared" si="12"/>
        <v>#VALUE!</v>
      </c>
      <c r="AW49" s="1" t="e">
        <f t="shared" si="13"/>
        <v>#VALUE!</v>
      </c>
    </row>
    <row r="50" spans="1:49" x14ac:dyDescent="0.2">
      <c r="A50">
        <v>48</v>
      </c>
      <c r="B50" t="s">
        <v>6811</v>
      </c>
      <c r="F50" t="s">
        <v>6810</v>
      </c>
      <c r="G50" t="s">
        <v>15</v>
      </c>
      <c r="H50" t="s">
        <v>14</v>
      </c>
      <c r="I50" t="s">
        <v>6809</v>
      </c>
      <c r="N50">
        <v>1</v>
      </c>
      <c r="O50" t="s">
        <v>6808</v>
      </c>
      <c r="P50">
        <v>7003805994</v>
      </c>
      <c r="R50" s="7">
        <v>31168</v>
      </c>
      <c r="S50" s="8">
        <f t="shared" si="8"/>
        <v>1985</v>
      </c>
      <c r="T50" s="8">
        <v>1985</v>
      </c>
      <c r="U50" s="8">
        <f t="shared" si="9"/>
        <v>37</v>
      </c>
      <c r="V50" s="7">
        <v>31168</v>
      </c>
      <c r="W50" t="s">
        <v>6136</v>
      </c>
      <c r="X50" s="2" t="s">
        <v>19</v>
      </c>
      <c r="Y50" s="6" t="e">
        <f t="shared" si="2"/>
        <v>#VALUE!</v>
      </c>
      <c r="AB50">
        <v>74127</v>
      </c>
      <c r="AD50" t="s">
        <v>4</v>
      </c>
      <c r="AE50">
        <v>30</v>
      </c>
      <c r="AF50">
        <v>5</v>
      </c>
      <c r="AH50" t="s">
        <v>6807</v>
      </c>
      <c r="AI50" t="s">
        <v>6806</v>
      </c>
      <c r="AK50" t="s">
        <v>6805</v>
      </c>
      <c r="AL50">
        <v>0</v>
      </c>
      <c r="AM50" s="5">
        <f t="shared" si="10"/>
        <v>0</v>
      </c>
      <c r="AN50" s="4">
        <f t="shared" si="4"/>
        <v>0</v>
      </c>
      <c r="AO50" s="3"/>
      <c r="AP50">
        <v>0</v>
      </c>
      <c r="AR50" t="s">
        <v>0</v>
      </c>
      <c r="AT50" s="2" t="s">
        <v>19</v>
      </c>
      <c r="AU50" s="1" t="e">
        <f t="shared" si="11"/>
        <v>#VALUE!</v>
      </c>
      <c r="AV50" s="1" t="e">
        <f t="shared" si="12"/>
        <v>#VALUE!</v>
      </c>
      <c r="AW50" s="1" t="e">
        <f t="shared" si="13"/>
        <v>#VALUE!</v>
      </c>
    </row>
    <row r="51" spans="1:49" x14ac:dyDescent="0.2">
      <c r="A51">
        <v>49</v>
      </c>
      <c r="B51" t="s">
        <v>6804</v>
      </c>
      <c r="F51" t="s">
        <v>6803</v>
      </c>
      <c r="G51" t="s">
        <v>15</v>
      </c>
      <c r="H51" t="s">
        <v>14</v>
      </c>
      <c r="I51" t="s">
        <v>6802</v>
      </c>
      <c r="J51">
        <v>60007457</v>
      </c>
      <c r="K51" t="s">
        <v>5899</v>
      </c>
      <c r="L51" t="s">
        <v>5846</v>
      </c>
      <c r="M51" t="s">
        <v>5845</v>
      </c>
      <c r="N51">
        <v>1</v>
      </c>
      <c r="O51" t="s">
        <v>6801</v>
      </c>
      <c r="P51">
        <v>7005361446</v>
      </c>
      <c r="Q51">
        <v>60007457</v>
      </c>
      <c r="R51" s="7">
        <v>31168</v>
      </c>
      <c r="S51" s="8">
        <f t="shared" si="8"/>
        <v>1985</v>
      </c>
      <c r="T51" s="8">
        <v>1985</v>
      </c>
      <c r="U51" s="8">
        <f t="shared" si="9"/>
        <v>37</v>
      </c>
      <c r="V51" s="7">
        <v>31168</v>
      </c>
      <c r="W51" t="s">
        <v>6800</v>
      </c>
      <c r="X51" s="2">
        <v>0.28599999999999998</v>
      </c>
      <c r="Y51" s="6">
        <f t="shared" si="2"/>
        <v>7.6346066575905605E-3</v>
      </c>
      <c r="AA51">
        <v>231584</v>
      </c>
      <c r="AB51">
        <v>26985</v>
      </c>
      <c r="AD51" t="s">
        <v>4</v>
      </c>
      <c r="AE51">
        <v>26</v>
      </c>
      <c r="AF51" t="s">
        <v>6799</v>
      </c>
      <c r="AH51" t="s">
        <v>6798</v>
      </c>
      <c r="AI51" t="s">
        <v>6797</v>
      </c>
      <c r="AK51" t="s">
        <v>6796</v>
      </c>
      <c r="AL51">
        <v>0</v>
      </c>
      <c r="AM51" s="5">
        <f t="shared" si="10"/>
        <v>0</v>
      </c>
      <c r="AN51" s="4">
        <f t="shared" si="4"/>
        <v>0</v>
      </c>
      <c r="AO51" s="3"/>
      <c r="AP51">
        <v>0</v>
      </c>
      <c r="AR51" t="s">
        <v>0</v>
      </c>
      <c r="AT51" s="2">
        <v>1</v>
      </c>
      <c r="AU51" s="1">
        <f t="shared" si="11"/>
        <v>0.53442246603133925</v>
      </c>
      <c r="AV51" s="1">
        <f t="shared" si="12"/>
        <v>0.38173033287952801</v>
      </c>
      <c r="AW51" s="1">
        <f t="shared" si="13"/>
        <v>0.22903819972771683</v>
      </c>
    </row>
    <row r="52" spans="1:49" x14ac:dyDescent="0.2">
      <c r="A52">
        <v>50</v>
      </c>
      <c r="B52" t="s">
        <v>6795</v>
      </c>
      <c r="F52" t="s">
        <v>6794</v>
      </c>
      <c r="G52" t="s">
        <v>15</v>
      </c>
      <c r="H52" t="s">
        <v>14</v>
      </c>
      <c r="I52" t="s">
        <v>6465</v>
      </c>
      <c r="N52">
        <v>3</v>
      </c>
      <c r="O52" t="s">
        <v>6793</v>
      </c>
      <c r="P52" t="s">
        <v>6792</v>
      </c>
      <c r="Q52" t="s">
        <v>377</v>
      </c>
      <c r="R52" s="7">
        <v>31168</v>
      </c>
      <c r="S52" s="8">
        <f t="shared" si="8"/>
        <v>1985</v>
      </c>
      <c r="T52" s="8">
        <v>1985</v>
      </c>
      <c r="U52" s="8">
        <f t="shared" si="9"/>
        <v>37</v>
      </c>
      <c r="V52" s="7">
        <v>31168</v>
      </c>
      <c r="W52" t="s">
        <v>6136</v>
      </c>
      <c r="X52" s="2" t="s">
        <v>19</v>
      </c>
      <c r="Y52" s="6" t="e">
        <f t="shared" si="2"/>
        <v>#VALUE!</v>
      </c>
      <c r="AB52">
        <v>74127</v>
      </c>
      <c r="AD52" t="s">
        <v>4</v>
      </c>
      <c r="AE52">
        <v>30</v>
      </c>
      <c r="AF52">
        <v>5</v>
      </c>
      <c r="AH52" t="s">
        <v>6791</v>
      </c>
      <c r="AI52" t="s">
        <v>6790</v>
      </c>
      <c r="AK52" t="s">
        <v>6789</v>
      </c>
      <c r="AL52">
        <v>0</v>
      </c>
      <c r="AM52" s="5">
        <f t="shared" si="10"/>
        <v>0</v>
      </c>
      <c r="AN52" s="4">
        <f t="shared" si="4"/>
        <v>0</v>
      </c>
      <c r="AO52" s="3"/>
      <c r="AP52">
        <v>0</v>
      </c>
      <c r="AR52" t="s">
        <v>0</v>
      </c>
      <c r="AT52" s="2" t="s">
        <v>19</v>
      </c>
      <c r="AU52" s="1" t="e">
        <f t="shared" si="11"/>
        <v>#VALUE!</v>
      </c>
      <c r="AV52" s="1" t="e">
        <f t="shared" si="12"/>
        <v>#VALUE!</v>
      </c>
      <c r="AW52" s="1" t="e">
        <f t="shared" si="13"/>
        <v>#VALUE!</v>
      </c>
    </row>
    <row r="53" spans="1:49" x14ac:dyDescent="0.2">
      <c r="A53">
        <v>51</v>
      </c>
      <c r="B53" t="s">
        <v>6788</v>
      </c>
      <c r="F53" t="s">
        <v>6787</v>
      </c>
      <c r="G53" t="s">
        <v>15</v>
      </c>
      <c r="H53" t="s">
        <v>14</v>
      </c>
      <c r="I53" t="s">
        <v>6786</v>
      </c>
      <c r="N53">
        <v>2</v>
      </c>
      <c r="O53" t="s">
        <v>6785</v>
      </c>
      <c r="P53" t="s">
        <v>6784</v>
      </c>
      <c r="Q53" t="s">
        <v>895</v>
      </c>
      <c r="R53" s="7">
        <v>31168</v>
      </c>
      <c r="S53" s="8">
        <f t="shared" si="8"/>
        <v>1985</v>
      </c>
      <c r="T53" s="8">
        <v>1985</v>
      </c>
      <c r="U53" s="8">
        <f t="shared" si="9"/>
        <v>37</v>
      </c>
      <c r="V53" s="7">
        <v>31168</v>
      </c>
      <c r="W53" t="s">
        <v>6136</v>
      </c>
      <c r="X53" s="2" t="s">
        <v>19</v>
      </c>
      <c r="Y53" s="6" t="e">
        <f t="shared" si="2"/>
        <v>#VALUE!</v>
      </c>
      <c r="AB53">
        <v>74127</v>
      </c>
      <c r="AD53" t="s">
        <v>4</v>
      </c>
      <c r="AE53">
        <v>30</v>
      </c>
      <c r="AF53">
        <v>5</v>
      </c>
      <c r="AH53" t="s">
        <v>6783</v>
      </c>
      <c r="AI53" t="s">
        <v>6782</v>
      </c>
      <c r="AK53" t="s">
        <v>6781</v>
      </c>
      <c r="AL53">
        <v>14</v>
      </c>
      <c r="AM53" s="5">
        <f t="shared" si="10"/>
        <v>0.3783783783783784</v>
      </c>
      <c r="AN53" s="4">
        <f t="shared" si="4"/>
        <v>5.7308349621867233E-4</v>
      </c>
      <c r="AO53" s="3"/>
      <c r="AP53">
        <v>0</v>
      </c>
      <c r="AR53" t="s">
        <v>0</v>
      </c>
      <c r="AT53" s="2" t="s">
        <v>19</v>
      </c>
      <c r="AU53" s="1" t="e">
        <f t="shared" si="11"/>
        <v>#VALUE!</v>
      </c>
      <c r="AV53" s="1" t="e">
        <f t="shared" si="12"/>
        <v>#VALUE!</v>
      </c>
      <c r="AW53" s="1" t="e">
        <f t="shared" si="13"/>
        <v>#VALUE!</v>
      </c>
    </row>
    <row r="54" spans="1:49" x14ac:dyDescent="0.2">
      <c r="A54">
        <v>52</v>
      </c>
      <c r="B54" t="s">
        <v>6780</v>
      </c>
      <c r="F54" t="s">
        <v>6779</v>
      </c>
      <c r="G54" t="s">
        <v>15</v>
      </c>
      <c r="H54" t="s">
        <v>14</v>
      </c>
      <c r="I54" t="s">
        <v>6778</v>
      </c>
      <c r="N54">
        <v>1</v>
      </c>
      <c r="O54" t="s">
        <v>6777</v>
      </c>
      <c r="P54">
        <v>6602255265</v>
      </c>
      <c r="R54" s="7">
        <v>31168</v>
      </c>
      <c r="S54" s="8">
        <f t="shared" si="8"/>
        <v>1985</v>
      </c>
      <c r="T54" s="8">
        <v>1985</v>
      </c>
      <c r="U54" s="8">
        <f t="shared" si="9"/>
        <v>37</v>
      </c>
      <c r="V54" s="7">
        <v>31168</v>
      </c>
      <c r="W54" t="s">
        <v>6776</v>
      </c>
      <c r="X54" s="2" t="s">
        <v>19</v>
      </c>
      <c r="Y54" s="6" t="e">
        <f t="shared" si="2"/>
        <v>#VALUE!</v>
      </c>
      <c r="AA54">
        <v>2652455</v>
      </c>
      <c r="AB54">
        <v>26186</v>
      </c>
      <c r="AD54" t="s">
        <v>4</v>
      </c>
      <c r="AE54">
        <v>6</v>
      </c>
      <c r="AF54">
        <v>2</v>
      </c>
      <c r="AH54">
        <v>49</v>
      </c>
      <c r="AI54" t="s">
        <v>6775</v>
      </c>
      <c r="AK54" t="s">
        <v>6774</v>
      </c>
      <c r="AL54">
        <v>0</v>
      </c>
      <c r="AM54" s="5">
        <f t="shared" si="10"/>
        <v>0</v>
      </c>
      <c r="AN54" s="4">
        <f t="shared" si="4"/>
        <v>0</v>
      </c>
      <c r="AO54" s="3"/>
      <c r="AP54">
        <v>0</v>
      </c>
      <c r="AR54" t="s">
        <v>0</v>
      </c>
      <c r="AT54" s="2" t="s">
        <v>19</v>
      </c>
      <c r="AU54" s="1" t="e">
        <f t="shared" si="11"/>
        <v>#VALUE!</v>
      </c>
      <c r="AV54" s="1" t="e">
        <f t="shared" si="12"/>
        <v>#VALUE!</v>
      </c>
      <c r="AW54" s="1" t="e">
        <f t="shared" si="13"/>
        <v>#VALUE!</v>
      </c>
    </row>
    <row r="55" spans="1:49" x14ac:dyDescent="0.2">
      <c r="A55">
        <v>53</v>
      </c>
      <c r="B55" t="s">
        <v>6773</v>
      </c>
      <c r="C55" t="s">
        <v>6772</v>
      </c>
      <c r="F55" t="s">
        <v>6771</v>
      </c>
      <c r="G55" t="s">
        <v>15</v>
      </c>
      <c r="H55" t="s">
        <v>14</v>
      </c>
      <c r="I55" t="s">
        <v>6770</v>
      </c>
      <c r="J55">
        <v>60014313</v>
      </c>
      <c r="K55" t="s">
        <v>480</v>
      </c>
      <c r="L55" t="s">
        <v>479</v>
      </c>
      <c r="M55" t="s">
        <v>122</v>
      </c>
      <c r="N55">
        <v>2</v>
      </c>
      <c r="O55" t="s">
        <v>6769</v>
      </c>
      <c r="P55" t="s">
        <v>6768</v>
      </c>
      <c r="Q55" t="s">
        <v>6767</v>
      </c>
      <c r="R55" s="7">
        <v>31168</v>
      </c>
      <c r="S55" s="8">
        <f t="shared" si="8"/>
        <v>1985</v>
      </c>
      <c r="T55" s="8">
        <v>1985</v>
      </c>
      <c r="U55" s="8">
        <f t="shared" si="9"/>
        <v>37</v>
      </c>
      <c r="V55" s="7">
        <v>31168</v>
      </c>
      <c r="W55" t="s">
        <v>6541</v>
      </c>
      <c r="X55" s="2">
        <v>0.64800000000000002</v>
      </c>
      <c r="Y55" s="6">
        <f t="shared" si="2"/>
        <v>1.7297989909505887E-2</v>
      </c>
      <c r="AA55">
        <v>3028933</v>
      </c>
      <c r="AB55">
        <v>19623</v>
      </c>
      <c r="AC55" t="s">
        <v>6540</v>
      </c>
      <c r="AD55" t="s">
        <v>4</v>
      </c>
      <c r="AE55">
        <v>141</v>
      </c>
      <c r="AF55">
        <v>4</v>
      </c>
      <c r="AH55" t="s">
        <v>6766</v>
      </c>
      <c r="AI55" t="s">
        <v>6765</v>
      </c>
      <c r="AJ55" t="s">
        <v>6764</v>
      </c>
      <c r="AK55" t="s">
        <v>6763</v>
      </c>
      <c r="AL55">
        <v>4</v>
      </c>
      <c r="AM55" s="5">
        <f t="shared" si="10"/>
        <v>0.10810810810810811</v>
      </c>
      <c r="AN55" s="4">
        <f t="shared" si="4"/>
        <v>1.6373814177676353E-4</v>
      </c>
      <c r="AO55" s="3"/>
      <c r="AP55">
        <v>0</v>
      </c>
      <c r="AR55" t="s">
        <v>0</v>
      </c>
      <c r="AT55" s="2">
        <v>2.552</v>
      </c>
      <c r="AU55" s="1">
        <f t="shared" si="11"/>
        <v>1.2157714379187148</v>
      </c>
      <c r="AV55" s="1">
        <f t="shared" si="12"/>
        <v>0.8730864025641325</v>
      </c>
      <c r="AW55" s="1">
        <f t="shared" si="13"/>
        <v>0.53040136720955</v>
      </c>
    </row>
    <row r="56" spans="1:49" x14ac:dyDescent="0.2">
      <c r="A56">
        <v>54</v>
      </c>
      <c r="B56" t="s">
        <v>6762</v>
      </c>
      <c r="C56" t="s">
        <v>6761</v>
      </c>
      <c r="F56" t="s">
        <v>6760</v>
      </c>
      <c r="G56" t="s">
        <v>15</v>
      </c>
      <c r="H56" t="s">
        <v>14</v>
      </c>
      <c r="I56" t="s">
        <v>6759</v>
      </c>
      <c r="J56">
        <v>60028333</v>
      </c>
      <c r="K56" t="s">
        <v>2733</v>
      </c>
      <c r="L56" t="s">
        <v>2732</v>
      </c>
      <c r="M56" t="s">
        <v>43</v>
      </c>
      <c r="N56">
        <v>1</v>
      </c>
      <c r="O56" t="s">
        <v>6758</v>
      </c>
      <c r="P56">
        <v>7004629105</v>
      </c>
      <c r="Q56">
        <v>60028333</v>
      </c>
      <c r="R56" s="7">
        <v>31168</v>
      </c>
      <c r="S56" s="8">
        <f t="shared" si="8"/>
        <v>1985</v>
      </c>
      <c r="T56" s="8">
        <v>1985</v>
      </c>
      <c r="U56" s="8">
        <f t="shared" si="9"/>
        <v>37</v>
      </c>
      <c r="V56" s="7">
        <v>31168</v>
      </c>
      <c r="W56" t="s">
        <v>6757</v>
      </c>
      <c r="X56" s="2">
        <v>0.8</v>
      </c>
      <c r="Y56" s="6">
        <f t="shared" si="2"/>
        <v>2.1355543098155415E-2</v>
      </c>
      <c r="AA56">
        <v>3407594</v>
      </c>
      <c r="AB56">
        <v>23456</v>
      </c>
      <c r="AC56">
        <v>14321351</v>
      </c>
      <c r="AD56" t="s">
        <v>4</v>
      </c>
      <c r="AE56">
        <v>157</v>
      </c>
      <c r="AF56">
        <v>3</v>
      </c>
      <c r="AH56" t="s">
        <v>6756</v>
      </c>
      <c r="AI56" t="s">
        <v>6755</v>
      </c>
      <c r="AK56" t="s">
        <v>6754</v>
      </c>
      <c r="AL56">
        <v>20</v>
      </c>
      <c r="AM56" s="5">
        <f t="shared" si="10"/>
        <v>0.54054054054054057</v>
      </c>
      <c r="AN56" s="4">
        <f t="shared" si="4"/>
        <v>8.186907088838176E-4</v>
      </c>
      <c r="AO56" s="3"/>
      <c r="AP56">
        <v>0</v>
      </c>
      <c r="AR56" t="s">
        <v>0</v>
      </c>
      <c r="AT56" s="2" t="s">
        <v>19</v>
      </c>
      <c r="AU56" s="1">
        <f t="shared" si="11"/>
        <v>1.5194487381373936</v>
      </c>
      <c r="AV56" s="1">
        <f t="shared" si="12"/>
        <v>1.1087116903519616</v>
      </c>
      <c r="AW56" s="1">
        <f t="shared" si="13"/>
        <v>0.69797464256652963</v>
      </c>
    </row>
    <row r="57" spans="1:49" x14ac:dyDescent="0.2">
      <c r="A57">
        <v>55</v>
      </c>
      <c r="B57" t="s">
        <v>6753</v>
      </c>
      <c r="C57" t="s">
        <v>6752</v>
      </c>
      <c r="F57" t="s">
        <v>6751</v>
      </c>
      <c r="G57" t="s">
        <v>15</v>
      </c>
      <c r="H57" t="s">
        <v>14</v>
      </c>
      <c r="I57" t="s">
        <v>6286</v>
      </c>
      <c r="J57" t="s">
        <v>6750</v>
      </c>
      <c r="K57" t="s">
        <v>6749</v>
      </c>
      <c r="L57" t="s">
        <v>6748</v>
      </c>
      <c r="M57" t="s">
        <v>6747</v>
      </c>
      <c r="N57">
        <v>3</v>
      </c>
      <c r="O57" t="s">
        <v>6746</v>
      </c>
      <c r="P57" t="s">
        <v>6745</v>
      </c>
      <c r="Q57" t="s">
        <v>6744</v>
      </c>
      <c r="R57" s="7">
        <v>31168</v>
      </c>
      <c r="S57" s="8">
        <f t="shared" si="8"/>
        <v>1985</v>
      </c>
      <c r="T57" s="8">
        <v>1985</v>
      </c>
      <c r="U57" s="8">
        <f t="shared" si="9"/>
        <v>37</v>
      </c>
      <c r="V57" s="7">
        <v>31168</v>
      </c>
      <c r="W57" t="s">
        <v>6282</v>
      </c>
      <c r="X57" s="2" t="s">
        <v>19</v>
      </c>
      <c r="Y57" s="6" t="e">
        <f t="shared" si="2"/>
        <v>#VALUE!</v>
      </c>
      <c r="AA57">
        <v>1051938</v>
      </c>
      <c r="AB57">
        <v>76824</v>
      </c>
      <c r="AD57" t="s">
        <v>4</v>
      </c>
      <c r="AE57">
        <v>50</v>
      </c>
      <c r="AF57">
        <v>3</v>
      </c>
      <c r="AH57" t="s">
        <v>6743</v>
      </c>
      <c r="AI57" t="s">
        <v>6742</v>
      </c>
      <c r="AJ57" t="s">
        <v>6741</v>
      </c>
      <c r="AK57" t="s">
        <v>6740</v>
      </c>
      <c r="AL57">
        <v>72</v>
      </c>
      <c r="AM57" s="5">
        <f t="shared" si="10"/>
        <v>1.9459459459459461</v>
      </c>
      <c r="AN57" s="4">
        <f t="shared" si="4"/>
        <v>2.9472865519817432E-3</v>
      </c>
      <c r="AO57" s="3"/>
      <c r="AP57">
        <v>1</v>
      </c>
      <c r="AR57" t="s">
        <v>0</v>
      </c>
      <c r="AT57" s="2" t="s">
        <v>19</v>
      </c>
      <c r="AU57" s="1" t="e">
        <f t="shared" si="11"/>
        <v>#VALUE!</v>
      </c>
      <c r="AV57" s="1" t="e">
        <f t="shared" si="12"/>
        <v>#VALUE!</v>
      </c>
      <c r="AW57" s="1" t="e">
        <f t="shared" si="13"/>
        <v>#VALUE!</v>
      </c>
    </row>
    <row r="58" spans="1:49" x14ac:dyDescent="0.2">
      <c r="A58">
        <v>56</v>
      </c>
      <c r="B58" t="s">
        <v>6739</v>
      </c>
      <c r="C58" t="s">
        <v>6738</v>
      </c>
      <c r="F58" t="s">
        <v>6737</v>
      </c>
      <c r="G58" t="s">
        <v>15</v>
      </c>
      <c r="H58" t="s">
        <v>14</v>
      </c>
      <c r="I58" t="s">
        <v>6727</v>
      </c>
      <c r="J58">
        <v>60103678</v>
      </c>
      <c r="K58" t="s">
        <v>6726</v>
      </c>
      <c r="L58" t="s">
        <v>4567</v>
      </c>
      <c r="M58" t="s">
        <v>122</v>
      </c>
      <c r="N58">
        <v>3</v>
      </c>
      <c r="O58" t="s">
        <v>6736</v>
      </c>
      <c r="P58" t="s">
        <v>6735</v>
      </c>
      <c r="Q58" t="s">
        <v>6734</v>
      </c>
      <c r="R58" s="7">
        <v>31152</v>
      </c>
      <c r="S58" s="8">
        <f t="shared" si="8"/>
        <v>1985</v>
      </c>
      <c r="T58" s="8">
        <v>1985</v>
      </c>
      <c r="U58" s="8">
        <f t="shared" si="9"/>
        <v>37</v>
      </c>
      <c r="V58" s="7">
        <v>31152</v>
      </c>
      <c r="W58" t="s">
        <v>5749</v>
      </c>
      <c r="X58" s="2">
        <v>0.66800000000000004</v>
      </c>
      <c r="Y58" s="6">
        <f t="shared" si="2"/>
        <v>1.7831878486959774E-2</v>
      </c>
      <c r="AA58" t="s">
        <v>5748</v>
      </c>
      <c r="AB58">
        <v>29593</v>
      </c>
      <c r="AC58">
        <v>21553165</v>
      </c>
      <c r="AD58" t="s">
        <v>4</v>
      </c>
      <c r="AE58">
        <v>24</v>
      </c>
      <c r="AF58">
        <v>8</v>
      </c>
      <c r="AH58" t="s">
        <v>6733</v>
      </c>
      <c r="AI58" t="s">
        <v>6732</v>
      </c>
      <c r="AK58" t="s">
        <v>6731</v>
      </c>
      <c r="AL58">
        <v>9</v>
      </c>
      <c r="AM58" s="5">
        <f t="shared" si="10"/>
        <v>0.24324324324324326</v>
      </c>
      <c r="AN58" s="4">
        <f t="shared" si="4"/>
        <v>3.684108189977179E-4</v>
      </c>
      <c r="AO58" s="3"/>
      <c r="AP58">
        <v>0</v>
      </c>
      <c r="AR58" t="s">
        <v>0</v>
      </c>
      <c r="AT58" s="2">
        <v>1.98</v>
      </c>
      <c r="AU58" s="1">
        <f t="shared" si="11"/>
        <v>1.2592838186571154</v>
      </c>
      <c r="AV58" s="1">
        <f t="shared" si="12"/>
        <v>0.91001446529787455</v>
      </c>
      <c r="AW58" s="1">
        <f t="shared" si="13"/>
        <v>0.56074511193863341</v>
      </c>
    </row>
    <row r="59" spans="1:49" x14ac:dyDescent="0.2">
      <c r="A59">
        <v>57</v>
      </c>
      <c r="B59" t="s">
        <v>6730</v>
      </c>
      <c r="C59" t="s">
        <v>6729</v>
      </c>
      <c r="F59" t="s">
        <v>6728</v>
      </c>
      <c r="G59" t="s">
        <v>15</v>
      </c>
      <c r="H59" t="s">
        <v>14</v>
      </c>
      <c r="I59" t="s">
        <v>6727</v>
      </c>
      <c r="J59">
        <v>60103678</v>
      </c>
      <c r="K59" t="s">
        <v>6726</v>
      </c>
      <c r="L59" t="s">
        <v>4567</v>
      </c>
      <c r="M59" t="s">
        <v>122</v>
      </c>
      <c r="N59">
        <v>1</v>
      </c>
      <c r="O59" t="s">
        <v>6725</v>
      </c>
      <c r="P59">
        <v>7005669951</v>
      </c>
      <c r="Q59">
        <v>60103678</v>
      </c>
      <c r="R59" s="7">
        <v>31152</v>
      </c>
      <c r="S59" s="8">
        <f t="shared" si="8"/>
        <v>1985</v>
      </c>
      <c r="T59" s="8">
        <v>1985</v>
      </c>
      <c r="U59" s="8">
        <f t="shared" si="9"/>
        <v>37</v>
      </c>
      <c r="V59" s="7">
        <v>31152</v>
      </c>
      <c r="W59" t="s">
        <v>5749</v>
      </c>
      <c r="X59" s="2">
        <v>0.66800000000000004</v>
      </c>
      <c r="Y59" s="6">
        <f t="shared" si="2"/>
        <v>1.7831878486959774E-2</v>
      </c>
      <c r="AA59" t="s">
        <v>5748</v>
      </c>
      <c r="AB59">
        <v>29593</v>
      </c>
      <c r="AC59">
        <v>21553165</v>
      </c>
      <c r="AD59" t="s">
        <v>4</v>
      </c>
      <c r="AE59">
        <v>24</v>
      </c>
      <c r="AF59">
        <v>8</v>
      </c>
      <c r="AH59" t="s">
        <v>6724</v>
      </c>
      <c r="AI59" t="s">
        <v>6723</v>
      </c>
      <c r="AK59" t="s">
        <v>6722</v>
      </c>
      <c r="AL59">
        <v>6</v>
      </c>
      <c r="AM59" s="5">
        <f t="shared" si="10"/>
        <v>0.16216216216216217</v>
      </c>
      <c r="AN59" s="4">
        <f t="shared" si="4"/>
        <v>2.4560721266514527E-4</v>
      </c>
      <c r="AO59" s="3"/>
      <c r="AP59">
        <v>0</v>
      </c>
      <c r="AR59" t="s">
        <v>0</v>
      </c>
      <c r="AT59" s="2">
        <v>1.98</v>
      </c>
      <c r="AU59" s="1">
        <f t="shared" si="11"/>
        <v>1.2555997104671384</v>
      </c>
      <c r="AV59" s="1">
        <f t="shared" si="12"/>
        <v>0.90387428498124589</v>
      </c>
      <c r="AW59" s="1">
        <f t="shared" si="13"/>
        <v>0.55214885949535331</v>
      </c>
    </row>
    <row r="60" spans="1:49" x14ac:dyDescent="0.2">
      <c r="A60">
        <v>58</v>
      </c>
      <c r="B60" t="s">
        <v>6721</v>
      </c>
      <c r="C60" t="s">
        <v>6720</v>
      </c>
      <c r="D60">
        <v>304394085900011</v>
      </c>
      <c r="E60">
        <v>2582320</v>
      </c>
      <c r="F60" t="s">
        <v>6719</v>
      </c>
      <c r="G60" t="s">
        <v>15</v>
      </c>
      <c r="H60" t="s">
        <v>14</v>
      </c>
      <c r="I60" t="s">
        <v>6718</v>
      </c>
      <c r="J60" t="s">
        <v>6717</v>
      </c>
      <c r="K60" t="s">
        <v>6716</v>
      </c>
      <c r="L60" t="s">
        <v>6715</v>
      </c>
      <c r="M60" t="s">
        <v>6714</v>
      </c>
      <c r="N60">
        <v>2</v>
      </c>
      <c r="O60" t="s">
        <v>6713</v>
      </c>
      <c r="P60" t="s">
        <v>6712</v>
      </c>
      <c r="Q60" t="s">
        <v>6711</v>
      </c>
      <c r="R60" s="7">
        <v>31146</v>
      </c>
      <c r="S60" s="8">
        <f t="shared" si="8"/>
        <v>1985</v>
      </c>
      <c r="T60" s="8">
        <v>1985</v>
      </c>
      <c r="U60" s="8">
        <f t="shared" si="9"/>
        <v>37</v>
      </c>
      <c r="V60" s="7">
        <v>31146</v>
      </c>
      <c r="W60" t="s">
        <v>6710</v>
      </c>
      <c r="X60" s="2">
        <v>0.94399999999999995</v>
      </c>
      <c r="Y60" s="6">
        <f t="shared" si="2"/>
        <v>2.5199540855823391E-2</v>
      </c>
      <c r="AA60">
        <v>3043940</v>
      </c>
      <c r="AB60">
        <v>18046</v>
      </c>
      <c r="AD60" t="s">
        <v>4</v>
      </c>
      <c r="AE60">
        <v>55</v>
      </c>
      <c r="AF60">
        <v>2</v>
      </c>
      <c r="AH60" t="s">
        <v>6709</v>
      </c>
      <c r="AI60" t="s">
        <v>6708</v>
      </c>
      <c r="AJ60" t="s">
        <v>6707</v>
      </c>
      <c r="AK60" t="s">
        <v>6706</v>
      </c>
      <c r="AL60">
        <v>1</v>
      </c>
      <c r="AM60" s="5">
        <f t="shared" si="10"/>
        <v>2.7027027027027029E-2</v>
      </c>
      <c r="AN60" s="4">
        <f t="shared" si="4"/>
        <v>4.0934535444190883E-5</v>
      </c>
      <c r="AO60" s="3"/>
      <c r="AP60">
        <v>0</v>
      </c>
      <c r="AR60" t="s">
        <v>0</v>
      </c>
      <c r="AS60" t="s">
        <v>6705</v>
      </c>
      <c r="AT60" s="2">
        <v>3.0459999999999998</v>
      </c>
      <c r="AU60" s="1">
        <f t="shared" si="11"/>
        <v>1.7651958959709626</v>
      </c>
      <c r="AV60" s="1">
        <f t="shared" si="12"/>
        <v>1.2620237695633791</v>
      </c>
      <c r="AW60" s="1">
        <f t="shared" si="13"/>
        <v>0.75885164315579501</v>
      </c>
    </row>
    <row r="61" spans="1:49" x14ac:dyDescent="0.2">
      <c r="A61">
        <v>59</v>
      </c>
      <c r="B61" t="s">
        <v>6704</v>
      </c>
      <c r="C61" t="s">
        <v>6703</v>
      </c>
      <c r="D61">
        <v>14579385809601</v>
      </c>
      <c r="F61" t="s">
        <v>6702</v>
      </c>
      <c r="G61" t="s">
        <v>15</v>
      </c>
      <c r="H61" t="s">
        <v>14</v>
      </c>
      <c r="I61" t="s">
        <v>6701</v>
      </c>
      <c r="J61" t="s">
        <v>6700</v>
      </c>
      <c r="K61" t="s">
        <v>6699</v>
      </c>
      <c r="L61" t="s">
        <v>6698</v>
      </c>
      <c r="M61" t="s">
        <v>3141</v>
      </c>
      <c r="N61">
        <v>3</v>
      </c>
      <c r="O61" t="s">
        <v>6697</v>
      </c>
      <c r="P61" t="s">
        <v>6696</v>
      </c>
      <c r="Q61" t="s">
        <v>6695</v>
      </c>
      <c r="R61" s="7">
        <v>31145</v>
      </c>
      <c r="S61" s="8">
        <f t="shared" si="8"/>
        <v>1985</v>
      </c>
      <c r="T61" s="8">
        <v>1985</v>
      </c>
      <c r="U61" s="8">
        <f t="shared" si="9"/>
        <v>37</v>
      </c>
      <c r="V61" s="7">
        <v>31145</v>
      </c>
      <c r="W61" t="s">
        <v>160</v>
      </c>
      <c r="X61" s="2">
        <v>1.593</v>
      </c>
      <c r="Y61" s="6">
        <f t="shared" si="2"/>
        <v>4.2524225194201973E-2</v>
      </c>
      <c r="AA61">
        <v>145793</v>
      </c>
      <c r="AB61">
        <v>17481</v>
      </c>
      <c r="AD61" t="s">
        <v>4</v>
      </c>
      <c r="AE61">
        <v>183</v>
      </c>
      <c r="AF61">
        <v>1</v>
      </c>
      <c r="AH61" t="s">
        <v>6694</v>
      </c>
      <c r="AI61" t="s">
        <v>6693</v>
      </c>
      <c r="AK61" t="s">
        <v>6692</v>
      </c>
      <c r="AL61">
        <v>8</v>
      </c>
      <c r="AM61" s="5">
        <f t="shared" si="10"/>
        <v>0.21621621621621623</v>
      </c>
      <c r="AN61" s="4">
        <f t="shared" si="4"/>
        <v>3.2747628355352706E-4</v>
      </c>
      <c r="AO61" s="3"/>
      <c r="AP61">
        <v>1</v>
      </c>
      <c r="AR61" t="s">
        <v>0</v>
      </c>
      <c r="AT61" s="2">
        <v>4.1239999999999997</v>
      </c>
      <c r="AU61" s="1">
        <f t="shared" si="11"/>
        <v>2.9865200521007438</v>
      </c>
      <c r="AV61" s="1">
        <f t="shared" si="12"/>
        <v>2.142585073887775</v>
      </c>
      <c r="AW61" s="1">
        <f t="shared" si="13"/>
        <v>1.2986500956748062</v>
      </c>
    </row>
    <row r="62" spans="1:49" x14ac:dyDescent="0.2">
      <c r="A62">
        <v>60</v>
      </c>
      <c r="B62" t="s">
        <v>6691</v>
      </c>
      <c r="C62" t="s">
        <v>6690</v>
      </c>
      <c r="D62">
        <v>14579385809558</v>
      </c>
      <c r="E62">
        <v>3979568</v>
      </c>
      <c r="F62" t="s">
        <v>6689</v>
      </c>
      <c r="G62" t="s">
        <v>15</v>
      </c>
      <c r="H62" t="s">
        <v>14</v>
      </c>
      <c r="I62" t="s">
        <v>6688</v>
      </c>
      <c r="J62" t="s">
        <v>6687</v>
      </c>
      <c r="K62" t="s">
        <v>6686</v>
      </c>
      <c r="L62" t="s">
        <v>6685</v>
      </c>
      <c r="M62" t="s">
        <v>6684</v>
      </c>
      <c r="N62">
        <v>5</v>
      </c>
      <c r="O62" t="s">
        <v>6683</v>
      </c>
      <c r="P62" t="s">
        <v>6682</v>
      </c>
      <c r="Q62" t="s">
        <v>6681</v>
      </c>
      <c r="R62" s="7">
        <v>31145</v>
      </c>
      <c r="S62" s="8">
        <f t="shared" si="8"/>
        <v>1985</v>
      </c>
      <c r="T62" s="8">
        <v>1985</v>
      </c>
      <c r="U62" s="8">
        <f t="shared" si="9"/>
        <v>37</v>
      </c>
      <c r="V62" s="7">
        <v>31145</v>
      </c>
      <c r="W62" t="s">
        <v>160</v>
      </c>
      <c r="X62" s="2">
        <v>1.593</v>
      </c>
      <c r="Y62" s="6">
        <f t="shared" si="2"/>
        <v>4.2524225194201973E-2</v>
      </c>
      <c r="AA62">
        <v>145793</v>
      </c>
      <c r="AB62">
        <v>17481</v>
      </c>
      <c r="AD62" t="s">
        <v>4</v>
      </c>
      <c r="AE62">
        <v>183</v>
      </c>
      <c r="AF62">
        <v>1</v>
      </c>
      <c r="AH62" t="s">
        <v>6680</v>
      </c>
      <c r="AI62" t="s">
        <v>6679</v>
      </c>
      <c r="AK62" t="s">
        <v>6678</v>
      </c>
      <c r="AL62">
        <v>83</v>
      </c>
      <c r="AM62" s="5">
        <f t="shared" si="10"/>
        <v>2.2432432432432434</v>
      </c>
      <c r="AN62" s="4">
        <f t="shared" si="4"/>
        <v>3.397566441867843E-3</v>
      </c>
      <c r="AO62" s="3"/>
      <c r="AP62">
        <v>0</v>
      </c>
      <c r="AQ62" t="s">
        <v>6677</v>
      </c>
      <c r="AR62" t="s">
        <v>6676</v>
      </c>
      <c r="AS62" t="s">
        <v>6675</v>
      </c>
      <c r="AT62" s="2">
        <v>4.1239999999999997</v>
      </c>
      <c r="AU62" s="1">
        <f t="shared" si="11"/>
        <v>3.0786227568501729</v>
      </c>
      <c r="AV62" s="1">
        <f t="shared" si="12"/>
        <v>2.296089581803491</v>
      </c>
      <c r="AW62" s="1">
        <f t="shared" si="13"/>
        <v>1.5135564067568081</v>
      </c>
    </row>
    <row r="63" spans="1:49" x14ac:dyDescent="0.2">
      <c r="A63">
        <v>61</v>
      </c>
      <c r="B63" t="s">
        <v>6674</v>
      </c>
      <c r="C63" t="s">
        <v>6673</v>
      </c>
      <c r="D63">
        <v>5272885900507</v>
      </c>
      <c r="F63" t="s">
        <v>6672</v>
      </c>
      <c r="G63" t="s">
        <v>15</v>
      </c>
      <c r="H63" t="s">
        <v>14</v>
      </c>
      <c r="I63" t="s">
        <v>6671</v>
      </c>
      <c r="J63" t="s">
        <v>6670</v>
      </c>
      <c r="K63" t="s">
        <v>6669</v>
      </c>
      <c r="L63" t="s">
        <v>6668</v>
      </c>
      <c r="M63" t="s">
        <v>6667</v>
      </c>
      <c r="N63">
        <v>4</v>
      </c>
      <c r="O63" t="s">
        <v>6666</v>
      </c>
      <c r="P63" t="s">
        <v>6665</v>
      </c>
      <c r="Q63" t="s">
        <v>6664</v>
      </c>
      <c r="R63" s="7">
        <v>31140</v>
      </c>
      <c r="S63" s="8">
        <f t="shared" si="8"/>
        <v>1985</v>
      </c>
      <c r="T63" s="8">
        <v>1985</v>
      </c>
      <c r="U63" s="8">
        <f t="shared" si="9"/>
        <v>37</v>
      </c>
      <c r="V63" s="7">
        <v>31140</v>
      </c>
      <c r="W63" t="s">
        <v>6042</v>
      </c>
      <c r="X63" s="2">
        <v>1.59</v>
      </c>
      <c r="Y63" s="6">
        <f t="shared" si="2"/>
        <v>4.2444141907583888E-2</v>
      </c>
      <c r="AA63">
        <v>52728</v>
      </c>
      <c r="AB63">
        <v>16791</v>
      </c>
      <c r="AD63" t="s">
        <v>4</v>
      </c>
      <c r="AE63">
        <v>807</v>
      </c>
      <c r="AF63">
        <v>1</v>
      </c>
      <c r="AH63" t="s">
        <v>6663</v>
      </c>
      <c r="AI63" t="s">
        <v>6662</v>
      </c>
      <c r="AJ63" t="s">
        <v>6661</v>
      </c>
      <c r="AK63" t="s">
        <v>6660</v>
      </c>
      <c r="AL63">
        <v>7</v>
      </c>
      <c r="AM63" s="5">
        <f t="shared" si="10"/>
        <v>0.1891891891891892</v>
      </c>
      <c r="AN63" s="4">
        <f t="shared" si="4"/>
        <v>2.8654174810933616E-4</v>
      </c>
      <c r="AO63" s="3"/>
      <c r="AP63">
        <v>0</v>
      </c>
      <c r="AR63" t="s">
        <v>0</v>
      </c>
      <c r="AT63" s="2" t="s">
        <v>19</v>
      </c>
      <c r="AU63" s="1">
        <f t="shared" si="11"/>
        <v>2.9796861859741521</v>
      </c>
      <c r="AV63" s="1">
        <f t="shared" si="12"/>
        <v>2.1365341827846613</v>
      </c>
      <c r="AW63" s="1">
        <f t="shared" si="13"/>
        <v>1.2933821795951701</v>
      </c>
    </row>
    <row r="64" spans="1:49" x14ac:dyDescent="0.2">
      <c r="A64">
        <v>62</v>
      </c>
      <c r="B64" t="s">
        <v>6659</v>
      </c>
      <c r="C64" t="s">
        <v>6658</v>
      </c>
      <c r="D64">
        <v>5272885900519</v>
      </c>
      <c r="F64" t="s">
        <v>6657</v>
      </c>
      <c r="G64" t="s">
        <v>15</v>
      </c>
      <c r="H64" t="s">
        <v>14</v>
      </c>
      <c r="I64" t="s">
        <v>6656</v>
      </c>
      <c r="J64" t="s">
        <v>6655</v>
      </c>
      <c r="K64" t="s">
        <v>6654</v>
      </c>
      <c r="L64" t="s">
        <v>6653</v>
      </c>
      <c r="M64" t="s">
        <v>6652</v>
      </c>
      <c r="N64">
        <v>3</v>
      </c>
      <c r="O64" t="s">
        <v>6651</v>
      </c>
      <c r="P64" t="s">
        <v>6650</v>
      </c>
      <c r="Q64" t="s">
        <v>6649</v>
      </c>
      <c r="R64" s="7">
        <v>31140</v>
      </c>
      <c r="S64" s="8">
        <f t="shared" si="8"/>
        <v>1985</v>
      </c>
      <c r="T64" s="8">
        <v>1985</v>
      </c>
      <c r="U64" s="8">
        <f t="shared" si="9"/>
        <v>37</v>
      </c>
      <c r="V64" s="7">
        <v>31140</v>
      </c>
      <c r="W64" t="s">
        <v>6042</v>
      </c>
      <c r="X64" s="2">
        <v>1.59</v>
      </c>
      <c r="Y64" s="6">
        <f t="shared" si="2"/>
        <v>4.2444141907583888E-2</v>
      </c>
      <c r="AA64">
        <v>52728</v>
      </c>
      <c r="AB64">
        <v>16791</v>
      </c>
      <c r="AD64" t="s">
        <v>4</v>
      </c>
      <c r="AE64">
        <v>807</v>
      </c>
      <c r="AF64">
        <v>1</v>
      </c>
      <c r="AH64" t="s">
        <v>6648</v>
      </c>
      <c r="AI64" t="s">
        <v>6647</v>
      </c>
      <c r="AJ64" t="s">
        <v>6646</v>
      </c>
      <c r="AK64" t="s">
        <v>6645</v>
      </c>
      <c r="AL64">
        <v>30</v>
      </c>
      <c r="AM64" s="5">
        <f t="shared" si="10"/>
        <v>0.81081081081081086</v>
      </c>
      <c r="AN64" s="4">
        <f t="shared" si="4"/>
        <v>1.2280360633257264E-3</v>
      </c>
      <c r="AO64" s="3"/>
      <c r="AP64">
        <v>0</v>
      </c>
      <c r="AR64" t="s">
        <v>0</v>
      </c>
      <c r="AT64" s="2" t="s">
        <v>19</v>
      </c>
      <c r="AU64" s="1">
        <f t="shared" si="11"/>
        <v>3.0079310154306436</v>
      </c>
      <c r="AV64" s="1">
        <f t="shared" si="12"/>
        <v>2.1836088985454807</v>
      </c>
      <c r="AW64" s="1">
        <f t="shared" si="13"/>
        <v>1.3592867816603174</v>
      </c>
    </row>
    <row r="65" spans="1:49" x14ac:dyDescent="0.2">
      <c r="A65">
        <v>63</v>
      </c>
      <c r="B65" t="s">
        <v>6644</v>
      </c>
      <c r="C65" t="s">
        <v>6643</v>
      </c>
      <c r="D65">
        <v>5272885900489</v>
      </c>
      <c r="F65" t="s">
        <v>6642</v>
      </c>
      <c r="G65" t="s">
        <v>15</v>
      </c>
      <c r="H65" t="s">
        <v>14</v>
      </c>
      <c r="I65" t="s">
        <v>1293</v>
      </c>
      <c r="J65">
        <v>60019615</v>
      </c>
      <c r="K65" t="s">
        <v>1292</v>
      </c>
      <c r="L65" t="s">
        <v>1291</v>
      </c>
      <c r="M65" t="s">
        <v>272</v>
      </c>
      <c r="N65">
        <v>2</v>
      </c>
      <c r="O65" t="s">
        <v>6641</v>
      </c>
      <c r="P65" t="s">
        <v>6640</v>
      </c>
      <c r="Q65" t="s">
        <v>6639</v>
      </c>
      <c r="R65" s="7">
        <v>31140</v>
      </c>
      <c r="S65" s="8">
        <f t="shared" si="8"/>
        <v>1985</v>
      </c>
      <c r="T65" s="8">
        <v>1985</v>
      </c>
      <c r="U65" s="8">
        <f t="shared" si="9"/>
        <v>37</v>
      </c>
      <c r="V65" s="7">
        <v>31140</v>
      </c>
      <c r="W65" t="s">
        <v>6042</v>
      </c>
      <c r="X65" s="2">
        <v>1.59</v>
      </c>
      <c r="Y65" s="6">
        <f t="shared" si="2"/>
        <v>4.2444141907583888E-2</v>
      </c>
      <c r="AA65">
        <v>52728</v>
      </c>
      <c r="AB65">
        <v>16791</v>
      </c>
      <c r="AD65" t="s">
        <v>4</v>
      </c>
      <c r="AE65">
        <v>807</v>
      </c>
      <c r="AF65">
        <v>1</v>
      </c>
      <c r="AH65" s="10">
        <v>45200</v>
      </c>
      <c r="AI65" t="s">
        <v>6638</v>
      </c>
      <c r="AJ65" t="s">
        <v>6637</v>
      </c>
      <c r="AK65" t="s">
        <v>6636</v>
      </c>
      <c r="AL65">
        <v>104</v>
      </c>
      <c r="AM65" s="5">
        <f t="shared" si="10"/>
        <v>2.810810810810811</v>
      </c>
      <c r="AN65" s="4">
        <f t="shared" si="4"/>
        <v>4.2571916861958515E-3</v>
      </c>
      <c r="AO65" s="3"/>
      <c r="AP65">
        <v>0</v>
      </c>
      <c r="AR65" t="s">
        <v>0</v>
      </c>
      <c r="AT65" s="2" t="s">
        <v>19</v>
      </c>
      <c r="AU65" s="1">
        <f t="shared" si="11"/>
        <v>3.0988056841167477</v>
      </c>
      <c r="AV65" s="1">
        <f t="shared" si="12"/>
        <v>2.3350666796889867</v>
      </c>
      <c r="AW65" s="1">
        <f t="shared" si="13"/>
        <v>1.5713276752612262</v>
      </c>
    </row>
    <row r="66" spans="1:49" x14ac:dyDescent="0.2">
      <c r="A66">
        <v>64</v>
      </c>
      <c r="B66" t="s">
        <v>6635</v>
      </c>
      <c r="C66" t="s">
        <v>6634</v>
      </c>
      <c r="F66" t="s">
        <v>6633</v>
      </c>
      <c r="G66" t="s">
        <v>15</v>
      </c>
      <c r="H66" t="s">
        <v>14</v>
      </c>
      <c r="I66" t="s">
        <v>6632</v>
      </c>
      <c r="J66" t="s">
        <v>6626</v>
      </c>
      <c r="K66" t="s">
        <v>6631</v>
      </c>
      <c r="L66" t="s">
        <v>6630</v>
      </c>
      <c r="M66" t="s">
        <v>6629</v>
      </c>
      <c r="N66">
        <v>2</v>
      </c>
      <c r="O66" t="s">
        <v>6628</v>
      </c>
      <c r="P66" t="s">
        <v>6627</v>
      </c>
      <c r="Q66" t="s">
        <v>6626</v>
      </c>
      <c r="R66" s="7">
        <v>31138</v>
      </c>
      <c r="S66" s="8">
        <f t="shared" si="8"/>
        <v>1985</v>
      </c>
      <c r="T66" s="8">
        <v>1985</v>
      </c>
      <c r="U66" s="8">
        <f t="shared" si="9"/>
        <v>37</v>
      </c>
      <c r="V66" s="7">
        <v>31138</v>
      </c>
      <c r="W66" t="s">
        <v>5498</v>
      </c>
      <c r="X66" s="2">
        <v>0.11700000000000001</v>
      </c>
      <c r="Y66" s="6">
        <f t="shared" ref="Y66:Y129" si="14">(X66-$Z$4)/($Z$3-$Z$4)</f>
        <v>3.1232481781052297E-3</v>
      </c>
      <c r="AA66">
        <v>2179822</v>
      </c>
      <c r="AB66">
        <v>5300152612</v>
      </c>
      <c r="AC66">
        <v>19930615</v>
      </c>
      <c r="AD66" t="s">
        <v>4</v>
      </c>
      <c r="AE66">
        <v>2</v>
      </c>
      <c r="AF66">
        <v>2</v>
      </c>
      <c r="AH66" t="s">
        <v>6625</v>
      </c>
      <c r="AI66" t="s">
        <v>6624</v>
      </c>
      <c r="AK66" t="s">
        <v>6623</v>
      </c>
      <c r="AL66">
        <v>0</v>
      </c>
      <c r="AM66" s="5">
        <f t="shared" si="10"/>
        <v>0</v>
      </c>
      <c r="AN66" s="4">
        <f t="shared" ref="AN66:AN129" si="15">(AM66-$AO$4)/($AO$3-$AO$4)</f>
        <v>0</v>
      </c>
      <c r="AO66" s="3"/>
      <c r="AP66">
        <v>0</v>
      </c>
      <c r="AR66" t="s">
        <v>0</v>
      </c>
      <c r="AT66" s="2" t="s">
        <v>19</v>
      </c>
      <c r="AU66" s="1">
        <f t="shared" si="11"/>
        <v>0.21862737246736608</v>
      </c>
      <c r="AV66" s="1">
        <f t="shared" si="12"/>
        <v>0.15616240890526148</v>
      </c>
      <c r="AW66" s="1">
        <f t="shared" si="13"/>
        <v>9.3697445343156896E-2</v>
      </c>
    </row>
    <row r="67" spans="1:49" x14ac:dyDescent="0.2">
      <c r="A67">
        <v>65</v>
      </c>
      <c r="B67" t="s">
        <v>6622</v>
      </c>
      <c r="F67" t="s">
        <v>6621</v>
      </c>
      <c r="G67" t="s">
        <v>15</v>
      </c>
      <c r="H67" t="s">
        <v>14</v>
      </c>
      <c r="I67" t="s">
        <v>6620</v>
      </c>
      <c r="J67">
        <v>60025555</v>
      </c>
      <c r="K67" t="s">
        <v>6619</v>
      </c>
      <c r="L67" t="s">
        <v>594</v>
      </c>
      <c r="M67" t="s">
        <v>544</v>
      </c>
      <c r="N67">
        <v>1</v>
      </c>
      <c r="O67" t="s">
        <v>6618</v>
      </c>
      <c r="P67">
        <v>55553742420</v>
      </c>
      <c r="Q67">
        <v>60025555</v>
      </c>
      <c r="R67" s="7">
        <v>31138</v>
      </c>
      <c r="S67" s="8">
        <f t="shared" si="8"/>
        <v>1985</v>
      </c>
      <c r="T67" s="8">
        <v>1985</v>
      </c>
      <c r="U67" s="8">
        <f t="shared" si="9"/>
        <v>37</v>
      </c>
      <c r="V67" s="7">
        <v>31138</v>
      </c>
      <c r="W67" t="s">
        <v>6617</v>
      </c>
      <c r="X67" s="2" t="s">
        <v>19</v>
      </c>
      <c r="Y67" s="6" t="e">
        <f t="shared" si="14"/>
        <v>#VALUE!</v>
      </c>
      <c r="AA67">
        <v>214744</v>
      </c>
      <c r="AB67">
        <v>32584</v>
      </c>
      <c r="AD67" t="s">
        <v>4</v>
      </c>
      <c r="AE67">
        <v>27</v>
      </c>
      <c r="AF67">
        <v>2</v>
      </c>
      <c r="AH67" t="s">
        <v>6616</v>
      </c>
      <c r="AI67" t="s">
        <v>6615</v>
      </c>
      <c r="AK67" t="s">
        <v>6614</v>
      </c>
      <c r="AL67">
        <v>0</v>
      </c>
      <c r="AM67" s="5">
        <f t="shared" si="10"/>
        <v>0</v>
      </c>
      <c r="AN67" s="4">
        <f t="shared" si="15"/>
        <v>0</v>
      </c>
      <c r="AO67" s="3"/>
      <c r="AP67">
        <v>0</v>
      </c>
      <c r="AR67" t="s">
        <v>0</v>
      </c>
      <c r="AT67" s="2" t="s">
        <v>19</v>
      </c>
      <c r="AU67" s="1" t="e">
        <f t="shared" si="11"/>
        <v>#VALUE!</v>
      </c>
      <c r="AV67" s="1" t="e">
        <f t="shared" si="12"/>
        <v>#VALUE!</v>
      </c>
      <c r="AW67" s="1" t="e">
        <f t="shared" si="13"/>
        <v>#VALUE!</v>
      </c>
    </row>
    <row r="68" spans="1:49" x14ac:dyDescent="0.2">
      <c r="A68">
        <v>66</v>
      </c>
      <c r="B68" t="s">
        <v>6613</v>
      </c>
      <c r="F68" t="s">
        <v>6612</v>
      </c>
      <c r="G68" t="s">
        <v>15</v>
      </c>
      <c r="H68" t="s">
        <v>14</v>
      </c>
      <c r="I68" t="s">
        <v>6611</v>
      </c>
      <c r="N68">
        <v>1</v>
      </c>
      <c r="O68" t="s">
        <v>6610</v>
      </c>
      <c r="P68">
        <v>7102963789</v>
      </c>
      <c r="R68" s="7">
        <v>31138</v>
      </c>
      <c r="S68" s="8">
        <f t="shared" si="8"/>
        <v>1985</v>
      </c>
      <c r="T68" s="8">
        <v>1985</v>
      </c>
      <c r="U68" s="8">
        <f t="shared" si="9"/>
        <v>37</v>
      </c>
      <c r="V68" s="7">
        <v>31138</v>
      </c>
      <c r="W68" t="s">
        <v>6609</v>
      </c>
      <c r="X68" s="2" t="s">
        <v>19</v>
      </c>
      <c r="Y68" s="6" t="e">
        <f t="shared" si="14"/>
        <v>#VALUE!</v>
      </c>
      <c r="AA68">
        <v>2663244</v>
      </c>
      <c r="AB68">
        <v>35055</v>
      </c>
      <c r="AD68" t="s">
        <v>4</v>
      </c>
      <c r="AE68">
        <v>91</v>
      </c>
      <c r="AF68">
        <v>1590</v>
      </c>
      <c r="AH68" t="s">
        <v>6608</v>
      </c>
      <c r="AI68" t="s">
        <v>6607</v>
      </c>
      <c r="AK68" t="s">
        <v>6606</v>
      </c>
      <c r="AL68">
        <v>0</v>
      </c>
      <c r="AM68" s="5">
        <f t="shared" si="10"/>
        <v>0</v>
      </c>
      <c r="AN68" s="4">
        <f t="shared" si="15"/>
        <v>0</v>
      </c>
      <c r="AO68" s="3"/>
      <c r="AP68">
        <v>0</v>
      </c>
      <c r="AR68" t="s">
        <v>0</v>
      </c>
      <c r="AT68" s="2" t="s">
        <v>19</v>
      </c>
      <c r="AU68" s="1" t="e">
        <f t="shared" si="11"/>
        <v>#VALUE!</v>
      </c>
      <c r="AV68" s="1" t="e">
        <f t="shared" si="12"/>
        <v>#VALUE!</v>
      </c>
      <c r="AW68" s="1" t="e">
        <f t="shared" si="13"/>
        <v>#VALUE!</v>
      </c>
    </row>
    <row r="69" spans="1:49" x14ac:dyDescent="0.2">
      <c r="A69">
        <v>67</v>
      </c>
      <c r="B69" t="s">
        <v>6605</v>
      </c>
      <c r="F69" t="s">
        <v>6604</v>
      </c>
      <c r="G69" t="s">
        <v>15</v>
      </c>
      <c r="H69" t="s">
        <v>14</v>
      </c>
      <c r="I69" t="s">
        <v>6603</v>
      </c>
      <c r="N69">
        <v>1</v>
      </c>
      <c r="O69" t="s">
        <v>6602</v>
      </c>
      <c r="P69">
        <v>36795707300</v>
      </c>
      <c r="R69" s="7">
        <v>31138</v>
      </c>
      <c r="S69" s="8">
        <f t="shared" si="8"/>
        <v>1985</v>
      </c>
      <c r="T69" s="8">
        <v>1985</v>
      </c>
      <c r="U69" s="8">
        <f t="shared" si="9"/>
        <v>37</v>
      </c>
      <c r="V69" s="7">
        <v>31138</v>
      </c>
      <c r="W69" t="s">
        <v>6601</v>
      </c>
      <c r="X69" s="2" t="s">
        <v>19</v>
      </c>
      <c r="Y69" s="6" t="e">
        <f t="shared" si="14"/>
        <v>#VALUE!</v>
      </c>
      <c r="AA69">
        <v>1477439</v>
      </c>
      <c r="AB69">
        <v>53559</v>
      </c>
      <c r="AD69" t="s">
        <v>4</v>
      </c>
      <c r="AH69" t="s">
        <v>6600</v>
      </c>
      <c r="AI69" t="s">
        <v>6599</v>
      </c>
      <c r="AK69" t="s">
        <v>6598</v>
      </c>
      <c r="AL69">
        <v>0</v>
      </c>
      <c r="AM69" s="5">
        <f t="shared" si="10"/>
        <v>0</v>
      </c>
      <c r="AN69" s="4">
        <f t="shared" si="15"/>
        <v>0</v>
      </c>
      <c r="AO69" s="3"/>
      <c r="AP69">
        <v>0</v>
      </c>
      <c r="AR69" t="s">
        <v>0</v>
      </c>
      <c r="AT69" s="2" t="s">
        <v>19</v>
      </c>
      <c r="AU69" s="1" t="e">
        <f t="shared" si="11"/>
        <v>#VALUE!</v>
      </c>
      <c r="AV69" s="1" t="e">
        <f t="shared" si="12"/>
        <v>#VALUE!</v>
      </c>
      <c r="AW69" s="1" t="e">
        <f t="shared" si="13"/>
        <v>#VALUE!</v>
      </c>
    </row>
    <row r="70" spans="1:49" x14ac:dyDescent="0.2">
      <c r="A70">
        <v>68</v>
      </c>
      <c r="B70" t="s">
        <v>6597</v>
      </c>
      <c r="F70" t="s">
        <v>6596</v>
      </c>
      <c r="G70" t="s">
        <v>15</v>
      </c>
      <c r="H70" t="s">
        <v>14</v>
      </c>
      <c r="I70" t="s">
        <v>6595</v>
      </c>
      <c r="J70">
        <v>60022109</v>
      </c>
      <c r="K70" t="s">
        <v>3530</v>
      </c>
      <c r="L70" t="s">
        <v>1090</v>
      </c>
      <c r="M70" t="s">
        <v>530</v>
      </c>
      <c r="N70">
        <v>2</v>
      </c>
      <c r="O70" t="s">
        <v>6594</v>
      </c>
      <c r="P70" t="s">
        <v>6593</v>
      </c>
      <c r="Q70" t="s">
        <v>6592</v>
      </c>
      <c r="R70" s="7">
        <v>31138</v>
      </c>
      <c r="S70" s="8">
        <f t="shared" ref="S70:S133" si="16">YEAR(R70)</f>
        <v>1985</v>
      </c>
      <c r="T70" s="8">
        <v>1985</v>
      </c>
      <c r="U70" s="8">
        <f t="shared" ref="U70:U133" si="17">2022-T70</f>
        <v>37</v>
      </c>
      <c r="V70" s="7">
        <v>31138</v>
      </c>
      <c r="W70" s="11" t="s">
        <v>1366</v>
      </c>
      <c r="X70" s="2">
        <v>2.383</v>
      </c>
      <c r="Y70" s="6">
        <f t="shared" si="14"/>
        <v>6.3612824003630442E-2</v>
      </c>
      <c r="AA70">
        <v>1437097</v>
      </c>
      <c r="AB70">
        <v>101236</v>
      </c>
      <c r="AD70" t="s">
        <v>4</v>
      </c>
      <c r="AE70">
        <v>132</v>
      </c>
      <c r="AF70">
        <v>2</v>
      </c>
      <c r="AH70" t="s">
        <v>6591</v>
      </c>
      <c r="AI70" t="s">
        <v>6590</v>
      </c>
      <c r="AK70" t="s">
        <v>6589</v>
      </c>
      <c r="AL70">
        <v>1</v>
      </c>
      <c r="AM70" s="5">
        <f t="shared" ref="AM70:AM133" si="18">AL70/U70</f>
        <v>2.7027027027027029E-2</v>
      </c>
      <c r="AN70" s="4">
        <f t="shared" si="15"/>
        <v>4.0934535444190883E-5</v>
      </c>
      <c r="AO70" s="3"/>
      <c r="AP70">
        <v>0</v>
      </c>
      <c r="AR70" t="s">
        <v>0</v>
      </c>
      <c r="AT70" s="2" t="s">
        <v>19</v>
      </c>
      <c r="AU70" s="1">
        <f t="shared" ref="AU70:AU133" si="19">(Y70*0.7+AN70*0.3)*100</f>
        <v>4.4541257163174564</v>
      </c>
      <c r="AV70" s="1">
        <f t="shared" ref="AV70:AV133" si="20">(Y70*0.5+AN70*0.5)*100</f>
        <v>3.182687926953732</v>
      </c>
      <c r="AW70" s="1">
        <f t="shared" ref="AW70:AW133" si="21">(Y70*0.3+AN70*0.7)*100</f>
        <v>1.9112501375900064</v>
      </c>
    </row>
    <row r="71" spans="1:49" x14ac:dyDescent="0.2">
      <c r="A71">
        <v>69</v>
      </c>
      <c r="B71" t="s">
        <v>6588</v>
      </c>
      <c r="F71" t="s">
        <v>6587</v>
      </c>
      <c r="G71" t="s">
        <v>15</v>
      </c>
      <c r="H71" t="s">
        <v>14</v>
      </c>
      <c r="I71" t="s">
        <v>6586</v>
      </c>
      <c r="J71">
        <v>100362245</v>
      </c>
      <c r="K71" t="s">
        <v>6585</v>
      </c>
      <c r="L71" t="s">
        <v>1006</v>
      </c>
      <c r="M71" t="s">
        <v>122</v>
      </c>
      <c r="N71">
        <v>1</v>
      </c>
      <c r="O71" t="s">
        <v>6584</v>
      </c>
      <c r="P71">
        <v>57198615877</v>
      </c>
      <c r="Q71">
        <v>100362245</v>
      </c>
      <c r="R71" s="7">
        <v>31138</v>
      </c>
      <c r="S71" s="8">
        <f t="shared" si="16"/>
        <v>1985</v>
      </c>
      <c r="T71" s="8">
        <v>1985</v>
      </c>
      <c r="U71" s="8">
        <f t="shared" si="17"/>
        <v>37</v>
      </c>
      <c r="V71" s="7">
        <v>31138</v>
      </c>
      <c r="W71" t="s">
        <v>6583</v>
      </c>
      <c r="X71" s="2" t="s">
        <v>19</v>
      </c>
      <c r="Y71" s="6" t="e">
        <f t="shared" si="14"/>
        <v>#VALUE!</v>
      </c>
      <c r="AA71">
        <v>1954091</v>
      </c>
      <c r="AB71">
        <v>31441</v>
      </c>
      <c r="AD71" t="s">
        <v>4</v>
      </c>
      <c r="AE71">
        <v>5</v>
      </c>
      <c r="AF71">
        <v>4</v>
      </c>
      <c r="AH71" t="s">
        <v>6437</v>
      </c>
      <c r="AI71" t="s">
        <v>6582</v>
      </c>
      <c r="AK71" t="s">
        <v>6581</v>
      </c>
      <c r="AL71">
        <v>0</v>
      </c>
      <c r="AM71" s="5">
        <f t="shared" si="18"/>
        <v>0</v>
      </c>
      <c r="AN71" s="4">
        <f t="shared" si="15"/>
        <v>0</v>
      </c>
      <c r="AO71" s="3"/>
      <c r="AP71">
        <v>0</v>
      </c>
      <c r="AR71" t="s">
        <v>0</v>
      </c>
      <c r="AT71" s="2" t="s">
        <v>19</v>
      </c>
      <c r="AU71" s="1" t="e">
        <f t="shared" si="19"/>
        <v>#VALUE!</v>
      </c>
      <c r="AV71" s="1" t="e">
        <f t="shared" si="20"/>
        <v>#VALUE!</v>
      </c>
      <c r="AW71" s="1" t="e">
        <f t="shared" si="21"/>
        <v>#VALUE!</v>
      </c>
    </row>
    <row r="72" spans="1:49" x14ac:dyDescent="0.2">
      <c r="A72">
        <v>70</v>
      </c>
      <c r="B72" t="s">
        <v>6580</v>
      </c>
      <c r="C72" t="s">
        <v>6579</v>
      </c>
      <c r="F72" t="s">
        <v>6578</v>
      </c>
      <c r="G72" t="s">
        <v>15</v>
      </c>
      <c r="H72" t="s">
        <v>14</v>
      </c>
      <c r="I72" t="s">
        <v>6577</v>
      </c>
      <c r="N72">
        <v>10</v>
      </c>
      <c r="O72" t="s">
        <v>6576</v>
      </c>
      <c r="P72" t="s">
        <v>6575</v>
      </c>
      <c r="Q72" t="s">
        <v>6574</v>
      </c>
      <c r="R72" s="7">
        <v>31138</v>
      </c>
      <c r="S72" s="8">
        <f t="shared" si="16"/>
        <v>1985</v>
      </c>
      <c r="T72" s="8">
        <v>1985</v>
      </c>
      <c r="U72" s="8">
        <f t="shared" si="17"/>
        <v>37</v>
      </c>
      <c r="V72" s="7">
        <v>31138</v>
      </c>
      <c r="W72" t="s">
        <v>6239</v>
      </c>
      <c r="X72" s="2">
        <v>0.318</v>
      </c>
      <c r="Y72" s="6">
        <f t="shared" si="14"/>
        <v>8.4888283815167786E-3</v>
      </c>
      <c r="AA72">
        <v>338443</v>
      </c>
      <c r="AB72">
        <v>27160</v>
      </c>
      <c r="AC72">
        <v>15739120</v>
      </c>
      <c r="AD72" t="s">
        <v>4</v>
      </c>
      <c r="AE72">
        <v>28</v>
      </c>
      <c r="AF72">
        <v>4</v>
      </c>
      <c r="AH72" t="s">
        <v>5474</v>
      </c>
      <c r="AL72">
        <v>33</v>
      </c>
      <c r="AM72" s="5">
        <f t="shared" si="18"/>
        <v>0.89189189189189189</v>
      </c>
      <c r="AN72" s="4">
        <f t="shared" si="15"/>
        <v>1.350839669658299E-3</v>
      </c>
      <c r="AO72" s="3"/>
      <c r="AP72">
        <v>0</v>
      </c>
      <c r="AR72" t="s">
        <v>0</v>
      </c>
      <c r="AT72" s="2">
        <v>0.77</v>
      </c>
      <c r="AU72" s="1">
        <f t="shared" si="19"/>
        <v>0.63474317679592351</v>
      </c>
      <c r="AV72" s="1">
        <f t="shared" si="20"/>
        <v>0.49198340255875389</v>
      </c>
      <c r="AW72" s="1">
        <f t="shared" si="21"/>
        <v>0.34922362832158427</v>
      </c>
    </row>
    <row r="73" spans="1:49" x14ac:dyDescent="0.2">
      <c r="A73">
        <v>71</v>
      </c>
      <c r="B73" t="s">
        <v>6573</v>
      </c>
      <c r="F73" t="s">
        <v>6572</v>
      </c>
      <c r="G73" t="s">
        <v>15</v>
      </c>
      <c r="H73" t="s">
        <v>14</v>
      </c>
      <c r="I73" t="s">
        <v>6571</v>
      </c>
      <c r="J73">
        <v>100425754</v>
      </c>
      <c r="K73" t="s">
        <v>6570</v>
      </c>
      <c r="L73" t="s">
        <v>6569</v>
      </c>
      <c r="M73" t="s">
        <v>122</v>
      </c>
      <c r="N73">
        <v>2</v>
      </c>
      <c r="O73" t="s">
        <v>6568</v>
      </c>
      <c r="P73" t="s">
        <v>6567</v>
      </c>
      <c r="Q73" t="s">
        <v>6566</v>
      </c>
      <c r="R73" s="7">
        <v>31138</v>
      </c>
      <c r="S73" s="8">
        <f t="shared" si="16"/>
        <v>1985</v>
      </c>
      <c r="T73" s="8">
        <v>1985</v>
      </c>
      <c r="U73" s="8">
        <f t="shared" si="17"/>
        <v>37</v>
      </c>
      <c r="V73" s="7">
        <v>31138</v>
      </c>
      <c r="W73" t="s">
        <v>6551</v>
      </c>
      <c r="X73" s="2" t="s">
        <v>19</v>
      </c>
      <c r="Y73" s="6" t="e">
        <f t="shared" si="14"/>
        <v>#VALUE!</v>
      </c>
      <c r="AA73">
        <v>262897</v>
      </c>
      <c r="AB73">
        <v>18580</v>
      </c>
      <c r="AD73" t="s">
        <v>4</v>
      </c>
      <c r="AE73">
        <v>28</v>
      </c>
      <c r="AF73">
        <v>4</v>
      </c>
      <c r="AI73" t="s">
        <v>6565</v>
      </c>
      <c r="AK73" t="s">
        <v>6564</v>
      </c>
      <c r="AL73">
        <v>0</v>
      </c>
      <c r="AM73" s="5">
        <f t="shared" si="18"/>
        <v>0</v>
      </c>
      <c r="AN73" s="4">
        <f t="shared" si="15"/>
        <v>0</v>
      </c>
      <c r="AO73" s="3"/>
      <c r="AP73">
        <v>0</v>
      </c>
      <c r="AR73" t="s">
        <v>0</v>
      </c>
      <c r="AT73" s="2">
        <v>0.30599999999999999</v>
      </c>
      <c r="AU73" s="1" t="e">
        <f t="shared" si="19"/>
        <v>#VALUE!</v>
      </c>
      <c r="AV73" s="1" t="e">
        <f t="shared" si="20"/>
        <v>#VALUE!</v>
      </c>
      <c r="AW73" s="1" t="e">
        <f t="shared" si="21"/>
        <v>#VALUE!</v>
      </c>
    </row>
    <row r="74" spans="1:49" x14ac:dyDescent="0.2">
      <c r="A74">
        <v>72</v>
      </c>
      <c r="B74" t="s">
        <v>6563</v>
      </c>
      <c r="C74" t="s">
        <v>6562</v>
      </c>
      <c r="F74" t="s">
        <v>6561</v>
      </c>
      <c r="G74" t="s">
        <v>15</v>
      </c>
      <c r="H74" t="s">
        <v>14</v>
      </c>
      <c r="I74" t="s">
        <v>6560</v>
      </c>
      <c r="N74">
        <v>1</v>
      </c>
      <c r="O74" t="s">
        <v>6559</v>
      </c>
      <c r="P74">
        <v>7006140438</v>
      </c>
      <c r="R74" s="7">
        <v>31138</v>
      </c>
      <c r="S74" s="8">
        <f t="shared" si="16"/>
        <v>1985</v>
      </c>
      <c r="T74" s="8">
        <v>1985</v>
      </c>
      <c r="U74" s="8">
        <f t="shared" si="17"/>
        <v>37</v>
      </c>
      <c r="V74" s="7">
        <v>31138</v>
      </c>
      <c r="W74" t="s">
        <v>6239</v>
      </c>
      <c r="X74" s="2">
        <v>0.318</v>
      </c>
      <c r="Y74" s="6">
        <f t="shared" si="14"/>
        <v>8.4888283815167786E-3</v>
      </c>
      <c r="AA74">
        <v>338443</v>
      </c>
      <c r="AB74">
        <v>27160</v>
      </c>
      <c r="AC74">
        <v>15739120</v>
      </c>
      <c r="AD74" t="s">
        <v>4</v>
      </c>
      <c r="AE74">
        <v>28</v>
      </c>
      <c r="AF74">
        <v>4</v>
      </c>
      <c r="AH74" t="s">
        <v>6558</v>
      </c>
      <c r="AL74">
        <v>0</v>
      </c>
      <c r="AM74" s="5">
        <f t="shared" si="18"/>
        <v>0</v>
      </c>
      <c r="AN74" s="4">
        <f t="shared" si="15"/>
        <v>0</v>
      </c>
      <c r="AO74" s="3"/>
      <c r="AP74">
        <v>0</v>
      </c>
      <c r="AR74" t="s">
        <v>0</v>
      </c>
      <c r="AT74" s="2">
        <v>0.77</v>
      </c>
      <c r="AU74" s="1">
        <f t="shared" si="19"/>
        <v>0.59421798670617454</v>
      </c>
      <c r="AV74" s="1">
        <f t="shared" si="20"/>
        <v>0.42444141907583893</v>
      </c>
      <c r="AW74" s="1">
        <f t="shared" si="21"/>
        <v>0.25466485144550338</v>
      </c>
    </row>
    <row r="75" spans="1:49" x14ac:dyDescent="0.2">
      <c r="A75">
        <v>73</v>
      </c>
      <c r="B75" t="s">
        <v>6557</v>
      </c>
      <c r="F75" t="s">
        <v>6556</v>
      </c>
      <c r="G75" t="s">
        <v>15</v>
      </c>
      <c r="H75" t="s">
        <v>14</v>
      </c>
      <c r="I75" t="s">
        <v>6555</v>
      </c>
      <c r="J75">
        <v>100368890</v>
      </c>
      <c r="K75" t="s">
        <v>6554</v>
      </c>
      <c r="L75" t="s">
        <v>6553</v>
      </c>
      <c r="M75" t="s">
        <v>122</v>
      </c>
      <c r="N75">
        <v>1</v>
      </c>
      <c r="O75" t="s">
        <v>6552</v>
      </c>
      <c r="P75">
        <v>6603049625</v>
      </c>
      <c r="Q75">
        <v>100368890</v>
      </c>
      <c r="R75" s="7">
        <v>31138</v>
      </c>
      <c r="S75" s="8">
        <f t="shared" si="16"/>
        <v>1985</v>
      </c>
      <c r="T75" s="8">
        <v>1985</v>
      </c>
      <c r="U75" s="8">
        <f t="shared" si="17"/>
        <v>37</v>
      </c>
      <c r="V75" s="7">
        <v>31138</v>
      </c>
      <c r="W75" t="s">
        <v>6551</v>
      </c>
      <c r="X75" s="2" t="s">
        <v>19</v>
      </c>
      <c r="Y75" s="6" t="e">
        <f t="shared" si="14"/>
        <v>#VALUE!</v>
      </c>
      <c r="AA75">
        <v>262897</v>
      </c>
      <c r="AB75">
        <v>18580</v>
      </c>
      <c r="AD75" t="s">
        <v>4</v>
      </c>
      <c r="AE75">
        <v>28</v>
      </c>
      <c r="AF75">
        <v>4</v>
      </c>
      <c r="AH75" t="s">
        <v>6550</v>
      </c>
      <c r="AI75" t="s">
        <v>6549</v>
      </c>
      <c r="AK75" t="s">
        <v>6548</v>
      </c>
      <c r="AL75">
        <v>22</v>
      </c>
      <c r="AM75" s="5">
        <f t="shared" si="18"/>
        <v>0.59459459459459463</v>
      </c>
      <c r="AN75" s="4">
        <f t="shared" si="15"/>
        <v>9.0055977977219939E-4</v>
      </c>
      <c r="AO75" s="3"/>
      <c r="AP75">
        <v>0</v>
      </c>
      <c r="AR75" t="s">
        <v>0</v>
      </c>
      <c r="AT75" s="2">
        <v>0.30599999999999999</v>
      </c>
      <c r="AU75" s="1" t="e">
        <f t="shared" si="19"/>
        <v>#VALUE!</v>
      </c>
      <c r="AV75" s="1" t="e">
        <f t="shared" si="20"/>
        <v>#VALUE!</v>
      </c>
      <c r="AW75" s="1" t="e">
        <f t="shared" si="21"/>
        <v>#VALUE!</v>
      </c>
    </row>
    <row r="76" spans="1:49" x14ac:dyDescent="0.2">
      <c r="A76">
        <v>74</v>
      </c>
      <c r="B76" t="s">
        <v>6547</v>
      </c>
      <c r="C76" t="s">
        <v>6546</v>
      </c>
      <c r="F76" t="s">
        <v>6545</v>
      </c>
      <c r="G76" t="s">
        <v>15</v>
      </c>
      <c r="H76" t="s">
        <v>14</v>
      </c>
      <c r="I76" t="s">
        <v>6544</v>
      </c>
      <c r="J76">
        <v>60025641</v>
      </c>
      <c r="K76" t="s">
        <v>5281</v>
      </c>
      <c r="L76" t="s">
        <v>5280</v>
      </c>
      <c r="M76" t="s">
        <v>91</v>
      </c>
      <c r="N76">
        <v>3</v>
      </c>
      <c r="O76" t="s">
        <v>6543</v>
      </c>
      <c r="P76" t="s">
        <v>6542</v>
      </c>
      <c r="Q76" t="s">
        <v>5277</v>
      </c>
      <c r="R76" s="7">
        <v>31138</v>
      </c>
      <c r="S76" s="8">
        <f t="shared" si="16"/>
        <v>1985</v>
      </c>
      <c r="T76" s="8">
        <v>1985</v>
      </c>
      <c r="U76" s="8">
        <f t="shared" si="17"/>
        <v>37</v>
      </c>
      <c r="V76" s="7">
        <v>31138</v>
      </c>
      <c r="W76" t="s">
        <v>6541</v>
      </c>
      <c r="X76" s="2">
        <v>0.64800000000000002</v>
      </c>
      <c r="Y76" s="6">
        <f t="shared" si="14"/>
        <v>1.7297989909505887E-2</v>
      </c>
      <c r="AA76">
        <v>3028933</v>
      </c>
      <c r="AB76">
        <v>19623</v>
      </c>
      <c r="AC76" t="s">
        <v>6540</v>
      </c>
      <c r="AD76" t="s">
        <v>4</v>
      </c>
      <c r="AE76">
        <v>141</v>
      </c>
      <c r="AF76">
        <v>3</v>
      </c>
      <c r="AH76" t="s">
        <v>6539</v>
      </c>
      <c r="AI76" t="s">
        <v>6538</v>
      </c>
      <c r="AJ76" t="s">
        <v>6537</v>
      </c>
      <c r="AK76" t="s">
        <v>6536</v>
      </c>
      <c r="AL76">
        <v>4</v>
      </c>
      <c r="AM76" s="5">
        <f t="shared" si="18"/>
        <v>0.10810810810810811</v>
      </c>
      <c r="AN76" s="4">
        <f t="shared" si="15"/>
        <v>1.6373814177676353E-4</v>
      </c>
      <c r="AO76" s="3"/>
      <c r="AP76">
        <v>0</v>
      </c>
      <c r="AR76" t="s">
        <v>0</v>
      </c>
      <c r="AT76" s="2">
        <v>2.552</v>
      </c>
      <c r="AU76" s="1">
        <f t="shared" si="19"/>
        <v>1.2157714379187148</v>
      </c>
      <c r="AV76" s="1">
        <f t="shared" si="20"/>
        <v>0.8730864025641325</v>
      </c>
      <c r="AW76" s="1">
        <f t="shared" si="21"/>
        <v>0.53040136720955</v>
      </c>
    </row>
    <row r="77" spans="1:49" x14ac:dyDescent="0.2">
      <c r="A77">
        <v>75</v>
      </c>
      <c r="B77" t="s">
        <v>6535</v>
      </c>
      <c r="C77" t="s">
        <v>6534</v>
      </c>
      <c r="D77">
        <v>14579385811728</v>
      </c>
      <c r="E77">
        <v>3871709</v>
      </c>
      <c r="F77" t="s">
        <v>6533</v>
      </c>
      <c r="G77" t="s">
        <v>15</v>
      </c>
      <c r="H77" t="s">
        <v>14</v>
      </c>
      <c r="I77" t="s">
        <v>6532</v>
      </c>
      <c r="J77" t="s">
        <v>6531</v>
      </c>
      <c r="K77" t="s">
        <v>6530</v>
      </c>
      <c r="L77" t="s">
        <v>6529</v>
      </c>
      <c r="M77" t="s">
        <v>6528</v>
      </c>
      <c r="N77">
        <v>6</v>
      </c>
      <c r="O77" t="s">
        <v>6527</v>
      </c>
      <c r="P77" t="s">
        <v>6526</v>
      </c>
      <c r="Q77" t="s">
        <v>6525</v>
      </c>
      <c r="R77" s="7">
        <v>31117</v>
      </c>
      <c r="S77" s="8">
        <f t="shared" si="16"/>
        <v>1985</v>
      </c>
      <c r="T77" s="8">
        <v>1985</v>
      </c>
      <c r="U77" s="8">
        <f t="shared" si="17"/>
        <v>37</v>
      </c>
      <c r="V77" s="7">
        <v>31117</v>
      </c>
      <c r="W77" t="s">
        <v>160</v>
      </c>
      <c r="X77" s="2">
        <v>1.593</v>
      </c>
      <c r="Y77" s="6">
        <f t="shared" si="14"/>
        <v>4.2524225194201973E-2</v>
      </c>
      <c r="AA77">
        <v>145793</v>
      </c>
      <c r="AB77">
        <v>17481</v>
      </c>
      <c r="AD77" t="s">
        <v>4</v>
      </c>
      <c r="AE77">
        <v>182</v>
      </c>
      <c r="AF77">
        <v>1</v>
      </c>
      <c r="AH77" t="s">
        <v>6524</v>
      </c>
      <c r="AI77" t="s">
        <v>6523</v>
      </c>
      <c r="AK77" t="s">
        <v>6522</v>
      </c>
      <c r="AL77">
        <v>9</v>
      </c>
      <c r="AM77" s="5">
        <f t="shared" si="18"/>
        <v>0.24324324324324326</v>
      </c>
      <c r="AN77" s="4">
        <f t="shared" si="15"/>
        <v>3.684108189977179E-4</v>
      </c>
      <c r="AO77" s="3"/>
      <c r="AP77">
        <v>1</v>
      </c>
      <c r="AQ77" t="s">
        <v>238</v>
      </c>
      <c r="AR77" t="s">
        <v>6521</v>
      </c>
      <c r="AS77" t="s">
        <v>236</v>
      </c>
      <c r="AT77" s="2">
        <v>4.1239999999999997</v>
      </c>
      <c r="AU77" s="1">
        <f t="shared" si="19"/>
        <v>2.9877480881640697</v>
      </c>
      <c r="AV77" s="1">
        <f t="shared" si="20"/>
        <v>2.1446318006599845</v>
      </c>
      <c r="AW77" s="1">
        <f t="shared" si="21"/>
        <v>1.3015155131558993</v>
      </c>
    </row>
    <row r="78" spans="1:49" x14ac:dyDescent="0.2">
      <c r="A78">
        <v>76</v>
      </c>
      <c r="B78" t="s">
        <v>6520</v>
      </c>
      <c r="F78" t="s">
        <v>6519</v>
      </c>
      <c r="G78" t="s">
        <v>15</v>
      </c>
      <c r="H78" t="s">
        <v>14</v>
      </c>
      <c r="I78" t="s">
        <v>6518</v>
      </c>
      <c r="J78">
        <v>60022148</v>
      </c>
      <c r="K78" t="s">
        <v>1091</v>
      </c>
      <c r="L78" t="s">
        <v>1090</v>
      </c>
      <c r="M78" t="s">
        <v>530</v>
      </c>
      <c r="N78">
        <v>1</v>
      </c>
      <c r="O78" t="s">
        <v>6517</v>
      </c>
      <c r="P78">
        <v>7102518738</v>
      </c>
      <c r="Q78">
        <v>60022148</v>
      </c>
      <c r="R78" s="7">
        <v>31114</v>
      </c>
      <c r="S78" s="8">
        <f t="shared" si="16"/>
        <v>1985</v>
      </c>
      <c r="T78" s="8">
        <v>1985</v>
      </c>
      <c r="U78" s="8">
        <f t="shared" si="17"/>
        <v>37</v>
      </c>
      <c r="V78" s="7">
        <v>31114</v>
      </c>
      <c r="W78" t="s">
        <v>6516</v>
      </c>
      <c r="X78" s="2" t="s">
        <v>19</v>
      </c>
      <c r="Y78" s="6" t="e">
        <f t="shared" si="14"/>
        <v>#VALUE!</v>
      </c>
      <c r="AA78">
        <v>804630</v>
      </c>
      <c r="AB78">
        <v>21101038502</v>
      </c>
      <c r="AD78" t="s">
        <v>4</v>
      </c>
      <c r="AE78">
        <v>398</v>
      </c>
      <c r="AF78">
        <v>1814</v>
      </c>
      <c r="AH78" s="10">
        <v>44562</v>
      </c>
      <c r="AI78" t="s">
        <v>6515</v>
      </c>
      <c r="AK78" t="s">
        <v>6514</v>
      </c>
      <c r="AL78">
        <v>0</v>
      </c>
      <c r="AM78" s="5">
        <f t="shared" si="18"/>
        <v>0</v>
      </c>
      <c r="AN78" s="4">
        <f t="shared" si="15"/>
        <v>0</v>
      </c>
      <c r="AO78" s="3"/>
      <c r="AP78">
        <v>0</v>
      </c>
      <c r="AR78" t="s">
        <v>0</v>
      </c>
      <c r="AT78" s="2" t="s">
        <v>19</v>
      </c>
      <c r="AU78" s="1" t="e">
        <f t="shared" si="19"/>
        <v>#VALUE!</v>
      </c>
      <c r="AV78" s="1" t="e">
        <f t="shared" si="20"/>
        <v>#VALUE!</v>
      </c>
      <c r="AW78" s="1" t="e">
        <f t="shared" si="21"/>
        <v>#VALUE!</v>
      </c>
    </row>
    <row r="79" spans="1:49" x14ac:dyDescent="0.2">
      <c r="A79">
        <v>77</v>
      </c>
      <c r="B79" t="s">
        <v>6513</v>
      </c>
      <c r="C79" t="s">
        <v>6512</v>
      </c>
      <c r="F79" t="s">
        <v>6511</v>
      </c>
      <c r="G79" t="s">
        <v>15</v>
      </c>
      <c r="H79" t="s">
        <v>14</v>
      </c>
      <c r="I79" t="s">
        <v>6510</v>
      </c>
      <c r="J79">
        <v>60001247</v>
      </c>
      <c r="K79" t="s">
        <v>675</v>
      </c>
      <c r="M79" t="s">
        <v>122</v>
      </c>
      <c r="N79">
        <v>2</v>
      </c>
      <c r="O79" t="s">
        <v>6509</v>
      </c>
      <c r="P79" t="s">
        <v>6508</v>
      </c>
      <c r="Q79" t="s">
        <v>6507</v>
      </c>
      <c r="R79" s="7">
        <v>31107</v>
      </c>
      <c r="S79" s="8">
        <f t="shared" si="16"/>
        <v>1985</v>
      </c>
      <c r="T79" s="8">
        <v>1985</v>
      </c>
      <c r="U79" s="8">
        <f t="shared" si="17"/>
        <v>37</v>
      </c>
      <c r="V79" s="7">
        <v>31107</v>
      </c>
      <c r="W79" t="s">
        <v>6506</v>
      </c>
      <c r="X79" s="2">
        <v>0.39</v>
      </c>
      <c r="Y79" s="6">
        <f t="shared" si="14"/>
        <v>1.0410827260350766E-2</v>
      </c>
      <c r="AA79" t="s">
        <v>6505</v>
      </c>
      <c r="AB79">
        <v>18780</v>
      </c>
      <c r="AC79">
        <v>15315878</v>
      </c>
      <c r="AD79" t="s">
        <v>4</v>
      </c>
      <c r="AE79">
        <v>4</v>
      </c>
      <c r="AF79" s="9">
        <v>44228</v>
      </c>
      <c r="AH79" t="s">
        <v>6504</v>
      </c>
      <c r="AI79" t="s">
        <v>6503</v>
      </c>
      <c r="AK79" t="s">
        <v>6502</v>
      </c>
      <c r="AL79">
        <v>1</v>
      </c>
      <c r="AM79" s="5">
        <f t="shared" si="18"/>
        <v>2.7027027027027029E-2</v>
      </c>
      <c r="AN79" s="4">
        <f t="shared" si="15"/>
        <v>4.0934535444190883E-5</v>
      </c>
      <c r="AO79" s="3"/>
      <c r="AP79">
        <v>0</v>
      </c>
      <c r="AR79" t="s">
        <v>0</v>
      </c>
      <c r="AT79" s="2" t="s">
        <v>19</v>
      </c>
      <c r="AU79" s="1">
        <f t="shared" si="19"/>
        <v>0.72998594428787933</v>
      </c>
      <c r="AV79" s="1">
        <f t="shared" si="20"/>
        <v>0.5225880897897478</v>
      </c>
      <c r="AW79" s="1">
        <f t="shared" si="21"/>
        <v>0.31519023529161633</v>
      </c>
    </row>
    <row r="80" spans="1:49" x14ac:dyDescent="0.2">
      <c r="A80">
        <v>78</v>
      </c>
      <c r="B80" t="s">
        <v>6501</v>
      </c>
      <c r="F80" t="s">
        <v>6500</v>
      </c>
      <c r="G80" t="s">
        <v>15</v>
      </c>
      <c r="H80" t="s">
        <v>14</v>
      </c>
      <c r="I80" t="s">
        <v>6499</v>
      </c>
      <c r="J80">
        <v>60007716</v>
      </c>
      <c r="K80" t="s">
        <v>699</v>
      </c>
      <c r="L80" t="s">
        <v>698</v>
      </c>
      <c r="M80" t="s">
        <v>272</v>
      </c>
      <c r="N80">
        <v>4</v>
      </c>
      <c r="O80" t="s">
        <v>6498</v>
      </c>
      <c r="P80" t="s">
        <v>6497</v>
      </c>
      <c r="Q80" t="s">
        <v>6496</v>
      </c>
      <c r="R80" s="7">
        <v>31107</v>
      </c>
      <c r="S80" s="8">
        <f t="shared" si="16"/>
        <v>1985</v>
      </c>
      <c r="T80" s="8">
        <v>1985</v>
      </c>
      <c r="U80" s="8">
        <f t="shared" si="17"/>
        <v>37</v>
      </c>
      <c r="V80" s="7">
        <v>31107</v>
      </c>
      <c r="W80" t="s">
        <v>6495</v>
      </c>
      <c r="X80" s="2" t="s">
        <v>19</v>
      </c>
      <c r="Y80" s="6" t="e">
        <f t="shared" si="14"/>
        <v>#VALUE!</v>
      </c>
      <c r="AA80">
        <v>911062</v>
      </c>
      <c r="AB80">
        <v>17916</v>
      </c>
      <c r="AD80" t="s">
        <v>4</v>
      </c>
      <c r="AE80">
        <v>21</v>
      </c>
      <c r="AF80">
        <v>2</v>
      </c>
      <c r="AI80" t="s">
        <v>6494</v>
      </c>
      <c r="AK80" t="s">
        <v>6493</v>
      </c>
      <c r="AL80">
        <v>8</v>
      </c>
      <c r="AM80" s="5">
        <f t="shared" si="18"/>
        <v>0.21621621621621623</v>
      </c>
      <c r="AN80" s="4">
        <f t="shared" si="15"/>
        <v>3.2747628355352706E-4</v>
      </c>
      <c r="AO80" s="3"/>
      <c r="AP80">
        <v>0</v>
      </c>
      <c r="AR80" t="s">
        <v>0</v>
      </c>
      <c r="AT80" s="2">
        <v>0.182</v>
      </c>
      <c r="AU80" s="1" t="e">
        <f t="shared" si="19"/>
        <v>#VALUE!</v>
      </c>
      <c r="AV80" s="1" t="e">
        <f t="shared" si="20"/>
        <v>#VALUE!</v>
      </c>
      <c r="AW80" s="1" t="e">
        <f t="shared" si="21"/>
        <v>#VALUE!</v>
      </c>
    </row>
    <row r="81" spans="1:49" x14ac:dyDescent="0.2">
      <c r="A81">
        <v>79</v>
      </c>
      <c r="B81" t="s">
        <v>6492</v>
      </c>
      <c r="F81" t="s">
        <v>6491</v>
      </c>
      <c r="G81" t="s">
        <v>15</v>
      </c>
      <c r="H81" t="s">
        <v>14</v>
      </c>
      <c r="I81" t="s">
        <v>6490</v>
      </c>
      <c r="J81">
        <v>60074963</v>
      </c>
      <c r="K81" t="s">
        <v>6489</v>
      </c>
      <c r="L81" t="s">
        <v>556</v>
      </c>
      <c r="M81" t="s">
        <v>122</v>
      </c>
      <c r="N81">
        <v>1</v>
      </c>
      <c r="O81" t="s">
        <v>6488</v>
      </c>
      <c r="P81">
        <v>6603495932</v>
      </c>
      <c r="Q81">
        <v>60074963</v>
      </c>
      <c r="R81" s="7">
        <v>31107</v>
      </c>
      <c r="S81" s="8">
        <f t="shared" si="16"/>
        <v>1985</v>
      </c>
      <c r="T81" s="8">
        <v>1985</v>
      </c>
      <c r="U81" s="8">
        <f t="shared" si="17"/>
        <v>37</v>
      </c>
      <c r="V81" s="7">
        <v>31107</v>
      </c>
      <c r="W81" t="s">
        <v>6448</v>
      </c>
      <c r="X81" s="2">
        <v>0.10100000000000001</v>
      </c>
      <c r="Y81" s="6">
        <f t="shared" si="14"/>
        <v>2.6961373161421215E-3</v>
      </c>
      <c r="AA81">
        <v>7452883</v>
      </c>
      <c r="AB81">
        <v>18563</v>
      </c>
      <c r="AD81" t="s">
        <v>4</v>
      </c>
      <c r="AE81">
        <v>24</v>
      </c>
      <c r="AF81">
        <v>3</v>
      </c>
      <c r="AH81" t="s">
        <v>6487</v>
      </c>
      <c r="AI81" t="s">
        <v>6486</v>
      </c>
      <c r="AK81" t="s">
        <v>6485</v>
      </c>
      <c r="AL81">
        <v>0</v>
      </c>
      <c r="AM81" s="5">
        <f t="shared" si="18"/>
        <v>0</v>
      </c>
      <c r="AN81" s="4">
        <f t="shared" si="15"/>
        <v>0</v>
      </c>
      <c r="AO81" s="3"/>
      <c r="AP81">
        <v>0</v>
      </c>
      <c r="AR81" t="s">
        <v>0</v>
      </c>
      <c r="AT81" s="2" t="s">
        <v>19</v>
      </c>
      <c r="AU81" s="1">
        <f t="shared" si="19"/>
        <v>0.18872961212994849</v>
      </c>
      <c r="AV81" s="1">
        <f t="shared" si="20"/>
        <v>0.13480686580710607</v>
      </c>
      <c r="AW81" s="1">
        <f t="shared" si="21"/>
        <v>8.0884119484263647E-2</v>
      </c>
    </row>
    <row r="82" spans="1:49" x14ac:dyDescent="0.2">
      <c r="A82">
        <v>80</v>
      </c>
      <c r="B82" t="s">
        <v>6484</v>
      </c>
      <c r="C82" t="s">
        <v>6483</v>
      </c>
      <c r="F82" t="s">
        <v>6482</v>
      </c>
      <c r="G82" t="s">
        <v>15</v>
      </c>
      <c r="H82" t="s">
        <v>14</v>
      </c>
      <c r="I82" t="s">
        <v>6481</v>
      </c>
      <c r="N82">
        <v>3</v>
      </c>
      <c r="O82" t="s">
        <v>6480</v>
      </c>
      <c r="P82" t="s">
        <v>6479</v>
      </c>
      <c r="Q82" t="s">
        <v>377</v>
      </c>
      <c r="R82" s="7">
        <v>31107</v>
      </c>
      <c r="S82" s="8">
        <f t="shared" si="16"/>
        <v>1985</v>
      </c>
      <c r="T82" s="8">
        <v>1985</v>
      </c>
      <c r="U82" s="8">
        <f t="shared" si="17"/>
        <v>37</v>
      </c>
      <c r="V82" s="7">
        <v>31107</v>
      </c>
      <c r="W82" t="s">
        <v>6239</v>
      </c>
      <c r="X82" s="2">
        <v>0.318</v>
      </c>
      <c r="Y82" s="6">
        <f t="shared" si="14"/>
        <v>8.4888283815167786E-3</v>
      </c>
      <c r="AA82">
        <v>338443</v>
      </c>
      <c r="AB82">
        <v>27160</v>
      </c>
      <c r="AC82">
        <v>15739120</v>
      </c>
      <c r="AD82" t="s">
        <v>4</v>
      </c>
      <c r="AE82">
        <v>28</v>
      </c>
      <c r="AF82">
        <v>3</v>
      </c>
      <c r="AH82" t="s">
        <v>6478</v>
      </c>
      <c r="AL82">
        <v>0</v>
      </c>
      <c r="AM82" s="5">
        <f t="shared" si="18"/>
        <v>0</v>
      </c>
      <c r="AN82" s="4">
        <f t="shared" si="15"/>
        <v>0</v>
      </c>
      <c r="AO82" s="3"/>
      <c r="AP82">
        <v>0</v>
      </c>
      <c r="AR82" t="s">
        <v>0</v>
      </c>
      <c r="AT82" s="2">
        <v>0.77</v>
      </c>
      <c r="AU82" s="1">
        <f t="shared" si="19"/>
        <v>0.59421798670617454</v>
      </c>
      <c r="AV82" s="1">
        <f t="shared" si="20"/>
        <v>0.42444141907583893</v>
      </c>
      <c r="AW82" s="1">
        <f t="shared" si="21"/>
        <v>0.25466485144550338</v>
      </c>
    </row>
    <row r="83" spans="1:49" x14ac:dyDescent="0.2">
      <c r="A83">
        <v>81</v>
      </c>
      <c r="B83" t="s">
        <v>6477</v>
      </c>
      <c r="F83" t="s">
        <v>6476</v>
      </c>
      <c r="G83" t="s">
        <v>15</v>
      </c>
      <c r="H83" t="s">
        <v>14</v>
      </c>
      <c r="I83" t="s">
        <v>6475</v>
      </c>
      <c r="J83">
        <v>60000745</v>
      </c>
      <c r="K83" t="s">
        <v>2144</v>
      </c>
      <c r="L83" t="s">
        <v>2143</v>
      </c>
      <c r="M83" t="s">
        <v>122</v>
      </c>
      <c r="N83">
        <v>3</v>
      </c>
      <c r="O83" t="s">
        <v>6474</v>
      </c>
      <c r="P83" t="s">
        <v>6473</v>
      </c>
      <c r="Q83" t="s">
        <v>6472</v>
      </c>
      <c r="R83" s="7">
        <v>31107</v>
      </c>
      <c r="S83" s="8">
        <f t="shared" si="16"/>
        <v>1985</v>
      </c>
      <c r="T83" s="8">
        <v>1985</v>
      </c>
      <c r="U83" s="8">
        <f t="shared" si="17"/>
        <v>37</v>
      </c>
      <c r="V83" s="7">
        <v>31107</v>
      </c>
      <c r="W83" t="s">
        <v>6471</v>
      </c>
      <c r="X83" s="2">
        <v>0.54700000000000004</v>
      </c>
      <c r="Y83" s="6">
        <f t="shared" si="14"/>
        <v>1.4601852593363766E-2</v>
      </c>
      <c r="AA83">
        <v>11096</v>
      </c>
      <c r="AB83">
        <v>31211</v>
      </c>
      <c r="AD83" t="s">
        <v>4</v>
      </c>
      <c r="AE83">
        <v>39</v>
      </c>
      <c r="AF83">
        <v>2</v>
      </c>
      <c r="AH83" t="s">
        <v>6470</v>
      </c>
      <c r="AI83" t="s">
        <v>6469</v>
      </c>
      <c r="AK83" t="s">
        <v>6468</v>
      </c>
      <c r="AL83">
        <v>1</v>
      </c>
      <c r="AM83" s="5">
        <f t="shared" si="18"/>
        <v>2.7027027027027029E-2</v>
      </c>
      <c r="AN83" s="4">
        <f t="shared" si="15"/>
        <v>4.0934535444190883E-5</v>
      </c>
      <c r="AO83" s="3"/>
      <c r="AP83">
        <v>0</v>
      </c>
      <c r="AR83" t="s">
        <v>0</v>
      </c>
      <c r="AT83" s="2" t="s">
        <v>19</v>
      </c>
      <c r="AU83" s="1">
        <f t="shared" si="19"/>
        <v>1.0233577175987894</v>
      </c>
      <c r="AV83" s="1">
        <f t="shared" si="20"/>
        <v>0.73213935644039785</v>
      </c>
      <c r="AW83" s="1">
        <f t="shared" si="21"/>
        <v>0.44092099528200634</v>
      </c>
    </row>
    <row r="84" spans="1:49" x14ac:dyDescent="0.2">
      <c r="A84">
        <v>82</v>
      </c>
      <c r="B84" t="s">
        <v>6467</v>
      </c>
      <c r="F84" t="s">
        <v>6466</v>
      </c>
      <c r="G84" t="s">
        <v>15</v>
      </c>
      <c r="H84" t="s">
        <v>14</v>
      </c>
      <c r="I84" t="s">
        <v>6465</v>
      </c>
      <c r="N84">
        <v>3</v>
      </c>
      <c r="O84" t="s">
        <v>6464</v>
      </c>
      <c r="P84" t="s">
        <v>6463</v>
      </c>
      <c r="Q84" t="s">
        <v>377</v>
      </c>
      <c r="R84" s="7">
        <v>31107</v>
      </c>
      <c r="S84" s="8">
        <f t="shared" si="16"/>
        <v>1985</v>
      </c>
      <c r="T84" s="8">
        <v>1985</v>
      </c>
      <c r="U84" s="8">
        <f t="shared" si="17"/>
        <v>37</v>
      </c>
      <c r="V84" s="7">
        <v>31107</v>
      </c>
      <c r="W84" t="s">
        <v>6439</v>
      </c>
      <c r="X84" s="2">
        <v>0.14099999999999999</v>
      </c>
      <c r="Y84" s="6">
        <f t="shared" si="14"/>
        <v>3.7639144710498915E-3</v>
      </c>
      <c r="AA84">
        <v>402508</v>
      </c>
      <c r="AB84">
        <v>20868</v>
      </c>
      <c r="AD84" t="s">
        <v>4</v>
      </c>
      <c r="AE84" t="s">
        <v>6438</v>
      </c>
      <c r="AF84">
        <v>3</v>
      </c>
      <c r="AH84" t="s">
        <v>6127</v>
      </c>
      <c r="AI84" t="s">
        <v>6462</v>
      </c>
      <c r="AK84" t="s">
        <v>6461</v>
      </c>
      <c r="AL84">
        <v>0</v>
      </c>
      <c r="AM84" s="5">
        <f t="shared" si="18"/>
        <v>0</v>
      </c>
      <c r="AN84" s="4">
        <f t="shared" si="15"/>
        <v>0</v>
      </c>
      <c r="AO84" s="3"/>
      <c r="AP84">
        <v>0</v>
      </c>
      <c r="AR84" t="s">
        <v>0</v>
      </c>
      <c r="AT84" s="2" t="s">
        <v>19</v>
      </c>
      <c r="AU84" s="1">
        <f t="shared" si="19"/>
        <v>0.26347401297349238</v>
      </c>
      <c r="AV84" s="1">
        <f t="shared" si="20"/>
        <v>0.18819572355249459</v>
      </c>
      <c r="AW84" s="1">
        <f t="shared" si="21"/>
        <v>0.11291743413149673</v>
      </c>
    </row>
    <row r="85" spans="1:49" x14ac:dyDescent="0.2">
      <c r="A85">
        <v>83</v>
      </c>
      <c r="B85" t="s">
        <v>6460</v>
      </c>
      <c r="F85" t="s">
        <v>6459</v>
      </c>
      <c r="G85" t="s">
        <v>15</v>
      </c>
      <c r="H85" t="s">
        <v>14</v>
      </c>
      <c r="I85" t="s">
        <v>6458</v>
      </c>
      <c r="N85">
        <v>1</v>
      </c>
      <c r="O85" t="s">
        <v>6457</v>
      </c>
      <c r="P85">
        <v>7004468366</v>
      </c>
      <c r="R85" s="7">
        <v>31107</v>
      </c>
      <c r="S85" s="8">
        <f t="shared" si="16"/>
        <v>1985</v>
      </c>
      <c r="T85" s="8">
        <v>1985</v>
      </c>
      <c r="U85" s="8">
        <f t="shared" si="17"/>
        <v>37</v>
      </c>
      <c r="V85" s="7">
        <v>31107</v>
      </c>
      <c r="W85" t="s">
        <v>6439</v>
      </c>
      <c r="X85" s="2">
        <v>0.14099999999999999</v>
      </c>
      <c r="Y85" s="6">
        <f t="shared" si="14"/>
        <v>3.7639144710498915E-3</v>
      </c>
      <c r="AA85">
        <v>402508</v>
      </c>
      <c r="AB85">
        <v>20868</v>
      </c>
      <c r="AD85" t="s">
        <v>4</v>
      </c>
      <c r="AE85" t="s">
        <v>6438</v>
      </c>
      <c r="AF85">
        <v>3</v>
      </c>
      <c r="AH85" t="s">
        <v>6456</v>
      </c>
      <c r="AI85" t="s">
        <v>6455</v>
      </c>
      <c r="AK85" t="s">
        <v>6454</v>
      </c>
      <c r="AL85">
        <v>0</v>
      </c>
      <c r="AM85" s="5">
        <f t="shared" si="18"/>
        <v>0</v>
      </c>
      <c r="AN85" s="4">
        <f t="shared" si="15"/>
        <v>0</v>
      </c>
      <c r="AO85" s="3"/>
      <c r="AP85">
        <v>0</v>
      </c>
      <c r="AR85" t="s">
        <v>0</v>
      </c>
      <c r="AT85" s="2" t="s">
        <v>19</v>
      </c>
      <c r="AU85" s="1">
        <f t="shared" si="19"/>
        <v>0.26347401297349238</v>
      </c>
      <c r="AV85" s="1">
        <f t="shared" si="20"/>
        <v>0.18819572355249459</v>
      </c>
      <c r="AW85" s="1">
        <f t="shared" si="21"/>
        <v>0.11291743413149673</v>
      </c>
    </row>
    <row r="86" spans="1:49" x14ac:dyDescent="0.2">
      <c r="A86">
        <v>84</v>
      </c>
      <c r="B86" t="s">
        <v>6453</v>
      </c>
      <c r="F86" t="s">
        <v>6452</v>
      </c>
      <c r="G86" t="s">
        <v>15</v>
      </c>
      <c r="H86" t="s">
        <v>14</v>
      </c>
      <c r="I86" t="s">
        <v>6451</v>
      </c>
      <c r="J86">
        <v>100357521</v>
      </c>
      <c r="K86" t="s">
        <v>6450</v>
      </c>
      <c r="L86" t="s">
        <v>3045</v>
      </c>
      <c r="M86" t="s">
        <v>122</v>
      </c>
      <c r="N86">
        <v>1</v>
      </c>
      <c r="O86" t="s">
        <v>6449</v>
      </c>
      <c r="P86">
        <v>35897983100</v>
      </c>
      <c r="Q86">
        <v>100357521</v>
      </c>
      <c r="R86" s="7">
        <v>31107</v>
      </c>
      <c r="S86" s="8">
        <f t="shared" si="16"/>
        <v>1985</v>
      </c>
      <c r="T86" s="8">
        <v>1985</v>
      </c>
      <c r="U86" s="8">
        <f t="shared" si="17"/>
        <v>37</v>
      </c>
      <c r="V86" s="7">
        <v>31107</v>
      </c>
      <c r="W86" t="s">
        <v>6448</v>
      </c>
      <c r="X86" s="2">
        <v>0.10100000000000001</v>
      </c>
      <c r="Y86" s="6">
        <f t="shared" si="14"/>
        <v>2.6961373161421215E-3</v>
      </c>
      <c r="AA86">
        <v>7452883</v>
      </c>
      <c r="AB86">
        <v>18563</v>
      </c>
      <c r="AD86" t="s">
        <v>4</v>
      </c>
      <c r="AE86">
        <v>24</v>
      </c>
      <c r="AF86">
        <v>3</v>
      </c>
      <c r="AH86" t="s">
        <v>6447</v>
      </c>
      <c r="AI86" t="s">
        <v>6446</v>
      </c>
      <c r="AK86" t="s">
        <v>6445</v>
      </c>
      <c r="AL86">
        <v>0</v>
      </c>
      <c r="AM86" s="5">
        <f t="shared" si="18"/>
        <v>0</v>
      </c>
      <c r="AN86" s="4">
        <f t="shared" si="15"/>
        <v>0</v>
      </c>
      <c r="AO86" s="3"/>
      <c r="AP86">
        <v>0</v>
      </c>
      <c r="AR86" t="s">
        <v>0</v>
      </c>
      <c r="AT86" s="2" t="s">
        <v>19</v>
      </c>
      <c r="AU86" s="1">
        <f t="shared" si="19"/>
        <v>0.18872961212994849</v>
      </c>
      <c r="AV86" s="1">
        <f t="shared" si="20"/>
        <v>0.13480686580710607</v>
      </c>
      <c r="AW86" s="1">
        <f t="shared" si="21"/>
        <v>8.0884119484263647E-2</v>
      </c>
    </row>
    <row r="87" spans="1:49" x14ac:dyDescent="0.2">
      <c r="A87">
        <v>85</v>
      </c>
      <c r="B87" t="s">
        <v>6444</v>
      </c>
      <c r="F87" t="s">
        <v>6443</v>
      </c>
      <c r="G87" t="s">
        <v>15</v>
      </c>
      <c r="H87" t="s">
        <v>14</v>
      </c>
      <c r="I87" t="s">
        <v>6442</v>
      </c>
      <c r="N87">
        <v>2</v>
      </c>
      <c r="O87" t="s">
        <v>6441</v>
      </c>
      <c r="P87" t="s">
        <v>6440</v>
      </c>
      <c r="Q87" t="s">
        <v>895</v>
      </c>
      <c r="R87" s="7">
        <v>31107</v>
      </c>
      <c r="S87" s="8">
        <f t="shared" si="16"/>
        <v>1985</v>
      </c>
      <c r="T87" s="8">
        <v>1985</v>
      </c>
      <c r="U87" s="8">
        <f t="shared" si="17"/>
        <v>37</v>
      </c>
      <c r="V87" s="7">
        <v>31107</v>
      </c>
      <c r="W87" t="s">
        <v>6439</v>
      </c>
      <c r="X87" s="2">
        <v>0.14099999999999999</v>
      </c>
      <c r="Y87" s="6">
        <f t="shared" si="14"/>
        <v>3.7639144710498915E-3</v>
      </c>
      <c r="AA87">
        <v>402508</v>
      </c>
      <c r="AB87">
        <v>20868</v>
      </c>
      <c r="AD87" t="s">
        <v>4</v>
      </c>
      <c r="AE87" t="s">
        <v>6438</v>
      </c>
      <c r="AF87">
        <v>3</v>
      </c>
      <c r="AH87" t="s">
        <v>6437</v>
      </c>
      <c r="AI87" t="s">
        <v>6436</v>
      </c>
      <c r="AK87" t="s">
        <v>6435</v>
      </c>
      <c r="AL87">
        <v>0</v>
      </c>
      <c r="AM87" s="5">
        <f t="shared" si="18"/>
        <v>0</v>
      </c>
      <c r="AN87" s="4">
        <f t="shared" si="15"/>
        <v>0</v>
      </c>
      <c r="AO87" s="3"/>
      <c r="AP87">
        <v>0</v>
      </c>
      <c r="AR87" t="s">
        <v>0</v>
      </c>
      <c r="AT87" s="2" t="s">
        <v>19</v>
      </c>
      <c r="AU87" s="1">
        <f t="shared" si="19"/>
        <v>0.26347401297349238</v>
      </c>
      <c r="AV87" s="1">
        <f t="shared" si="20"/>
        <v>0.18819572355249459</v>
      </c>
      <c r="AW87" s="1">
        <f t="shared" si="21"/>
        <v>0.11291743413149673</v>
      </c>
    </row>
    <row r="88" spans="1:49" x14ac:dyDescent="0.2">
      <c r="A88">
        <v>86</v>
      </c>
      <c r="B88" t="s">
        <v>6434</v>
      </c>
      <c r="F88" t="s">
        <v>6433</v>
      </c>
      <c r="G88" t="s">
        <v>15</v>
      </c>
      <c r="H88" t="s">
        <v>14</v>
      </c>
      <c r="I88" t="s">
        <v>5981</v>
      </c>
      <c r="J88">
        <v>60011897</v>
      </c>
      <c r="K88" t="s">
        <v>3254</v>
      </c>
      <c r="L88" t="s">
        <v>3253</v>
      </c>
      <c r="M88" t="s">
        <v>530</v>
      </c>
      <c r="N88">
        <v>1</v>
      </c>
      <c r="O88" t="s">
        <v>6432</v>
      </c>
      <c r="P88">
        <v>7006888309</v>
      </c>
      <c r="Q88">
        <v>60011897</v>
      </c>
      <c r="R88" s="7">
        <v>31107</v>
      </c>
      <c r="S88" s="8">
        <f t="shared" si="16"/>
        <v>1985</v>
      </c>
      <c r="T88" s="8">
        <v>1985</v>
      </c>
      <c r="U88" s="8">
        <f t="shared" si="17"/>
        <v>37</v>
      </c>
      <c r="V88" s="7">
        <v>31107</v>
      </c>
      <c r="W88" t="s">
        <v>6424</v>
      </c>
      <c r="X88" s="2" t="s">
        <v>19</v>
      </c>
      <c r="Y88" s="6" t="e">
        <f t="shared" si="14"/>
        <v>#VALUE!</v>
      </c>
      <c r="AA88">
        <v>1679368</v>
      </c>
      <c r="AB88">
        <v>35103</v>
      </c>
      <c r="AD88" t="s">
        <v>4</v>
      </c>
      <c r="AE88">
        <v>3</v>
      </c>
      <c r="AF88">
        <v>1</v>
      </c>
      <c r="AH88" s="10">
        <v>46082</v>
      </c>
      <c r="AI88" t="s">
        <v>6431</v>
      </c>
      <c r="AK88" t="s">
        <v>6430</v>
      </c>
      <c r="AL88">
        <v>0</v>
      </c>
      <c r="AM88" s="5">
        <f t="shared" si="18"/>
        <v>0</v>
      </c>
      <c r="AN88" s="4">
        <f t="shared" si="15"/>
        <v>0</v>
      </c>
      <c r="AO88" s="3"/>
      <c r="AP88">
        <v>0</v>
      </c>
      <c r="AR88" t="s">
        <v>0</v>
      </c>
      <c r="AT88" s="2" t="s">
        <v>19</v>
      </c>
      <c r="AU88" s="1" t="e">
        <f t="shared" si="19"/>
        <v>#VALUE!</v>
      </c>
      <c r="AV88" s="1" t="e">
        <f t="shared" si="20"/>
        <v>#VALUE!</v>
      </c>
      <c r="AW88" s="1" t="e">
        <f t="shared" si="21"/>
        <v>#VALUE!</v>
      </c>
    </row>
    <row r="89" spans="1:49" x14ac:dyDescent="0.2">
      <c r="A89">
        <v>87</v>
      </c>
      <c r="B89" t="s">
        <v>6429</v>
      </c>
      <c r="F89" t="s">
        <v>6428</v>
      </c>
      <c r="G89" t="s">
        <v>15</v>
      </c>
      <c r="H89" t="s">
        <v>14</v>
      </c>
      <c r="I89" t="s">
        <v>2532</v>
      </c>
      <c r="J89">
        <v>60092258</v>
      </c>
      <c r="K89" t="s">
        <v>4847</v>
      </c>
      <c r="L89" t="s">
        <v>4846</v>
      </c>
      <c r="M89" t="s">
        <v>544</v>
      </c>
      <c r="N89">
        <v>4</v>
      </c>
      <c r="O89" t="s">
        <v>6427</v>
      </c>
      <c r="P89" t="s">
        <v>6426</v>
      </c>
      <c r="Q89" t="s">
        <v>6425</v>
      </c>
      <c r="R89" s="7">
        <v>31107</v>
      </c>
      <c r="S89" s="8">
        <f t="shared" si="16"/>
        <v>1985</v>
      </c>
      <c r="T89" s="8">
        <v>1985</v>
      </c>
      <c r="U89" s="8">
        <f t="shared" si="17"/>
        <v>37</v>
      </c>
      <c r="V89" s="7">
        <v>31107</v>
      </c>
      <c r="W89" t="s">
        <v>6424</v>
      </c>
      <c r="X89" s="2" t="s">
        <v>19</v>
      </c>
      <c r="Y89" s="6" t="e">
        <f t="shared" si="14"/>
        <v>#VALUE!</v>
      </c>
      <c r="AA89">
        <v>1679368</v>
      </c>
      <c r="AB89">
        <v>35103</v>
      </c>
      <c r="AD89" t="s">
        <v>4</v>
      </c>
      <c r="AE89">
        <v>3</v>
      </c>
      <c r="AF89">
        <v>1</v>
      </c>
      <c r="AH89" t="s">
        <v>6423</v>
      </c>
      <c r="AI89" t="s">
        <v>6422</v>
      </c>
      <c r="AK89" t="s">
        <v>6421</v>
      </c>
      <c r="AL89">
        <v>3</v>
      </c>
      <c r="AM89" s="5">
        <f t="shared" si="18"/>
        <v>8.1081081081081086E-2</v>
      </c>
      <c r="AN89" s="4">
        <f t="shared" si="15"/>
        <v>1.2280360633257263E-4</v>
      </c>
      <c r="AO89" s="3"/>
      <c r="AP89">
        <v>0</v>
      </c>
      <c r="AR89" t="s">
        <v>0</v>
      </c>
      <c r="AT89" s="2" t="s">
        <v>19</v>
      </c>
      <c r="AU89" s="1" t="e">
        <f t="shared" si="19"/>
        <v>#VALUE!</v>
      </c>
      <c r="AV89" s="1" t="e">
        <f t="shared" si="20"/>
        <v>#VALUE!</v>
      </c>
      <c r="AW89" s="1" t="e">
        <f t="shared" si="21"/>
        <v>#VALUE!</v>
      </c>
    </row>
    <row r="90" spans="1:49" x14ac:dyDescent="0.2">
      <c r="A90">
        <v>88</v>
      </c>
      <c r="B90" t="s">
        <v>6420</v>
      </c>
      <c r="C90" t="s">
        <v>6419</v>
      </c>
      <c r="F90" t="s">
        <v>6418</v>
      </c>
      <c r="G90" t="s">
        <v>15</v>
      </c>
      <c r="H90" t="s">
        <v>14</v>
      </c>
      <c r="I90" t="s">
        <v>6417</v>
      </c>
      <c r="N90">
        <v>1</v>
      </c>
      <c r="O90" t="s">
        <v>6416</v>
      </c>
      <c r="P90">
        <v>6602495658</v>
      </c>
      <c r="R90" s="7">
        <v>31107</v>
      </c>
      <c r="S90" s="8">
        <f t="shared" si="16"/>
        <v>1985</v>
      </c>
      <c r="T90" s="8">
        <v>1985</v>
      </c>
      <c r="U90" s="8">
        <f t="shared" si="17"/>
        <v>37</v>
      </c>
      <c r="V90" s="7">
        <v>31107</v>
      </c>
      <c r="W90" t="s">
        <v>6239</v>
      </c>
      <c r="X90" s="2">
        <v>0.318</v>
      </c>
      <c r="Y90" s="6">
        <f t="shared" si="14"/>
        <v>8.4888283815167786E-3</v>
      </c>
      <c r="AA90">
        <v>338443</v>
      </c>
      <c r="AB90">
        <v>27160</v>
      </c>
      <c r="AC90">
        <v>15739120</v>
      </c>
      <c r="AD90" t="s">
        <v>4</v>
      </c>
      <c r="AE90">
        <v>28</v>
      </c>
      <c r="AF90">
        <v>3</v>
      </c>
      <c r="AH90" t="s">
        <v>6415</v>
      </c>
      <c r="AL90">
        <v>0</v>
      </c>
      <c r="AM90" s="5">
        <f t="shared" si="18"/>
        <v>0</v>
      </c>
      <c r="AN90" s="4">
        <f t="shared" si="15"/>
        <v>0</v>
      </c>
      <c r="AO90" s="3"/>
      <c r="AP90">
        <v>0</v>
      </c>
      <c r="AR90" t="s">
        <v>0</v>
      </c>
      <c r="AT90" s="2">
        <v>0.77</v>
      </c>
      <c r="AU90" s="1">
        <f t="shared" si="19"/>
        <v>0.59421798670617454</v>
      </c>
      <c r="AV90" s="1">
        <f t="shared" si="20"/>
        <v>0.42444141907583893</v>
      </c>
      <c r="AW90" s="1">
        <f t="shared" si="21"/>
        <v>0.25466485144550338</v>
      </c>
    </row>
    <row r="91" spans="1:49" x14ac:dyDescent="0.2">
      <c r="A91">
        <v>89</v>
      </c>
      <c r="B91" t="s">
        <v>6414</v>
      </c>
      <c r="C91" t="s">
        <v>6413</v>
      </c>
      <c r="F91" t="s">
        <v>6412</v>
      </c>
      <c r="G91" t="s">
        <v>15</v>
      </c>
      <c r="H91" t="s">
        <v>14</v>
      </c>
      <c r="I91" t="s">
        <v>6411</v>
      </c>
      <c r="N91">
        <v>1</v>
      </c>
      <c r="O91" t="s">
        <v>6410</v>
      </c>
      <c r="P91">
        <v>57197089579</v>
      </c>
      <c r="R91" s="7">
        <v>31107</v>
      </c>
      <c r="S91" s="8">
        <f t="shared" si="16"/>
        <v>1985</v>
      </c>
      <c r="T91" s="8">
        <v>1985</v>
      </c>
      <c r="U91" s="8">
        <f t="shared" si="17"/>
        <v>37</v>
      </c>
      <c r="V91" s="7">
        <v>31107</v>
      </c>
      <c r="W91" t="s">
        <v>6239</v>
      </c>
      <c r="X91" s="2">
        <v>0.318</v>
      </c>
      <c r="Y91" s="6">
        <f t="shared" si="14"/>
        <v>8.4888283815167786E-3</v>
      </c>
      <c r="AA91">
        <v>338443</v>
      </c>
      <c r="AB91">
        <v>27160</v>
      </c>
      <c r="AC91">
        <v>15739120</v>
      </c>
      <c r="AD91" t="s">
        <v>4</v>
      </c>
      <c r="AE91">
        <v>28</v>
      </c>
      <c r="AF91">
        <v>3</v>
      </c>
      <c r="AH91" t="s">
        <v>6409</v>
      </c>
      <c r="AL91">
        <v>0</v>
      </c>
      <c r="AM91" s="5">
        <f t="shared" si="18"/>
        <v>0</v>
      </c>
      <c r="AN91" s="4">
        <f t="shared" si="15"/>
        <v>0</v>
      </c>
      <c r="AO91" s="3"/>
      <c r="AP91">
        <v>0</v>
      </c>
      <c r="AR91" t="s">
        <v>0</v>
      </c>
      <c r="AT91" s="2">
        <v>0.77</v>
      </c>
      <c r="AU91" s="1">
        <f t="shared" si="19"/>
        <v>0.59421798670617454</v>
      </c>
      <c r="AV91" s="1">
        <f t="shared" si="20"/>
        <v>0.42444141907583893</v>
      </c>
      <c r="AW91" s="1">
        <f t="shared" si="21"/>
        <v>0.25466485144550338</v>
      </c>
    </row>
    <row r="92" spans="1:49" x14ac:dyDescent="0.2">
      <c r="A92">
        <v>90</v>
      </c>
      <c r="B92" t="s">
        <v>6408</v>
      </c>
      <c r="F92" t="s">
        <v>6407</v>
      </c>
      <c r="G92" t="s">
        <v>15</v>
      </c>
      <c r="H92" t="s">
        <v>14</v>
      </c>
      <c r="I92" t="s">
        <v>6406</v>
      </c>
      <c r="J92">
        <v>100947480</v>
      </c>
      <c r="K92" t="s">
        <v>6405</v>
      </c>
      <c r="M92" t="s">
        <v>43</v>
      </c>
      <c r="N92">
        <v>1</v>
      </c>
      <c r="O92" t="s">
        <v>6404</v>
      </c>
      <c r="P92">
        <v>6601969833</v>
      </c>
      <c r="Q92">
        <v>100947480</v>
      </c>
      <c r="R92" s="7">
        <v>31107</v>
      </c>
      <c r="S92" s="8">
        <f t="shared" si="16"/>
        <v>1985</v>
      </c>
      <c r="T92" s="8">
        <v>1985</v>
      </c>
      <c r="U92" s="8">
        <f t="shared" si="17"/>
        <v>37</v>
      </c>
      <c r="V92" s="7">
        <v>31107</v>
      </c>
      <c r="W92" t="s">
        <v>6374</v>
      </c>
      <c r="X92" s="2">
        <v>0.14099999999999999</v>
      </c>
      <c r="Y92" s="6">
        <f t="shared" si="14"/>
        <v>3.7639144710498915E-3</v>
      </c>
      <c r="AA92">
        <v>7252986</v>
      </c>
      <c r="AB92">
        <v>18037</v>
      </c>
      <c r="AD92" t="s">
        <v>4</v>
      </c>
      <c r="AE92">
        <v>5</v>
      </c>
      <c r="AF92">
        <v>1</v>
      </c>
      <c r="AH92" t="s">
        <v>6403</v>
      </c>
      <c r="AI92" t="s">
        <v>6402</v>
      </c>
      <c r="AK92" t="s">
        <v>6401</v>
      </c>
      <c r="AL92">
        <v>0</v>
      </c>
      <c r="AM92" s="5">
        <f t="shared" si="18"/>
        <v>0</v>
      </c>
      <c r="AN92" s="4">
        <f t="shared" si="15"/>
        <v>0</v>
      </c>
      <c r="AO92" s="3"/>
      <c r="AP92">
        <v>0</v>
      </c>
      <c r="AR92" t="s">
        <v>0</v>
      </c>
      <c r="AT92" s="2" t="s">
        <v>19</v>
      </c>
      <c r="AU92" s="1">
        <f t="shared" si="19"/>
        <v>0.26347401297349238</v>
      </c>
      <c r="AV92" s="1">
        <f t="shared" si="20"/>
        <v>0.18819572355249459</v>
      </c>
      <c r="AW92" s="1">
        <f t="shared" si="21"/>
        <v>0.11291743413149673</v>
      </c>
    </row>
    <row r="93" spans="1:49" x14ac:dyDescent="0.2">
      <c r="A93">
        <v>91</v>
      </c>
      <c r="B93" t="s">
        <v>6400</v>
      </c>
      <c r="F93" t="s">
        <v>6399</v>
      </c>
      <c r="G93" t="s">
        <v>15</v>
      </c>
      <c r="H93" t="s">
        <v>14</v>
      </c>
      <c r="I93" t="s">
        <v>6398</v>
      </c>
      <c r="J93">
        <v>100989600</v>
      </c>
      <c r="K93" t="s">
        <v>6397</v>
      </c>
      <c r="M93" t="s">
        <v>122</v>
      </c>
      <c r="N93">
        <v>1</v>
      </c>
      <c r="O93" t="s">
        <v>6396</v>
      </c>
      <c r="P93">
        <v>6603049948</v>
      </c>
      <c r="Q93">
        <v>100989600</v>
      </c>
      <c r="R93" s="7">
        <v>31107</v>
      </c>
      <c r="S93" s="8">
        <f t="shared" si="16"/>
        <v>1985</v>
      </c>
      <c r="T93" s="8">
        <v>1985</v>
      </c>
      <c r="U93" s="8">
        <f t="shared" si="17"/>
        <v>37</v>
      </c>
      <c r="V93" s="7">
        <v>31107</v>
      </c>
      <c r="W93" t="s">
        <v>694</v>
      </c>
      <c r="X93" s="2" t="s">
        <v>19</v>
      </c>
      <c r="Y93" s="6" t="e">
        <f t="shared" si="14"/>
        <v>#VALUE!</v>
      </c>
      <c r="AA93">
        <v>486574</v>
      </c>
      <c r="AB93">
        <v>36602</v>
      </c>
      <c r="AD93" t="s">
        <v>4</v>
      </c>
      <c r="AE93">
        <v>30</v>
      </c>
      <c r="AF93">
        <v>2</v>
      </c>
      <c r="AH93" t="s">
        <v>6395</v>
      </c>
      <c r="AI93" t="s">
        <v>6394</v>
      </c>
      <c r="AK93" t="s">
        <v>6393</v>
      </c>
      <c r="AL93">
        <v>1</v>
      </c>
      <c r="AM93" s="5">
        <f t="shared" si="18"/>
        <v>2.7027027027027029E-2</v>
      </c>
      <c r="AN93" s="4">
        <f t="shared" si="15"/>
        <v>4.0934535444190883E-5</v>
      </c>
      <c r="AO93" s="3"/>
      <c r="AP93">
        <v>0</v>
      </c>
      <c r="AR93" t="s">
        <v>0</v>
      </c>
      <c r="AT93" s="2" t="s">
        <v>19</v>
      </c>
      <c r="AU93" s="1" t="e">
        <f t="shared" si="19"/>
        <v>#VALUE!</v>
      </c>
      <c r="AV93" s="1" t="e">
        <f t="shared" si="20"/>
        <v>#VALUE!</v>
      </c>
      <c r="AW93" s="1" t="e">
        <f t="shared" si="21"/>
        <v>#VALUE!</v>
      </c>
    </row>
    <row r="94" spans="1:49" x14ac:dyDescent="0.2">
      <c r="A94">
        <v>92</v>
      </c>
      <c r="B94" t="s">
        <v>6392</v>
      </c>
      <c r="F94" t="s">
        <v>6391</v>
      </c>
      <c r="G94" t="s">
        <v>15</v>
      </c>
      <c r="H94" t="s">
        <v>14</v>
      </c>
      <c r="I94" t="s">
        <v>6390</v>
      </c>
      <c r="J94">
        <v>100481904</v>
      </c>
      <c r="K94" t="s">
        <v>6389</v>
      </c>
      <c r="L94" t="s">
        <v>581</v>
      </c>
      <c r="M94" t="s">
        <v>580</v>
      </c>
      <c r="N94">
        <v>3</v>
      </c>
      <c r="O94" t="s">
        <v>6388</v>
      </c>
      <c r="P94" t="s">
        <v>6387</v>
      </c>
      <c r="Q94" t="s">
        <v>6386</v>
      </c>
      <c r="R94" s="7">
        <v>31107</v>
      </c>
      <c r="S94" s="8">
        <f t="shared" si="16"/>
        <v>1985</v>
      </c>
      <c r="T94" s="8">
        <v>1985</v>
      </c>
      <c r="U94" s="8">
        <f t="shared" si="17"/>
        <v>37</v>
      </c>
      <c r="V94" s="7">
        <v>31107</v>
      </c>
      <c r="W94" t="s">
        <v>6385</v>
      </c>
      <c r="X94" s="2" t="s">
        <v>19</v>
      </c>
      <c r="Y94" s="6" t="e">
        <f t="shared" si="14"/>
        <v>#VALUE!</v>
      </c>
      <c r="AA94">
        <v>12351</v>
      </c>
      <c r="AB94">
        <v>15776</v>
      </c>
      <c r="AD94" t="s">
        <v>4</v>
      </c>
      <c r="AE94">
        <v>28</v>
      </c>
      <c r="AF94">
        <v>2</v>
      </c>
      <c r="AH94" t="s">
        <v>6384</v>
      </c>
      <c r="AI94" t="s">
        <v>6383</v>
      </c>
      <c r="AK94" t="s">
        <v>6382</v>
      </c>
      <c r="AL94">
        <v>3</v>
      </c>
      <c r="AM94" s="5">
        <f t="shared" si="18"/>
        <v>8.1081081081081086E-2</v>
      </c>
      <c r="AN94" s="4">
        <f t="shared" si="15"/>
        <v>1.2280360633257263E-4</v>
      </c>
      <c r="AO94" s="3"/>
      <c r="AP94">
        <v>0</v>
      </c>
      <c r="AR94" t="s">
        <v>0</v>
      </c>
      <c r="AT94" s="2" t="s">
        <v>19</v>
      </c>
      <c r="AU94" s="1" t="e">
        <f t="shared" si="19"/>
        <v>#VALUE!</v>
      </c>
      <c r="AV94" s="1" t="e">
        <f t="shared" si="20"/>
        <v>#VALUE!</v>
      </c>
      <c r="AW94" s="1" t="e">
        <f t="shared" si="21"/>
        <v>#VALUE!</v>
      </c>
    </row>
    <row r="95" spans="1:49" x14ac:dyDescent="0.2">
      <c r="A95">
        <v>93</v>
      </c>
      <c r="B95" t="s">
        <v>6381</v>
      </c>
      <c r="F95" t="s">
        <v>6380</v>
      </c>
      <c r="G95" t="s">
        <v>15</v>
      </c>
      <c r="H95" t="s">
        <v>14</v>
      </c>
      <c r="I95" t="s">
        <v>6379</v>
      </c>
      <c r="J95">
        <v>100326470</v>
      </c>
      <c r="K95" t="s">
        <v>6378</v>
      </c>
      <c r="L95" t="s">
        <v>44</v>
      </c>
      <c r="M95" t="s">
        <v>43</v>
      </c>
      <c r="N95">
        <v>3</v>
      </c>
      <c r="O95" t="s">
        <v>6377</v>
      </c>
      <c r="P95" t="s">
        <v>6376</v>
      </c>
      <c r="Q95" t="s">
        <v>6375</v>
      </c>
      <c r="R95" s="7">
        <v>31107</v>
      </c>
      <c r="S95" s="8">
        <f t="shared" si="16"/>
        <v>1985</v>
      </c>
      <c r="T95" s="8">
        <v>1985</v>
      </c>
      <c r="U95" s="8">
        <f t="shared" si="17"/>
        <v>37</v>
      </c>
      <c r="V95" s="7">
        <v>31107</v>
      </c>
      <c r="W95" t="s">
        <v>6374</v>
      </c>
      <c r="X95" s="2">
        <v>0.14099999999999999</v>
      </c>
      <c r="Y95" s="6">
        <f t="shared" si="14"/>
        <v>3.7639144710498915E-3</v>
      </c>
      <c r="AA95">
        <v>7252986</v>
      </c>
      <c r="AB95">
        <v>18037</v>
      </c>
      <c r="AD95" t="s">
        <v>4</v>
      </c>
      <c r="AE95">
        <v>5</v>
      </c>
      <c r="AF95">
        <v>1</v>
      </c>
      <c r="AH95" t="s">
        <v>6373</v>
      </c>
      <c r="AI95" t="s">
        <v>6372</v>
      </c>
      <c r="AK95" t="s">
        <v>6371</v>
      </c>
      <c r="AL95">
        <v>0</v>
      </c>
      <c r="AM95" s="5">
        <f t="shared" si="18"/>
        <v>0</v>
      </c>
      <c r="AN95" s="4">
        <f t="shared" si="15"/>
        <v>0</v>
      </c>
      <c r="AO95" s="3"/>
      <c r="AP95">
        <v>0</v>
      </c>
      <c r="AR95" t="s">
        <v>0</v>
      </c>
      <c r="AT95" s="2" t="s">
        <v>19</v>
      </c>
      <c r="AU95" s="1">
        <f t="shared" si="19"/>
        <v>0.26347401297349238</v>
      </c>
      <c r="AV95" s="1">
        <f t="shared" si="20"/>
        <v>0.18819572355249459</v>
      </c>
      <c r="AW95" s="1">
        <f t="shared" si="21"/>
        <v>0.11291743413149673</v>
      </c>
    </row>
    <row r="96" spans="1:49" x14ac:dyDescent="0.2">
      <c r="A96">
        <v>94</v>
      </c>
      <c r="B96" t="s">
        <v>6370</v>
      </c>
      <c r="F96" t="s">
        <v>6369</v>
      </c>
      <c r="G96" t="s">
        <v>15</v>
      </c>
      <c r="H96" t="s">
        <v>14</v>
      </c>
      <c r="I96" t="s">
        <v>6368</v>
      </c>
      <c r="J96">
        <v>100320944</v>
      </c>
      <c r="K96" t="s">
        <v>6367</v>
      </c>
      <c r="L96" t="s">
        <v>5846</v>
      </c>
      <c r="M96" t="s">
        <v>5845</v>
      </c>
      <c r="N96">
        <v>3</v>
      </c>
      <c r="O96" t="s">
        <v>6366</v>
      </c>
      <c r="P96" t="s">
        <v>6365</v>
      </c>
      <c r="Q96" t="s">
        <v>6364</v>
      </c>
      <c r="R96" s="7">
        <v>31107</v>
      </c>
      <c r="S96" s="8">
        <f t="shared" si="16"/>
        <v>1985</v>
      </c>
      <c r="T96" s="8">
        <v>1985</v>
      </c>
      <c r="U96" s="8">
        <f t="shared" si="17"/>
        <v>37</v>
      </c>
      <c r="V96" s="7">
        <v>31107</v>
      </c>
      <c r="W96" t="s">
        <v>6363</v>
      </c>
      <c r="X96" s="2" t="s">
        <v>19</v>
      </c>
      <c r="Y96" s="6" t="e">
        <f t="shared" si="14"/>
        <v>#VALUE!</v>
      </c>
      <c r="AA96">
        <v>204412</v>
      </c>
      <c r="AB96">
        <v>15467</v>
      </c>
      <c r="AD96" t="s">
        <v>4</v>
      </c>
      <c r="AE96">
        <v>28</v>
      </c>
      <c r="AF96" t="s">
        <v>6362</v>
      </c>
      <c r="AH96" t="s">
        <v>6361</v>
      </c>
      <c r="AI96" t="s">
        <v>6360</v>
      </c>
      <c r="AK96" t="s">
        <v>6359</v>
      </c>
      <c r="AL96">
        <v>0</v>
      </c>
      <c r="AM96" s="5">
        <f t="shared" si="18"/>
        <v>0</v>
      </c>
      <c r="AN96" s="4">
        <f t="shared" si="15"/>
        <v>0</v>
      </c>
      <c r="AO96" s="3"/>
      <c r="AP96">
        <v>0</v>
      </c>
      <c r="AR96" t="s">
        <v>0</v>
      </c>
      <c r="AT96" s="2" t="s">
        <v>19</v>
      </c>
      <c r="AU96" s="1" t="e">
        <f t="shared" si="19"/>
        <v>#VALUE!</v>
      </c>
      <c r="AV96" s="1" t="e">
        <f t="shared" si="20"/>
        <v>#VALUE!</v>
      </c>
      <c r="AW96" s="1" t="e">
        <f t="shared" si="21"/>
        <v>#VALUE!</v>
      </c>
    </row>
    <row r="97" spans="1:49" x14ac:dyDescent="0.2">
      <c r="A97">
        <v>95</v>
      </c>
      <c r="B97" t="s">
        <v>6358</v>
      </c>
      <c r="F97" t="s">
        <v>6357</v>
      </c>
      <c r="G97" t="s">
        <v>15</v>
      </c>
      <c r="H97" t="s">
        <v>14</v>
      </c>
      <c r="I97" t="s">
        <v>6356</v>
      </c>
      <c r="J97">
        <v>60007742</v>
      </c>
      <c r="K97" t="s">
        <v>1483</v>
      </c>
      <c r="L97" t="s">
        <v>1482</v>
      </c>
      <c r="M97" t="s">
        <v>122</v>
      </c>
      <c r="N97">
        <v>1</v>
      </c>
      <c r="O97" t="s">
        <v>6355</v>
      </c>
      <c r="P97">
        <v>57197629977</v>
      </c>
      <c r="Q97">
        <v>60007742</v>
      </c>
      <c r="R97" s="7">
        <v>31107</v>
      </c>
      <c r="S97" s="8">
        <f t="shared" si="16"/>
        <v>1985</v>
      </c>
      <c r="T97" s="8">
        <v>1985</v>
      </c>
      <c r="U97" s="8">
        <f t="shared" si="17"/>
        <v>37</v>
      </c>
      <c r="V97" s="7">
        <v>31107</v>
      </c>
      <c r="W97" t="s">
        <v>6300</v>
      </c>
      <c r="X97" s="2" t="s">
        <v>19</v>
      </c>
      <c r="Y97" s="6" t="e">
        <f t="shared" si="14"/>
        <v>#VALUE!</v>
      </c>
      <c r="AA97">
        <v>959669</v>
      </c>
      <c r="AB97">
        <v>94658</v>
      </c>
      <c r="AD97" t="s">
        <v>4</v>
      </c>
      <c r="AE97">
        <v>15</v>
      </c>
      <c r="AF97">
        <v>1</v>
      </c>
      <c r="AH97" t="s">
        <v>6354</v>
      </c>
      <c r="AI97" t="s">
        <v>6353</v>
      </c>
      <c r="AK97" t="s">
        <v>6352</v>
      </c>
      <c r="AL97">
        <v>4</v>
      </c>
      <c r="AM97" s="5">
        <f t="shared" si="18"/>
        <v>0.10810810810810811</v>
      </c>
      <c r="AN97" s="4">
        <f t="shared" si="15"/>
        <v>1.6373814177676353E-4</v>
      </c>
      <c r="AO97" s="3"/>
      <c r="AP97">
        <v>0</v>
      </c>
      <c r="AR97" t="s">
        <v>0</v>
      </c>
      <c r="AT97" s="2" t="s">
        <v>19</v>
      </c>
      <c r="AU97" s="1" t="e">
        <f t="shared" si="19"/>
        <v>#VALUE!</v>
      </c>
      <c r="AV97" s="1" t="e">
        <f t="shared" si="20"/>
        <v>#VALUE!</v>
      </c>
      <c r="AW97" s="1" t="e">
        <f t="shared" si="21"/>
        <v>#VALUE!</v>
      </c>
    </row>
    <row r="98" spans="1:49" x14ac:dyDescent="0.2">
      <c r="A98">
        <v>96</v>
      </c>
      <c r="B98" t="s">
        <v>6351</v>
      </c>
      <c r="F98" t="s">
        <v>6350</v>
      </c>
      <c r="G98" t="s">
        <v>15</v>
      </c>
      <c r="H98" t="s">
        <v>14</v>
      </c>
      <c r="I98" t="s">
        <v>6349</v>
      </c>
      <c r="N98">
        <v>1</v>
      </c>
      <c r="O98" t="s">
        <v>6348</v>
      </c>
      <c r="P98">
        <v>6602803589</v>
      </c>
      <c r="R98" s="7">
        <v>31107</v>
      </c>
      <c r="S98" s="8">
        <f t="shared" si="16"/>
        <v>1985</v>
      </c>
      <c r="T98" s="8">
        <v>1985</v>
      </c>
      <c r="U98" s="8">
        <f t="shared" si="17"/>
        <v>37</v>
      </c>
      <c r="V98" s="7">
        <v>31107</v>
      </c>
      <c r="W98" t="s">
        <v>6136</v>
      </c>
      <c r="X98" s="2" t="s">
        <v>19</v>
      </c>
      <c r="Y98" s="6" t="e">
        <f t="shared" si="14"/>
        <v>#VALUE!</v>
      </c>
      <c r="AB98">
        <v>74127</v>
      </c>
      <c r="AD98" t="s">
        <v>4</v>
      </c>
      <c r="AE98">
        <v>30</v>
      </c>
      <c r="AF98">
        <v>3</v>
      </c>
      <c r="AH98" t="s">
        <v>6347</v>
      </c>
      <c r="AI98" t="s">
        <v>6346</v>
      </c>
      <c r="AK98" t="s">
        <v>6345</v>
      </c>
      <c r="AL98">
        <v>0</v>
      </c>
      <c r="AM98" s="5">
        <f t="shared" si="18"/>
        <v>0</v>
      </c>
      <c r="AN98" s="4">
        <f t="shared" si="15"/>
        <v>0</v>
      </c>
      <c r="AO98" s="3"/>
      <c r="AP98">
        <v>0</v>
      </c>
      <c r="AR98" t="s">
        <v>0</v>
      </c>
      <c r="AT98" s="2" t="s">
        <v>19</v>
      </c>
      <c r="AU98" s="1" t="e">
        <f t="shared" si="19"/>
        <v>#VALUE!</v>
      </c>
      <c r="AV98" s="1" t="e">
        <f t="shared" si="20"/>
        <v>#VALUE!</v>
      </c>
      <c r="AW98" s="1" t="e">
        <f t="shared" si="21"/>
        <v>#VALUE!</v>
      </c>
    </row>
    <row r="99" spans="1:49" x14ac:dyDescent="0.2">
      <c r="A99">
        <v>97</v>
      </c>
      <c r="B99" t="s">
        <v>6344</v>
      </c>
      <c r="F99" t="s">
        <v>6343</v>
      </c>
      <c r="G99" t="s">
        <v>15</v>
      </c>
      <c r="H99" t="s">
        <v>14</v>
      </c>
      <c r="I99" t="s">
        <v>6342</v>
      </c>
      <c r="N99">
        <v>2</v>
      </c>
      <c r="O99" t="s">
        <v>6341</v>
      </c>
      <c r="P99" t="s">
        <v>6340</v>
      </c>
      <c r="Q99" t="s">
        <v>895</v>
      </c>
      <c r="R99" s="7">
        <v>31107</v>
      </c>
      <c r="S99" s="8">
        <f t="shared" si="16"/>
        <v>1985</v>
      </c>
      <c r="T99" s="8">
        <v>1985</v>
      </c>
      <c r="U99" s="8">
        <f t="shared" si="17"/>
        <v>37</v>
      </c>
      <c r="V99" s="7">
        <v>31107</v>
      </c>
      <c r="W99" t="s">
        <v>6136</v>
      </c>
      <c r="X99" s="2" t="s">
        <v>19</v>
      </c>
      <c r="Y99" s="6" t="e">
        <f t="shared" si="14"/>
        <v>#VALUE!</v>
      </c>
      <c r="AB99">
        <v>74127</v>
      </c>
      <c r="AD99" t="s">
        <v>4</v>
      </c>
      <c r="AE99">
        <v>30</v>
      </c>
      <c r="AF99">
        <v>3</v>
      </c>
      <c r="AH99" t="s">
        <v>6339</v>
      </c>
      <c r="AI99" t="s">
        <v>6338</v>
      </c>
      <c r="AK99" t="s">
        <v>6337</v>
      </c>
      <c r="AL99">
        <v>0</v>
      </c>
      <c r="AM99" s="5">
        <f t="shared" si="18"/>
        <v>0</v>
      </c>
      <c r="AN99" s="4">
        <f t="shared" si="15"/>
        <v>0</v>
      </c>
      <c r="AO99" s="3"/>
      <c r="AP99">
        <v>0</v>
      </c>
      <c r="AR99" t="s">
        <v>0</v>
      </c>
      <c r="AT99" s="2" t="s">
        <v>19</v>
      </c>
      <c r="AU99" s="1" t="e">
        <f t="shared" si="19"/>
        <v>#VALUE!</v>
      </c>
      <c r="AV99" s="1" t="e">
        <f t="shared" si="20"/>
        <v>#VALUE!</v>
      </c>
      <c r="AW99" s="1" t="e">
        <f t="shared" si="21"/>
        <v>#VALUE!</v>
      </c>
    </row>
    <row r="100" spans="1:49" x14ac:dyDescent="0.2">
      <c r="A100">
        <v>98</v>
      </c>
      <c r="B100" t="s">
        <v>6336</v>
      </c>
      <c r="F100" t="s">
        <v>6335</v>
      </c>
      <c r="G100" t="s">
        <v>15</v>
      </c>
      <c r="H100" t="s">
        <v>14</v>
      </c>
      <c r="I100" t="s">
        <v>6334</v>
      </c>
      <c r="N100">
        <v>2</v>
      </c>
      <c r="O100" t="s">
        <v>6333</v>
      </c>
      <c r="P100" t="s">
        <v>6332</v>
      </c>
      <c r="Q100" t="s">
        <v>895</v>
      </c>
      <c r="R100" s="7">
        <v>31107</v>
      </c>
      <c r="S100" s="8">
        <f t="shared" si="16"/>
        <v>1985</v>
      </c>
      <c r="T100" s="8">
        <v>1985</v>
      </c>
      <c r="U100" s="8">
        <f t="shared" si="17"/>
        <v>37</v>
      </c>
      <c r="V100" s="7">
        <v>31107</v>
      </c>
      <c r="W100" t="s">
        <v>6136</v>
      </c>
      <c r="X100" s="2" t="s">
        <v>19</v>
      </c>
      <c r="Y100" s="6" t="e">
        <f t="shared" si="14"/>
        <v>#VALUE!</v>
      </c>
      <c r="AB100">
        <v>74127</v>
      </c>
      <c r="AD100" t="s">
        <v>4</v>
      </c>
      <c r="AE100">
        <v>30</v>
      </c>
      <c r="AF100">
        <v>3</v>
      </c>
      <c r="AH100" t="s">
        <v>6331</v>
      </c>
      <c r="AI100" t="s">
        <v>6330</v>
      </c>
      <c r="AK100" t="s">
        <v>6329</v>
      </c>
      <c r="AL100">
        <v>0</v>
      </c>
      <c r="AM100" s="5">
        <f t="shared" si="18"/>
        <v>0</v>
      </c>
      <c r="AN100" s="4">
        <f t="shared" si="15"/>
        <v>0</v>
      </c>
      <c r="AO100" s="3"/>
      <c r="AP100">
        <v>0</v>
      </c>
      <c r="AR100" t="s">
        <v>0</v>
      </c>
      <c r="AT100" s="2" t="s">
        <v>19</v>
      </c>
      <c r="AU100" s="1" t="e">
        <f t="shared" si="19"/>
        <v>#VALUE!</v>
      </c>
      <c r="AV100" s="1" t="e">
        <f t="shared" si="20"/>
        <v>#VALUE!</v>
      </c>
      <c r="AW100" s="1" t="e">
        <f t="shared" si="21"/>
        <v>#VALUE!</v>
      </c>
    </row>
    <row r="101" spans="1:49" x14ac:dyDescent="0.2">
      <c r="A101">
        <v>99</v>
      </c>
      <c r="B101" t="s">
        <v>6328</v>
      </c>
      <c r="F101" t="s">
        <v>6327</v>
      </c>
      <c r="G101" t="s">
        <v>15</v>
      </c>
      <c r="H101" t="s">
        <v>14</v>
      </c>
      <c r="I101" t="s">
        <v>6326</v>
      </c>
      <c r="J101">
        <v>60007742</v>
      </c>
      <c r="K101" t="s">
        <v>1483</v>
      </c>
      <c r="L101" t="s">
        <v>1482</v>
      </c>
      <c r="M101" t="s">
        <v>122</v>
      </c>
      <c r="N101">
        <v>5</v>
      </c>
      <c r="O101" t="s">
        <v>6325</v>
      </c>
      <c r="P101" t="s">
        <v>6324</v>
      </c>
      <c r="Q101" t="s">
        <v>6323</v>
      </c>
      <c r="R101" s="7">
        <v>31107</v>
      </c>
      <c r="S101" s="8">
        <f t="shared" si="16"/>
        <v>1985</v>
      </c>
      <c r="T101" s="8">
        <v>1985</v>
      </c>
      <c r="U101" s="8">
        <f t="shared" si="17"/>
        <v>37</v>
      </c>
      <c r="V101" s="7">
        <v>31107</v>
      </c>
      <c r="W101" t="s">
        <v>6300</v>
      </c>
      <c r="X101" s="2" t="s">
        <v>19</v>
      </c>
      <c r="Y101" s="6" t="e">
        <f t="shared" si="14"/>
        <v>#VALUE!</v>
      </c>
      <c r="AA101">
        <v>959669</v>
      </c>
      <c r="AB101">
        <v>94658</v>
      </c>
      <c r="AD101" t="s">
        <v>4</v>
      </c>
      <c r="AE101">
        <v>15</v>
      </c>
      <c r="AF101">
        <v>1</v>
      </c>
      <c r="AH101" s="10">
        <v>13881</v>
      </c>
      <c r="AI101" t="s">
        <v>6322</v>
      </c>
      <c r="AK101" t="s">
        <v>6321</v>
      </c>
      <c r="AL101">
        <v>1</v>
      </c>
      <c r="AM101" s="5">
        <f t="shared" si="18"/>
        <v>2.7027027027027029E-2</v>
      </c>
      <c r="AN101" s="4">
        <f t="shared" si="15"/>
        <v>4.0934535444190883E-5</v>
      </c>
      <c r="AO101" s="3"/>
      <c r="AP101">
        <v>0</v>
      </c>
      <c r="AR101" t="s">
        <v>0</v>
      </c>
      <c r="AT101" s="2" t="s">
        <v>19</v>
      </c>
      <c r="AU101" s="1" t="e">
        <f t="shared" si="19"/>
        <v>#VALUE!</v>
      </c>
      <c r="AV101" s="1" t="e">
        <f t="shared" si="20"/>
        <v>#VALUE!</v>
      </c>
      <c r="AW101" s="1" t="e">
        <f t="shared" si="21"/>
        <v>#VALUE!</v>
      </c>
    </row>
    <row r="102" spans="1:49" x14ac:dyDescent="0.2">
      <c r="A102">
        <v>100</v>
      </c>
      <c r="B102" t="s">
        <v>6320</v>
      </c>
      <c r="F102" t="s">
        <v>6319</v>
      </c>
      <c r="G102" t="s">
        <v>15</v>
      </c>
      <c r="H102" t="s">
        <v>14</v>
      </c>
      <c r="I102" t="s">
        <v>6318</v>
      </c>
      <c r="N102">
        <v>3</v>
      </c>
      <c r="O102" t="s">
        <v>6317</v>
      </c>
      <c r="P102" t="s">
        <v>6316</v>
      </c>
      <c r="Q102" t="s">
        <v>377</v>
      </c>
      <c r="R102" s="7">
        <v>31107</v>
      </c>
      <c r="S102" s="8">
        <f t="shared" si="16"/>
        <v>1985</v>
      </c>
      <c r="T102" s="8">
        <v>1985</v>
      </c>
      <c r="U102" s="8">
        <f t="shared" si="17"/>
        <v>37</v>
      </c>
      <c r="V102" s="7">
        <v>31107</v>
      </c>
      <c r="W102" t="s">
        <v>6136</v>
      </c>
      <c r="X102" s="2" t="s">
        <v>19</v>
      </c>
      <c r="Y102" s="6" t="e">
        <f t="shared" si="14"/>
        <v>#VALUE!</v>
      </c>
      <c r="AB102">
        <v>74127</v>
      </c>
      <c r="AD102" t="s">
        <v>4</v>
      </c>
      <c r="AE102">
        <v>30</v>
      </c>
      <c r="AF102">
        <v>3</v>
      </c>
      <c r="AH102" t="s">
        <v>6315</v>
      </c>
      <c r="AI102" t="s">
        <v>6314</v>
      </c>
      <c r="AK102" t="s">
        <v>6313</v>
      </c>
      <c r="AL102">
        <v>0</v>
      </c>
      <c r="AM102" s="5">
        <f t="shared" si="18"/>
        <v>0</v>
      </c>
      <c r="AN102" s="4">
        <f t="shared" si="15"/>
        <v>0</v>
      </c>
      <c r="AO102" s="3"/>
      <c r="AP102">
        <v>0</v>
      </c>
      <c r="AR102" t="s">
        <v>0</v>
      </c>
      <c r="AT102" s="2" t="s">
        <v>19</v>
      </c>
      <c r="AU102" s="1" t="e">
        <f t="shared" si="19"/>
        <v>#VALUE!</v>
      </c>
      <c r="AV102" s="1" t="e">
        <f t="shared" si="20"/>
        <v>#VALUE!</v>
      </c>
      <c r="AW102" s="1" t="e">
        <f t="shared" si="21"/>
        <v>#VALUE!</v>
      </c>
    </row>
    <row r="103" spans="1:49" x14ac:dyDescent="0.2">
      <c r="A103">
        <v>101</v>
      </c>
      <c r="B103" t="s">
        <v>6312</v>
      </c>
      <c r="F103" t="s">
        <v>6311</v>
      </c>
      <c r="G103" t="s">
        <v>15</v>
      </c>
      <c r="H103" t="s">
        <v>14</v>
      </c>
      <c r="I103" t="s">
        <v>6310</v>
      </c>
      <c r="N103">
        <v>2</v>
      </c>
      <c r="O103" t="s">
        <v>6309</v>
      </c>
      <c r="P103" t="s">
        <v>6308</v>
      </c>
      <c r="Q103" t="s">
        <v>895</v>
      </c>
      <c r="R103" s="7">
        <v>31107</v>
      </c>
      <c r="S103" s="8">
        <f t="shared" si="16"/>
        <v>1985</v>
      </c>
      <c r="T103" s="8">
        <v>1985</v>
      </c>
      <c r="U103" s="8">
        <f t="shared" si="17"/>
        <v>37</v>
      </c>
      <c r="V103" s="7">
        <v>31107</v>
      </c>
      <c r="W103" t="s">
        <v>6136</v>
      </c>
      <c r="X103" s="2" t="s">
        <v>19</v>
      </c>
      <c r="Y103" s="6" t="e">
        <f t="shared" si="14"/>
        <v>#VALUE!</v>
      </c>
      <c r="AB103">
        <v>74127</v>
      </c>
      <c r="AD103" t="s">
        <v>4</v>
      </c>
      <c r="AE103">
        <v>30</v>
      </c>
      <c r="AF103">
        <v>3</v>
      </c>
      <c r="AH103" t="s">
        <v>6307</v>
      </c>
      <c r="AI103" t="s">
        <v>6306</v>
      </c>
      <c r="AK103" t="s">
        <v>6305</v>
      </c>
      <c r="AL103">
        <v>0</v>
      </c>
      <c r="AM103" s="5">
        <f t="shared" si="18"/>
        <v>0</v>
      </c>
      <c r="AN103" s="4">
        <f t="shared" si="15"/>
        <v>0</v>
      </c>
      <c r="AO103" s="3"/>
      <c r="AP103">
        <v>0</v>
      </c>
      <c r="AR103" t="s">
        <v>0</v>
      </c>
      <c r="AT103" s="2" t="s">
        <v>19</v>
      </c>
      <c r="AU103" s="1" t="e">
        <f t="shared" si="19"/>
        <v>#VALUE!</v>
      </c>
      <c r="AV103" s="1" t="e">
        <f t="shared" si="20"/>
        <v>#VALUE!</v>
      </c>
      <c r="AW103" s="1" t="e">
        <f t="shared" si="21"/>
        <v>#VALUE!</v>
      </c>
    </row>
    <row r="104" spans="1:49" x14ac:dyDescent="0.2">
      <c r="A104">
        <v>102</v>
      </c>
      <c r="B104" t="s">
        <v>6304</v>
      </c>
      <c r="F104" t="s">
        <v>6303</v>
      </c>
      <c r="G104" t="s">
        <v>15</v>
      </c>
      <c r="H104" t="s">
        <v>14</v>
      </c>
      <c r="I104" t="s">
        <v>6302</v>
      </c>
      <c r="J104">
        <v>60007742</v>
      </c>
      <c r="K104" t="s">
        <v>1483</v>
      </c>
      <c r="L104" t="s">
        <v>1482</v>
      </c>
      <c r="M104" t="s">
        <v>122</v>
      </c>
      <c r="N104">
        <v>1</v>
      </c>
      <c r="O104" t="s">
        <v>6301</v>
      </c>
      <c r="P104">
        <v>7004861018</v>
      </c>
      <c r="Q104">
        <v>60007742</v>
      </c>
      <c r="R104" s="7">
        <v>31107</v>
      </c>
      <c r="S104" s="8">
        <f t="shared" si="16"/>
        <v>1985</v>
      </c>
      <c r="T104" s="8">
        <v>1985</v>
      </c>
      <c r="U104" s="8">
        <f t="shared" si="17"/>
        <v>37</v>
      </c>
      <c r="V104" s="7">
        <v>31107</v>
      </c>
      <c r="W104" t="s">
        <v>6300</v>
      </c>
      <c r="X104" s="2" t="s">
        <v>19</v>
      </c>
      <c r="Y104" s="6" t="e">
        <f t="shared" si="14"/>
        <v>#VALUE!</v>
      </c>
      <c r="AA104">
        <v>959669</v>
      </c>
      <c r="AB104">
        <v>94658</v>
      </c>
      <c r="AD104" t="s">
        <v>4</v>
      </c>
      <c r="AE104">
        <v>15</v>
      </c>
      <c r="AF104">
        <v>1</v>
      </c>
      <c r="AH104" t="s">
        <v>6299</v>
      </c>
      <c r="AI104" t="s">
        <v>6298</v>
      </c>
      <c r="AK104" t="s">
        <v>6297</v>
      </c>
      <c r="AL104">
        <v>0</v>
      </c>
      <c r="AM104" s="5">
        <f t="shared" si="18"/>
        <v>0</v>
      </c>
      <c r="AN104" s="4">
        <f t="shared" si="15"/>
        <v>0</v>
      </c>
      <c r="AO104" s="3"/>
      <c r="AP104">
        <v>0</v>
      </c>
      <c r="AR104" t="s">
        <v>0</v>
      </c>
      <c r="AT104" s="2" t="s">
        <v>19</v>
      </c>
      <c r="AU104" s="1" t="e">
        <f t="shared" si="19"/>
        <v>#VALUE!</v>
      </c>
      <c r="AV104" s="1" t="e">
        <f t="shared" si="20"/>
        <v>#VALUE!</v>
      </c>
      <c r="AW104" s="1" t="e">
        <f t="shared" si="21"/>
        <v>#VALUE!</v>
      </c>
    </row>
    <row r="105" spans="1:49" x14ac:dyDescent="0.2">
      <c r="A105">
        <v>103</v>
      </c>
      <c r="B105" t="s">
        <v>6296</v>
      </c>
      <c r="F105" t="s">
        <v>6295</v>
      </c>
      <c r="G105" t="s">
        <v>15</v>
      </c>
      <c r="H105" t="s">
        <v>14</v>
      </c>
      <c r="I105" t="s">
        <v>6294</v>
      </c>
      <c r="N105">
        <v>1</v>
      </c>
      <c r="O105" t="s">
        <v>6293</v>
      </c>
      <c r="P105">
        <v>7102306318</v>
      </c>
      <c r="R105" s="7">
        <v>31107</v>
      </c>
      <c r="S105" s="8">
        <f t="shared" si="16"/>
        <v>1985</v>
      </c>
      <c r="T105" s="8">
        <v>1985</v>
      </c>
      <c r="U105" s="8">
        <f t="shared" si="17"/>
        <v>37</v>
      </c>
      <c r="V105" s="7">
        <v>31107</v>
      </c>
      <c r="W105" t="s">
        <v>6136</v>
      </c>
      <c r="X105" s="2" t="s">
        <v>19</v>
      </c>
      <c r="Y105" s="6" t="e">
        <f t="shared" si="14"/>
        <v>#VALUE!</v>
      </c>
      <c r="AB105">
        <v>74127</v>
      </c>
      <c r="AD105" t="s">
        <v>4</v>
      </c>
      <c r="AE105">
        <v>30</v>
      </c>
      <c r="AF105">
        <v>3</v>
      </c>
      <c r="AH105" t="s">
        <v>6292</v>
      </c>
      <c r="AI105" t="s">
        <v>6291</v>
      </c>
      <c r="AK105" t="s">
        <v>6290</v>
      </c>
      <c r="AL105">
        <v>0</v>
      </c>
      <c r="AM105" s="5">
        <f t="shared" si="18"/>
        <v>0</v>
      </c>
      <c r="AN105" s="4">
        <f t="shared" si="15"/>
        <v>0</v>
      </c>
      <c r="AO105" s="3"/>
      <c r="AP105">
        <v>0</v>
      </c>
      <c r="AR105" t="s">
        <v>0</v>
      </c>
      <c r="AT105" s="2" t="s">
        <v>19</v>
      </c>
      <c r="AU105" s="1" t="e">
        <f t="shared" si="19"/>
        <v>#VALUE!</v>
      </c>
      <c r="AV105" s="1" t="e">
        <f t="shared" si="20"/>
        <v>#VALUE!</v>
      </c>
      <c r="AW105" s="1" t="e">
        <f t="shared" si="21"/>
        <v>#VALUE!</v>
      </c>
    </row>
    <row r="106" spans="1:49" x14ac:dyDescent="0.2">
      <c r="A106">
        <v>104</v>
      </c>
      <c r="B106" t="s">
        <v>6289</v>
      </c>
      <c r="C106" t="s">
        <v>6288</v>
      </c>
      <c r="F106" t="s">
        <v>6287</v>
      </c>
      <c r="G106" t="s">
        <v>15</v>
      </c>
      <c r="H106" t="s">
        <v>14</v>
      </c>
      <c r="I106" t="s">
        <v>6286</v>
      </c>
      <c r="J106">
        <v>60019782</v>
      </c>
      <c r="K106" t="s">
        <v>6285</v>
      </c>
      <c r="L106" t="s">
        <v>6284</v>
      </c>
      <c r="M106" t="s">
        <v>567</v>
      </c>
      <c r="N106">
        <v>1</v>
      </c>
      <c r="O106" t="s">
        <v>6283</v>
      </c>
      <c r="P106">
        <v>35553979700</v>
      </c>
      <c r="Q106">
        <v>60019782</v>
      </c>
      <c r="R106" s="7">
        <v>31107</v>
      </c>
      <c r="S106" s="8">
        <f t="shared" si="16"/>
        <v>1985</v>
      </c>
      <c r="T106" s="8">
        <v>1985</v>
      </c>
      <c r="U106" s="8">
        <f t="shared" si="17"/>
        <v>37</v>
      </c>
      <c r="V106" s="7">
        <v>31107</v>
      </c>
      <c r="W106" t="s">
        <v>6282</v>
      </c>
      <c r="X106" s="2" t="s">
        <v>19</v>
      </c>
      <c r="Y106" s="6" t="e">
        <f t="shared" si="14"/>
        <v>#VALUE!</v>
      </c>
      <c r="AA106">
        <v>1051938</v>
      </c>
      <c r="AB106">
        <v>76824</v>
      </c>
      <c r="AD106" t="s">
        <v>4</v>
      </c>
      <c r="AE106">
        <v>50</v>
      </c>
      <c r="AF106">
        <v>2</v>
      </c>
      <c r="AH106" t="s">
        <v>6281</v>
      </c>
      <c r="AI106" t="s">
        <v>6280</v>
      </c>
      <c r="AJ106" t="s">
        <v>6279</v>
      </c>
      <c r="AK106" t="s">
        <v>6278</v>
      </c>
      <c r="AL106">
        <v>28</v>
      </c>
      <c r="AM106" s="5">
        <f t="shared" si="18"/>
        <v>0.7567567567567568</v>
      </c>
      <c r="AN106" s="4">
        <f t="shared" si="15"/>
        <v>1.1461669924373447E-3</v>
      </c>
      <c r="AO106" s="3"/>
      <c r="AP106">
        <v>1</v>
      </c>
      <c r="AR106" t="s">
        <v>0</v>
      </c>
      <c r="AT106" s="2" t="s">
        <v>19</v>
      </c>
      <c r="AU106" s="1" t="e">
        <f t="shared" si="19"/>
        <v>#VALUE!</v>
      </c>
      <c r="AV106" s="1" t="e">
        <f t="shared" si="20"/>
        <v>#VALUE!</v>
      </c>
      <c r="AW106" s="1" t="e">
        <f t="shared" si="21"/>
        <v>#VALUE!</v>
      </c>
    </row>
    <row r="107" spans="1:49" x14ac:dyDescent="0.2">
      <c r="A107">
        <v>105</v>
      </c>
      <c r="B107" t="s">
        <v>6277</v>
      </c>
      <c r="C107" t="s">
        <v>6276</v>
      </c>
      <c r="D107">
        <v>30401885902433</v>
      </c>
      <c r="F107" t="s">
        <v>6275</v>
      </c>
      <c r="G107" t="s">
        <v>15</v>
      </c>
      <c r="H107" t="s">
        <v>14</v>
      </c>
      <c r="I107" t="s">
        <v>6274</v>
      </c>
      <c r="J107">
        <v>60019987</v>
      </c>
      <c r="K107" t="s">
        <v>2088</v>
      </c>
      <c r="L107" t="s">
        <v>2087</v>
      </c>
      <c r="M107" t="s">
        <v>2086</v>
      </c>
      <c r="N107">
        <v>3</v>
      </c>
      <c r="O107" t="s">
        <v>6273</v>
      </c>
      <c r="P107" t="s">
        <v>6272</v>
      </c>
      <c r="Q107" t="s">
        <v>6271</v>
      </c>
      <c r="R107" s="7">
        <v>31093</v>
      </c>
      <c r="S107" s="8">
        <f t="shared" si="16"/>
        <v>1985</v>
      </c>
      <c r="T107" s="8">
        <v>1985</v>
      </c>
      <c r="U107" s="8">
        <f t="shared" si="17"/>
        <v>37</v>
      </c>
      <c r="V107" s="7">
        <v>31093</v>
      </c>
      <c r="W107" t="s">
        <v>6270</v>
      </c>
      <c r="X107" s="2">
        <v>0.625</v>
      </c>
      <c r="Y107" s="6">
        <f t="shared" si="14"/>
        <v>1.6684018045433919E-2</v>
      </c>
      <c r="AA107">
        <v>304018</v>
      </c>
      <c r="AB107">
        <v>12352</v>
      </c>
      <c r="AD107" t="s">
        <v>4</v>
      </c>
      <c r="AE107">
        <v>53</v>
      </c>
      <c r="AF107">
        <v>2</v>
      </c>
      <c r="AH107" t="s">
        <v>6269</v>
      </c>
      <c r="AI107" t="s">
        <v>6268</v>
      </c>
      <c r="AK107" t="s">
        <v>6267</v>
      </c>
      <c r="AL107">
        <v>4</v>
      </c>
      <c r="AM107" s="5">
        <f t="shared" si="18"/>
        <v>0.10810810810810811</v>
      </c>
      <c r="AN107" s="4">
        <f t="shared" si="15"/>
        <v>1.6373814177676353E-4</v>
      </c>
      <c r="AO107" s="3"/>
      <c r="AP107">
        <v>0</v>
      </c>
      <c r="AR107" t="s">
        <v>0</v>
      </c>
      <c r="AT107" s="2">
        <v>2.31</v>
      </c>
      <c r="AU107" s="1">
        <f t="shared" si="19"/>
        <v>1.1727934074336772</v>
      </c>
      <c r="AV107" s="1">
        <f t="shared" si="20"/>
        <v>0.84238780936053415</v>
      </c>
      <c r="AW107" s="1">
        <f t="shared" si="21"/>
        <v>0.51198221128739108</v>
      </c>
    </row>
    <row r="108" spans="1:49" x14ac:dyDescent="0.2">
      <c r="A108">
        <v>106</v>
      </c>
      <c r="B108" t="s">
        <v>6266</v>
      </c>
      <c r="C108" t="s">
        <v>6265</v>
      </c>
      <c r="D108" t="s">
        <v>6264</v>
      </c>
      <c r="F108" t="s">
        <v>6263</v>
      </c>
      <c r="G108" t="s">
        <v>15</v>
      </c>
      <c r="H108" t="s">
        <v>14</v>
      </c>
      <c r="I108" t="s">
        <v>6262</v>
      </c>
      <c r="J108">
        <v>60025038</v>
      </c>
      <c r="K108" t="s">
        <v>325</v>
      </c>
      <c r="L108" t="s">
        <v>324</v>
      </c>
      <c r="M108" t="s">
        <v>122</v>
      </c>
      <c r="N108">
        <v>2</v>
      </c>
      <c r="O108" t="s">
        <v>6261</v>
      </c>
      <c r="P108" t="s">
        <v>6260</v>
      </c>
      <c r="Q108" t="s">
        <v>6259</v>
      </c>
      <c r="R108" s="7">
        <v>31089</v>
      </c>
      <c r="S108" s="8">
        <f t="shared" si="16"/>
        <v>1985</v>
      </c>
      <c r="T108" s="8">
        <v>1985</v>
      </c>
      <c r="U108" s="8">
        <f t="shared" si="17"/>
        <v>37</v>
      </c>
      <c r="V108" s="7">
        <v>31089</v>
      </c>
      <c r="W108" t="s">
        <v>160</v>
      </c>
      <c r="X108" s="2">
        <v>1.593</v>
      </c>
      <c r="Y108" s="6">
        <f t="shared" si="14"/>
        <v>4.2524225194201973E-2</v>
      </c>
      <c r="AA108">
        <v>145793</v>
      </c>
      <c r="AB108">
        <v>17481</v>
      </c>
      <c r="AD108" t="s">
        <v>4</v>
      </c>
      <c r="AE108">
        <v>181</v>
      </c>
      <c r="AF108">
        <v>1</v>
      </c>
      <c r="AH108" t="s">
        <v>6258</v>
      </c>
      <c r="AI108" t="s">
        <v>6257</v>
      </c>
      <c r="AJ108" t="s">
        <v>6256</v>
      </c>
      <c r="AK108" t="s">
        <v>6255</v>
      </c>
      <c r="AL108">
        <v>38</v>
      </c>
      <c r="AM108" s="5">
        <f t="shared" si="18"/>
        <v>1.027027027027027</v>
      </c>
      <c r="AN108" s="4">
        <f t="shared" si="15"/>
        <v>1.5555123468792532E-3</v>
      </c>
      <c r="AO108" s="3"/>
      <c r="AP108">
        <v>1</v>
      </c>
      <c r="AR108" t="s">
        <v>0</v>
      </c>
      <c r="AT108" s="2">
        <v>4.1239999999999997</v>
      </c>
      <c r="AU108" s="1">
        <f t="shared" si="19"/>
        <v>3.0233611340005155</v>
      </c>
      <c r="AV108" s="1">
        <f t="shared" si="20"/>
        <v>2.2039868770540614</v>
      </c>
      <c r="AW108" s="1">
        <f t="shared" si="21"/>
        <v>1.384612620107607</v>
      </c>
    </row>
    <row r="109" spans="1:49" x14ac:dyDescent="0.2">
      <c r="A109">
        <v>107</v>
      </c>
      <c r="B109" t="s">
        <v>6254</v>
      </c>
      <c r="C109" t="s">
        <v>6253</v>
      </c>
      <c r="F109" t="s">
        <v>6252</v>
      </c>
      <c r="G109" t="s">
        <v>15</v>
      </c>
      <c r="H109" t="s">
        <v>14</v>
      </c>
      <c r="I109" t="s">
        <v>6251</v>
      </c>
      <c r="J109">
        <v>60016211</v>
      </c>
      <c r="K109" t="s">
        <v>6250</v>
      </c>
      <c r="L109" t="s">
        <v>6249</v>
      </c>
      <c r="M109" t="s">
        <v>3505</v>
      </c>
      <c r="N109">
        <v>1</v>
      </c>
      <c r="O109" t="s">
        <v>6248</v>
      </c>
      <c r="P109">
        <v>36472841300</v>
      </c>
      <c r="Q109">
        <v>60016211</v>
      </c>
      <c r="R109" s="7">
        <v>31079</v>
      </c>
      <c r="S109" s="8">
        <f t="shared" si="16"/>
        <v>1985</v>
      </c>
      <c r="T109" s="8">
        <v>1985</v>
      </c>
      <c r="U109" s="8">
        <f t="shared" si="17"/>
        <v>37</v>
      </c>
      <c r="V109" s="7">
        <v>31079</v>
      </c>
      <c r="W109" t="s">
        <v>6247</v>
      </c>
      <c r="X109" s="2">
        <v>1.1870000000000001</v>
      </c>
      <c r="Y109" s="6">
        <f t="shared" si="14"/>
        <v>3.16862870718881E-2</v>
      </c>
      <c r="AA109">
        <v>2561530</v>
      </c>
      <c r="AB109">
        <v>12064</v>
      </c>
      <c r="AC109">
        <v>18619533</v>
      </c>
      <c r="AD109" t="s">
        <v>4</v>
      </c>
      <c r="AE109">
        <v>2</v>
      </c>
      <c r="AF109">
        <v>1</v>
      </c>
      <c r="AH109" t="s">
        <v>1256</v>
      </c>
      <c r="AI109" t="s">
        <v>6246</v>
      </c>
      <c r="AK109" t="s">
        <v>6245</v>
      </c>
      <c r="AL109">
        <v>0</v>
      </c>
      <c r="AM109" s="5">
        <f t="shared" si="18"/>
        <v>0</v>
      </c>
      <c r="AN109" s="4">
        <f t="shared" si="15"/>
        <v>0</v>
      </c>
      <c r="AO109" s="3"/>
      <c r="AP109">
        <v>0</v>
      </c>
      <c r="AR109" t="s">
        <v>0</v>
      </c>
      <c r="AT109" s="2">
        <v>3.1579999999999999</v>
      </c>
      <c r="AU109" s="1">
        <f t="shared" si="19"/>
        <v>2.2180400950321668</v>
      </c>
      <c r="AV109" s="1">
        <f t="shared" si="20"/>
        <v>1.5843143535944051</v>
      </c>
      <c r="AW109" s="1">
        <f t="shared" si="21"/>
        <v>0.95058861215664303</v>
      </c>
    </row>
    <row r="110" spans="1:49" x14ac:dyDescent="0.2">
      <c r="A110">
        <v>108</v>
      </c>
      <c r="B110" t="s">
        <v>6244</v>
      </c>
      <c r="C110" t="s">
        <v>6243</v>
      </c>
      <c r="F110" t="s">
        <v>6242</v>
      </c>
      <c r="G110" t="s">
        <v>15</v>
      </c>
      <c r="H110" t="s">
        <v>14</v>
      </c>
      <c r="I110" t="s">
        <v>6241</v>
      </c>
      <c r="N110">
        <v>1</v>
      </c>
      <c r="O110" t="s">
        <v>6240</v>
      </c>
      <c r="P110">
        <v>7003286886</v>
      </c>
      <c r="R110" s="7">
        <v>31079</v>
      </c>
      <c r="S110" s="8">
        <f t="shared" si="16"/>
        <v>1985</v>
      </c>
      <c r="T110" s="8">
        <v>1985</v>
      </c>
      <c r="U110" s="8">
        <f t="shared" si="17"/>
        <v>37</v>
      </c>
      <c r="V110" s="7">
        <v>31079</v>
      </c>
      <c r="W110" t="s">
        <v>6239</v>
      </c>
      <c r="X110" s="2">
        <v>0.318</v>
      </c>
      <c r="Y110" s="6">
        <f t="shared" si="14"/>
        <v>8.4888283815167786E-3</v>
      </c>
      <c r="AA110">
        <v>338443</v>
      </c>
      <c r="AB110">
        <v>27160</v>
      </c>
      <c r="AC110">
        <v>15739120</v>
      </c>
      <c r="AD110" t="s">
        <v>4</v>
      </c>
      <c r="AE110">
        <v>28</v>
      </c>
      <c r="AF110">
        <v>2</v>
      </c>
      <c r="AH110" t="s">
        <v>1066</v>
      </c>
      <c r="AL110">
        <v>0</v>
      </c>
      <c r="AM110" s="5">
        <f t="shared" si="18"/>
        <v>0</v>
      </c>
      <c r="AN110" s="4">
        <f t="shared" si="15"/>
        <v>0</v>
      </c>
      <c r="AO110" s="3"/>
      <c r="AP110">
        <v>0</v>
      </c>
      <c r="AR110" t="s">
        <v>0</v>
      </c>
      <c r="AT110" s="2">
        <v>0.77</v>
      </c>
      <c r="AU110" s="1">
        <f t="shared" si="19"/>
        <v>0.59421798670617454</v>
      </c>
      <c r="AV110" s="1">
        <f t="shared" si="20"/>
        <v>0.42444141907583893</v>
      </c>
      <c r="AW110" s="1">
        <f t="shared" si="21"/>
        <v>0.25466485144550338</v>
      </c>
    </row>
    <row r="111" spans="1:49" x14ac:dyDescent="0.2">
      <c r="A111">
        <v>109</v>
      </c>
      <c r="B111" t="s">
        <v>6238</v>
      </c>
      <c r="F111" t="s">
        <v>6237</v>
      </c>
      <c r="G111" t="s">
        <v>15</v>
      </c>
      <c r="H111" t="s">
        <v>14</v>
      </c>
      <c r="I111" t="s">
        <v>6236</v>
      </c>
      <c r="J111">
        <v>100317062</v>
      </c>
      <c r="K111" t="s">
        <v>6235</v>
      </c>
      <c r="L111" t="s">
        <v>6234</v>
      </c>
      <c r="M111" t="s">
        <v>530</v>
      </c>
      <c r="N111">
        <v>1</v>
      </c>
      <c r="O111" t="s">
        <v>6233</v>
      </c>
      <c r="P111">
        <v>7102849341</v>
      </c>
      <c r="Q111">
        <v>100317062</v>
      </c>
      <c r="R111" s="7">
        <v>31079</v>
      </c>
      <c r="S111" s="8">
        <f t="shared" si="16"/>
        <v>1985</v>
      </c>
      <c r="T111" s="8">
        <v>1985</v>
      </c>
      <c r="U111" s="8">
        <f t="shared" si="17"/>
        <v>37</v>
      </c>
      <c r="V111" s="7">
        <v>31079</v>
      </c>
      <c r="W111" t="s">
        <v>6232</v>
      </c>
      <c r="X111" s="2" t="s">
        <v>19</v>
      </c>
      <c r="Y111" s="6" t="e">
        <f t="shared" si="14"/>
        <v>#VALUE!</v>
      </c>
      <c r="AB111">
        <v>34646</v>
      </c>
      <c r="AD111" t="s">
        <v>4</v>
      </c>
      <c r="AE111">
        <v>9</v>
      </c>
      <c r="AF111">
        <v>3</v>
      </c>
      <c r="AH111" t="s">
        <v>6231</v>
      </c>
      <c r="AI111" t="s">
        <v>6230</v>
      </c>
      <c r="AK111" t="s">
        <v>6229</v>
      </c>
      <c r="AL111">
        <v>0</v>
      </c>
      <c r="AM111" s="5">
        <f t="shared" si="18"/>
        <v>0</v>
      </c>
      <c r="AN111" s="4">
        <f t="shared" si="15"/>
        <v>0</v>
      </c>
      <c r="AO111" s="3"/>
      <c r="AP111">
        <v>0</v>
      </c>
      <c r="AR111" t="s">
        <v>0</v>
      </c>
      <c r="AT111" s="2" t="s">
        <v>19</v>
      </c>
      <c r="AU111" s="1" t="e">
        <f t="shared" si="19"/>
        <v>#VALUE!</v>
      </c>
      <c r="AV111" s="1" t="e">
        <f t="shared" si="20"/>
        <v>#VALUE!</v>
      </c>
      <c r="AW111" s="1" t="e">
        <f t="shared" si="21"/>
        <v>#VALUE!</v>
      </c>
    </row>
    <row r="112" spans="1:49" x14ac:dyDescent="0.2">
      <c r="A112">
        <v>110</v>
      </c>
      <c r="B112" t="s">
        <v>6228</v>
      </c>
      <c r="F112" t="s">
        <v>6227</v>
      </c>
      <c r="G112" t="s">
        <v>15</v>
      </c>
      <c r="H112" t="s">
        <v>14</v>
      </c>
      <c r="I112" t="s">
        <v>6226</v>
      </c>
      <c r="J112">
        <v>60018735</v>
      </c>
      <c r="K112" t="s">
        <v>6225</v>
      </c>
      <c r="L112" t="s">
        <v>594</v>
      </c>
      <c r="M112" t="s">
        <v>544</v>
      </c>
      <c r="N112">
        <v>2</v>
      </c>
      <c r="O112" t="s">
        <v>6224</v>
      </c>
      <c r="P112" t="s">
        <v>6223</v>
      </c>
      <c r="Q112" t="s">
        <v>6222</v>
      </c>
      <c r="R112" s="7">
        <v>31079</v>
      </c>
      <c r="S112" s="8">
        <f t="shared" si="16"/>
        <v>1985</v>
      </c>
      <c r="T112" s="8">
        <v>1985</v>
      </c>
      <c r="U112" s="8">
        <f t="shared" si="17"/>
        <v>37</v>
      </c>
      <c r="V112" s="7">
        <v>31079</v>
      </c>
      <c r="W112" t="s">
        <v>6221</v>
      </c>
      <c r="X112" s="2" t="s">
        <v>19</v>
      </c>
      <c r="Y112" s="6" t="e">
        <f t="shared" si="14"/>
        <v>#VALUE!</v>
      </c>
      <c r="AA112" t="s">
        <v>6220</v>
      </c>
      <c r="AB112">
        <v>30906</v>
      </c>
      <c r="AD112" t="s">
        <v>4</v>
      </c>
      <c r="AE112" t="s">
        <v>6219</v>
      </c>
      <c r="AF112">
        <v>2</v>
      </c>
      <c r="AH112" t="s">
        <v>6218</v>
      </c>
      <c r="AI112" t="s">
        <v>6217</v>
      </c>
      <c r="AK112" t="s">
        <v>6216</v>
      </c>
      <c r="AL112">
        <v>2</v>
      </c>
      <c r="AM112" s="5">
        <f t="shared" si="18"/>
        <v>5.4054054054054057E-2</v>
      </c>
      <c r="AN112" s="4">
        <f t="shared" si="15"/>
        <v>8.1869070888381765E-5</v>
      </c>
      <c r="AO112" s="3"/>
      <c r="AP112">
        <v>0</v>
      </c>
      <c r="AR112" t="s">
        <v>0</v>
      </c>
      <c r="AT112" s="2" t="s">
        <v>19</v>
      </c>
      <c r="AU112" s="1" t="e">
        <f t="shared" si="19"/>
        <v>#VALUE!</v>
      </c>
      <c r="AV112" s="1" t="e">
        <f t="shared" si="20"/>
        <v>#VALUE!</v>
      </c>
      <c r="AW112" s="1" t="e">
        <f t="shared" si="21"/>
        <v>#VALUE!</v>
      </c>
    </row>
    <row r="113" spans="1:49" x14ac:dyDescent="0.2">
      <c r="A113">
        <v>111</v>
      </c>
      <c r="B113" t="s">
        <v>6215</v>
      </c>
      <c r="F113" t="s">
        <v>6214</v>
      </c>
      <c r="G113" t="s">
        <v>15</v>
      </c>
      <c r="H113" t="s">
        <v>14</v>
      </c>
      <c r="I113" t="s">
        <v>6198</v>
      </c>
      <c r="J113">
        <v>60072226</v>
      </c>
      <c r="K113" t="s">
        <v>6213</v>
      </c>
      <c r="L113" t="s">
        <v>6212</v>
      </c>
      <c r="M113" t="s">
        <v>434</v>
      </c>
      <c r="N113">
        <v>3</v>
      </c>
      <c r="O113" t="s">
        <v>6211</v>
      </c>
      <c r="P113" t="s">
        <v>6210</v>
      </c>
      <c r="Q113" t="s">
        <v>6209</v>
      </c>
      <c r="R113" s="7">
        <v>31079</v>
      </c>
      <c r="S113" s="8">
        <f t="shared" si="16"/>
        <v>1985</v>
      </c>
      <c r="T113" s="8">
        <v>1985</v>
      </c>
      <c r="U113" s="8">
        <f t="shared" si="17"/>
        <v>37</v>
      </c>
      <c r="V113" s="7">
        <v>31079</v>
      </c>
      <c r="W113" t="s">
        <v>6193</v>
      </c>
      <c r="X113" s="2" t="s">
        <v>19</v>
      </c>
      <c r="Y113" s="6" t="e">
        <f t="shared" si="14"/>
        <v>#VALUE!</v>
      </c>
      <c r="AA113">
        <v>2511096</v>
      </c>
      <c r="AB113">
        <v>26110</v>
      </c>
      <c r="AD113" t="s">
        <v>4</v>
      </c>
      <c r="AE113">
        <v>65</v>
      </c>
      <c r="AH113" t="s">
        <v>159</v>
      </c>
      <c r="AI113" t="s">
        <v>6208</v>
      </c>
      <c r="AK113" t="s">
        <v>6207</v>
      </c>
      <c r="AL113">
        <v>0</v>
      </c>
      <c r="AM113" s="5">
        <f t="shared" si="18"/>
        <v>0</v>
      </c>
      <c r="AN113" s="4">
        <f t="shared" si="15"/>
        <v>0</v>
      </c>
      <c r="AO113" s="3"/>
      <c r="AP113">
        <v>0</v>
      </c>
      <c r="AR113" t="s">
        <v>0</v>
      </c>
      <c r="AT113" s="2" t="s">
        <v>19</v>
      </c>
      <c r="AU113" s="1" t="e">
        <f t="shared" si="19"/>
        <v>#VALUE!</v>
      </c>
      <c r="AV113" s="1" t="e">
        <f t="shared" si="20"/>
        <v>#VALUE!</v>
      </c>
      <c r="AW113" s="1" t="e">
        <f t="shared" si="21"/>
        <v>#VALUE!</v>
      </c>
    </row>
    <row r="114" spans="1:49" x14ac:dyDescent="0.2">
      <c r="A114">
        <v>112</v>
      </c>
      <c r="B114" t="s">
        <v>6206</v>
      </c>
      <c r="F114" t="s">
        <v>6205</v>
      </c>
      <c r="G114" t="s">
        <v>15</v>
      </c>
      <c r="H114" t="s">
        <v>14</v>
      </c>
      <c r="I114" t="s">
        <v>1452</v>
      </c>
      <c r="J114">
        <v>60011664</v>
      </c>
      <c r="K114" t="s">
        <v>3493</v>
      </c>
      <c r="L114" t="s">
        <v>3492</v>
      </c>
      <c r="M114" t="s">
        <v>43</v>
      </c>
      <c r="N114">
        <v>1</v>
      </c>
      <c r="O114" t="s">
        <v>6204</v>
      </c>
      <c r="P114">
        <v>7402229975</v>
      </c>
      <c r="Q114">
        <v>60011664</v>
      </c>
      <c r="R114" s="7">
        <v>31079</v>
      </c>
      <c r="S114" s="8">
        <f t="shared" si="16"/>
        <v>1985</v>
      </c>
      <c r="T114" s="8">
        <v>1985</v>
      </c>
      <c r="U114" s="8">
        <f t="shared" si="17"/>
        <v>37</v>
      </c>
      <c r="V114" s="7">
        <v>31079</v>
      </c>
      <c r="W114" s="11" t="s">
        <v>1366</v>
      </c>
      <c r="X114" s="2">
        <v>2.383</v>
      </c>
      <c r="Y114" s="6">
        <f t="shared" si="14"/>
        <v>6.3612824003630442E-2</v>
      </c>
      <c r="AA114">
        <v>1437097</v>
      </c>
      <c r="AB114">
        <v>101236</v>
      </c>
      <c r="AD114" t="s">
        <v>4</v>
      </c>
      <c r="AE114">
        <v>132</v>
      </c>
      <c r="AF114" t="s">
        <v>1365</v>
      </c>
      <c r="AH114" t="s">
        <v>6203</v>
      </c>
      <c r="AI114" t="s">
        <v>6202</v>
      </c>
      <c r="AK114" t="s">
        <v>6201</v>
      </c>
      <c r="AL114">
        <v>3</v>
      </c>
      <c r="AM114" s="5">
        <f t="shared" si="18"/>
        <v>8.1081081081081086E-2</v>
      </c>
      <c r="AN114" s="4">
        <f t="shared" si="15"/>
        <v>1.2280360633257263E-4</v>
      </c>
      <c r="AO114" s="3"/>
      <c r="AP114">
        <v>0</v>
      </c>
      <c r="AR114" t="s">
        <v>0</v>
      </c>
      <c r="AT114" s="2" t="s">
        <v>19</v>
      </c>
      <c r="AU114" s="1">
        <f t="shared" si="19"/>
        <v>4.4565817884441081</v>
      </c>
      <c r="AV114" s="1">
        <f t="shared" si="20"/>
        <v>3.1867813804981506</v>
      </c>
      <c r="AW114" s="1">
        <f t="shared" si="21"/>
        <v>1.9169809725521934</v>
      </c>
    </row>
    <row r="115" spans="1:49" x14ac:dyDescent="0.2">
      <c r="A115">
        <v>113</v>
      </c>
      <c r="B115" t="s">
        <v>6200</v>
      </c>
      <c r="F115" t="s">
        <v>6199</v>
      </c>
      <c r="G115" t="s">
        <v>15</v>
      </c>
      <c r="H115" t="s">
        <v>14</v>
      </c>
      <c r="I115" t="s">
        <v>6198</v>
      </c>
      <c r="J115">
        <v>100633305</v>
      </c>
      <c r="K115" t="s">
        <v>6197</v>
      </c>
      <c r="N115">
        <v>5</v>
      </c>
      <c r="O115" t="s">
        <v>6196</v>
      </c>
      <c r="P115" t="s">
        <v>6195</v>
      </c>
      <c r="Q115" t="s">
        <v>6194</v>
      </c>
      <c r="R115" s="7">
        <v>31079</v>
      </c>
      <c r="S115" s="8">
        <f t="shared" si="16"/>
        <v>1985</v>
      </c>
      <c r="T115" s="8">
        <v>1985</v>
      </c>
      <c r="U115" s="8">
        <f t="shared" si="17"/>
        <v>37</v>
      </c>
      <c r="V115" s="7">
        <v>31079</v>
      </c>
      <c r="W115" t="s">
        <v>6193</v>
      </c>
      <c r="X115" s="2" t="s">
        <v>19</v>
      </c>
      <c r="Y115" s="6" t="e">
        <f t="shared" si="14"/>
        <v>#VALUE!</v>
      </c>
      <c r="AA115">
        <v>2511096</v>
      </c>
      <c r="AB115">
        <v>26110</v>
      </c>
      <c r="AD115" t="s">
        <v>4</v>
      </c>
      <c r="AE115">
        <v>65</v>
      </c>
      <c r="AH115" t="s">
        <v>6192</v>
      </c>
      <c r="AI115" t="s">
        <v>6191</v>
      </c>
      <c r="AK115" t="s">
        <v>6190</v>
      </c>
      <c r="AL115">
        <v>1</v>
      </c>
      <c r="AM115" s="5">
        <f t="shared" si="18"/>
        <v>2.7027027027027029E-2</v>
      </c>
      <c r="AN115" s="4">
        <f t="shared" si="15"/>
        <v>4.0934535444190883E-5</v>
      </c>
      <c r="AO115" s="3"/>
      <c r="AP115">
        <v>0</v>
      </c>
      <c r="AR115" t="s">
        <v>0</v>
      </c>
      <c r="AT115" s="2" t="s">
        <v>19</v>
      </c>
      <c r="AU115" s="1" t="e">
        <f t="shared" si="19"/>
        <v>#VALUE!</v>
      </c>
      <c r="AV115" s="1" t="e">
        <f t="shared" si="20"/>
        <v>#VALUE!</v>
      </c>
      <c r="AW115" s="1" t="e">
        <f t="shared" si="21"/>
        <v>#VALUE!</v>
      </c>
    </row>
    <row r="116" spans="1:49" x14ac:dyDescent="0.2">
      <c r="A116">
        <v>114</v>
      </c>
      <c r="B116" t="s">
        <v>6189</v>
      </c>
      <c r="C116" t="s">
        <v>6188</v>
      </c>
      <c r="F116" t="s">
        <v>6187</v>
      </c>
      <c r="G116" t="s">
        <v>15</v>
      </c>
      <c r="H116" t="s">
        <v>14</v>
      </c>
      <c r="I116" t="s">
        <v>6186</v>
      </c>
      <c r="J116">
        <v>60022659</v>
      </c>
      <c r="K116" t="s">
        <v>6185</v>
      </c>
      <c r="L116" t="s">
        <v>6184</v>
      </c>
      <c r="M116" t="s">
        <v>122</v>
      </c>
      <c r="N116">
        <v>2</v>
      </c>
      <c r="O116" t="s">
        <v>6183</v>
      </c>
      <c r="P116" t="s">
        <v>6182</v>
      </c>
      <c r="Q116" t="s">
        <v>6181</v>
      </c>
      <c r="R116" s="7">
        <v>31079</v>
      </c>
      <c r="S116" s="8">
        <f t="shared" si="16"/>
        <v>1985</v>
      </c>
      <c r="T116" s="8">
        <v>1985</v>
      </c>
      <c r="U116" s="8">
        <f t="shared" si="17"/>
        <v>37</v>
      </c>
      <c r="V116" s="7">
        <v>31079</v>
      </c>
      <c r="W116" t="s">
        <v>6180</v>
      </c>
      <c r="X116" s="2">
        <v>0.61499999999999999</v>
      </c>
      <c r="Y116" s="6">
        <f t="shared" si="14"/>
        <v>1.6417073756706976E-2</v>
      </c>
      <c r="AA116">
        <v>1959271</v>
      </c>
      <c r="AB116">
        <v>12141</v>
      </c>
      <c r="AC116">
        <v>15729559</v>
      </c>
      <c r="AD116" t="s">
        <v>4</v>
      </c>
      <c r="AE116">
        <v>6</v>
      </c>
      <c r="AF116">
        <v>2</v>
      </c>
      <c r="AH116" t="s">
        <v>6179</v>
      </c>
      <c r="AI116" t="s">
        <v>6178</v>
      </c>
      <c r="AK116" t="s">
        <v>6177</v>
      </c>
      <c r="AL116">
        <v>2</v>
      </c>
      <c r="AM116" s="5">
        <f t="shared" si="18"/>
        <v>5.4054054054054057E-2</v>
      </c>
      <c r="AN116" s="4">
        <f t="shared" si="15"/>
        <v>8.1869070888381765E-5</v>
      </c>
      <c r="AO116" s="3"/>
      <c r="AP116">
        <v>0</v>
      </c>
      <c r="AR116" t="s">
        <v>0</v>
      </c>
      <c r="AT116" s="2" t="s">
        <v>19</v>
      </c>
      <c r="AU116" s="1">
        <f t="shared" si="19"/>
        <v>1.1516512350961396</v>
      </c>
      <c r="AV116" s="1">
        <f t="shared" si="20"/>
        <v>0.82494714137976777</v>
      </c>
      <c r="AW116" s="1">
        <f t="shared" si="21"/>
        <v>0.49824304766339594</v>
      </c>
    </row>
    <row r="117" spans="1:49" x14ac:dyDescent="0.2">
      <c r="A117">
        <v>115</v>
      </c>
      <c r="B117" t="s">
        <v>6176</v>
      </c>
      <c r="F117" t="s">
        <v>6175</v>
      </c>
      <c r="G117" t="s">
        <v>15</v>
      </c>
      <c r="H117" t="s">
        <v>14</v>
      </c>
      <c r="I117" t="s">
        <v>6174</v>
      </c>
      <c r="J117">
        <v>60086608</v>
      </c>
      <c r="K117" t="s">
        <v>6173</v>
      </c>
      <c r="L117" t="s">
        <v>6172</v>
      </c>
      <c r="M117" t="s">
        <v>122</v>
      </c>
      <c r="N117">
        <v>2</v>
      </c>
      <c r="O117" t="s">
        <v>6171</v>
      </c>
      <c r="P117" t="s">
        <v>6170</v>
      </c>
      <c r="Q117" t="s">
        <v>6169</v>
      </c>
      <c r="R117" s="7">
        <v>31079</v>
      </c>
      <c r="S117" s="8">
        <f t="shared" si="16"/>
        <v>1985</v>
      </c>
      <c r="T117" s="8">
        <v>1985</v>
      </c>
      <c r="U117" s="8">
        <f t="shared" si="17"/>
        <v>37</v>
      </c>
      <c r="V117" s="7">
        <v>31079</v>
      </c>
      <c r="W117" t="s">
        <v>6116</v>
      </c>
      <c r="X117" s="2">
        <v>0.10100000000000001</v>
      </c>
      <c r="Y117" s="6">
        <f t="shared" si="14"/>
        <v>2.6961373161421215E-3</v>
      </c>
      <c r="AA117">
        <v>7452993</v>
      </c>
      <c r="AB117">
        <v>18563</v>
      </c>
      <c r="AD117" t="s">
        <v>4</v>
      </c>
      <c r="AE117">
        <v>24</v>
      </c>
      <c r="AF117">
        <v>2</v>
      </c>
      <c r="AH117" t="s">
        <v>6168</v>
      </c>
      <c r="AI117" t="s">
        <v>6167</v>
      </c>
      <c r="AK117" t="s">
        <v>6166</v>
      </c>
      <c r="AL117">
        <v>0</v>
      </c>
      <c r="AM117" s="5">
        <f t="shared" si="18"/>
        <v>0</v>
      </c>
      <c r="AN117" s="4">
        <f t="shared" si="15"/>
        <v>0</v>
      </c>
      <c r="AO117" s="3"/>
      <c r="AP117">
        <v>0</v>
      </c>
      <c r="AR117" t="s">
        <v>0</v>
      </c>
      <c r="AT117" s="2" t="s">
        <v>19</v>
      </c>
      <c r="AU117" s="1">
        <f t="shared" si="19"/>
        <v>0.18872961212994849</v>
      </c>
      <c r="AV117" s="1">
        <f t="shared" si="20"/>
        <v>0.13480686580710607</v>
      </c>
      <c r="AW117" s="1">
        <f t="shared" si="21"/>
        <v>8.0884119484263647E-2</v>
      </c>
    </row>
    <row r="118" spans="1:49" x14ac:dyDescent="0.2">
      <c r="A118">
        <v>116</v>
      </c>
      <c r="B118" t="s">
        <v>6165</v>
      </c>
      <c r="F118" t="s">
        <v>6164</v>
      </c>
      <c r="G118" t="s">
        <v>15</v>
      </c>
      <c r="H118" t="s">
        <v>14</v>
      </c>
      <c r="I118" t="s">
        <v>6163</v>
      </c>
      <c r="N118">
        <v>1</v>
      </c>
      <c r="O118" t="s">
        <v>6162</v>
      </c>
      <c r="P118">
        <v>6507391730</v>
      </c>
      <c r="R118" s="7">
        <v>31079</v>
      </c>
      <c r="S118" s="8">
        <f t="shared" si="16"/>
        <v>1985</v>
      </c>
      <c r="T118" s="8">
        <v>1985</v>
      </c>
      <c r="U118" s="8">
        <f t="shared" si="17"/>
        <v>37</v>
      </c>
      <c r="V118" s="7">
        <v>31079</v>
      </c>
      <c r="W118" t="s">
        <v>6136</v>
      </c>
      <c r="X118" s="2" t="s">
        <v>19</v>
      </c>
      <c r="Y118" s="6" t="e">
        <f t="shared" si="14"/>
        <v>#VALUE!</v>
      </c>
      <c r="AB118">
        <v>74127</v>
      </c>
      <c r="AD118" t="s">
        <v>4</v>
      </c>
      <c r="AE118">
        <v>30</v>
      </c>
      <c r="AF118">
        <v>2</v>
      </c>
      <c r="AH118" t="s">
        <v>6161</v>
      </c>
      <c r="AI118" t="s">
        <v>6160</v>
      </c>
      <c r="AK118" t="s">
        <v>6159</v>
      </c>
      <c r="AL118">
        <v>0</v>
      </c>
      <c r="AM118" s="5">
        <f t="shared" si="18"/>
        <v>0</v>
      </c>
      <c r="AN118" s="4">
        <f t="shared" si="15"/>
        <v>0</v>
      </c>
      <c r="AO118" s="3"/>
      <c r="AP118">
        <v>0</v>
      </c>
      <c r="AR118" t="s">
        <v>0</v>
      </c>
      <c r="AT118" s="2" t="s">
        <v>19</v>
      </c>
      <c r="AU118" s="1" t="e">
        <f t="shared" si="19"/>
        <v>#VALUE!</v>
      </c>
      <c r="AV118" s="1" t="e">
        <f t="shared" si="20"/>
        <v>#VALUE!</v>
      </c>
      <c r="AW118" s="1" t="e">
        <f t="shared" si="21"/>
        <v>#VALUE!</v>
      </c>
    </row>
    <row r="119" spans="1:49" x14ac:dyDescent="0.2">
      <c r="A119">
        <v>117</v>
      </c>
      <c r="B119" t="s">
        <v>6158</v>
      </c>
      <c r="F119" t="s">
        <v>6157</v>
      </c>
      <c r="G119" t="s">
        <v>15</v>
      </c>
      <c r="H119" t="s">
        <v>14</v>
      </c>
      <c r="I119" t="s">
        <v>6156</v>
      </c>
      <c r="J119">
        <v>60032882</v>
      </c>
      <c r="K119" t="s">
        <v>6155</v>
      </c>
      <c r="L119" t="s">
        <v>6154</v>
      </c>
      <c r="M119" t="s">
        <v>218</v>
      </c>
      <c r="N119">
        <v>1</v>
      </c>
      <c r="O119" t="s">
        <v>6153</v>
      </c>
      <c r="P119">
        <v>6603622140</v>
      </c>
      <c r="Q119">
        <v>60032882</v>
      </c>
      <c r="R119" s="7">
        <v>31079</v>
      </c>
      <c r="S119" s="8">
        <f t="shared" si="16"/>
        <v>1985</v>
      </c>
      <c r="T119" s="8">
        <v>1985</v>
      </c>
      <c r="U119" s="8">
        <f t="shared" si="17"/>
        <v>37</v>
      </c>
      <c r="V119" s="7">
        <v>31079</v>
      </c>
      <c r="W119" t="s">
        <v>6116</v>
      </c>
      <c r="X119" s="2">
        <v>0.10100000000000001</v>
      </c>
      <c r="Y119" s="6">
        <f t="shared" si="14"/>
        <v>2.6961373161421215E-3</v>
      </c>
      <c r="AA119">
        <v>7452993</v>
      </c>
      <c r="AB119">
        <v>18563</v>
      </c>
      <c r="AD119" t="s">
        <v>4</v>
      </c>
      <c r="AE119">
        <v>24</v>
      </c>
      <c r="AF119">
        <v>2</v>
      </c>
      <c r="AH119" t="s">
        <v>6152</v>
      </c>
      <c r="AI119" t="s">
        <v>6151</v>
      </c>
      <c r="AK119" t="s">
        <v>6150</v>
      </c>
      <c r="AL119">
        <v>0</v>
      </c>
      <c r="AM119" s="5">
        <f t="shared" si="18"/>
        <v>0</v>
      </c>
      <c r="AN119" s="4">
        <f t="shared" si="15"/>
        <v>0</v>
      </c>
      <c r="AO119" s="3"/>
      <c r="AP119">
        <v>0</v>
      </c>
      <c r="AR119" t="s">
        <v>0</v>
      </c>
      <c r="AT119" s="2" t="s">
        <v>19</v>
      </c>
      <c r="AU119" s="1">
        <f t="shared" si="19"/>
        <v>0.18872961212994849</v>
      </c>
      <c r="AV119" s="1">
        <f t="shared" si="20"/>
        <v>0.13480686580710607</v>
      </c>
      <c r="AW119" s="1">
        <f t="shared" si="21"/>
        <v>8.0884119484263647E-2</v>
      </c>
    </row>
    <row r="120" spans="1:49" x14ac:dyDescent="0.2">
      <c r="A120">
        <v>118</v>
      </c>
      <c r="B120" t="s">
        <v>6149</v>
      </c>
      <c r="F120" t="s">
        <v>6148</v>
      </c>
      <c r="G120" t="s">
        <v>15</v>
      </c>
      <c r="H120" t="s">
        <v>14</v>
      </c>
      <c r="I120" t="s">
        <v>6147</v>
      </c>
      <c r="J120">
        <v>60082704</v>
      </c>
      <c r="K120" t="s">
        <v>6146</v>
      </c>
      <c r="L120" t="s">
        <v>6145</v>
      </c>
      <c r="M120" t="s">
        <v>530</v>
      </c>
      <c r="N120">
        <v>1</v>
      </c>
      <c r="O120" t="s">
        <v>6144</v>
      </c>
      <c r="P120">
        <v>7004015263</v>
      </c>
      <c r="Q120">
        <v>60082704</v>
      </c>
      <c r="R120" s="7">
        <v>31079</v>
      </c>
      <c r="S120" s="8">
        <f t="shared" si="16"/>
        <v>1985</v>
      </c>
      <c r="T120" s="8">
        <v>1985</v>
      </c>
      <c r="U120" s="8">
        <f t="shared" si="17"/>
        <v>37</v>
      </c>
      <c r="V120" s="7">
        <v>31079</v>
      </c>
      <c r="W120" t="s">
        <v>6116</v>
      </c>
      <c r="X120" s="2">
        <v>0.10100000000000001</v>
      </c>
      <c r="Y120" s="6">
        <f t="shared" si="14"/>
        <v>2.6961373161421215E-3</v>
      </c>
      <c r="AA120">
        <v>7452993</v>
      </c>
      <c r="AB120">
        <v>18563</v>
      </c>
      <c r="AD120" t="s">
        <v>4</v>
      </c>
      <c r="AE120">
        <v>24</v>
      </c>
      <c r="AF120">
        <v>2</v>
      </c>
      <c r="AH120" t="s">
        <v>6143</v>
      </c>
      <c r="AI120" t="s">
        <v>6142</v>
      </c>
      <c r="AK120" t="s">
        <v>6141</v>
      </c>
      <c r="AL120">
        <v>0</v>
      </c>
      <c r="AM120" s="5">
        <f t="shared" si="18"/>
        <v>0</v>
      </c>
      <c r="AN120" s="4">
        <f t="shared" si="15"/>
        <v>0</v>
      </c>
      <c r="AO120" s="3"/>
      <c r="AP120">
        <v>0</v>
      </c>
      <c r="AR120" t="s">
        <v>0</v>
      </c>
      <c r="AT120" s="2" t="s">
        <v>19</v>
      </c>
      <c r="AU120" s="1">
        <f t="shared" si="19"/>
        <v>0.18872961212994849</v>
      </c>
      <c r="AV120" s="1">
        <f t="shared" si="20"/>
        <v>0.13480686580710607</v>
      </c>
      <c r="AW120" s="1">
        <f t="shared" si="21"/>
        <v>8.0884119484263647E-2</v>
      </c>
    </row>
    <row r="121" spans="1:49" x14ac:dyDescent="0.2">
      <c r="A121">
        <v>119</v>
      </c>
      <c r="B121" t="s">
        <v>6140</v>
      </c>
      <c r="F121" t="s">
        <v>6139</v>
      </c>
      <c r="G121" t="s">
        <v>15</v>
      </c>
      <c r="H121" t="s">
        <v>14</v>
      </c>
      <c r="I121" t="s">
        <v>6138</v>
      </c>
      <c r="N121">
        <v>1</v>
      </c>
      <c r="O121" t="s">
        <v>6137</v>
      </c>
      <c r="P121">
        <v>6507790330</v>
      </c>
      <c r="R121" s="7">
        <v>31079</v>
      </c>
      <c r="S121" s="8">
        <f t="shared" si="16"/>
        <v>1985</v>
      </c>
      <c r="T121" s="8">
        <v>1985</v>
      </c>
      <c r="U121" s="8">
        <f t="shared" si="17"/>
        <v>37</v>
      </c>
      <c r="V121" s="7">
        <v>31079</v>
      </c>
      <c r="W121" t="s">
        <v>6136</v>
      </c>
      <c r="X121" s="2" t="s">
        <v>19</v>
      </c>
      <c r="Y121" s="6" t="e">
        <f t="shared" si="14"/>
        <v>#VALUE!</v>
      </c>
      <c r="AB121">
        <v>74127</v>
      </c>
      <c r="AD121" t="s">
        <v>4</v>
      </c>
      <c r="AE121">
        <v>30</v>
      </c>
      <c r="AF121">
        <v>2</v>
      </c>
      <c r="AH121" t="s">
        <v>6135</v>
      </c>
      <c r="AI121" t="s">
        <v>6134</v>
      </c>
      <c r="AK121" t="s">
        <v>6133</v>
      </c>
      <c r="AL121">
        <v>1</v>
      </c>
      <c r="AM121" s="5">
        <f t="shared" si="18"/>
        <v>2.7027027027027029E-2</v>
      </c>
      <c r="AN121" s="4">
        <f t="shared" si="15"/>
        <v>4.0934535444190883E-5</v>
      </c>
      <c r="AO121" s="3"/>
      <c r="AP121">
        <v>0</v>
      </c>
      <c r="AR121" t="s">
        <v>0</v>
      </c>
      <c r="AT121" s="2" t="s">
        <v>19</v>
      </c>
      <c r="AU121" s="1" t="e">
        <f t="shared" si="19"/>
        <v>#VALUE!</v>
      </c>
      <c r="AV121" s="1" t="e">
        <f t="shared" si="20"/>
        <v>#VALUE!</v>
      </c>
      <c r="AW121" s="1" t="e">
        <f t="shared" si="21"/>
        <v>#VALUE!</v>
      </c>
    </row>
    <row r="122" spans="1:49" x14ac:dyDescent="0.2">
      <c r="A122">
        <v>120</v>
      </c>
      <c r="B122" t="s">
        <v>6132</v>
      </c>
      <c r="F122" t="s">
        <v>6131</v>
      </c>
      <c r="G122" t="s">
        <v>15</v>
      </c>
      <c r="H122" t="s">
        <v>14</v>
      </c>
      <c r="I122" t="s">
        <v>6130</v>
      </c>
      <c r="J122">
        <v>60005304</v>
      </c>
      <c r="K122" t="s">
        <v>3710</v>
      </c>
      <c r="L122" t="s">
        <v>3275</v>
      </c>
      <c r="M122" t="s">
        <v>122</v>
      </c>
      <c r="N122">
        <v>2</v>
      </c>
      <c r="O122" t="s">
        <v>6129</v>
      </c>
      <c r="P122" t="s">
        <v>6128</v>
      </c>
      <c r="Q122" t="s">
        <v>4446</v>
      </c>
      <c r="R122" s="7">
        <v>31079</v>
      </c>
      <c r="S122" s="8">
        <f t="shared" si="16"/>
        <v>1985</v>
      </c>
      <c r="T122" s="8">
        <v>1985</v>
      </c>
      <c r="U122" s="8">
        <f t="shared" si="17"/>
        <v>37</v>
      </c>
      <c r="V122" s="7">
        <v>31079</v>
      </c>
      <c r="W122" t="s">
        <v>6116</v>
      </c>
      <c r="X122" s="2">
        <v>0.10100000000000001</v>
      </c>
      <c r="Y122" s="6">
        <f t="shared" si="14"/>
        <v>2.6961373161421215E-3</v>
      </c>
      <c r="AA122">
        <v>7452993</v>
      </c>
      <c r="AB122">
        <v>18563</v>
      </c>
      <c r="AD122" t="s">
        <v>4</v>
      </c>
      <c r="AE122">
        <v>24</v>
      </c>
      <c r="AF122">
        <v>2</v>
      </c>
      <c r="AH122" t="s">
        <v>6127</v>
      </c>
      <c r="AI122" t="s">
        <v>6126</v>
      </c>
      <c r="AK122" t="s">
        <v>6125</v>
      </c>
      <c r="AL122">
        <v>3</v>
      </c>
      <c r="AM122" s="5">
        <f t="shared" si="18"/>
        <v>8.1081081081081086E-2</v>
      </c>
      <c r="AN122" s="4">
        <f t="shared" si="15"/>
        <v>1.2280360633257263E-4</v>
      </c>
      <c r="AO122" s="3"/>
      <c r="AP122">
        <v>0</v>
      </c>
      <c r="AR122" t="s">
        <v>0</v>
      </c>
      <c r="AT122" s="2" t="s">
        <v>19</v>
      </c>
      <c r="AU122" s="1">
        <f t="shared" si="19"/>
        <v>0.19241372031992568</v>
      </c>
      <c r="AV122" s="1">
        <f t="shared" si="20"/>
        <v>0.14094704612373471</v>
      </c>
      <c r="AW122" s="1">
        <f t="shared" si="21"/>
        <v>8.9480371927543725E-2</v>
      </c>
    </row>
    <row r="123" spans="1:49" x14ac:dyDescent="0.2">
      <c r="A123">
        <v>121</v>
      </c>
      <c r="B123" t="s">
        <v>6124</v>
      </c>
      <c r="F123" t="s">
        <v>6123</v>
      </c>
      <c r="G123" t="s">
        <v>15</v>
      </c>
      <c r="H123" t="s">
        <v>14</v>
      </c>
      <c r="I123" t="s">
        <v>6122</v>
      </c>
      <c r="J123">
        <v>100314005</v>
      </c>
      <c r="K123" t="s">
        <v>6121</v>
      </c>
      <c r="L123" t="s">
        <v>6120</v>
      </c>
      <c r="M123" t="s">
        <v>530</v>
      </c>
      <c r="N123">
        <v>3</v>
      </c>
      <c r="O123" t="s">
        <v>6119</v>
      </c>
      <c r="P123" t="s">
        <v>6118</v>
      </c>
      <c r="Q123" t="s">
        <v>6117</v>
      </c>
      <c r="R123" s="7">
        <v>31079</v>
      </c>
      <c r="S123" s="8">
        <f t="shared" si="16"/>
        <v>1985</v>
      </c>
      <c r="T123" s="8">
        <v>1985</v>
      </c>
      <c r="U123" s="8">
        <f t="shared" si="17"/>
        <v>37</v>
      </c>
      <c r="V123" s="7">
        <v>31079</v>
      </c>
      <c r="W123" t="s">
        <v>6116</v>
      </c>
      <c r="X123" s="2">
        <v>0.10100000000000001</v>
      </c>
      <c r="Y123" s="6">
        <f t="shared" si="14"/>
        <v>2.6961373161421215E-3</v>
      </c>
      <c r="AA123">
        <v>7452993</v>
      </c>
      <c r="AB123">
        <v>18563</v>
      </c>
      <c r="AD123" t="s">
        <v>4</v>
      </c>
      <c r="AE123">
        <v>24</v>
      </c>
      <c r="AF123">
        <v>2</v>
      </c>
      <c r="AH123" t="s">
        <v>6115</v>
      </c>
      <c r="AI123" t="s">
        <v>6114</v>
      </c>
      <c r="AK123" t="s">
        <v>6113</v>
      </c>
      <c r="AL123">
        <v>46</v>
      </c>
      <c r="AM123" s="5">
        <f t="shared" si="18"/>
        <v>1.2432432432432432</v>
      </c>
      <c r="AN123" s="4">
        <f t="shared" si="15"/>
        <v>1.8829886304327804E-3</v>
      </c>
      <c r="AO123" s="3"/>
      <c r="AP123">
        <v>0</v>
      </c>
      <c r="AR123" t="s">
        <v>0</v>
      </c>
      <c r="AT123" s="2" t="s">
        <v>19</v>
      </c>
      <c r="AU123" s="1">
        <f t="shared" si="19"/>
        <v>0.2452192710429319</v>
      </c>
      <c r="AV123" s="1">
        <f t="shared" si="20"/>
        <v>0.22895629732874509</v>
      </c>
      <c r="AW123" s="1">
        <f t="shared" si="21"/>
        <v>0.21269332361455823</v>
      </c>
    </row>
    <row r="124" spans="1:49" x14ac:dyDescent="0.2">
      <c r="A124">
        <v>122</v>
      </c>
      <c r="B124" t="s">
        <v>6112</v>
      </c>
      <c r="C124" t="s">
        <v>6111</v>
      </c>
      <c r="F124" t="s">
        <v>6110</v>
      </c>
      <c r="G124" t="s">
        <v>15</v>
      </c>
      <c r="H124" t="s">
        <v>14</v>
      </c>
      <c r="I124" t="s">
        <v>6109</v>
      </c>
      <c r="J124" t="s">
        <v>6108</v>
      </c>
      <c r="K124" t="s">
        <v>6107</v>
      </c>
      <c r="L124" t="s">
        <v>6106</v>
      </c>
      <c r="M124" t="s">
        <v>148</v>
      </c>
      <c r="N124">
        <v>6</v>
      </c>
      <c r="O124" t="s">
        <v>6105</v>
      </c>
      <c r="P124" t="s">
        <v>6104</v>
      </c>
      <c r="Q124" t="s">
        <v>6103</v>
      </c>
      <c r="R124" s="7">
        <v>31079</v>
      </c>
      <c r="S124" s="8">
        <f t="shared" si="16"/>
        <v>1985</v>
      </c>
      <c r="T124" s="8">
        <v>1985</v>
      </c>
      <c r="U124" s="8">
        <f t="shared" si="17"/>
        <v>37</v>
      </c>
      <c r="V124" s="7">
        <v>31079</v>
      </c>
      <c r="W124" t="s">
        <v>6102</v>
      </c>
      <c r="X124" s="2">
        <v>0.30099999999999999</v>
      </c>
      <c r="Y124" s="6">
        <f t="shared" si="14"/>
        <v>8.0350230906809754E-3</v>
      </c>
      <c r="AA124">
        <v>9395075</v>
      </c>
      <c r="AB124">
        <v>14954</v>
      </c>
      <c r="AC124">
        <v>18657125</v>
      </c>
      <c r="AD124" t="s">
        <v>4</v>
      </c>
      <c r="AE124">
        <v>40</v>
      </c>
      <c r="AF124" s="9">
        <v>44228</v>
      </c>
      <c r="AH124" t="s">
        <v>6101</v>
      </c>
      <c r="AI124" t="s">
        <v>6100</v>
      </c>
      <c r="AJ124" t="s">
        <v>6099</v>
      </c>
      <c r="AK124" t="s">
        <v>6098</v>
      </c>
      <c r="AL124">
        <v>3</v>
      </c>
      <c r="AM124" s="5">
        <f t="shared" si="18"/>
        <v>8.1081081081081086E-2</v>
      </c>
      <c r="AN124" s="4">
        <f t="shared" si="15"/>
        <v>1.2280360633257263E-4</v>
      </c>
      <c r="AO124" s="3"/>
      <c r="AP124">
        <v>1</v>
      </c>
      <c r="AR124" t="s">
        <v>0</v>
      </c>
      <c r="AT124" s="2" t="s">
        <v>19</v>
      </c>
      <c r="AU124" s="1">
        <f t="shared" si="19"/>
        <v>0.56613572453764538</v>
      </c>
      <c r="AV124" s="1">
        <f t="shared" si="20"/>
        <v>0.40789133485067736</v>
      </c>
      <c r="AW124" s="1">
        <f t="shared" si="21"/>
        <v>0.24964694516370933</v>
      </c>
    </row>
    <row r="125" spans="1:49" x14ac:dyDescent="0.2">
      <c r="A125">
        <v>123</v>
      </c>
      <c r="B125" t="s">
        <v>6097</v>
      </c>
      <c r="C125" t="s">
        <v>6096</v>
      </c>
      <c r="D125">
        <v>5272885900891</v>
      </c>
      <c r="F125" t="s">
        <v>6095</v>
      </c>
      <c r="G125" t="s">
        <v>15</v>
      </c>
      <c r="H125" t="s">
        <v>14</v>
      </c>
      <c r="I125" t="s">
        <v>6094</v>
      </c>
      <c r="J125">
        <v>60009731</v>
      </c>
      <c r="K125" t="s">
        <v>6093</v>
      </c>
      <c r="L125" t="s">
        <v>6092</v>
      </c>
      <c r="M125" t="s">
        <v>91</v>
      </c>
      <c r="N125">
        <v>2</v>
      </c>
      <c r="O125" t="s">
        <v>6091</v>
      </c>
      <c r="P125" t="s">
        <v>6090</v>
      </c>
      <c r="Q125" t="s">
        <v>6089</v>
      </c>
      <c r="R125" s="7">
        <v>31070</v>
      </c>
      <c r="S125" s="8">
        <f t="shared" si="16"/>
        <v>1985</v>
      </c>
      <c r="T125" s="8">
        <v>1985</v>
      </c>
      <c r="U125" s="8">
        <f t="shared" si="17"/>
        <v>37</v>
      </c>
      <c r="V125" s="7">
        <v>31070</v>
      </c>
      <c r="W125" t="s">
        <v>6042</v>
      </c>
      <c r="X125" s="2">
        <v>1.59</v>
      </c>
      <c r="Y125" s="6">
        <f t="shared" si="14"/>
        <v>4.2444141907583888E-2</v>
      </c>
      <c r="AA125">
        <v>52728</v>
      </c>
      <c r="AB125">
        <v>16791</v>
      </c>
      <c r="AD125" t="s">
        <v>4</v>
      </c>
      <c r="AE125">
        <v>806</v>
      </c>
      <c r="AF125">
        <v>1</v>
      </c>
      <c r="AH125" t="s">
        <v>6088</v>
      </c>
      <c r="AI125" t="s">
        <v>6087</v>
      </c>
      <c r="AJ125" t="s">
        <v>6086</v>
      </c>
      <c r="AK125" t="s">
        <v>6085</v>
      </c>
      <c r="AL125">
        <v>15</v>
      </c>
      <c r="AM125" s="5">
        <f t="shared" si="18"/>
        <v>0.40540540540540543</v>
      </c>
      <c r="AN125" s="4">
        <f t="shared" si="15"/>
        <v>6.1401803166286322E-4</v>
      </c>
      <c r="AO125" s="3"/>
      <c r="AP125">
        <v>0</v>
      </c>
      <c r="AQ125" t="s">
        <v>6084</v>
      </c>
      <c r="AR125" t="s">
        <v>0</v>
      </c>
      <c r="AS125" t="s">
        <v>6083</v>
      </c>
      <c r="AT125" s="2" t="s">
        <v>19</v>
      </c>
      <c r="AU125" s="1">
        <f t="shared" si="19"/>
        <v>2.9895104744807579</v>
      </c>
      <c r="AV125" s="1">
        <f t="shared" si="20"/>
        <v>2.1529079969623375</v>
      </c>
      <c r="AW125" s="1">
        <f t="shared" si="21"/>
        <v>1.316305519443917</v>
      </c>
    </row>
    <row r="126" spans="1:49" x14ac:dyDescent="0.2">
      <c r="A126">
        <v>124</v>
      </c>
      <c r="B126" t="s">
        <v>6082</v>
      </c>
      <c r="C126" t="s">
        <v>6081</v>
      </c>
      <c r="D126">
        <v>5272885900854</v>
      </c>
      <c r="F126" t="s">
        <v>6080</v>
      </c>
      <c r="G126" t="s">
        <v>15</v>
      </c>
      <c r="H126" t="s">
        <v>14</v>
      </c>
      <c r="I126" t="s">
        <v>6079</v>
      </c>
      <c r="J126" t="s">
        <v>6078</v>
      </c>
      <c r="K126" t="s">
        <v>6077</v>
      </c>
      <c r="L126" t="s">
        <v>6076</v>
      </c>
      <c r="M126" t="s">
        <v>6075</v>
      </c>
      <c r="N126">
        <v>6</v>
      </c>
      <c r="O126" t="s">
        <v>6074</v>
      </c>
      <c r="P126" t="s">
        <v>6073</v>
      </c>
      <c r="Q126" t="s">
        <v>6072</v>
      </c>
      <c r="R126" s="7">
        <v>31070</v>
      </c>
      <c r="S126" s="8">
        <f t="shared" si="16"/>
        <v>1985</v>
      </c>
      <c r="T126" s="8">
        <v>1985</v>
      </c>
      <c r="U126" s="8">
        <f t="shared" si="17"/>
        <v>37</v>
      </c>
      <c r="V126" s="7">
        <v>31070</v>
      </c>
      <c r="W126" t="s">
        <v>6042</v>
      </c>
      <c r="X126" s="2">
        <v>1.59</v>
      </c>
      <c r="Y126" s="6">
        <f t="shared" si="14"/>
        <v>4.2444141907583888E-2</v>
      </c>
      <c r="AA126">
        <v>52728</v>
      </c>
      <c r="AB126">
        <v>16791</v>
      </c>
      <c r="AD126" t="s">
        <v>4</v>
      </c>
      <c r="AE126">
        <v>806</v>
      </c>
      <c r="AF126">
        <v>1</v>
      </c>
      <c r="AH126" t="s">
        <v>6071</v>
      </c>
      <c r="AI126" t="s">
        <v>6070</v>
      </c>
      <c r="AJ126" t="s">
        <v>6069</v>
      </c>
      <c r="AK126" t="s">
        <v>6068</v>
      </c>
      <c r="AL126">
        <v>20</v>
      </c>
      <c r="AM126" s="5">
        <f t="shared" si="18"/>
        <v>0.54054054054054057</v>
      </c>
      <c r="AN126" s="4">
        <f t="shared" si="15"/>
        <v>8.186907088838176E-4</v>
      </c>
      <c r="AO126" s="3"/>
      <c r="AP126">
        <v>0</v>
      </c>
      <c r="AQ126" t="s">
        <v>238</v>
      </c>
      <c r="AR126" t="s">
        <v>6067</v>
      </c>
      <c r="AS126" t="s">
        <v>236</v>
      </c>
      <c r="AT126" s="2" t="s">
        <v>19</v>
      </c>
      <c r="AU126" s="1">
        <f t="shared" si="19"/>
        <v>2.9956506547973865</v>
      </c>
      <c r="AV126" s="1">
        <f t="shared" si="20"/>
        <v>2.1631416308233851</v>
      </c>
      <c r="AW126" s="1">
        <f t="shared" si="21"/>
        <v>1.3306326068493837</v>
      </c>
    </row>
    <row r="127" spans="1:49" x14ac:dyDescent="0.2">
      <c r="A127">
        <v>125</v>
      </c>
      <c r="B127" t="s">
        <v>6066</v>
      </c>
      <c r="C127" t="s">
        <v>6065</v>
      </c>
      <c r="D127">
        <v>5272885900842</v>
      </c>
      <c r="F127" t="s">
        <v>6064</v>
      </c>
      <c r="G127" t="s">
        <v>15</v>
      </c>
      <c r="H127" t="s">
        <v>14</v>
      </c>
      <c r="I127" t="s">
        <v>6063</v>
      </c>
      <c r="J127" t="s">
        <v>6062</v>
      </c>
      <c r="K127" t="s">
        <v>6061</v>
      </c>
      <c r="L127" t="s">
        <v>6060</v>
      </c>
      <c r="M127" t="s">
        <v>831</v>
      </c>
      <c r="N127">
        <v>5</v>
      </c>
      <c r="O127" t="s">
        <v>6059</v>
      </c>
      <c r="P127" t="s">
        <v>6058</v>
      </c>
      <c r="Q127" t="s">
        <v>6057</v>
      </c>
      <c r="R127" s="7">
        <v>31070</v>
      </c>
      <c r="S127" s="8">
        <f t="shared" si="16"/>
        <v>1985</v>
      </c>
      <c r="T127" s="8">
        <v>1985</v>
      </c>
      <c r="U127" s="8">
        <f t="shared" si="17"/>
        <v>37</v>
      </c>
      <c r="V127" s="7">
        <v>31070</v>
      </c>
      <c r="W127" t="s">
        <v>6042</v>
      </c>
      <c r="X127" s="2">
        <v>1.59</v>
      </c>
      <c r="Y127" s="6">
        <f t="shared" si="14"/>
        <v>4.2444141907583888E-2</v>
      </c>
      <c r="AA127">
        <v>52728</v>
      </c>
      <c r="AB127">
        <v>16791</v>
      </c>
      <c r="AD127" t="s">
        <v>4</v>
      </c>
      <c r="AE127">
        <v>806</v>
      </c>
      <c r="AF127">
        <v>1</v>
      </c>
      <c r="AH127" t="s">
        <v>6056</v>
      </c>
      <c r="AI127" t="s">
        <v>6055</v>
      </c>
      <c r="AJ127" t="s">
        <v>6054</v>
      </c>
      <c r="AK127" t="s">
        <v>6053</v>
      </c>
      <c r="AL127">
        <v>12</v>
      </c>
      <c r="AM127" s="5">
        <f t="shared" si="18"/>
        <v>0.32432432432432434</v>
      </c>
      <c r="AN127" s="4">
        <f t="shared" si="15"/>
        <v>4.9121442533029054E-4</v>
      </c>
      <c r="AO127" s="3"/>
      <c r="AP127">
        <v>0</v>
      </c>
      <c r="AQ127" t="s">
        <v>238</v>
      </c>
      <c r="AR127" t="s">
        <v>6052</v>
      </c>
      <c r="AS127" t="s">
        <v>236</v>
      </c>
      <c r="AT127" s="2" t="s">
        <v>19</v>
      </c>
      <c r="AU127" s="1">
        <f t="shared" si="19"/>
        <v>2.9858263662907807</v>
      </c>
      <c r="AV127" s="1">
        <f t="shared" si="20"/>
        <v>2.1467678166457089</v>
      </c>
      <c r="AW127" s="1">
        <f t="shared" si="21"/>
        <v>1.3077092670006367</v>
      </c>
    </row>
    <row r="128" spans="1:49" x14ac:dyDescent="0.2">
      <c r="A128">
        <v>126</v>
      </c>
      <c r="B128" t="s">
        <v>6051</v>
      </c>
      <c r="C128" t="s">
        <v>6050</v>
      </c>
      <c r="D128" t="s">
        <v>6049</v>
      </c>
      <c r="F128" t="s">
        <v>6048</v>
      </c>
      <c r="G128" t="s">
        <v>15</v>
      </c>
      <c r="H128" t="s">
        <v>14</v>
      </c>
      <c r="I128" t="s">
        <v>6047</v>
      </c>
      <c r="J128">
        <v>60023392</v>
      </c>
      <c r="K128" t="s">
        <v>6046</v>
      </c>
      <c r="L128" t="s">
        <v>1645</v>
      </c>
      <c r="M128" t="s">
        <v>43</v>
      </c>
      <c r="N128">
        <v>2</v>
      </c>
      <c r="O128" t="s">
        <v>6045</v>
      </c>
      <c r="P128" t="s">
        <v>6044</v>
      </c>
      <c r="Q128" t="s">
        <v>6043</v>
      </c>
      <c r="R128" s="7">
        <v>31070</v>
      </c>
      <c r="S128" s="8">
        <f t="shared" si="16"/>
        <v>1985</v>
      </c>
      <c r="T128" s="8">
        <v>1985</v>
      </c>
      <c r="U128" s="8">
        <f t="shared" si="17"/>
        <v>37</v>
      </c>
      <c r="V128" s="7">
        <v>31070</v>
      </c>
      <c r="W128" t="s">
        <v>6042</v>
      </c>
      <c r="X128" s="2">
        <v>1.59</v>
      </c>
      <c r="Y128" s="6">
        <f t="shared" si="14"/>
        <v>4.2444141907583888E-2</v>
      </c>
      <c r="AA128">
        <v>52728</v>
      </c>
      <c r="AB128">
        <v>16791</v>
      </c>
      <c r="AD128" t="s">
        <v>4</v>
      </c>
      <c r="AE128">
        <v>806</v>
      </c>
      <c r="AF128">
        <v>1</v>
      </c>
      <c r="AH128" t="s">
        <v>6041</v>
      </c>
      <c r="AI128" t="s">
        <v>6040</v>
      </c>
      <c r="AJ128" t="s">
        <v>6039</v>
      </c>
      <c r="AK128" t="s">
        <v>6038</v>
      </c>
      <c r="AL128">
        <v>14</v>
      </c>
      <c r="AM128" s="5">
        <f t="shared" si="18"/>
        <v>0.3783783783783784</v>
      </c>
      <c r="AN128" s="4">
        <f t="shared" si="15"/>
        <v>5.7308349621867233E-4</v>
      </c>
      <c r="AO128" s="3"/>
      <c r="AP128">
        <v>0</v>
      </c>
      <c r="AR128" t="s">
        <v>0</v>
      </c>
      <c r="AT128" s="2" t="s">
        <v>19</v>
      </c>
      <c r="AU128" s="1">
        <f t="shared" si="19"/>
        <v>2.9882824384174325</v>
      </c>
      <c r="AV128" s="1">
        <f t="shared" si="20"/>
        <v>2.150861270190128</v>
      </c>
      <c r="AW128" s="1">
        <f t="shared" si="21"/>
        <v>1.3134401019628235</v>
      </c>
    </row>
    <row r="129" spans="1:49" x14ac:dyDescent="0.2">
      <c r="A129">
        <v>127</v>
      </c>
      <c r="B129" t="s">
        <v>6037</v>
      </c>
      <c r="C129" t="s">
        <v>6036</v>
      </c>
      <c r="D129" t="s">
        <v>6035</v>
      </c>
      <c r="F129" t="s">
        <v>6034</v>
      </c>
      <c r="G129" t="s">
        <v>15</v>
      </c>
      <c r="H129" t="s">
        <v>14</v>
      </c>
      <c r="I129" t="s">
        <v>6033</v>
      </c>
      <c r="J129" t="s">
        <v>6032</v>
      </c>
      <c r="K129" t="s">
        <v>6031</v>
      </c>
      <c r="L129" t="s">
        <v>6030</v>
      </c>
      <c r="M129" t="s">
        <v>6029</v>
      </c>
      <c r="N129">
        <v>3</v>
      </c>
      <c r="O129" t="s">
        <v>6028</v>
      </c>
      <c r="P129" t="s">
        <v>6027</v>
      </c>
      <c r="Q129" t="s">
        <v>6026</v>
      </c>
      <c r="R129" s="7">
        <v>31054</v>
      </c>
      <c r="S129" s="8">
        <f t="shared" si="16"/>
        <v>1985</v>
      </c>
      <c r="T129" s="8">
        <v>1985</v>
      </c>
      <c r="U129" s="8">
        <f t="shared" si="17"/>
        <v>37</v>
      </c>
      <c r="V129" s="7">
        <v>31054</v>
      </c>
      <c r="W129" t="s">
        <v>6025</v>
      </c>
      <c r="X129" s="2">
        <v>0.65700000000000003</v>
      </c>
      <c r="Y129" s="6">
        <f t="shared" si="14"/>
        <v>1.7538239769360135E-2</v>
      </c>
      <c r="AA129">
        <v>225193</v>
      </c>
      <c r="AB129">
        <v>29663</v>
      </c>
      <c r="AC129">
        <v>10958541</v>
      </c>
      <c r="AD129" t="s">
        <v>4</v>
      </c>
      <c r="AE129">
        <v>112</v>
      </c>
      <c r="AF129">
        <v>1</v>
      </c>
      <c r="AH129" t="s">
        <v>6024</v>
      </c>
      <c r="AI129" t="s">
        <v>6023</v>
      </c>
      <c r="AK129" t="s">
        <v>6022</v>
      </c>
      <c r="AL129">
        <v>36</v>
      </c>
      <c r="AM129" s="5">
        <f t="shared" si="18"/>
        <v>0.97297297297297303</v>
      </c>
      <c r="AN129" s="4">
        <f t="shared" si="15"/>
        <v>1.4736432759908716E-3</v>
      </c>
      <c r="AO129" s="3"/>
      <c r="AP129">
        <v>0</v>
      </c>
      <c r="AR129" t="s">
        <v>0</v>
      </c>
      <c r="AT129" s="2">
        <v>2.6909999999999998</v>
      </c>
      <c r="AU129" s="1">
        <f t="shared" si="19"/>
        <v>1.2718860821349356</v>
      </c>
      <c r="AV129" s="1">
        <f t="shared" si="20"/>
        <v>0.9505941522675504</v>
      </c>
      <c r="AW129" s="1">
        <f t="shared" si="21"/>
        <v>0.62930222240016498</v>
      </c>
    </row>
    <row r="130" spans="1:49" x14ac:dyDescent="0.2">
      <c r="A130">
        <v>128</v>
      </c>
      <c r="B130" t="s">
        <v>6021</v>
      </c>
      <c r="C130" t="s">
        <v>6020</v>
      </c>
      <c r="F130" t="s">
        <v>6019</v>
      </c>
      <c r="G130" t="s">
        <v>15</v>
      </c>
      <c r="H130" t="s">
        <v>14</v>
      </c>
      <c r="I130" t="s">
        <v>6018</v>
      </c>
      <c r="J130" t="s">
        <v>6012</v>
      </c>
      <c r="K130" t="s">
        <v>6017</v>
      </c>
      <c r="L130" t="s">
        <v>6016</v>
      </c>
      <c r="M130" t="s">
        <v>6015</v>
      </c>
      <c r="N130">
        <v>2</v>
      </c>
      <c r="O130" t="s">
        <v>6014</v>
      </c>
      <c r="P130" t="s">
        <v>6013</v>
      </c>
      <c r="Q130" t="s">
        <v>6012</v>
      </c>
      <c r="R130" s="7">
        <v>31050</v>
      </c>
      <c r="S130" s="8">
        <f t="shared" si="16"/>
        <v>1985</v>
      </c>
      <c r="T130" s="8">
        <v>1985</v>
      </c>
      <c r="U130" s="8">
        <f t="shared" si="17"/>
        <v>37</v>
      </c>
      <c r="V130" s="7">
        <v>31050</v>
      </c>
      <c r="W130" t="s">
        <v>540</v>
      </c>
      <c r="X130" s="2">
        <v>0.375</v>
      </c>
      <c r="Y130" s="6">
        <f t="shared" ref="Y130:Y193" si="22">(X130-$Z$4)/($Z$3-$Z$4)</f>
        <v>1.0010410827260351E-2</v>
      </c>
      <c r="AA130">
        <v>135194</v>
      </c>
      <c r="AB130">
        <v>24918</v>
      </c>
      <c r="AD130" t="s">
        <v>4</v>
      </c>
      <c r="AE130">
        <v>21</v>
      </c>
      <c r="AF130">
        <v>1</v>
      </c>
      <c r="AH130" t="s">
        <v>6011</v>
      </c>
      <c r="AI130" t="s">
        <v>6010</v>
      </c>
      <c r="AJ130" t="s">
        <v>868</v>
      </c>
      <c r="AK130" t="s">
        <v>6009</v>
      </c>
      <c r="AL130">
        <v>0</v>
      </c>
      <c r="AM130" s="5">
        <f t="shared" si="18"/>
        <v>0</v>
      </c>
      <c r="AN130" s="4">
        <f t="shared" ref="AN130:AN193" si="23">(AM130-$AO$4)/($AO$3-$AO$4)</f>
        <v>0</v>
      </c>
      <c r="AO130" s="3"/>
      <c r="AP130">
        <v>0</v>
      </c>
      <c r="AR130" t="s">
        <v>0</v>
      </c>
      <c r="AT130" s="2">
        <v>1.3140000000000001</v>
      </c>
      <c r="AU130" s="1">
        <f t="shared" si="19"/>
        <v>0.70072875790822453</v>
      </c>
      <c r="AV130" s="1">
        <f t="shared" si="20"/>
        <v>0.5005205413630176</v>
      </c>
      <c r="AW130" s="1">
        <f t="shared" si="21"/>
        <v>0.30031232481781051</v>
      </c>
    </row>
    <row r="131" spans="1:49" x14ac:dyDescent="0.2">
      <c r="A131">
        <v>129</v>
      </c>
      <c r="B131" t="s">
        <v>6008</v>
      </c>
      <c r="C131" t="s">
        <v>6007</v>
      </c>
      <c r="F131" t="s">
        <v>6006</v>
      </c>
      <c r="G131" t="s">
        <v>15</v>
      </c>
      <c r="H131" t="s">
        <v>14</v>
      </c>
      <c r="I131" t="s">
        <v>5210</v>
      </c>
      <c r="J131">
        <v>60012689</v>
      </c>
      <c r="K131" t="s">
        <v>5209</v>
      </c>
      <c r="L131" t="s">
        <v>5208</v>
      </c>
      <c r="M131" t="s">
        <v>91</v>
      </c>
      <c r="N131">
        <v>1</v>
      </c>
      <c r="O131" t="s">
        <v>5207</v>
      </c>
      <c r="P131">
        <v>7402393694</v>
      </c>
      <c r="Q131">
        <v>60012689</v>
      </c>
      <c r="R131" s="7">
        <v>31048</v>
      </c>
      <c r="S131" s="8">
        <f t="shared" si="16"/>
        <v>1985</v>
      </c>
      <c r="T131" s="8">
        <v>1985</v>
      </c>
      <c r="U131" s="8">
        <f t="shared" si="17"/>
        <v>37</v>
      </c>
      <c r="V131" s="7">
        <v>31321</v>
      </c>
      <c r="W131" t="s">
        <v>5206</v>
      </c>
      <c r="X131" s="2">
        <v>1.2030000000000001</v>
      </c>
      <c r="Y131" s="6">
        <f t="shared" si="22"/>
        <v>3.2113397933851207E-2</v>
      </c>
      <c r="AA131">
        <v>3405443</v>
      </c>
      <c r="AB131">
        <v>22803</v>
      </c>
      <c r="AC131">
        <v>14320762</v>
      </c>
      <c r="AD131" t="s">
        <v>4</v>
      </c>
      <c r="AE131">
        <v>17</v>
      </c>
      <c r="AF131">
        <v>4</v>
      </c>
      <c r="AH131" t="s">
        <v>6005</v>
      </c>
      <c r="AI131" t="s">
        <v>6004</v>
      </c>
      <c r="AK131" t="s">
        <v>6003</v>
      </c>
      <c r="AL131">
        <v>14</v>
      </c>
      <c r="AM131" s="5">
        <f t="shared" si="18"/>
        <v>0.3783783783783784</v>
      </c>
      <c r="AN131" s="4">
        <f t="shared" si="23"/>
        <v>5.7308349621867233E-4</v>
      </c>
      <c r="AO131" s="3"/>
      <c r="AP131">
        <v>0</v>
      </c>
      <c r="AR131" t="s">
        <v>0</v>
      </c>
      <c r="AT131" s="2">
        <v>2.98</v>
      </c>
      <c r="AU131" s="1">
        <f t="shared" si="19"/>
        <v>2.2651303602561446</v>
      </c>
      <c r="AV131" s="1">
        <f t="shared" si="20"/>
        <v>1.6343240715034939</v>
      </c>
      <c r="AW131" s="1">
        <f t="shared" si="21"/>
        <v>1.003517782750843</v>
      </c>
    </row>
    <row r="132" spans="1:49" x14ac:dyDescent="0.2">
      <c r="A132">
        <v>130</v>
      </c>
      <c r="B132" t="s">
        <v>6002</v>
      </c>
      <c r="F132" t="s">
        <v>6001</v>
      </c>
      <c r="G132" t="s">
        <v>15</v>
      </c>
      <c r="H132" t="s">
        <v>14</v>
      </c>
      <c r="I132" t="s">
        <v>6000</v>
      </c>
      <c r="J132">
        <v>60000990</v>
      </c>
      <c r="K132" t="s">
        <v>5999</v>
      </c>
      <c r="L132" t="s">
        <v>1944</v>
      </c>
      <c r="M132" t="s">
        <v>191</v>
      </c>
      <c r="N132">
        <v>1</v>
      </c>
      <c r="O132" t="s">
        <v>5998</v>
      </c>
      <c r="P132">
        <v>6603921863</v>
      </c>
      <c r="Q132">
        <v>60000990</v>
      </c>
      <c r="R132" s="7">
        <v>31048</v>
      </c>
      <c r="S132" s="8">
        <f t="shared" si="16"/>
        <v>1985</v>
      </c>
      <c r="T132" s="8">
        <v>1985</v>
      </c>
      <c r="U132" s="8">
        <f t="shared" si="17"/>
        <v>37</v>
      </c>
      <c r="V132" s="7">
        <v>1985</v>
      </c>
      <c r="W132" t="s">
        <v>5997</v>
      </c>
      <c r="X132" s="2" t="s">
        <v>19</v>
      </c>
      <c r="Y132" s="6" t="e">
        <f t="shared" si="22"/>
        <v>#VALUE!</v>
      </c>
      <c r="AA132">
        <v>3668746</v>
      </c>
      <c r="AB132">
        <v>64260</v>
      </c>
      <c r="AD132" t="s">
        <v>4</v>
      </c>
      <c r="AF132">
        <v>510</v>
      </c>
      <c r="AI132" t="s">
        <v>5996</v>
      </c>
      <c r="AK132" t="s">
        <v>5995</v>
      </c>
      <c r="AL132">
        <v>0</v>
      </c>
      <c r="AM132" s="5">
        <f t="shared" si="18"/>
        <v>0</v>
      </c>
      <c r="AN132" s="4">
        <f t="shared" si="23"/>
        <v>0</v>
      </c>
      <c r="AO132" s="3"/>
      <c r="AP132">
        <v>0</v>
      </c>
      <c r="AR132" t="s">
        <v>0</v>
      </c>
      <c r="AT132" s="2" t="s">
        <v>19</v>
      </c>
      <c r="AU132" s="1" t="e">
        <f t="shared" si="19"/>
        <v>#VALUE!</v>
      </c>
      <c r="AV132" s="1" t="e">
        <f t="shared" si="20"/>
        <v>#VALUE!</v>
      </c>
      <c r="AW132" s="1" t="e">
        <f t="shared" si="21"/>
        <v>#VALUE!</v>
      </c>
    </row>
    <row r="133" spans="1:49" x14ac:dyDescent="0.2">
      <c r="A133">
        <v>131</v>
      </c>
      <c r="B133" t="s">
        <v>5994</v>
      </c>
      <c r="C133" t="s">
        <v>5993</v>
      </c>
      <c r="F133" t="s">
        <v>5992</v>
      </c>
      <c r="G133" t="s">
        <v>15</v>
      </c>
      <c r="H133" t="s">
        <v>14</v>
      </c>
      <c r="I133" t="s">
        <v>5991</v>
      </c>
      <c r="J133">
        <v>60005460</v>
      </c>
      <c r="K133" t="s">
        <v>179</v>
      </c>
      <c r="L133" t="s">
        <v>178</v>
      </c>
      <c r="M133" t="s">
        <v>91</v>
      </c>
      <c r="N133">
        <v>2</v>
      </c>
      <c r="O133" t="s">
        <v>5990</v>
      </c>
      <c r="P133" t="s">
        <v>5989</v>
      </c>
      <c r="Q133" t="s">
        <v>175</v>
      </c>
      <c r="R133" s="7">
        <v>31048</v>
      </c>
      <c r="S133" s="8">
        <f t="shared" si="16"/>
        <v>1985</v>
      </c>
      <c r="T133" s="8">
        <v>1985</v>
      </c>
      <c r="U133" s="8">
        <f t="shared" si="17"/>
        <v>37</v>
      </c>
      <c r="V133" s="7">
        <v>31107</v>
      </c>
      <c r="W133" t="s">
        <v>5988</v>
      </c>
      <c r="X133" s="2">
        <v>0.32700000000000001</v>
      </c>
      <c r="Y133" s="6">
        <f t="shared" si="22"/>
        <v>8.7290782413710268E-3</v>
      </c>
      <c r="AA133">
        <v>2508052</v>
      </c>
      <c r="AB133">
        <v>79582</v>
      </c>
      <c r="AC133">
        <v>13652338</v>
      </c>
      <c r="AD133" t="s">
        <v>4</v>
      </c>
      <c r="AE133">
        <v>15</v>
      </c>
      <c r="AF133">
        <v>1</v>
      </c>
      <c r="AH133" t="s">
        <v>5987</v>
      </c>
      <c r="AI133" t="s">
        <v>5986</v>
      </c>
      <c r="AK133" t="s">
        <v>5985</v>
      </c>
      <c r="AL133">
        <v>11</v>
      </c>
      <c r="AM133" s="5">
        <f t="shared" si="18"/>
        <v>0.29729729729729731</v>
      </c>
      <c r="AN133" s="4">
        <f t="shared" si="23"/>
        <v>4.5027988988609969E-4</v>
      </c>
      <c r="AO133" s="3"/>
      <c r="AP133">
        <v>0</v>
      </c>
      <c r="AR133" t="s">
        <v>0</v>
      </c>
      <c r="AT133" s="2" t="s">
        <v>19</v>
      </c>
      <c r="AU133" s="1">
        <f t="shared" si="19"/>
        <v>0.62454387359255481</v>
      </c>
      <c r="AV133" s="1">
        <f t="shared" si="20"/>
        <v>0.45896790656285635</v>
      </c>
      <c r="AW133" s="1">
        <f t="shared" si="21"/>
        <v>0.29339193953315773</v>
      </c>
    </row>
    <row r="134" spans="1:49" x14ac:dyDescent="0.2">
      <c r="A134">
        <v>132</v>
      </c>
      <c r="B134" t="s">
        <v>5984</v>
      </c>
      <c r="C134" t="s">
        <v>5983</v>
      </c>
      <c r="F134" t="s">
        <v>5982</v>
      </c>
      <c r="G134" t="s">
        <v>15</v>
      </c>
      <c r="H134" t="s">
        <v>14</v>
      </c>
      <c r="I134" t="s">
        <v>5981</v>
      </c>
      <c r="J134">
        <v>60011897</v>
      </c>
      <c r="K134" t="s">
        <v>3254</v>
      </c>
      <c r="L134" t="s">
        <v>3253</v>
      </c>
      <c r="M134" t="s">
        <v>530</v>
      </c>
      <c r="N134">
        <v>1</v>
      </c>
      <c r="O134" t="s">
        <v>5980</v>
      </c>
      <c r="P134">
        <v>7006888309</v>
      </c>
      <c r="Q134">
        <v>60011897</v>
      </c>
      <c r="R134" s="7">
        <v>31048</v>
      </c>
      <c r="S134" s="8">
        <f t="shared" ref="S134:S197" si="24">YEAR(R134)</f>
        <v>1985</v>
      </c>
      <c r="T134" s="8">
        <v>1985</v>
      </c>
      <c r="U134" s="8">
        <f t="shared" ref="U134:U197" si="25">2022-T134</f>
        <v>37</v>
      </c>
      <c r="V134" s="7">
        <v>1985</v>
      </c>
      <c r="W134" s="11" t="s">
        <v>2012</v>
      </c>
      <c r="X134" s="2">
        <v>2.383</v>
      </c>
      <c r="Y134" s="6">
        <f t="shared" si="22"/>
        <v>6.3612824003630442E-2</v>
      </c>
      <c r="AA134">
        <v>1437070</v>
      </c>
      <c r="AB134">
        <v>39742</v>
      </c>
      <c r="AD134" t="s">
        <v>4</v>
      </c>
      <c r="AE134">
        <v>132</v>
      </c>
      <c r="AF134">
        <v>1</v>
      </c>
      <c r="AH134" s="9">
        <v>44531</v>
      </c>
      <c r="AI134" t="s">
        <v>5979</v>
      </c>
      <c r="AJ134" t="s">
        <v>5978</v>
      </c>
      <c r="AK134" t="s">
        <v>5977</v>
      </c>
      <c r="AL134">
        <v>0</v>
      </c>
      <c r="AM134" s="5">
        <f t="shared" ref="AM134:AM197" si="26">AL134/U134</f>
        <v>0</v>
      </c>
      <c r="AN134" s="4">
        <f t="shared" si="23"/>
        <v>0</v>
      </c>
      <c r="AO134" s="3"/>
      <c r="AP134">
        <v>0</v>
      </c>
      <c r="AR134" t="s">
        <v>0</v>
      </c>
      <c r="AT134" s="2" t="s">
        <v>19</v>
      </c>
      <c r="AU134" s="1">
        <f t="shared" ref="AU134:AU197" si="27">(Y134*0.7+AN134*0.3)*100</f>
        <v>4.4528976802541305</v>
      </c>
      <c r="AV134" s="1">
        <f t="shared" ref="AV134:AV197" si="28">(Y134*0.5+AN134*0.5)*100</f>
        <v>3.1806412001815221</v>
      </c>
      <c r="AW134" s="1">
        <f t="shared" ref="AW134:AW197" si="29">(Y134*0.3+AN134*0.7)*100</f>
        <v>1.9083847201089132</v>
      </c>
    </row>
    <row r="135" spans="1:49" x14ac:dyDescent="0.2">
      <c r="A135">
        <v>133</v>
      </c>
      <c r="B135" t="s">
        <v>5976</v>
      </c>
      <c r="C135" t="s">
        <v>3221</v>
      </c>
      <c r="F135" t="s">
        <v>5975</v>
      </c>
      <c r="G135" t="s">
        <v>15</v>
      </c>
      <c r="H135" t="s">
        <v>14</v>
      </c>
      <c r="I135" t="s">
        <v>3219</v>
      </c>
      <c r="J135" t="s">
        <v>5974</v>
      </c>
      <c r="K135" t="s">
        <v>5973</v>
      </c>
      <c r="L135" t="s">
        <v>5972</v>
      </c>
      <c r="M135" t="s">
        <v>5971</v>
      </c>
      <c r="N135">
        <v>2</v>
      </c>
      <c r="O135" t="s">
        <v>3216</v>
      </c>
      <c r="P135" t="s">
        <v>3215</v>
      </c>
      <c r="Q135" t="s">
        <v>5970</v>
      </c>
      <c r="R135" s="7">
        <v>31048</v>
      </c>
      <c r="S135" s="8">
        <f t="shared" si="24"/>
        <v>1985</v>
      </c>
      <c r="T135" s="8">
        <v>1985</v>
      </c>
      <c r="U135" s="8">
        <f t="shared" si="25"/>
        <v>37</v>
      </c>
      <c r="V135" s="7">
        <v>1985</v>
      </c>
      <c r="W135" s="11" t="s">
        <v>2012</v>
      </c>
      <c r="X135" s="2">
        <v>2.383</v>
      </c>
      <c r="Y135" s="6">
        <f t="shared" si="22"/>
        <v>6.3612824003630442E-2</v>
      </c>
      <c r="AA135">
        <v>1437070</v>
      </c>
      <c r="AB135">
        <v>39742</v>
      </c>
      <c r="AD135" t="s">
        <v>4</v>
      </c>
      <c r="AE135">
        <v>132</v>
      </c>
      <c r="AF135">
        <v>4</v>
      </c>
      <c r="AH135" t="s">
        <v>5969</v>
      </c>
      <c r="AI135" t="s">
        <v>5968</v>
      </c>
      <c r="AJ135" t="s">
        <v>2611</v>
      </c>
      <c r="AK135" t="s">
        <v>5967</v>
      </c>
      <c r="AL135">
        <v>11</v>
      </c>
      <c r="AM135" s="5">
        <f t="shared" si="26"/>
        <v>0.29729729729729731</v>
      </c>
      <c r="AN135" s="4">
        <f t="shared" si="23"/>
        <v>4.5027988988609969E-4</v>
      </c>
      <c r="AO135" s="3"/>
      <c r="AP135">
        <v>0</v>
      </c>
      <c r="AR135" t="s">
        <v>0</v>
      </c>
      <c r="AT135" s="2" t="s">
        <v>19</v>
      </c>
      <c r="AU135" s="1">
        <f t="shared" si="27"/>
        <v>4.4664060769507135</v>
      </c>
      <c r="AV135" s="1">
        <f t="shared" si="28"/>
        <v>3.2031551946758268</v>
      </c>
      <c r="AW135" s="1">
        <f t="shared" si="29"/>
        <v>1.9399043124009401</v>
      </c>
    </row>
    <row r="136" spans="1:49" x14ac:dyDescent="0.2">
      <c r="A136">
        <v>134</v>
      </c>
      <c r="B136" t="s">
        <v>5966</v>
      </c>
      <c r="C136" t="s">
        <v>5965</v>
      </c>
      <c r="F136" t="s">
        <v>5964</v>
      </c>
      <c r="G136" t="s">
        <v>15</v>
      </c>
      <c r="H136" t="s">
        <v>14</v>
      </c>
      <c r="I136" t="s">
        <v>5963</v>
      </c>
      <c r="J136" t="s">
        <v>5962</v>
      </c>
      <c r="K136" t="s">
        <v>5961</v>
      </c>
      <c r="L136" t="s">
        <v>5960</v>
      </c>
      <c r="M136" t="s">
        <v>3141</v>
      </c>
      <c r="N136">
        <v>3</v>
      </c>
      <c r="O136" t="s">
        <v>5959</v>
      </c>
      <c r="P136" t="s">
        <v>5958</v>
      </c>
      <c r="Q136" t="s">
        <v>5957</v>
      </c>
      <c r="R136" s="7">
        <v>31048</v>
      </c>
      <c r="S136" s="8">
        <f t="shared" si="24"/>
        <v>1985</v>
      </c>
      <c r="T136" s="8">
        <v>1985</v>
      </c>
      <c r="U136" s="8">
        <f t="shared" si="25"/>
        <v>37</v>
      </c>
      <c r="V136" s="7" t="s">
        <v>5956</v>
      </c>
      <c r="W136" t="s">
        <v>5955</v>
      </c>
      <c r="X136" s="2" t="s">
        <v>19</v>
      </c>
      <c r="Y136" s="6" t="e">
        <f t="shared" si="22"/>
        <v>#VALUE!</v>
      </c>
      <c r="AA136">
        <v>443573</v>
      </c>
      <c r="AB136">
        <v>86892</v>
      </c>
      <c r="AC136">
        <v>14390310</v>
      </c>
      <c r="AD136" t="s">
        <v>4</v>
      </c>
      <c r="AE136">
        <v>69</v>
      </c>
      <c r="AF136">
        <v>3</v>
      </c>
      <c r="AH136" t="s">
        <v>5954</v>
      </c>
      <c r="AI136" t="s">
        <v>5953</v>
      </c>
      <c r="AK136" t="s">
        <v>5952</v>
      </c>
      <c r="AL136">
        <v>24</v>
      </c>
      <c r="AM136" s="5">
        <f t="shared" si="26"/>
        <v>0.64864864864864868</v>
      </c>
      <c r="AN136" s="4">
        <f t="shared" si="23"/>
        <v>9.8242885066058107E-4</v>
      </c>
      <c r="AO136" s="3"/>
      <c r="AP136">
        <v>0</v>
      </c>
      <c r="AR136" t="s">
        <v>0</v>
      </c>
      <c r="AT136" s="2" t="s">
        <v>19</v>
      </c>
      <c r="AU136" s="1" t="e">
        <f t="shared" si="27"/>
        <v>#VALUE!</v>
      </c>
      <c r="AV136" s="1" t="e">
        <f t="shared" si="28"/>
        <v>#VALUE!</v>
      </c>
      <c r="AW136" s="1" t="e">
        <f t="shared" si="29"/>
        <v>#VALUE!</v>
      </c>
    </row>
    <row r="137" spans="1:49" x14ac:dyDescent="0.2">
      <c r="A137">
        <v>135</v>
      </c>
      <c r="B137" t="s">
        <v>5951</v>
      </c>
      <c r="C137" t="s">
        <v>5950</v>
      </c>
      <c r="F137" t="s">
        <v>5949</v>
      </c>
      <c r="G137" t="s">
        <v>15</v>
      </c>
      <c r="H137" t="s">
        <v>14</v>
      </c>
      <c r="I137" t="s">
        <v>5948</v>
      </c>
      <c r="N137">
        <v>1</v>
      </c>
      <c r="O137" t="s">
        <v>5947</v>
      </c>
      <c r="P137">
        <v>8960330900</v>
      </c>
      <c r="R137" s="7">
        <v>31048</v>
      </c>
      <c r="S137" s="8">
        <f t="shared" si="24"/>
        <v>1985</v>
      </c>
      <c r="T137" s="8">
        <v>1985</v>
      </c>
      <c r="U137" s="8">
        <f t="shared" si="25"/>
        <v>37</v>
      </c>
      <c r="V137" s="7">
        <v>1985</v>
      </c>
      <c r="W137" t="s">
        <v>5946</v>
      </c>
      <c r="X137" s="2" t="s">
        <v>19</v>
      </c>
      <c r="Y137" s="6" t="e">
        <f t="shared" si="22"/>
        <v>#VALUE!</v>
      </c>
      <c r="AA137">
        <v>215104</v>
      </c>
      <c r="AB137">
        <v>29518</v>
      </c>
      <c r="AC137">
        <v>18824897</v>
      </c>
      <c r="AD137" t="s">
        <v>4</v>
      </c>
      <c r="AE137">
        <v>46</v>
      </c>
      <c r="AF137">
        <v>4</v>
      </c>
      <c r="AH137" t="s">
        <v>5945</v>
      </c>
      <c r="AI137" t="s">
        <v>5944</v>
      </c>
      <c r="AK137" t="s">
        <v>5943</v>
      </c>
      <c r="AL137">
        <v>5</v>
      </c>
      <c r="AM137" s="5">
        <f t="shared" si="26"/>
        <v>0.13513513513513514</v>
      </c>
      <c r="AN137" s="4">
        <f t="shared" si="23"/>
        <v>2.046726772209544E-4</v>
      </c>
      <c r="AO137" s="3"/>
      <c r="AP137">
        <v>1</v>
      </c>
      <c r="AR137" t="s">
        <v>0</v>
      </c>
      <c r="AT137" s="2" t="s">
        <v>19</v>
      </c>
      <c r="AU137" s="1" t="e">
        <f t="shared" si="27"/>
        <v>#VALUE!</v>
      </c>
      <c r="AV137" s="1" t="e">
        <f t="shared" si="28"/>
        <v>#VALUE!</v>
      </c>
      <c r="AW137" s="1" t="e">
        <f t="shared" si="29"/>
        <v>#VALUE!</v>
      </c>
    </row>
    <row r="138" spans="1:49" x14ac:dyDescent="0.2">
      <c r="A138">
        <v>136</v>
      </c>
      <c r="B138" t="s">
        <v>5942</v>
      </c>
      <c r="C138" t="s">
        <v>5941</v>
      </c>
      <c r="F138" t="s">
        <v>5940</v>
      </c>
      <c r="G138" t="s">
        <v>15</v>
      </c>
      <c r="H138" t="s">
        <v>14</v>
      </c>
      <c r="I138" t="s">
        <v>5939</v>
      </c>
      <c r="J138" t="s">
        <v>5938</v>
      </c>
      <c r="K138" t="s">
        <v>5937</v>
      </c>
      <c r="L138" t="s">
        <v>5936</v>
      </c>
      <c r="M138" t="s">
        <v>1056</v>
      </c>
      <c r="N138">
        <v>2</v>
      </c>
      <c r="O138" t="s">
        <v>5935</v>
      </c>
      <c r="P138" t="s">
        <v>5934</v>
      </c>
      <c r="Q138" t="s">
        <v>5933</v>
      </c>
      <c r="R138" s="7">
        <v>31048</v>
      </c>
      <c r="S138" s="8">
        <f t="shared" si="24"/>
        <v>1985</v>
      </c>
      <c r="T138" s="8">
        <v>1985</v>
      </c>
      <c r="U138" s="8">
        <f t="shared" si="25"/>
        <v>37</v>
      </c>
      <c r="V138" s="7" t="s">
        <v>5560</v>
      </c>
      <c r="W138" t="s">
        <v>842</v>
      </c>
      <c r="X138" s="2">
        <v>1.573</v>
      </c>
      <c r="Y138" s="6">
        <f t="shared" si="22"/>
        <v>4.1990336616748086E-2</v>
      </c>
      <c r="AA138">
        <v>7315090</v>
      </c>
      <c r="AB138">
        <v>29586</v>
      </c>
      <c r="AD138" t="s">
        <v>4</v>
      </c>
      <c r="AE138">
        <v>8</v>
      </c>
      <c r="AF138">
        <v>4</v>
      </c>
      <c r="AH138" t="s">
        <v>5932</v>
      </c>
      <c r="AI138" t="s">
        <v>5931</v>
      </c>
      <c r="AK138" t="s">
        <v>5930</v>
      </c>
      <c r="AL138">
        <v>23</v>
      </c>
      <c r="AM138" s="5">
        <f t="shared" si="26"/>
        <v>0.6216216216216216</v>
      </c>
      <c r="AN138" s="4">
        <f t="shared" si="23"/>
        <v>9.4149431521639018E-4</v>
      </c>
      <c r="AO138" s="3"/>
      <c r="AP138">
        <v>0</v>
      </c>
      <c r="AQ138" t="s">
        <v>238</v>
      </c>
      <c r="AR138" t="s">
        <v>5929</v>
      </c>
      <c r="AS138" t="s">
        <v>236</v>
      </c>
      <c r="AT138" s="2" t="s">
        <v>19</v>
      </c>
      <c r="AU138" s="1">
        <f t="shared" si="27"/>
        <v>2.9675683926288579</v>
      </c>
      <c r="AV138" s="1">
        <f t="shared" si="28"/>
        <v>2.1465915465982239</v>
      </c>
      <c r="AW138" s="1">
        <f t="shared" si="29"/>
        <v>1.3256147005675898</v>
      </c>
    </row>
    <row r="139" spans="1:49" x14ac:dyDescent="0.2">
      <c r="A139">
        <v>137</v>
      </c>
      <c r="B139" t="s">
        <v>5928</v>
      </c>
      <c r="C139" t="s">
        <v>5927</v>
      </c>
      <c r="F139" t="s">
        <v>5926</v>
      </c>
      <c r="G139" t="s">
        <v>15</v>
      </c>
      <c r="H139" t="s">
        <v>14</v>
      </c>
      <c r="I139" t="s">
        <v>5925</v>
      </c>
      <c r="J139" t="s">
        <v>5924</v>
      </c>
      <c r="K139" t="s">
        <v>5923</v>
      </c>
      <c r="L139" t="s">
        <v>5922</v>
      </c>
      <c r="M139" t="s">
        <v>5921</v>
      </c>
      <c r="N139">
        <v>2</v>
      </c>
      <c r="O139" t="s">
        <v>5920</v>
      </c>
      <c r="P139" t="s">
        <v>5919</v>
      </c>
      <c r="Q139" t="s">
        <v>5918</v>
      </c>
      <c r="R139" s="7">
        <v>31048</v>
      </c>
      <c r="S139" s="8">
        <f t="shared" si="24"/>
        <v>1985</v>
      </c>
      <c r="T139" s="8">
        <v>1985</v>
      </c>
      <c r="U139" s="8">
        <f t="shared" si="25"/>
        <v>37</v>
      </c>
      <c r="V139" s="7">
        <v>31382</v>
      </c>
      <c r="W139" t="s">
        <v>5895</v>
      </c>
      <c r="X139" s="2">
        <v>0.81799999999999995</v>
      </c>
      <c r="Y139" s="6">
        <f t="shared" si="22"/>
        <v>2.1836042817863912E-2</v>
      </c>
      <c r="AA139">
        <v>318655</v>
      </c>
      <c r="AB139">
        <v>27010</v>
      </c>
      <c r="AC139">
        <v>17511097</v>
      </c>
      <c r="AD139" t="s">
        <v>4</v>
      </c>
      <c r="AE139">
        <v>42</v>
      </c>
      <c r="AF139">
        <v>6</v>
      </c>
      <c r="AH139" t="s">
        <v>5917</v>
      </c>
      <c r="AI139" t="s">
        <v>5916</v>
      </c>
      <c r="AK139" t="s">
        <v>5915</v>
      </c>
      <c r="AL139">
        <v>100</v>
      </c>
      <c r="AM139" s="5">
        <f t="shared" si="26"/>
        <v>2.7027027027027026</v>
      </c>
      <c r="AN139" s="4">
        <f t="shared" si="23"/>
        <v>4.0934535444190874E-3</v>
      </c>
      <c r="AO139" s="3"/>
      <c r="AP139">
        <v>0</v>
      </c>
      <c r="AR139" t="s">
        <v>0</v>
      </c>
      <c r="AT139" s="2">
        <v>3.4209999999999998</v>
      </c>
      <c r="AU139" s="1">
        <f t="shared" si="27"/>
        <v>1.6513266035830463</v>
      </c>
      <c r="AV139" s="1">
        <f t="shared" si="28"/>
        <v>1.2964748181141499</v>
      </c>
      <c r="AW139" s="1">
        <f t="shared" si="29"/>
        <v>0.94162303264525349</v>
      </c>
    </row>
    <row r="140" spans="1:49" x14ac:dyDescent="0.2">
      <c r="A140">
        <v>138</v>
      </c>
      <c r="B140" t="s">
        <v>5914</v>
      </c>
      <c r="C140" t="s">
        <v>5913</v>
      </c>
      <c r="F140" t="s">
        <v>5912</v>
      </c>
      <c r="G140" t="s">
        <v>15</v>
      </c>
      <c r="H140" t="s">
        <v>14</v>
      </c>
      <c r="I140" t="s">
        <v>911</v>
      </c>
      <c r="J140" t="s">
        <v>5911</v>
      </c>
      <c r="K140" t="s">
        <v>5910</v>
      </c>
      <c r="L140" t="s">
        <v>4150</v>
      </c>
      <c r="M140" t="s">
        <v>61</v>
      </c>
      <c r="N140">
        <v>3</v>
      </c>
      <c r="O140" t="s">
        <v>5909</v>
      </c>
      <c r="P140" t="s">
        <v>5908</v>
      </c>
      <c r="Q140" t="s">
        <v>5907</v>
      </c>
      <c r="R140" s="7">
        <v>31048</v>
      </c>
      <c r="S140" s="8">
        <f t="shared" si="24"/>
        <v>1985</v>
      </c>
      <c r="T140" s="8">
        <v>1985</v>
      </c>
      <c r="U140" s="8">
        <f t="shared" si="25"/>
        <v>37</v>
      </c>
      <c r="V140" s="7">
        <v>31352</v>
      </c>
      <c r="W140" t="s">
        <v>5895</v>
      </c>
      <c r="X140" s="2">
        <v>0.81799999999999995</v>
      </c>
      <c r="Y140" s="6">
        <f t="shared" si="22"/>
        <v>2.1836042817863912E-2</v>
      </c>
      <c r="AA140">
        <v>318655</v>
      </c>
      <c r="AB140">
        <v>27010</v>
      </c>
      <c r="AC140">
        <v>17511097</v>
      </c>
      <c r="AD140" t="s">
        <v>4</v>
      </c>
      <c r="AE140">
        <v>42</v>
      </c>
      <c r="AF140">
        <v>5</v>
      </c>
      <c r="AH140" t="s">
        <v>5906</v>
      </c>
      <c r="AI140" t="s">
        <v>5905</v>
      </c>
      <c r="AK140" t="s">
        <v>5904</v>
      </c>
      <c r="AL140">
        <v>24</v>
      </c>
      <c r="AM140" s="5">
        <f t="shared" si="26"/>
        <v>0.64864864864864868</v>
      </c>
      <c r="AN140" s="4">
        <f t="shared" si="23"/>
        <v>9.8242885066058107E-4</v>
      </c>
      <c r="AO140" s="3"/>
      <c r="AP140">
        <v>0</v>
      </c>
      <c r="AR140" t="s">
        <v>0</v>
      </c>
      <c r="AT140" s="2">
        <v>3.4209999999999998</v>
      </c>
      <c r="AU140" s="1">
        <f t="shared" si="27"/>
        <v>1.5579958627702912</v>
      </c>
      <c r="AV140" s="1">
        <f t="shared" si="28"/>
        <v>1.1409235834262246</v>
      </c>
      <c r="AW140" s="1">
        <f t="shared" si="29"/>
        <v>0.72385130408215803</v>
      </c>
    </row>
    <row r="141" spans="1:49" x14ac:dyDescent="0.2">
      <c r="A141">
        <v>139</v>
      </c>
      <c r="B141" t="s">
        <v>5903</v>
      </c>
      <c r="C141" t="s">
        <v>5902</v>
      </c>
      <c r="F141" t="s">
        <v>5901</v>
      </c>
      <c r="G141" t="s">
        <v>15</v>
      </c>
      <c r="H141" t="s">
        <v>14</v>
      </c>
      <c r="I141" t="s">
        <v>5900</v>
      </c>
      <c r="J141">
        <v>60007457</v>
      </c>
      <c r="K141" t="s">
        <v>5899</v>
      </c>
      <c r="L141" t="s">
        <v>5846</v>
      </c>
      <c r="M141" t="s">
        <v>5845</v>
      </c>
      <c r="N141">
        <v>4</v>
      </c>
      <c r="O141" t="s">
        <v>5898</v>
      </c>
      <c r="P141" t="s">
        <v>5897</v>
      </c>
      <c r="Q141" t="s">
        <v>5896</v>
      </c>
      <c r="R141" s="7">
        <v>31048</v>
      </c>
      <c r="S141" s="8">
        <f t="shared" si="24"/>
        <v>1985</v>
      </c>
      <c r="T141" s="8">
        <v>1985</v>
      </c>
      <c r="U141" s="8">
        <f t="shared" si="25"/>
        <v>37</v>
      </c>
      <c r="V141" s="7">
        <v>31229</v>
      </c>
      <c r="W141" t="s">
        <v>5895</v>
      </c>
      <c r="X141" s="2">
        <v>0.81799999999999995</v>
      </c>
      <c r="Y141" s="6">
        <f t="shared" si="22"/>
        <v>2.1836042817863912E-2</v>
      </c>
      <c r="AA141">
        <v>318655</v>
      </c>
      <c r="AB141">
        <v>27010</v>
      </c>
      <c r="AC141">
        <v>17511097</v>
      </c>
      <c r="AD141" t="s">
        <v>4</v>
      </c>
      <c r="AE141">
        <v>42</v>
      </c>
      <c r="AF141">
        <v>1</v>
      </c>
      <c r="AH141" t="s">
        <v>5894</v>
      </c>
      <c r="AI141" t="s">
        <v>5893</v>
      </c>
      <c r="AK141" t="s">
        <v>5892</v>
      </c>
      <c r="AL141">
        <v>4</v>
      </c>
      <c r="AM141" s="5">
        <f t="shared" si="26"/>
        <v>0.10810810810810811</v>
      </c>
      <c r="AN141" s="4">
        <f t="shared" si="23"/>
        <v>1.6373814177676353E-4</v>
      </c>
      <c r="AO141" s="3"/>
      <c r="AP141">
        <v>0</v>
      </c>
      <c r="AR141" t="s">
        <v>0</v>
      </c>
      <c r="AT141" s="2">
        <v>3.4209999999999998</v>
      </c>
      <c r="AU141" s="1">
        <f t="shared" si="27"/>
        <v>1.5334351415037766</v>
      </c>
      <c r="AV141" s="1">
        <f t="shared" si="28"/>
        <v>1.0999890479820338</v>
      </c>
      <c r="AW141" s="1">
        <f t="shared" si="29"/>
        <v>0.66654295446029088</v>
      </c>
    </row>
    <row r="142" spans="1:49" x14ac:dyDescent="0.2">
      <c r="A142">
        <v>140</v>
      </c>
      <c r="B142" t="s">
        <v>5891</v>
      </c>
      <c r="C142" t="s">
        <v>5890</v>
      </c>
      <c r="F142" t="s">
        <v>5889</v>
      </c>
      <c r="G142" t="s">
        <v>15</v>
      </c>
      <c r="H142" t="s">
        <v>14</v>
      </c>
      <c r="I142" t="s">
        <v>5888</v>
      </c>
      <c r="J142">
        <v>60016849</v>
      </c>
      <c r="K142" t="s">
        <v>78</v>
      </c>
      <c r="L142" t="s">
        <v>77</v>
      </c>
      <c r="M142" t="s">
        <v>76</v>
      </c>
      <c r="N142">
        <v>2</v>
      </c>
      <c r="O142" t="s">
        <v>5887</v>
      </c>
      <c r="P142" t="s">
        <v>5886</v>
      </c>
      <c r="Q142" t="s">
        <v>73</v>
      </c>
      <c r="R142" s="7">
        <v>31048</v>
      </c>
      <c r="S142" s="8">
        <f t="shared" si="24"/>
        <v>1985</v>
      </c>
      <c r="T142" s="8">
        <v>1985</v>
      </c>
      <c r="U142" s="8">
        <f t="shared" si="25"/>
        <v>37</v>
      </c>
      <c r="V142" s="7">
        <v>31048</v>
      </c>
      <c r="W142" t="s">
        <v>1276</v>
      </c>
      <c r="X142" s="2">
        <v>0.65200000000000002</v>
      </c>
      <c r="Y142" s="6">
        <f t="shared" si="22"/>
        <v>1.7404767624996664E-2</v>
      </c>
      <c r="AA142">
        <v>3622525</v>
      </c>
      <c r="AB142">
        <v>29629</v>
      </c>
      <c r="AC142">
        <v>10974687</v>
      </c>
      <c r="AD142" t="s">
        <v>4</v>
      </c>
      <c r="AE142">
        <v>183</v>
      </c>
      <c r="AF142">
        <v>1</v>
      </c>
      <c r="AH142" t="s">
        <v>5885</v>
      </c>
      <c r="AI142" t="s">
        <v>5884</v>
      </c>
      <c r="AK142" t="s">
        <v>5883</v>
      </c>
      <c r="AL142">
        <v>38</v>
      </c>
      <c r="AM142" s="5">
        <f t="shared" si="26"/>
        <v>1.027027027027027</v>
      </c>
      <c r="AN142" s="4">
        <f t="shared" si="23"/>
        <v>1.5555123468792532E-3</v>
      </c>
      <c r="AO142" s="3"/>
      <c r="AP142">
        <v>0</v>
      </c>
      <c r="AR142" t="s">
        <v>0</v>
      </c>
      <c r="AT142" s="2">
        <v>1.804</v>
      </c>
      <c r="AU142" s="1">
        <f t="shared" si="27"/>
        <v>1.2649991041561439</v>
      </c>
      <c r="AV142" s="1">
        <f t="shared" si="28"/>
        <v>0.94801399859379587</v>
      </c>
      <c r="AW142" s="1">
        <f t="shared" si="29"/>
        <v>0.6310288930314476</v>
      </c>
    </row>
    <row r="143" spans="1:49" x14ac:dyDescent="0.2">
      <c r="A143">
        <v>141</v>
      </c>
      <c r="B143" t="s">
        <v>5882</v>
      </c>
      <c r="C143" t="s">
        <v>5881</v>
      </c>
      <c r="F143" t="s">
        <v>5880</v>
      </c>
      <c r="G143" t="s">
        <v>15</v>
      </c>
      <c r="H143" t="s">
        <v>14</v>
      </c>
      <c r="I143" t="s">
        <v>5879</v>
      </c>
      <c r="J143">
        <v>60025988</v>
      </c>
      <c r="K143" t="s">
        <v>5878</v>
      </c>
      <c r="L143" t="s">
        <v>5877</v>
      </c>
      <c r="M143" t="s">
        <v>5876</v>
      </c>
      <c r="N143">
        <v>1</v>
      </c>
      <c r="O143" t="s">
        <v>5875</v>
      </c>
      <c r="P143">
        <v>6701671159</v>
      </c>
      <c r="Q143">
        <v>60025988</v>
      </c>
      <c r="R143" s="7">
        <v>31048</v>
      </c>
      <c r="S143" s="8">
        <f t="shared" si="24"/>
        <v>1985</v>
      </c>
      <c r="T143" s="8">
        <v>1985</v>
      </c>
      <c r="U143" s="8">
        <f t="shared" si="25"/>
        <v>37</v>
      </c>
      <c r="V143" s="7">
        <v>31260</v>
      </c>
      <c r="W143" t="s">
        <v>1276</v>
      </c>
      <c r="X143" s="2">
        <v>0.65200000000000002</v>
      </c>
      <c r="Y143" s="6">
        <f t="shared" si="22"/>
        <v>1.7404767624996664E-2</v>
      </c>
      <c r="AA143">
        <v>3622525</v>
      </c>
      <c r="AB143">
        <v>29629</v>
      </c>
      <c r="AC143">
        <v>10974687</v>
      </c>
      <c r="AD143" t="s">
        <v>4</v>
      </c>
      <c r="AE143">
        <v>185</v>
      </c>
      <c r="AF143">
        <v>2</v>
      </c>
      <c r="AH143" t="s">
        <v>5874</v>
      </c>
      <c r="AI143" t="s">
        <v>5873</v>
      </c>
      <c r="AK143" t="s">
        <v>5872</v>
      </c>
      <c r="AL143">
        <v>36</v>
      </c>
      <c r="AM143" s="5">
        <f t="shared" si="26"/>
        <v>0.97297297297297303</v>
      </c>
      <c r="AN143" s="4">
        <f t="shared" si="23"/>
        <v>1.4736432759908716E-3</v>
      </c>
      <c r="AO143" s="3"/>
      <c r="AP143">
        <v>0</v>
      </c>
      <c r="AR143" t="s">
        <v>0</v>
      </c>
      <c r="AT143" s="2">
        <v>1.804</v>
      </c>
      <c r="AU143" s="1">
        <f t="shared" si="27"/>
        <v>1.2625430320294926</v>
      </c>
      <c r="AV143" s="1">
        <f t="shared" si="28"/>
        <v>0.94392054504937684</v>
      </c>
      <c r="AW143" s="1">
        <f t="shared" si="29"/>
        <v>0.62529805806926086</v>
      </c>
    </row>
    <row r="144" spans="1:49" x14ac:dyDescent="0.2">
      <c r="A144">
        <v>142</v>
      </c>
      <c r="B144" t="s">
        <v>5871</v>
      </c>
      <c r="C144" t="s">
        <v>5870</v>
      </c>
      <c r="F144" t="s">
        <v>5869</v>
      </c>
      <c r="G144" t="s">
        <v>15</v>
      </c>
      <c r="H144" t="s">
        <v>14</v>
      </c>
      <c r="I144" t="s">
        <v>5868</v>
      </c>
      <c r="J144">
        <v>60031101</v>
      </c>
      <c r="K144" t="s">
        <v>4500</v>
      </c>
      <c r="L144" t="s">
        <v>358</v>
      </c>
      <c r="M144" t="s">
        <v>530</v>
      </c>
      <c r="N144">
        <v>1</v>
      </c>
      <c r="O144" t="s">
        <v>5867</v>
      </c>
      <c r="P144">
        <v>7102093838</v>
      </c>
      <c r="Q144">
        <v>60031101</v>
      </c>
      <c r="R144" s="7">
        <v>31048</v>
      </c>
      <c r="S144" s="8">
        <f t="shared" si="24"/>
        <v>1985</v>
      </c>
      <c r="T144" s="8">
        <v>1985</v>
      </c>
      <c r="U144" s="8">
        <f t="shared" si="25"/>
        <v>37</v>
      </c>
      <c r="V144" s="7">
        <v>31321</v>
      </c>
      <c r="W144" t="s">
        <v>5866</v>
      </c>
      <c r="X144" s="2">
        <v>0.91500000000000004</v>
      </c>
      <c r="Y144" s="6">
        <f t="shared" si="22"/>
        <v>2.4425402418515259E-2</v>
      </c>
      <c r="AA144">
        <v>9528369</v>
      </c>
      <c r="AB144">
        <v>22608</v>
      </c>
      <c r="AC144">
        <v>14697998</v>
      </c>
      <c r="AD144" t="s">
        <v>4</v>
      </c>
      <c r="AE144">
        <v>207</v>
      </c>
      <c r="AF144">
        <v>2</v>
      </c>
      <c r="AH144" t="s">
        <v>5865</v>
      </c>
      <c r="AI144" t="s">
        <v>5864</v>
      </c>
      <c r="AK144" t="s">
        <v>5863</v>
      </c>
      <c r="AL144">
        <v>2</v>
      </c>
      <c r="AM144" s="5">
        <f t="shared" si="26"/>
        <v>5.4054054054054057E-2</v>
      </c>
      <c r="AN144" s="4">
        <f t="shared" si="23"/>
        <v>8.1869070888381765E-5</v>
      </c>
      <c r="AO144" s="3"/>
      <c r="AP144">
        <v>0</v>
      </c>
      <c r="AR144" t="s">
        <v>0</v>
      </c>
      <c r="AT144" s="2">
        <v>2.3220000000000001</v>
      </c>
      <c r="AU144" s="1">
        <f t="shared" si="27"/>
        <v>1.7122342414227196</v>
      </c>
      <c r="AV144" s="1">
        <f t="shared" si="28"/>
        <v>1.2253635744701821</v>
      </c>
      <c r="AW144" s="1">
        <f t="shared" si="29"/>
        <v>0.7384929075176444</v>
      </c>
    </row>
    <row r="145" spans="1:49" x14ac:dyDescent="0.2">
      <c r="A145">
        <v>143</v>
      </c>
      <c r="B145" t="s">
        <v>5862</v>
      </c>
      <c r="C145" t="s">
        <v>5861</v>
      </c>
      <c r="F145" t="s">
        <v>5860</v>
      </c>
      <c r="G145" t="s">
        <v>15</v>
      </c>
      <c r="H145" t="s">
        <v>14</v>
      </c>
      <c r="I145" t="s">
        <v>5859</v>
      </c>
      <c r="J145">
        <v>60121576</v>
      </c>
      <c r="K145" t="s">
        <v>5858</v>
      </c>
      <c r="L145" t="s">
        <v>2710</v>
      </c>
      <c r="M145" t="s">
        <v>122</v>
      </c>
      <c r="N145">
        <v>1</v>
      </c>
      <c r="O145" t="s">
        <v>5857</v>
      </c>
      <c r="P145">
        <v>6506701727</v>
      </c>
      <c r="Q145">
        <v>60121576</v>
      </c>
      <c r="R145" s="7">
        <v>31048</v>
      </c>
      <c r="S145" s="8">
        <f t="shared" si="24"/>
        <v>1985</v>
      </c>
      <c r="T145" s="8">
        <v>1985</v>
      </c>
      <c r="U145" s="8">
        <f t="shared" si="25"/>
        <v>37</v>
      </c>
      <c r="V145" s="7">
        <v>31199</v>
      </c>
      <c r="W145" t="s">
        <v>5856</v>
      </c>
      <c r="X145" s="2">
        <v>0.85</v>
      </c>
      <c r="Y145" s="6">
        <f t="shared" si="22"/>
        <v>2.2690264541790128E-2</v>
      </c>
      <c r="AA145">
        <v>223646</v>
      </c>
      <c r="AB145">
        <v>19225</v>
      </c>
      <c r="AC145">
        <v>15298817</v>
      </c>
      <c r="AD145" t="s">
        <v>4</v>
      </c>
      <c r="AE145">
        <v>21</v>
      </c>
      <c r="AF145">
        <v>2</v>
      </c>
      <c r="AH145" t="s">
        <v>5855</v>
      </c>
      <c r="AI145" t="s">
        <v>5854</v>
      </c>
      <c r="AJ145" t="s">
        <v>5853</v>
      </c>
      <c r="AK145" t="s">
        <v>5852</v>
      </c>
      <c r="AL145">
        <v>65</v>
      </c>
      <c r="AM145" s="5">
        <f t="shared" si="26"/>
        <v>1.7567567567567568</v>
      </c>
      <c r="AN145" s="4">
        <f t="shared" si="23"/>
        <v>2.6607448038724071E-3</v>
      </c>
      <c r="AO145" s="3"/>
      <c r="AP145">
        <v>0</v>
      </c>
      <c r="AR145" t="s">
        <v>0</v>
      </c>
      <c r="AT145" s="2">
        <v>2.923</v>
      </c>
      <c r="AU145" s="1">
        <f t="shared" si="27"/>
        <v>1.668140862041481</v>
      </c>
      <c r="AV145" s="1">
        <f t="shared" si="28"/>
        <v>1.2675504672831268</v>
      </c>
      <c r="AW145" s="1">
        <f t="shared" si="29"/>
        <v>0.86696007252477225</v>
      </c>
    </row>
    <row r="146" spans="1:49" x14ac:dyDescent="0.2">
      <c r="A146">
        <v>144</v>
      </c>
      <c r="B146" t="s">
        <v>5851</v>
      </c>
      <c r="C146" t="s">
        <v>5850</v>
      </c>
      <c r="F146" t="s">
        <v>5849</v>
      </c>
      <c r="G146" t="s">
        <v>15</v>
      </c>
      <c r="H146" t="s">
        <v>14</v>
      </c>
      <c r="I146" t="s">
        <v>5848</v>
      </c>
      <c r="J146">
        <v>100519258</v>
      </c>
      <c r="K146" t="s">
        <v>5847</v>
      </c>
      <c r="L146" t="s">
        <v>5846</v>
      </c>
      <c r="M146" t="s">
        <v>5845</v>
      </c>
      <c r="N146">
        <v>1</v>
      </c>
      <c r="O146" t="s">
        <v>5844</v>
      </c>
      <c r="P146">
        <v>6603443366</v>
      </c>
      <c r="Q146">
        <v>100519258</v>
      </c>
      <c r="R146" s="7">
        <v>31048</v>
      </c>
      <c r="S146" s="8">
        <f t="shared" si="24"/>
        <v>1985</v>
      </c>
      <c r="T146" s="8">
        <v>1985</v>
      </c>
      <c r="U146" s="8">
        <f t="shared" si="25"/>
        <v>37</v>
      </c>
      <c r="V146" s="7">
        <v>1985</v>
      </c>
      <c r="W146" t="s">
        <v>5843</v>
      </c>
      <c r="X146" s="2" t="s">
        <v>19</v>
      </c>
      <c r="Y146" s="6" t="e">
        <f t="shared" si="22"/>
        <v>#VALUE!</v>
      </c>
      <c r="AA146">
        <v>209309</v>
      </c>
      <c r="AB146">
        <v>31487</v>
      </c>
      <c r="AC146">
        <v>15222632</v>
      </c>
      <c r="AD146" t="s">
        <v>4</v>
      </c>
      <c r="AE146">
        <v>70</v>
      </c>
      <c r="AF146">
        <v>3</v>
      </c>
      <c r="AH146" t="s">
        <v>5842</v>
      </c>
      <c r="AI146" t="s">
        <v>5841</v>
      </c>
      <c r="AJ146" t="s">
        <v>5840</v>
      </c>
      <c r="AK146" t="s">
        <v>5839</v>
      </c>
      <c r="AL146">
        <v>13</v>
      </c>
      <c r="AM146" s="5">
        <f t="shared" si="26"/>
        <v>0.35135135135135137</v>
      </c>
      <c r="AN146" s="4">
        <f t="shared" si="23"/>
        <v>5.3214896077448143E-4</v>
      </c>
      <c r="AO146" s="3"/>
      <c r="AP146">
        <v>0</v>
      </c>
      <c r="AR146" t="s">
        <v>0</v>
      </c>
      <c r="AT146" s="2" t="s">
        <v>19</v>
      </c>
      <c r="AU146" s="1" t="e">
        <f t="shared" si="27"/>
        <v>#VALUE!</v>
      </c>
      <c r="AV146" s="1" t="e">
        <f t="shared" si="28"/>
        <v>#VALUE!</v>
      </c>
      <c r="AW146" s="1" t="e">
        <f t="shared" si="29"/>
        <v>#VALUE!</v>
      </c>
    </row>
    <row r="147" spans="1:49" x14ac:dyDescent="0.2">
      <c r="A147">
        <v>145</v>
      </c>
      <c r="B147" t="s">
        <v>5838</v>
      </c>
      <c r="C147" t="s">
        <v>5837</v>
      </c>
      <c r="F147" t="s">
        <v>5836</v>
      </c>
      <c r="G147" t="s">
        <v>15</v>
      </c>
      <c r="H147" t="s">
        <v>14</v>
      </c>
      <c r="I147" t="s">
        <v>5835</v>
      </c>
      <c r="J147">
        <v>60024324</v>
      </c>
      <c r="K147" t="s">
        <v>4247</v>
      </c>
      <c r="L147" t="s">
        <v>4246</v>
      </c>
      <c r="M147" t="s">
        <v>122</v>
      </c>
      <c r="N147">
        <v>1</v>
      </c>
      <c r="O147" t="s">
        <v>5834</v>
      </c>
      <c r="P147">
        <v>7006811537</v>
      </c>
      <c r="Q147">
        <v>60024324</v>
      </c>
      <c r="R147" s="7">
        <v>31048</v>
      </c>
      <c r="S147" s="8">
        <f t="shared" si="24"/>
        <v>1985</v>
      </c>
      <c r="T147" s="8">
        <v>1985</v>
      </c>
      <c r="U147" s="8">
        <f t="shared" si="25"/>
        <v>37</v>
      </c>
      <c r="V147" s="7">
        <v>31199</v>
      </c>
      <c r="W147" t="s">
        <v>5833</v>
      </c>
      <c r="X147" s="2">
        <v>2.0070000000000001</v>
      </c>
      <c r="Y147" s="6">
        <f t="shared" si="22"/>
        <v>5.3575718747497406E-2</v>
      </c>
      <c r="AA147">
        <v>948276</v>
      </c>
      <c r="AB147">
        <v>27962</v>
      </c>
      <c r="AC147">
        <v>19448007</v>
      </c>
      <c r="AD147" t="s">
        <v>4</v>
      </c>
      <c r="AE147">
        <v>12</v>
      </c>
      <c r="AF147">
        <v>6</v>
      </c>
      <c r="AH147" t="s">
        <v>5832</v>
      </c>
      <c r="AI147" t="s">
        <v>5831</v>
      </c>
      <c r="AK147" t="s">
        <v>5830</v>
      </c>
      <c r="AL147">
        <v>21</v>
      </c>
      <c r="AM147" s="5">
        <f t="shared" si="26"/>
        <v>0.56756756756756754</v>
      </c>
      <c r="AN147" s="4">
        <f t="shared" si="23"/>
        <v>8.5962524432800838E-4</v>
      </c>
      <c r="AO147" s="3"/>
      <c r="AP147">
        <v>0</v>
      </c>
      <c r="AR147" t="s">
        <v>0</v>
      </c>
      <c r="AT147" s="2">
        <v>4.72</v>
      </c>
      <c r="AU147" s="1">
        <f t="shared" si="27"/>
        <v>3.7760890696546583</v>
      </c>
      <c r="AV147" s="1">
        <f t="shared" si="28"/>
        <v>2.7217671995912704</v>
      </c>
      <c r="AW147" s="1">
        <f t="shared" si="29"/>
        <v>1.6674453295278824</v>
      </c>
    </row>
    <row r="148" spans="1:49" x14ac:dyDescent="0.2">
      <c r="A148">
        <v>146</v>
      </c>
      <c r="B148" t="s">
        <v>5829</v>
      </c>
      <c r="C148" t="s">
        <v>5828</v>
      </c>
      <c r="F148" t="s">
        <v>5827</v>
      </c>
      <c r="G148" t="s">
        <v>15</v>
      </c>
      <c r="H148" t="s">
        <v>14</v>
      </c>
      <c r="I148" t="s">
        <v>5826</v>
      </c>
      <c r="J148">
        <v>60019983</v>
      </c>
      <c r="K148" t="s">
        <v>2944</v>
      </c>
      <c r="L148" t="s">
        <v>2943</v>
      </c>
      <c r="M148" t="s">
        <v>544</v>
      </c>
      <c r="N148">
        <v>2</v>
      </c>
      <c r="O148" t="s">
        <v>5825</v>
      </c>
      <c r="P148" t="s">
        <v>5824</v>
      </c>
      <c r="Q148" t="s">
        <v>2940</v>
      </c>
      <c r="R148" s="7">
        <v>31048</v>
      </c>
      <c r="S148" s="8">
        <f t="shared" si="24"/>
        <v>1985</v>
      </c>
      <c r="T148" s="8">
        <v>1985</v>
      </c>
      <c r="U148" s="8">
        <f t="shared" si="25"/>
        <v>37</v>
      </c>
      <c r="V148" s="7">
        <v>31107</v>
      </c>
      <c r="W148" t="s">
        <v>590</v>
      </c>
      <c r="X148" s="2">
        <v>0.111</v>
      </c>
      <c r="Y148" s="6">
        <f t="shared" si="22"/>
        <v>2.9630816048690639E-3</v>
      </c>
      <c r="AA148">
        <v>87566621</v>
      </c>
      <c r="AB148">
        <v>24890</v>
      </c>
      <c r="AC148">
        <v>15206424</v>
      </c>
      <c r="AD148" t="s">
        <v>4</v>
      </c>
      <c r="AE148">
        <v>68</v>
      </c>
      <c r="AF148">
        <v>3</v>
      </c>
      <c r="AH148" t="s">
        <v>5823</v>
      </c>
      <c r="AI148" t="s">
        <v>5822</v>
      </c>
      <c r="AK148" t="s">
        <v>5821</v>
      </c>
      <c r="AL148">
        <v>0</v>
      </c>
      <c r="AM148" s="5">
        <f t="shared" si="26"/>
        <v>0</v>
      </c>
      <c r="AN148" s="4">
        <f t="shared" si="23"/>
        <v>0</v>
      </c>
      <c r="AO148" s="3"/>
      <c r="AP148">
        <v>0</v>
      </c>
      <c r="AR148" t="s">
        <v>0</v>
      </c>
      <c r="AT148" s="2" t="s">
        <v>19</v>
      </c>
      <c r="AU148" s="1">
        <f t="shared" si="27"/>
        <v>0.20741571234083445</v>
      </c>
      <c r="AV148" s="1">
        <f t="shared" si="28"/>
        <v>0.1481540802434532</v>
      </c>
      <c r="AW148" s="1">
        <f t="shared" si="29"/>
        <v>8.8892448146071903E-2</v>
      </c>
    </row>
    <row r="149" spans="1:49" x14ac:dyDescent="0.2">
      <c r="A149">
        <v>147</v>
      </c>
      <c r="B149" t="s">
        <v>5820</v>
      </c>
      <c r="C149" t="s">
        <v>5819</v>
      </c>
      <c r="F149" t="s">
        <v>5818</v>
      </c>
      <c r="G149" t="s">
        <v>15</v>
      </c>
      <c r="H149" t="s">
        <v>14</v>
      </c>
      <c r="I149" t="s">
        <v>5817</v>
      </c>
      <c r="J149">
        <v>60002784</v>
      </c>
      <c r="K149" t="s">
        <v>5816</v>
      </c>
      <c r="L149" t="s">
        <v>594</v>
      </c>
      <c r="M149" t="s">
        <v>544</v>
      </c>
      <c r="N149">
        <v>3</v>
      </c>
      <c r="O149" t="s">
        <v>5815</v>
      </c>
      <c r="P149" t="s">
        <v>5814</v>
      </c>
      <c r="Q149" t="s">
        <v>5813</v>
      </c>
      <c r="R149" s="7">
        <v>31048</v>
      </c>
      <c r="S149" s="8">
        <f t="shared" si="24"/>
        <v>1985</v>
      </c>
      <c r="T149" s="8">
        <v>1985</v>
      </c>
      <c r="U149" s="8">
        <f t="shared" si="25"/>
        <v>37</v>
      </c>
      <c r="V149" s="7">
        <v>31079</v>
      </c>
      <c r="W149" t="s">
        <v>590</v>
      </c>
      <c r="X149" s="2">
        <v>0.111</v>
      </c>
      <c r="Y149" s="6">
        <f t="shared" si="22"/>
        <v>2.9630816048690639E-3</v>
      </c>
      <c r="AA149">
        <v>87566621</v>
      </c>
      <c r="AB149">
        <v>24890</v>
      </c>
      <c r="AC149">
        <v>15206424</v>
      </c>
      <c r="AD149" t="s">
        <v>4</v>
      </c>
      <c r="AE149">
        <v>68</v>
      </c>
      <c r="AF149">
        <v>2</v>
      </c>
      <c r="AH149" t="s">
        <v>5812</v>
      </c>
      <c r="AI149" t="s">
        <v>5811</v>
      </c>
      <c r="AK149" t="s">
        <v>5810</v>
      </c>
      <c r="AL149">
        <v>0</v>
      </c>
      <c r="AM149" s="5">
        <f t="shared" si="26"/>
        <v>0</v>
      </c>
      <c r="AN149" s="4">
        <f t="shared" si="23"/>
        <v>0</v>
      </c>
      <c r="AO149" s="3"/>
      <c r="AP149">
        <v>0</v>
      </c>
      <c r="AR149" t="s">
        <v>0</v>
      </c>
      <c r="AT149" s="2" t="s">
        <v>19</v>
      </c>
      <c r="AU149" s="1">
        <f t="shared" si="27"/>
        <v>0.20741571234083445</v>
      </c>
      <c r="AV149" s="1">
        <f t="shared" si="28"/>
        <v>0.1481540802434532</v>
      </c>
      <c r="AW149" s="1">
        <f t="shared" si="29"/>
        <v>8.8892448146071903E-2</v>
      </c>
    </row>
    <row r="150" spans="1:49" x14ac:dyDescent="0.2">
      <c r="A150">
        <v>148</v>
      </c>
      <c r="B150" t="s">
        <v>5809</v>
      </c>
      <c r="C150" t="s">
        <v>5808</v>
      </c>
      <c r="F150" t="s">
        <v>5807</v>
      </c>
      <c r="G150" t="s">
        <v>15</v>
      </c>
      <c r="H150" t="s">
        <v>14</v>
      </c>
      <c r="I150" t="s">
        <v>5806</v>
      </c>
      <c r="J150" t="s">
        <v>5805</v>
      </c>
      <c r="K150" t="s">
        <v>5804</v>
      </c>
      <c r="L150" t="s">
        <v>5803</v>
      </c>
      <c r="M150" t="s">
        <v>3995</v>
      </c>
      <c r="N150">
        <v>2</v>
      </c>
      <c r="O150" t="s">
        <v>5802</v>
      </c>
      <c r="P150" t="s">
        <v>5801</v>
      </c>
      <c r="Q150" t="s">
        <v>5800</v>
      </c>
      <c r="R150" s="7">
        <v>31048</v>
      </c>
      <c r="S150" s="8">
        <f t="shared" si="24"/>
        <v>1985</v>
      </c>
      <c r="T150" s="8">
        <v>1985</v>
      </c>
      <c r="U150" s="8">
        <f t="shared" si="25"/>
        <v>37</v>
      </c>
      <c r="V150" s="7">
        <v>31107</v>
      </c>
      <c r="W150" t="s">
        <v>5799</v>
      </c>
      <c r="X150" s="2" t="s">
        <v>19</v>
      </c>
      <c r="Y150" s="6" t="e">
        <f t="shared" si="22"/>
        <v>#VALUE!</v>
      </c>
      <c r="AA150">
        <v>13266756</v>
      </c>
      <c r="AB150">
        <v>19190</v>
      </c>
      <c r="AC150">
        <v>14406055</v>
      </c>
      <c r="AD150" t="s">
        <v>4</v>
      </c>
      <c r="AE150">
        <v>24</v>
      </c>
      <c r="AF150">
        <v>1</v>
      </c>
      <c r="AH150" t="s">
        <v>5798</v>
      </c>
      <c r="AI150" t="s">
        <v>5797</v>
      </c>
      <c r="AK150" t="s">
        <v>5796</v>
      </c>
      <c r="AL150">
        <v>21</v>
      </c>
      <c r="AM150" s="5">
        <f t="shared" si="26"/>
        <v>0.56756756756756754</v>
      </c>
      <c r="AN150" s="4">
        <f t="shared" si="23"/>
        <v>8.5962524432800838E-4</v>
      </c>
      <c r="AO150" s="3"/>
      <c r="AP150">
        <v>1</v>
      </c>
      <c r="AR150" t="s">
        <v>0</v>
      </c>
      <c r="AT150" s="2" t="s">
        <v>19</v>
      </c>
      <c r="AU150" s="1" t="e">
        <f t="shared" si="27"/>
        <v>#VALUE!</v>
      </c>
      <c r="AV150" s="1" t="e">
        <f t="shared" si="28"/>
        <v>#VALUE!</v>
      </c>
      <c r="AW150" s="1" t="e">
        <f t="shared" si="29"/>
        <v>#VALUE!</v>
      </c>
    </row>
    <row r="151" spans="1:49" x14ac:dyDescent="0.2">
      <c r="A151">
        <v>149</v>
      </c>
      <c r="B151" t="s">
        <v>5795</v>
      </c>
      <c r="C151" t="s">
        <v>5794</v>
      </c>
      <c r="F151" t="s">
        <v>5793</v>
      </c>
      <c r="G151" t="s">
        <v>15</v>
      </c>
      <c r="H151" t="s">
        <v>14</v>
      </c>
      <c r="I151" t="s">
        <v>5792</v>
      </c>
      <c r="J151">
        <v>100328195</v>
      </c>
      <c r="K151" t="s">
        <v>5791</v>
      </c>
      <c r="L151" t="s">
        <v>5790</v>
      </c>
      <c r="M151" t="s">
        <v>122</v>
      </c>
      <c r="N151">
        <v>2</v>
      </c>
      <c r="O151" t="s">
        <v>5789</v>
      </c>
      <c r="P151" t="s">
        <v>5788</v>
      </c>
      <c r="Q151" t="s">
        <v>5787</v>
      </c>
      <c r="R151" s="7">
        <v>31048</v>
      </c>
      <c r="S151" s="8">
        <f t="shared" si="24"/>
        <v>1985</v>
      </c>
      <c r="T151" s="8">
        <v>1985</v>
      </c>
      <c r="U151" s="8">
        <f t="shared" si="25"/>
        <v>37</v>
      </c>
      <c r="V151" s="7" t="s">
        <v>5786</v>
      </c>
      <c r="W151" t="s">
        <v>5774</v>
      </c>
      <c r="X151" s="2">
        <v>0.33800000000000002</v>
      </c>
      <c r="Y151" s="6">
        <f t="shared" si="22"/>
        <v>9.0227169589706634E-3</v>
      </c>
      <c r="AA151">
        <v>7372884</v>
      </c>
      <c r="AB151">
        <v>70506</v>
      </c>
      <c r="AC151">
        <v>10991247</v>
      </c>
      <c r="AD151" t="s">
        <v>4</v>
      </c>
      <c r="AE151">
        <v>3</v>
      </c>
      <c r="AF151" s="9">
        <v>44228</v>
      </c>
      <c r="AH151" t="s">
        <v>5785</v>
      </c>
      <c r="AI151" t="s">
        <v>5784</v>
      </c>
      <c r="AJ151" t="s">
        <v>5783</v>
      </c>
      <c r="AK151" t="s">
        <v>5782</v>
      </c>
      <c r="AL151">
        <v>0</v>
      </c>
      <c r="AM151" s="5">
        <f t="shared" si="26"/>
        <v>0</v>
      </c>
      <c r="AN151" s="4">
        <f t="shared" si="23"/>
        <v>0</v>
      </c>
      <c r="AO151" s="3"/>
      <c r="AP151">
        <v>0</v>
      </c>
      <c r="AR151" t="s">
        <v>0</v>
      </c>
      <c r="AT151" s="2" t="s">
        <v>19</v>
      </c>
      <c r="AU151" s="1">
        <f t="shared" si="27"/>
        <v>0.63159018712794635</v>
      </c>
      <c r="AV151" s="1">
        <f t="shared" si="28"/>
        <v>0.45113584794853318</v>
      </c>
      <c r="AW151" s="1">
        <f t="shared" si="29"/>
        <v>0.27068150876911989</v>
      </c>
    </row>
    <row r="152" spans="1:49" x14ac:dyDescent="0.2">
      <c r="A152">
        <v>150</v>
      </c>
      <c r="B152" t="s">
        <v>5781</v>
      </c>
      <c r="C152" t="s">
        <v>5780</v>
      </c>
      <c r="F152" t="s">
        <v>5779</v>
      </c>
      <c r="G152" t="s">
        <v>15</v>
      </c>
      <c r="H152" t="s">
        <v>14</v>
      </c>
      <c r="I152" t="s">
        <v>5778</v>
      </c>
      <c r="J152">
        <v>60025522</v>
      </c>
      <c r="K152" t="s">
        <v>5777</v>
      </c>
      <c r="L152" t="s">
        <v>1645</v>
      </c>
      <c r="M152" t="s">
        <v>122</v>
      </c>
      <c r="N152">
        <v>1</v>
      </c>
      <c r="O152" t="s">
        <v>5776</v>
      </c>
      <c r="P152">
        <v>57190612942</v>
      </c>
      <c r="Q152">
        <v>60025522</v>
      </c>
      <c r="R152" s="7">
        <v>31048</v>
      </c>
      <c r="S152" s="8">
        <f t="shared" si="24"/>
        <v>1985</v>
      </c>
      <c r="T152" s="8">
        <v>1985</v>
      </c>
      <c r="U152" s="8">
        <f t="shared" si="25"/>
        <v>37</v>
      </c>
      <c r="V152" s="7" t="s">
        <v>5775</v>
      </c>
      <c r="W152" t="s">
        <v>5774</v>
      </c>
      <c r="X152" s="2">
        <v>0.33800000000000002</v>
      </c>
      <c r="Y152" s="6">
        <f t="shared" si="22"/>
        <v>9.0227169589706634E-3</v>
      </c>
      <c r="AA152">
        <v>7372884</v>
      </c>
      <c r="AB152">
        <v>70506</v>
      </c>
      <c r="AC152">
        <v>10991247</v>
      </c>
      <c r="AD152" t="s">
        <v>4</v>
      </c>
      <c r="AE152">
        <v>3</v>
      </c>
      <c r="AF152">
        <v>3</v>
      </c>
      <c r="AH152" t="s">
        <v>5773</v>
      </c>
      <c r="AI152" t="s">
        <v>5772</v>
      </c>
      <c r="AJ152" t="s">
        <v>5771</v>
      </c>
      <c r="AK152" t="s">
        <v>5770</v>
      </c>
      <c r="AL152">
        <v>0</v>
      </c>
      <c r="AM152" s="5">
        <f t="shared" si="26"/>
        <v>0</v>
      </c>
      <c r="AN152" s="4">
        <f t="shared" si="23"/>
        <v>0</v>
      </c>
      <c r="AO152" s="3"/>
      <c r="AP152">
        <v>0</v>
      </c>
      <c r="AR152" t="s">
        <v>0</v>
      </c>
      <c r="AT152" s="2" t="s">
        <v>19</v>
      </c>
      <c r="AU152" s="1">
        <f t="shared" si="27"/>
        <v>0.63159018712794635</v>
      </c>
      <c r="AV152" s="1">
        <f t="shared" si="28"/>
        <v>0.45113584794853318</v>
      </c>
      <c r="AW152" s="1">
        <f t="shared" si="29"/>
        <v>0.27068150876911989</v>
      </c>
    </row>
    <row r="153" spans="1:49" x14ac:dyDescent="0.2">
      <c r="A153">
        <v>151</v>
      </c>
      <c r="B153" t="s">
        <v>5769</v>
      </c>
      <c r="C153" t="s">
        <v>5768</v>
      </c>
      <c r="F153" t="s">
        <v>5767</v>
      </c>
      <c r="G153" t="s">
        <v>15</v>
      </c>
      <c r="H153" t="s">
        <v>14</v>
      </c>
      <c r="I153" t="s">
        <v>5766</v>
      </c>
      <c r="J153" t="s">
        <v>5760</v>
      </c>
      <c r="K153" t="s">
        <v>5765</v>
      </c>
      <c r="L153" t="s">
        <v>5764</v>
      </c>
      <c r="M153" t="s">
        <v>5763</v>
      </c>
      <c r="N153">
        <v>2</v>
      </c>
      <c r="O153" t="s">
        <v>5762</v>
      </c>
      <c r="P153" t="s">
        <v>5761</v>
      </c>
      <c r="Q153" t="s">
        <v>5760</v>
      </c>
      <c r="R153" s="7">
        <v>31048</v>
      </c>
      <c r="S153" s="8">
        <f t="shared" si="24"/>
        <v>1985</v>
      </c>
      <c r="T153" s="8">
        <v>1985</v>
      </c>
      <c r="U153" s="8">
        <f t="shared" si="25"/>
        <v>37</v>
      </c>
      <c r="V153" s="7">
        <v>31229</v>
      </c>
      <c r="W153" t="s">
        <v>5759</v>
      </c>
      <c r="X153" s="2">
        <v>1.552</v>
      </c>
      <c r="Y153" s="6">
        <f t="shared" si="22"/>
        <v>4.1429753610421505E-2</v>
      </c>
      <c r="AA153">
        <v>3076970</v>
      </c>
      <c r="AB153">
        <v>21594</v>
      </c>
      <c r="AC153">
        <v>13653113</v>
      </c>
      <c r="AD153" t="s">
        <v>4</v>
      </c>
      <c r="AE153">
        <v>10</v>
      </c>
      <c r="AF153">
        <v>3</v>
      </c>
      <c r="AH153" t="s">
        <v>5758</v>
      </c>
      <c r="AI153" t="s">
        <v>5757</v>
      </c>
      <c r="AK153" t="s">
        <v>5756</v>
      </c>
      <c r="AL153">
        <v>52</v>
      </c>
      <c r="AM153" s="5">
        <f t="shared" si="26"/>
        <v>1.4054054054054055</v>
      </c>
      <c r="AN153" s="4">
        <f t="shared" si="23"/>
        <v>2.1285958430979257E-3</v>
      </c>
      <c r="AO153" s="3"/>
      <c r="AP153">
        <v>0</v>
      </c>
      <c r="AR153" t="s">
        <v>0</v>
      </c>
      <c r="AT153" s="2">
        <v>3.8439999999999999</v>
      </c>
      <c r="AU153" s="1">
        <f t="shared" si="27"/>
        <v>2.963940628022443</v>
      </c>
      <c r="AV153" s="1">
        <f t="shared" si="28"/>
        <v>2.1779174726759716</v>
      </c>
      <c r="AW153" s="1">
        <f t="shared" si="29"/>
        <v>1.3918943173295</v>
      </c>
    </row>
    <row r="154" spans="1:49" x14ac:dyDescent="0.2">
      <c r="A154">
        <v>152</v>
      </c>
      <c r="B154" t="s">
        <v>5755</v>
      </c>
      <c r="C154" t="s">
        <v>5754</v>
      </c>
      <c r="F154" t="s">
        <v>5753</v>
      </c>
      <c r="G154" t="s">
        <v>15</v>
      </c>
      <c r="H154" t="s">
        <v>14</v>
      </c>
      <c r="I154" t="s">
        <v>5752</v>
      </c>
      <c r="J154">
        <v>60012471</v>
      </c>
      <c r="K154" t="s">
        <v>5751</v>
      </c>
      <c r="M154" t="s">
        <v>122</v>
      </c>
      <c r="N154">
        <v>1</v>
      </c>
      <c r="O154" t="s">
        <v>5750</v>
      </c>
      <c r="P154">
        <v>57213162268</v>
      </c>
      <c r="Q154">
        <v>60012471</v>
      </c>
      <c r="R154" s="7">
        <v>31048</v>
      </c>
      <c r="S154" s="8">
        <f t="shared" si="24"/>
        <v>1985</v>
      </c>
      <c r="T154" s="8">
        <v>1985</v>
      </c>
      <c r="U154" s="8">
        <f t="shared" si="25"/>
        <v>37</v>
      </c>
      <c r="V154" s="7">
        <v>31382</v>
      </c>
      <c r="W154" t="s">
        <v>5749</v>
      </c>
      <c r="X154" s="2">
        <v>0.66800000000000004</v>
      </c>
      <c r="Y154" s="6">
        <f t="shared" si="22"/>
        <v>1.7831878486959774E-2</v>
      </c>
      <c r="AA154" t="s">
        <v>5748</v>
      </c>
      <c r="AB154">
        <v>29593</v>
      </c>
      <c r="AC154">
        <v>21553165</v>
      </c>
      <c r="AD154" t="s">
        <v>4</v>
      </c>
      <c r="AE154">
        <v>24</v>
      </c>
      <c r="AF154">
        <v>23</v>
      </c>
      <c r="AH154" t="s">
        <v>5747</v>
      </c>
      <c r="AI154" t="s">
        <v>5746</v>
      </c>
      <c r="AK154" t="s">
        <v>5745</v>
      </c>
      <c r="AL154">
        <v>10</v>
      </c>
      <c r="AM154" s="5">
        <f t="shared" si="26"/>
        <v>0.27027027027027029</v>
      </c>
      <c r="AN154" s="4">
        <f t="shared" si="23"/>
        <v>4.093453544419088E-4</v>
      </c>
      <c r="AO154" s="3"/>
      <c r="AP154">
        <v>0</v>
      </c>
      <c r="AR154" t="s">
        <v>0</v>
      </c>
      <c r="AT154" s="2">
        <v>1.98</v>
      </c>
      <c r="AU154" s="1">
        <f t="shared" si="27"/>
        <v>1.2605118547204412</v>
      </c>
      <c r="AV154" s="1">
        <f t="shared" si="28"/>
        <v>0.91206119207008407</v>
      </c>
      <c r="AW154" s="1">
        <f t="shared" si="29"/>
        <v>0.56361052941972678</v>
      </c>
    </row>
    <row r="155" spans="1:49" x14ac:dyDescent="0.2">
      <c r="A155">
        <v>153</v>
      </c>
      <c r="B155" t="s">
        <v>5744</v>
      </c>
      <c r="C155" t="s">
        <v>5743</v>
      </c>
      <c r="F155" t="s">
        <v>5742</v>
      </c>
      <c r="G155" t="s">
        <v>15</v>
      </c>
      <c r="H155" t="s">
        <v>14</v>
      </c>
      <c r="I155" t="s">
        <v>5741</v>
      </c>
      <c r="J155">
        <v>60029575</v>
      </c>
      <c r="K155" t="s">
        <v>468</v>
      </c>
      <c r="L155" t="s">
        <v>467</v>
      </c>
      <c r="M155" t="s">
        <v>122</v>
      </c>
      <c r="N155">
        <v>1</v>
      </c>
      <c r="O155" t="s">
        <v>5740</v>
      </c>
      <c r="P155">
        <v>7102672567</v>
      </c>
      <c r="Q155">
        <v>60029575</v>
      </c>
      <c r="R155" s="7">
        <v>31048</v>
      </c>
      <c r="S155" s="8">
        <f t="shared" si="24"/>
        <v>1985</v>
      </c>
      <c r="T155" s="8">
        <v>1985</v>
      </c>
      <c r="U155" s="8">
        <f t="shared" si="25"/>
        <v>37</v>
      </c>
      <c r="V155" s="7">
        <v>31291</v>
      </c>
      <c r="W155" t="s">
        <v>5739</v>
      </c>
      <c r="X155" s="2">
        <v>0.74099999999999999</v>
      </c>
      <c r="Y155" s="6">
        <f t="shared" si="22"/>
        <v>1.9780571794666454E-2</v>
      </c>
      <c r="AA155">
        <v>7403224</v>
      </c>
      <c r="AB155">
        <v>12341</v>
      </c>
      <c r="AD155" t="s">
        <v>4</v>
      </c>
      <c r="AE155">
        <v>2</v>
      </c>
      <c r="AF155">
        <v>9</v>
      </c>
      <c r="AH155" t="s">
        <v>5738</v>
      </c>
      <c r="AI155" t="s">
        <v>5737</v>
      </c>
      <c r="AK155" t="s">
        <v>5736</v>
      </c>
      <c r="AL155">
        <v>363</v>
      </c>
      <c r="AM155" s="5">
        <f t="shared" si="26"/>
        <v>9.8108108108108105</v>
      </c>
      <c r="AN155" s="4">
        <f t="shared" si="23"/>
        <v>1.4859236366241289E-2</v>
      </c>
      <c r="AO155" s="3"/>
      <c r="AP155">
        <v>0</v>
      </c>
      <c r="AR155" t="s">
        <v>0</v>
      </c>
      <c r="AT155" s="2" t="s">
        <v>19</v>
      </c>
      <c r="AU155" s="1">
        <f t="shared" si="27"/>
        <v>1.8304171166138903</v>
      </c>
      <c r="AV155" s="1">
        <f t="shared" si="28"/>
        <v>1.731990408045387</v>
      </c>
      <c r="AW155" s="1">
        <f t="shared" si="29"/>
        <v>1.6335636994768836</v>
      </c>
    </row>
    <row r="156" spans="1:49" x14ac:dyDescent="0.2">
      <c r="A156">
        <v>154</v>
      </c>
      <c r="B156" t="s">
        <v>5735</v>
      </c>
      <c r="C156" t="s">
        <v>5734</v>
      </c>
      <c r="F156" t="s">
        <v>5733</v>
      </c>
      <c r="G156" t="s">
        <v>15</v>
      </c>
      <c r="H156" t="s">
        <v>14</v>
      </c>
      <c r="I156" t="s">
        <v>5732</v>
      </c>
      <c r="J156" t="s">
        <v>5731</v>
      </c>
      <c r="K156" t="s">
        <v>5730</v>
      </c>
      <c r="L156" t="s">
        <v>5729</v>
      </c>
      <c r="M156" t="s">
        <v>148</v>
      </c>
      <c r="N156">
        <v>5</v>
      </c>
      <c r="O156" t="s">
        <v>5728</v>
      </c>
      <c r="P156" t="s">
        <v>5727</v>
      </c>
      <c r="Q156" t="s">
        <v>5726</v>
      </c>
      <c r="R156" s="7">
        <v>31048</v>
      </c>
      <c r="S156" s="8">
        <f t="shared" si="24"/>
        <v>1985</v>
      </c>
      <c r="T156" s="8">
        <v>1985</v>
      </c>
      <c r="U156" s="8">
        <f t="shared" si="25"/>
        <v>37</v>
      </c>
      <c r="V156" s="7">
        <v>31229</v>
      </c>
      <c r="W156" t="s">
        <v>1801</v>
      </c>
      <c r="X156" s="2">
        <v>1.774</v>
      </c>
      <c r="Y156" s="6">
        <f t="shared" si="22"/>
        <v>4.7355916820159633E-2</v>
      </c>
      <c r="AA156">
        <v>295515</v>
      </c>
      <c r="AB156">
        <v>29066</v>
      </c>
      <c r="AC156">
        <v>17414326</v>
      </c>
      <c r="AD156" t="s">
        <v>4</v>
      </c>
      <c r="AE156">
        <v>25</v>
      </c>
      <c r="AF156">
        <v>7</v>
      </c>
      <c r="AH156" t="s">
        <v>5725</v>
      </c>
      <c r="AI156" t="s">
        <v>5724</v>
      </c>
      <c r="AK156" t="s">
        <v>5723</v>
      </c>
      <c r="AL156">
        <v>10</v>
      </c>
      <c r="AM156" s="5">
        <f t="shared" si="26"/>
        <v>0.27027027027027029</v>
      </c>
      <c r="AN156" s="4">
        <f t="shared" si="23"/>
        <v>4.093453544419088E-4</v>
      </c>
      <c r="AO156" s="3"/>
      <c r="AP156">
        <v>0</v>
      </c>
      <c r="AR156" t="s">
        <v>0</v>
      </c>
      <c r="AT156" s="2">
        <v>3.1789999999999998</v>
      </c>
      <c r="AU156" s="1">
        <f t="shared" si="27"/>
        <v>3.3271945380444312</v>
      </c>
      <c r="AV156" s="1">
        <f t="shared" si="28"/>
        <v>2.3882631087300772</v>
      </c>
      <c r="AW156" s="1">
        <f t="shared" si="29"/>
        <v>1.4493316794157225</v>
      </c>
    </row>
    <row r="157" spans="1:49" x14ac:dyDescent="0.2">
      <c r="A157">
        <v>155</v>
      </c>
      <c r="B157" t="s">
        <v>5722</v>
      </c>
      <c r="C157" t="s">
        <v>5721</v>
      </c>
      <c r="F157" t="s">
        <v>5720</v>
      </c>
      <c r="G157" t="s">
        <v>15</v>
      </c>
      <c r="H157" t="s">
        <v>14</v>
      </c>
      <c r="I157" t="s">
        <v>5632</v>
      </c>
      <c r="J157" t="s">
        <v>5631</v>
      </c>
      <c r="K157" t="s">
        <v>5630</v>
      </c>
      <c r="L157" t="s">
        <v>5629</v>
      </c>
      <c r="M157" t="s">
        <v>28</v>
      </c>
      <c r="N157">
        <v>5</v>
      </c>
      <c r="O157" t="s">
        <v>5719</v>
      </c>
      <c r="P157" t="s">
        <v>5718</v>
      </c>
      <c r="Q157" t="s">
        <v>5717</v>
      </c>
      <c r="R157" s="7">
        <v>31048</v>
      </c>
      <c r="S157" s="8">
        <f t="shared" si="24"/>
        <v>1985</v>
      </c>
      <c r="T157" s="8">
        <v>1985</v>
      </c>
      <c r="U157" s="8">
        <f t="shared" si="25"/>
        <v>37</v>
      </c>
      <c r="V157" s="7">
        <v>31382</v>
      </c>
      <c r="W157" t="s">
        <v>2193</v>
      </c>
      <c r="X157" s="2">
        <v>1.3720000000000001</v>
      </c>
      <c r="Y157" s="6">
        <f t="shared" si="22"/>
        <v>3.662475641333654E-2</v>
      </c>
      <c r="AA157">
        <v>189480</v>
      </c>
      <c r="AB157">
        <v>17366</v>
      </c>
      <c r="AC157">
        <v>15579670</v>
      </c>
      <c r="AD157" t="s">
        <v>4</v>
      </c>
      <c r="AE157">
        <v>33</v>
      </c>
      <c r="AF157">
        <v>12</v>
      </c>
      <c r="AH157" t="s">
        <v>5716</v>
      </c>
      <c r="AI157" t="s">
        <v>5715</v>
      </c>
      <c r="AK157" t="s">
        <v>5714</v>
      </c>
      <c r="AL157">
        <v>1</v>
      </c>
      <c r="AM157" s="5">
        <f t="shared" si="26"/>
        <v>2.7027027027027029E-2</v>
      </c>
      <c r="AN157" s="4">
        <f t="shared" si="23"/>
        <v>4.0934535444190883E-5</v>
      </c>
      <c r="AO157" s="3"/>
      <c r="AP157">
        <v>0</v>
      </c>
      <c r="AR157" t="s">
        <v>0</v>
      </c>
      <c r="AT157" s="2" t="s">
        <v>19</v>
      </c>
      <c r="AU157" s="1">
        <f t="shared" si="27"/>
        <v>2.5649609849968833</v>
      </c>
      <c r="AV157" s="1">
        <f t="shared" si="28"/>
        <v>1.8332845474390365</v>
      </c>
      <c r="AW157" s="1">
        <f t="shared" si="29"/>
        <v>1.1016081098811896</v>
      </c>
    </row>
    <row r="158" spans="1:49" x14ac:dyDescent="0.2">
      <c r="A158">
        <v>156</v>
      </c>
      <c r="B158" t="s">
        <v>5713</v>
      </c>
      <c r="C158" t="s">
        <v>5712</v>
      </c>
      <c r="F158" t="s">
        <v>5711</v>
      </c>
      <c r="G158" t="s">
        <v>15</v>
      </c>
      <c r="H158" t="s">
        <v>14</v>
      </c>
      <c r="I158" t="s">
        <v>770</v>
      </c>
      <c r="J158">
        <v>60009037</v>
      </c>
      <c r="K158" t="s">
        <v>1635</v>
      </c>
      <c r="L158" t="s">
        <v>1634</v>
      </c>
      <c r="M158" t="s">
        <v>122</v>
      </c>
      <c r="N158">
        <v>1</v>
      </c>
      <c r="O158" t="s">
        <v>5710</v>
      </c>
      <c r="P158">
        <v>7102110120</v>
      </c>
      <c r="Q158">
        <v>60009037</v>
      </c>
      <c r="R158" s="7">
        <v>31048</v>
      </c>
      <c r="S158" s="8">
        <f t="shared" si="24"/>
        <v>1985</v>
      </c>
      <c r="T158" s="8">
        <v>1985</v>
      </c>
      <c r="U158" s="8">
        <f t="shared" si="25"/>
        <v>37</v>
      </c>
      <c r="V158" s="7">
        <v>31352</v>
      </c>
      <c r="W158" t="s">
        <v>24</v>
      </c>
      <c r="X158" s="2">
        <v>1.6519999999999999</v>
      </c>
      <c r="Y158" s="6">
        <f t="shared" si="22"/>
        <v>4.409919649769093E-2</v>
      </c>
      <c r="AA158" t="s">
        <v>23</v>
      </c>
      <c r="AB158">
        <v>17337</v>
      </c>
      <c r="AC158">
        <v>15582221</v>
      </c>
      <c r="AD158" t="s">
        <v>4</v>
      </c>
      <c r="AE158">
        <v>33</v>
      </c>
      <c r="AF158">
        <v>11</v>
      </c>
      <c r="AH158" t="s">
        <v>5709</v>
      </c>
      <c r="AI158" t="s">
        <v>5708</v>
      </c>
      <c r="AK158" t="s">
        <v>5707</v>
      </c>
      <c r="AL158">
        <v>60</v>
      </c>
      <c r="AM158" s="5">
        <f t="shared" si="26"/>
        <v>1.6216216216216217</v>
      </c>
      <c r="AN158" s="4">
        <f t="shared" si="23"/>
        <v>2.4560721266514529E-3</v>
      </c>
      <c r="AO158" s="3"/>
      <c r="AP158">
        <v>0</v>
      </c>
      <c r="AR158" t="s">
        <v>0</v>
      </c>
      <c r="AT158" s="2" t="s">
        <v>19</v>
      </c>
      <c r="AU158" s="1">
        <f t="shared" si="27"/>
        <v>3.1606259186379084</v>
      </c>
      <c r="AV158" s="1">
        <f t="shared" si="28"/>
        <v>2.3277634312171189</v>
      </c>
      <c r="AW158" s="1">
        <f t="shared" si="29"/>
        <v>1.4949009437963294</v>
      </c>
    </row>
    <row r="159" spans="1:49" x14ac:dyDescent="0.2">
      <c r="A159">
        <v>157</v>
      </c>
      <c r="B159" t="s">
        <v>5706</v>
      </c>
      <c r="C159" t="s">
        <v>5705</v>
      </c>
      <c r="F159" t="s">
        <v>5704</v>
      </c>
      <c r="G159" t="s">
        <v>15</v>
      </c>
      <c r="H159" t="s">
        <v>14</v>
      </c>
      <c r="I159" t="s">
        <v>5703</v>
      </c>
      <c r="J159" t="s">
        <v>5702</v>
      </c>
      <c r="K159" t="s">
        <v>5701</v>
      </c>
      <c r="L159" t="s">
        <v>5700</v>
      </c>
      <c r="M159" t="s">
        <v>28</v>
      </c>
      <c r="N159">
        <v>4</v>
      </c>
      <c r="O159" t="s">
        <v>5699</v>
      </c>
      <c r="P159" t="s">
        <v>5698</v>
      </c>
      <c r="Q159" t="s">
        <v>5697</v>
      </c>
      <c r="R159" s="7">
        <v>31048</v>
      </c>
      <c r="S159" s="8">
        <f t="shared" si="24"/>
        <v>1985</v>
      </c>
      <c r="T159" s="8">
        <v>1985</v>
      </c>
      <c r="U159" s="8">
        <f t="shared" si="25"/>
        <v>37</v>
      </c>
      <c r="V159" s="7">
        <v>31352</v>
      </c>
      <c r="W159" t="s">
        <v>24</v>
      </c>
      <c r="X159" s="2">
        <v>1.6519999999999999</v>
      </c>
      <c r="Y159" s="6">
        <f t="shared" si="22"/>
        <v>4.409919649769093E-2</v>
      </c>
      <c r="AA159" t="s">
        <v>23</v>
      </c>
      <c r="AB159">
        <v>17337</v>
      </c>
      <c r="AC159">
        <v>15582221</v>
      </c>
      <c r="AD159" t="s">
        <v>4</v>
      </c>
      <c r="AE159">
        <v>33</v>
      </c>
      <c r="AF159">
        <v>11</v>
      </c>
      <c r="AH159" t="s">
        <v>5696</v>
      </c>
      <c r="AI159" t="s">
        <v>5695</v>
      </c>
      <c r="AK159" t="s">
        <v>5694</v>
      </c>
      <c r="AL159">
        <v>81</v>
      </c>
      <c r="AM159" s="5">
        <f t="shared" si="26"/>
        <v>2.189189189189189</v>
      </c>
      <c r="AN159" s="4">
        <f t="shared" si="23"/>
        <v>3.315697370979461E-3</v>
      </c>
      <c r="AO159" s="3"/>
      <c r="AP159">
        <v>0</v>
      </c>
      <c r="AR159" t="s">
        <v>0</v>
      </c>
      <c r="AT159" s="2" t="s">
        <v>19</v>
      </c>
      <c r="AU159" s="1">
        <f t="shared" si="27"/>
        <v>3.186414675967749</v>
      </c>
      <c r="AV159" s="1">
        <f t="shared" si="28"/>
        <v>2.3707446934335197</v>
      </c>
      <c r="AW159" s="1">
        <f t="shared" si="29"/>
        <v>1.5550747108992899</v>
      </c>
    </row>
    <row r="160" spans="1:49" x14ac:dyDescent="0.2">
      <c r="A160">
        <v>158</v>
      </c>
      <c r="B160" t="s">
        <v>5693</v>
      </c>
      <c r="C160" t="s">
        <v>5692</v>
      </c>
      <c r="F160" t="s">
        <v>5691</v>
      </c>
      <c r="G160" t="s">
        <v>15</v>
      </c>
      <c r="H160" t="s">
        <v>14</v>
      </c>
      <c r="I160" t="s">
        <v>5690</v>
      </c>
      <c r="N160">
        <v>3</v>
      </c>
      <c r="O160" t="s">
        <v>5689</v>
      </c>
      <c r="P160" t="s">
        <v>5688</v>
      </c>
      <c r="Q160" t="s">
        <v>377</v>
      </c>
      <c r="R160" s="7">
        <v>31048</v>
      </c>
      <c r="S160" s="8">
        <f t="shared" si="24"/>
        <v>1985</v>
      </c>
      <c r="T160" s="8">
        <v>1985</v>
      </c>
      <c r="U160" s="8">
        <f t="shared" si="25"/>
        <v>37</v>
      </c>
      <c r="V160" s="7" t="s">
        <v>5560</v>
      </c>
      <c r="W160" t="s">
        <v>367</v>
      </c>
      <c r="X160" s="2">
        <v>0.371</v>
      </c>
      <c r="Y160" s="6">
        <f t="shared" si="22"/>
        <v>9.9036331117695747E-3</v>
      </c>
      <c r="AA160">
        <v>486604</v>
      </c>
      <c r="AB160">
        <v>28580</v>
      </c>
      <c r="AC160" t="s">
        <v>366</v>
      </c>
      <c r="AD160" t="s">
        <v>4</v>
      </c>
      <c r="AE160">
        <v>20</v>
      </c>
      <c r="AF160">
        <v>4</v>
      </c>
      <c r="AH160" t="s">
        <v>4146</v>
      </c>
      <c r="AI160" t="s">
        <v>5687</v>
      </c>
      <c r="AK160" t="s">
        <v>5686</v>
      </c>
      <c r="AL160">
        <v>1</v>
      </c>
      <c r="AM160" s="5">
        <f t="shared" si="26"/>
        <v>2.7027027027027029E-2</v>
      </c>
      <c r="AN160" s="4">
        <f t="shared" si="23"/>
        <v>4.0934535444190883E-5</v>
      </c>
      <c r="AO160" s="3"/>
      <c r="AP160">
        <v>0</v>
      </c>
      <c r="AR160" t="s">
        <v>0</v>
      </c>
      <c r="AT160" s="2">
        <v>1.431</v>
      </c>
      <c r="AU160" s="1">
        <f t="shared" si="27"/>
        <v>0.69448235388719592</v>
      </c>
      <c r="AV160" s="1">
        <f t="shared" si="28"/>
        <v>0.49722838236068823</v>
      </c>
      <c r="AW160" s="1">
        <f t="shared" si="29"/>
        <v>0.29997441083418058</v>
      </c>
    </row>
    <row r="161" spans="1:49" x14ac:dyDescent="0.2">
      <c r="A161">
        <v>159</v>
      </c>
      <c r="B161" t="s">
        <v>5685</v>
      </c>
      <c r="C161" t="s">
        <v>5684</v>
      </c>
      <c r="F161" t="s">
        <v>5537</v>
      </c>
      <c r="G161" t="s">
        <v>15</v>
      </c>
      <c r="H161" t="s">
        <v>14</v>
      </c>
      <c r="I161" t="s">
        <v>5521</v>
      </c>
      <c r="J161">
        <v>60020818</v>
      </c>
      <c r="K161" t="s">
        <v>5520</v>
      </c>
      <c r="L161" t="s">
        <v>5519</v>
      </c>
      <c r="M161" t="s">
        <v>122</v>
      </c>
      <c r="N161">
        <v>1</v>
      </c>
      <c r="O161" t="s">
        <v>5536</v>
      </c>
      <c r="P161">
        <v>57189501138</v>
      </c>
      <c r="Q161">
        <v>60020818</v>
      </c>
      <c r="R161" s="7">
        <v>31048</v>
      </c>
      <c r="S161" s="8">
        <f t="shared" si="24"/>
        <v>1985</v>
      </c>
      <c r="T161" s="8">
        <v>1985</v>
      </c>
      <c r="U161" s="8">
        <f t="shared" si="25"/>
        <v>37</v>
      </c>
      <c r="V161" s="7">
        <v>31199</v>
      </c>
      <c r="W161" s="11" t="s">
        <v>5517</v>
      </c>
      <c r="X161" s="2">
        <v>1.3280000000000001</v>
      </c>
      <c r="Y161" s="6">
        <f t="shared" si="22"/>
        <v>3.5450201542937994E-2</v>
      </c>
      <c r="AA161">
        <v>21680329</v>
      </c>
      <c r="AB161">
        <v>21100399421</v>
      </c>
      <c r="AD161" t="s">
        <v>4</v>
      </c>
      <c r="AE161">
        <v>27</v>
      </c>
      <c r="AF161">
        <v>3</v>
      </c>
      <c r="AH161" s="10">
        <v>41579</v>
      </c>
      <c r="AL161">
        <v>0</v>
      </c>
      <c r="AM161" s="5">
        <f t="shared" si="26"/>
        <v>0</v>
      </c>
      <c r="AN161" s="4">
        <f t="shared" si="23"/>
        <v>0</v>
      </c>
      <c r="AO161" s="3"/>
      <c r="AP161">
        <v>0</v>
      </c>
      <c r="AR161" t="s">
        <v>0</v>
      </c>
      <c r="AT161" s="2" t="s">
        <v>19</v>
      </c>
      <c r="AU161" s="1">
        <f t="shared" si="27"/>
        <v>2.4815141080056597</v>
      </c>
      <c r="AV161" s="1">
        <f t="shared" si="28"/>
        <v>1.7725100771468998</v>
      </c>
      <c r="AW161" s="1">
        <f t="shared" si="29"/>
        <v>1.0635060462881398</v>
      </c>
    </row>
    <row r="162" spans="1:49" x14ac:dyDescent="0.2">
      <c r="A162">
        <v>160</v>
      </c>
      <c r="B162" t="s">
        <v>5683</v>
      </c>
      <c r="C162" t="s">
        <v>5682</v>
      </c>
      <c r="F162" t="s">
        <v>5681</v>
      </c>
      <c r="G162" t="s">
        <v>15</v>
      </c>
      <c r="H162" t="s">
        <v>14</v>
      </c>
      <c r="I162" t="s">
        <v>5680</v>
      </c>
      <c r="J162">
        <v>60030635</v>
      </c>
      <c r="K162" t="s">
        <v>5679</v>
      </c>
      <c r="L162" t="s">
        <v>1044</v>
      </c>
      <c r="M162" t="s">
        <v>91</v>
      </c>
      <c r="N162">
        <v>3</v>
      </c>
      <c r="O162" t="s">
        <v>5678</v>
      </c>
      <c r="P162" t="s">
        <v>5677</v>
      </c>
      <c r="Q162" t="s">
        <v>5676</v>
      </c>
      <c r="R162" s="7">
        <v>31048</v>
      </c>
      <c r="S162" s="8">
        <f t="shared" si="24"/>
        <v>1985</v>
      </c>
      <c r="T162" s="8">
        <v>1985</v>
      </c>
      <c r="U162" s="8">
        <f t="shared" si="25"/>
        <v>37</v>
      </c>
      <c r="V162" s="7">
        <v>31321</v>
      </c>
      <c r="W162" t="s">
        <v>5661</v>
      </c>
      <c r="X162" s="2">
        <v>0.53700000000000003</v>
      </c>
      <c r="Y162" s="6">
        <f t="shared" si="22"/>
        <v>1.4334908304636823E-2</v>
      </c>
      <c r="AA162">
        <v>189499</v>
      </c>
      <c r="AB162">
        <v>17368</v>
      </c>
      <c r="AC162">
        <v>15581578</v>
      </c>
      <c r="AD162" t="s">
        <v>4</v>
      </c>
      <c r="AE162">
        <v>32</v>
      </c>
      <c r="AF162">
        <v>5</v>
      </c>
      <c r="AH162" t="s">
        <v>5675</v>
      </c>
      <c r="AI162" t="s">
        <v>5674</v>
      </c>
      <c r="AK162" t="s">
        <v>5673</v>
      </c>
      <c r="AL162">
        <v>3</v>
      </c>
      <c r="AM162" s="5">
        <f t="shared" si="26"/>
        <v>8.1081081081081086E-2</v>
      </c>
      <c r="AN162" s="4">
        <f t="shared" si="23"/>
        <v>1.2280360633257263E-4</v>
      </c>
      <c r="AO162" s="3"/>
      <c r="AP162">
        <v>0</v>
      </c>
      <c r="AR162" t="s">
        <v>0</v>
      </c>
      <c r="AT162" s="2">
        <v>1.679</v>
      </c>
      <c r="AU162" s="1">
        <f t="shared" si="27"/>
        <v>1.0071276895145547</v>
      </c>
      <c r="AV162" s="1">
        <f t="shared" si="28"/>
        <v>0.72288559554846976</v>
      </c>
      <c r="AW162" s="1">
        <f t="shared" si="29"/>
        <v>0.43864350158238474</v>
      </c>
    </row>
    <row r="163" spans="1:49" x14ac:dyDescent="0.2">
      <c r="A163">
        <v>161</v>
      </c>
      <c r="B163" t="s">
        <v>5672</v>
      </c>
      <c r="C163" t="s">
        <v>5671</v>
      </c>
      <c r="F163" t="s">
        <v>5670</v>
      </c>
      <c r="G163" t="s">
        <v>15</v>
      </c>
      <c r="H163" t="s">
        <v>14</v>
      </c>
      <c r="I163" t="s">
        <v>5669</v>
      </c>
      <c r="J163" t="s">
        <v>5668</v>
      </c>
      <c r="K163" t="s">
        <v>5667</v>
      </c>
      <c r="L163" t="s">
        <v>5666</v>
      </c>
      <c r="M163" t="s">
        <v>5665</v>
      </c>
      <c r="N163">
        <v>2</v>
      </c>
      <c r="O163" t="s">
        <v>5664</v>
      </c>
      <c r="P163" t="s">
        <v>5663</v>
      </c>
      <c r="Q163" t="s">
        <v>5662</v>
      </c>
      <c r="R163" s="7">
        <v>31048</v>
      </c>
      <c r="S163" s="8">
        <f t="shared" si="24"/>
        <v>1985</v>
      </c>
      <c r="T163" s="8">
        <v>1985</v>
      </c>
      <c r="U163" s="8">
        <f t="shared" si="25"/>
        <v>37</v>
      </c>
      <c r="V163" s="7">
        <v>31321</v>
      </c>
      <c r="W163" t="s">
        <v>5661</v>
      </c>
      <c r="X163" s="2">
        <v>0.53700000000000003</v>
      </c>
      <c r="Y163" s="6">
        <f t="shared" si="22"/>
        <v>1.4334908304636823E-2</v>
      </c>
      <c r="AA163">
        <v>189499</v>
      </c>
      <c r="AB163">
        <v>17368</v>
      </c>
      <c r="AC163">
        <v>15581578</v>
      </c>
      <c r="AD163" t="s">
        <v>4</v>
      </c>
      <c r="AE163">
        <v>32</v>
      </c>
      <c r="AF163">
        <v>5</v>
      </c>
      <c r="AH163" t="s">
        <v>5660</v>
      </c>
      <c r="AI163" t="s">
        <v>5659</v>
      </c>
      <c r="AK163" t="s">
        <v>5658</v>
      </c>
      <c r="AL163">
        <v>1</v>
      </c>
      <c r="AM163" s="5">
        <f t="shared" si="26"/>
        <v>2.7027027027027029E-2</v>
      </c>
      <c r="AN163" s="4">
        <f t="shared" si="23"/>
        <v>4.0934535444190883E-5</v>
      </c>
      <c r="AO163" s="3"/>
      <c r="AP163">
        <v>0</v>
      </c>
      <c r="AR163" t="s">
        <v>0</v>
      </c>
      <c r="AT163" s="2">
        <v>1.679</v>
      </c>
      <c r="AU163" s="1">
        <f t="shared" si="27"/>
        <v>1.0046716173879033</v>
      </c>
      <c r="AV163" s="1">
        <f t="shared" si="28"/>
        <v>0.71879214200405062</v>
      </c>
      <c r="AW163" s="1">
        <f t="shared" si="29"/>
        <v>0.43291266662019801</v>
      </c>
    </row>
    <row r="164" spans="1:49" x14ac:dyDescent="0.2">
      <c r="A164">
        <v>162</v>
      </c>
      <c r="B164" t="s">
        <v>5657</v>
      </c>
      <c r="C164" t="s">
        <v>5656</v>
      </c>
      <c r="F164" t="s">
        <v>5655</v>
      </c>
      <c r="G164" t="s">
        <v>15</v>
      </c>
      <c r="H164" t="s">
        <v>14</v>
      </c>
      <c r="I164" t="s">
        <v>5654</v>
      </c>
      <c r="J164">
        <v>60000745</v>
      </c>
      <c r="K164" t="s">
        <v>2144</v>
      </c>
      <c r="L164" t="s">
        <v>2143</v>
      </c>
      <c r="M164" t="s">
        <v>122</v>
      </c>
      <c r="N164">
        <v>1</v>
      </c>
      <c r="O164" t="s">
        <v>5653</v>
      </c>
      <c r="P164">
        <v>56697413000</v>
      </c>
      <c r="Q164">
        <v>60000745</v>
      </c>
      <c r="R164" s="7">
        <v>31048</v>
      </c>
      <c r="S164" s="8">
        <f t="shared" si="24"/>
        <v>1985</v>
      </c>
      <c r="T164" s="8">
        <v>1985</v>
      </c>
      <c r="U164" s="8">
        <f t="shared" si="25"/>
        <v>37</v>
      </c>
      <c r="V164" s="7">
        <v>31079</v>
      </c>
      <c r="W164" t="s">
        <v>24</v>
      </c>
      <c r="X164" s="2">
        <v>1.6519999999999999</v>
      </c>
      <c r="Y164" s="6">
        <f t="shared" si="22"/>
        <v>4.409919649769093E-2</v>
      </c>
      <c r="AA164" t="s">
        <v>23</v>
      </c>
      <c r="AB164">
        <v>17337</v>
      </c>
      <c r="AC164">
        <v>15582221</v>
      </c>
      <c r="AD164" t="s">
        <v>4</v>
      </c>
      <c r="AE164">
        <v>33</v>
      </c>
      <c r="AF164">
        <v>2</v>
      </c>
      <c r="AH164" t="s">
        <v>5652</v>
      </c>
      <c r="AI164" t="s">
        <v>5651</v>
      </c>
      <c r="AK164" t="s">
        <v>5650</v>
      </c>
      <c r="AL164">
        <v>0</v>
      </c>
      <c r="AM164" s="5">
        <f t="shared" si="26"/>
        <v>0</v>
      </c>
      <c r="AN164" s="4">
        <f t="shared" si="23"/>
        <v>0</v>
      </c>
      <c r="AO164" s="3"/>
      <c r="AP164">
        <v>0</v>
      </c>
      <c r="AR164" t="s">
        <v>0</v>
      </c>
      <c r="AT164" s="2" t="s">
        <v>19</v>
      </c>
      <c r="AU164" s="1">
        <f t="shared" si="27"/>
        <v>3.0869437548383649</v>
      </c>
      <c r="AV164" s="1">
        <f t="shared" si="28"/>
        <v>2.2049598248845466</v>
      </c>
      <c r="AW164" s="1">
        <f t="shared" si="29"/>
        <v>1.3229758949307278</v>
      </c>
    </row>
    <row r="165" spans="1:49" x14ac:dyDescent="0.2">
      <c r="A165">
        <v>163</v>
      </c>
      <c r="B165" t="s">
        <v>5649</v>
      </c>
      <c r="C165" t="s">
        <v>5648</v>
      </c>
      <c r="F165" t="s">
        <v>5537</v>
      </c>
      <c r="G165" t="s">
        <v>15</v>
      </c>
      <c r="H165" t="s">
        <v>14</v>
      </c>
      <c r="I165" t="s">
        <v>5521</v>
      </c>
      <c r="J165">
        <v>60020818</v>
      </c>
      <c r="K165" t="s">
        <v>5520</v>
      </c>
      <c r="L165" t="s">
        <v>5519</v>
      </c>
      <c r="M165" t="s">
        <v>122</v>
      </c>
      <c r="N165">
        <v>1</v>
      </c>
      <c r="O165" t="s">
        <v>5536</v>
      </c>
      <c r="P165">
        <v>57189501138</v>
      </c>
      <c r="Q165">
        <v>60020818</v>
      </c>
      <c r="R165" s="7">
        <v>31048</v>
      </c>
      <c r="S165" s="8">
        <f t="shared" si="24"/>
        <v>1985</v>
      </c>
      <c r="T165" s="8">
        <v>1985</v>
      </c>
      <c r="U165" s="8">
        <f t="shared" si="25"/>
        <v>37</v>
      </c>
      <c r="V165" s="7">
        <v>31138</v>
      </c>
      <c r="W165" s="11" t="s">
        <v>5517</v>
      </c>
      <c r="X165" s="2">
        <v>1.3280000000000001</v>
      </c>
      <c r="Y165" s="6">
        <f t="shared" si="22"/>
        <v>3.5450201542937994E-2</v>
      </c>
      <c r="AA165">
        <v>21680329</v>
      </c>
      <c r="AB165">
        <v>21100399421</v>
      </c>
      <c r="AD165" t="s">
        <v>4</v>
      </c>
      <c r="AE165">
        <v>27</v>
      </c>
      <c r="AF165">
        <v>2</v>
      </c>
      <c r="AH165" t="s">
        <v>5647</v>
      </c>
      <c r="AL165">
        <v>0</v>
      </c>
      <c r="AM165" s="5">
        <f t="shared" si="26"/>
        <v>0</v>
      </c>
      <c r="AN165" s="4">
        <f t="shared" si="23"/>
        <v>0</v>
      </c>
      <c r="AO165" s="3"/>
      <c r="AP165">
        <v>0</v>
      </c>
      <c r="AR165" t="s">
        <v>0</v>
      </c>
      <c r="AT165" s="2" t="s">
        <v>19</v>
      </c>
      <c r="AU165" s="1">
        <f t="shared" si="27"/>
        <v>2.4815141080056597</v>
      </c>
      <c r="AV165" s="1">
        <f t="shared" si="28"/>
        <v>1.7725100771468998</v>
      </c>
      <c r="AW165" s="1">
        <f t="shared" si="29"/>
        <v>1.0635060462881398</v>
      </c>
    </row>
    <row r="166" spans="1:49" x14ac:dyDescent="0.2">
      <c r="A166">
        <v>164</v>
      </c>
      <c r="B166" t="s">
        <v>5646</v>
      </c>
      <c r="C166" t="s">
        <v>5645</v>
      </c>
      <c r="F166" t="s">
        <v>5644</v>
      </c>
      <c r="G166" t="s">
        <v>15</v>
      </c>
      <c r="H166" t="s">
        <v>14</v>
      </c>
      <c r="I166" t="s">
        <v>5643</v>
      </c>
      <c r="J166">
        <v>60012708</v>
      </c>
      <c r="K166" t="s">
        <v>335</v>
      </c>
      <c r="L166" t="s">
        <v>334</v>
      </c>
      <c r="M166" t="s">
        <v>122</v>
      </c>
      <c r="N166">
        <v>3</v>
      </c>
      <c r="O166" t="s">
        <v>333</v>
      </c>
      <c r="P166" t="s">
        <v>332</v>
      </c>
      <c r="Q166" t="s">
        <v>331</v>
      </c>
      <c r="R166" s="7">
        <v>31048</v>
      </c>
      <c r="S166" s="8">
        <f t="shared" si="24"/>
        <v>1985</v>
      </c>
      <c r="T166" s="8">
        <v>1985</v>
      </c>
      <c r="U166" s="8">
        <f t="shared" si="25"/>
        <v>37</v>
      </c>
      <c r="V166" s="7">
        <v>31107</v>
      </c>
      <c r="W166" t="s">
        <v>309</v>
      </c>
      <c r="X166" s="2">
        <v>0.62</v>
      </c>
      <c r="Y166" s="6">
        <f t="shared" si="22"/>
        <v>1.6550545901070447E-2</v>
      </c>
      <c r="AA166">
        <v>189464</v>
      </c>
      <c r="AB166">
        <v>17364</v>
      </c>
      <c r="AC166">
        <v>19410069</v>
      </c>
      <c r="AD166" t="s">
        <v>4</v>
      </c>
      <c r="AE166">
        <v>21</v>
      </c>
      <c r="AF166">
        <v>2</v>
      </c>
      <c r="AH166" t="s">
        <v>1553</v>
      </c>
      <c r="AI166" t="s">
        <v>5642</v>
      </c>
      <c r="AK166" t="s">
        <v>5641</v>
      </c>
      <c r="AL166">
        <v>1</v>
      </c>
      <c r="AM166" s="5">
        <f t="shared" si="26"/>
        <v>2.7027027027027029E-2</v>
      </c>
      <c r="AN166" s="4">
        <f t="shared" si="23"/>
        <v>4.0934535444190883E-5</v>
      </c>
      <c r="AO166" s="3"/>
      <c r="AP166">
        <v>0</v>
      </c>
      <c r="AR166" t="s">
        <v>0</v>
      </c>
      <c r="AT166" s="2">
        <v>1.7</v>
      </c>
      <c r="AU166" s="1">
        <f t="shared" si="27"/>
        <v>1.159766249138257</v>
      </c>
      <c r="AV166" s="1">
        <f t="shared" si="28"/>
        <v>0.82957402182573192</v>
      </c>
      <c r="AW166" s="1">
        <f t="shared" si="29"/>
        <v>0.49938179451320674</v>
      </c>
    </row>
    <row r="167" spans="1:49" x14ac:dyDescent="0.2">
      <c r="A167">
        <v>165</v>
      </c>
      <c r="B167" t="s">
        <v>5640</v>
      </c>
      <c r="C167" t="s">
        <v>5639</v>
      </c>
      <c r="F167" t="s">
        <v>5537</v>
      </c>
      <c r="G167" t="s">
        <v>15</v>
      </c>
      <c r="H167" t="s">
        <v>14</v>
      </c>
      <c r="I167" t="s">
        <v>5521</v>
      </c>
      <c r="J167">
        <v>60020818</v>
      </c>
      <c r="K167" t="s">
        <v>5520</v>
      </c>
      <c r="L167" t="s">
        <v>5519</v>
      </c>
      <c r="M167" t="s">
        <v>122</v>
      </c>
      <c r="N167">
        <v>1</v>
      </c>
      <c r="O167" t="s">
        <v>5536</v>
      </c>
      <c r="P167">
        <v>57189501138</v>
      </c>
      <c r="Q167">
        <v>60020818</v>
      </c>
      <c r="R167" s="7">
        <v>31048</v>
      </c>
      <c r="S167" s="8">
        <f t="shared" si="24"/>
        <v>1985</v>
      </c>
      <c r="T167" s="8">
        <v>1985</v>
      </c>
      <c r="U167" s="8">
        <f t="shared" si="25"/>
        <v>37</v>
      </c>
      <c r="V167" s="7">
        <v>31079</v>
      </c>
      <c r="W167" s="11" t="s">
        <v>5517</v>
      </c>
      <c r="X167" s="2">
        <v>1.3280000000000001</v>
      </c>
      <c r="Y167" s="6">
        <f t="shared" si="22"/>
        <v>3.5450201542937994E-2</v>
      </c>
      <c r="AA167">
        <v>21680329</v>
      </c>
      <c r="AB167">
        <v>21100399421</v>
      </c>
      <c r="AD167" t="s">
        <v>4</v>
      </c>
      <c r="AE167">
        <v>27</v>
      </c>
      <c r="AF167">
        <v>1</v>
      </c>
      <c r="AH167" t="s">
        <v>5638</v>
      </c>
      <c r="AL167">
        <v>1</v>
      </c>
      <c r="AM167" s="5">
        <f t="shared" si="26"/>
        <v>2.7027027027027029E-2</v>
      </c>
      <c r="AN167" s="4">
        <f t="shared" si="23"/>
        <v>4.0934535444190883E-5</v>
      </c>
      <c r="AO167" s="3"/>
      <c r="AP167">
        <v>0</v>
      </c>
      <c r="AR167" t="s">
        <v>0</v>
      </c>
      <c r="AT167" s="2" t="s">
        <v>19</v>
      </c>
      <c r="AU167" s="1">
        <f t="shared" si="27"/>
        <v>2.4827421440689852</v>
      </c>
      <c r="AV167" s="1">
        <f t="shared" si="28"/>
        <v>1.7745568039191091</v>
      </c>
      <c r="AW167" s="1">
        <f t="shared" si="29"/>
        <v>1.0663714637692332</v>
      </c>
    </row>
    <row r="168" spans="1:49" x14ac:dyDescent="0.2">
      <c r="A168">
        <v>166</v>
      </c>
      <c r="B168" t="s">
        <v>5637</v>
      </c>
      <c r="C168" t="s">
        <v>5636</v>
      </c>
      <c r="F168" t="s">
        <v>5537</v>
      </c>
      <c r="G168" t="s">
        <v>15</v>
      </c>
      <c r="H168" t="s">
        <v>14</v>
      </c>
      <c r="I168" t="s">
        <v>5521</v>
      </c>
      <c r="J168">
        <v>60020818</v>
      </c>
      <c r="K168" t="s">
        <v>5520</v>
      </c>
      <c r="L168" t="s">
        <v>5519</v>
      </c>
      <c r="M168" t="s">
        <v>122</v>
      </c>
      <c r="N168">
        <v>1</v>
      </c>
      <c r="O168" t="s">
        <v>5536</v>
      </c>
      <c r="P168">
        <v>57189501138</v>
      </c>
      <c r="Q168">
        <v>60020818</v>
      </c>
      <c r="R168" s="7">
        <v>31048</v>
      </c>
      <c r="S168" s="8">
        <f t="shared" si="24"/>
        <v>1985</v>
      </c>
      <c r="T168" s="8">
        <v>1985</v>
      </c>
      <c r="U168" s="8">
        <f t="shared" si="25"/>
        <v>37</v>
      </c>
      <c r="V168" s="7">
        <v>31260</v>
      </c>
      <c r="W168" s="11" t="s">
        <v>5517</v>
      </c>
      <c r="X168" s="2">
        <v>1.3280000000000001</v>
      </c>
      <c r="Y168" s="6">
        <f t="shared" si="22"/>
        <v>3.5450201542937994E-2</v>
      </c>
      <c r="AA168">
        <v>21680329</v>
      </c>
      <c r="AB168">
        <v>21100399421</v>
      </c>
      <c r="AD168" t="s">
        <v>4</v>
      </c>
      <c r="AE168">
        <v>27</v>
      </c>
      <c r="AF168">
        <v>4</v>
      </c>
      <c r="AH168" s="10">
        <v>41974</v>
      </c>
      <c r="AL168">
        <v>0</v>
      </c>
      <c r="AM168" s="5">
        <f t="shared" si="26"/>
        <v>0</v>
      </c>
      <c r="AN168" s="4">
        <f t="shared" si="23"/>
        <v>0</v>
      </c>
      <c r="AO168" s="3"/>
      <c r="AP168">
        <v>0</v>
      </c>
      <c r="AR168" t="s">
        <v>0</v>
      </c>
      <c r="AT168" s="2" t="s">
        <v>19</v>
      </c>
      <c r="AU168" s="1">
        <f t="shared" si="27"/>
        <v>2.4815141080056597</v>
      </c>
      <c r="AV168" s="1">
        <f t="shared" si="28"/>
        <v>1.7725100771468998</v>
      </c>
      <c r="AW168" s="1">
        <f t="shared" si="29"/>
        <v>1.0635060462881398</v>
      </c>
    </row>
    <row r="169" spans="1:49" x14ac:dyDescent="0.2">
      <c r="A169">
        <v>167</v>
      </c>
      <c r="B169" t="s">
        <v>5635</v>
      </c>
      <c r="C169" t="s">
        <v>5634</v>
      </c>
      <c r="F169" t="s">
        <v>5633</v>
      </c>
      <c r="G169" t="s">
        <v>15</v>
      </c>
      <c r="H169" t="s">
        <v>14</v>
      </c>
      <c r="I169" t="s">
        <v>5632</v>
      </c>
      <c r="J169" t="s">
        <v>5631</v>
      </c>
      <c r="K169" t="s">
        <v>5630</v>
      </c>
      <c r="L169" t="s">
        <v>5629</v>
      </c>
      <c r="M169" t="s">
        <v>28</v>
      </c>
      <c r="N169">
        <v>6</v>
      </c>
      <c r="O169" t="s">
        <v>5628</v>
      </c>
      <c r="P169" t="s">
        <v>5627</v>
      </c>
      <c r="Q169" t="s">
        <v>5626</v>
      </c>
      <c r="R169" s="7">
        <v>31048</v>
      </c>
      <c r="S169" s="8">
        <f t="shared" si="24"/>
        <v>1985</v>
      </c>
      <c r="T169" s="8">
        <v>1985</v>
      </c>
      <c r="U169" s="8">
        <f t="shared" si="25"/>
        <v>37</v>
      </c>
      <c r="V169" s="7">
        <v>31382</v>
      </c>
      <c r="W169" t="s">
        <v>5625</v>
      </c>
      <c r="X169" s="2">
        <v>0.82799999999999996</v>
      </c>
      <c r="Y169" s="6">
        <f t="shared" si="22"/>
        <v>2.2102987106590855E-2</v>
      </c>
      <c r="AA169">
        <v>189383</v>
      </c>
      <c r="AB169">
        <v>26052</v>
      </c>
      <c r="AC169">
        <v>15579646</v>
      </c>
      <c r="AD169" t="s">
        <v>4</v>
      </c>
      <c r="AE169">
        <v>32</v>
      </c>
      <c r="AF169">
        <v>12</v>
      </c>
      <c r="AH169" t="s">
        <v>5624</v>
      </c>
      <c r="AI169" t="s">
        <v>5623</v>
      </c>
      <c r="AK169" t="s">
        <v>5622</v>
      </c>
      <c r="AL169">
        <v>0</v>
      </c>
      <c r="AM169" s="5">
        <f t="shared" si="26"/>
        <v>0</v>
      </c>
      <c r="AN169" s="4">
        <f t="shared" si="23"/>
        <v>0</v>
      </c>
      <c r="AO169" s="3"/>
      <c r="AP169">
        <v>0</v>
      </c>
      <c r="AR169" t="s">
        <v>0</v>
      </c>
      <c r="AT169" s="2">
        <v>2.9169999999999998</v>
      </c>
      <c r="AU169" s="1">
        <f t="shared" si="27"/>
        <v>1.5472090974613597</v>
      </c>
      <c r="AV169" s="1">
        <f t="shared" si="28"/>
        <v>1.1051493553295428</v>
      </c>
      <c r="AW169" s="1">
        <f t="shared" si="29"/>
        <v>0.66308961319772564</v>
      </c>
    </row>
    <row r="170" spans="1:49" x14ac:dyDescent="0.2">
      <c r="A170">
        <v>168</v>
      </c>
      <c r="B170" t="s">
        <v>5621</v>
      </c>
      <c r="C170" t="s">
        <v>5620</v>
      </c>
      <c r="F170" t="s">
        <v>5619</v>
      </c>
      <c r="G170" t="s">
        <v>15</v>
      </c>
      <c r="H170" t="s">
        <v>14</v>
      </c>
      <c r="R170" s="7">
        <v>31048</v>
      </c>
      <c r="S170" s="8">
        <f t="shared" si="24"/>
        <v>1985</v>
      </c>
      <c r="T170" s="8">
        <v>1985</v>
      </c>
      <c r="U170" s="8">
        <f t="shared" si="25"/>
        <v>37</v>
      </c>
      <c r="V170" s="7">
        <v>31260</v>
      </c>
      <c r="W170" s="11" t="s">
        <v>5517</v>
      </c>
      <c r="X170" s="2">
        <v>1.3280000000000001</v>
      </c>
      <c r="Y170" s="6">
        <f t="shared" si="22"/>
        <v>3.5450201542937994E-2</v>
      </c>
      <c r="AA170">
        <v>21680329</v>
      </c>
      <c r="AB170">
        <v>21100399421</v>
      </c>
      <c r="AD170" t="s">
        <v>4</v>
      </c>
      <c r="AE170">
        <v>27</v>
      </c>
      <c r="AF170">
        <v>4</v>
      </c>
      <c r="AH170" s="10">
        <v>16803</v>
      </c>
      <c r="AL170">
        <v>0</v>
      </c>
      <c r="AM170" s="5">
        <f t="shared" si="26"/>
        <v>0</v>
      </c>
      <c r="AN170" s="4">
        <f t="shared" si="23"/>
        <v>0</v>
      </c>
      <c r="AO170" s="3"/>
      <c r="AP170">
        <v>0</v>
      </c>
      <c r="AR170" t="s">
        <v>0</v>
      </c>
      <c r="AT170" s="2" t="s">
        <v>19</v>
      </c>
      <c r="AU170" s="1">
        <f t="shared" si="27"/>
        <v>2.4815141080056597</v>
      </c>
      <c r="AV170" s="1">
        <f t="shared" si="28"/>
        <v>1.7725100771468998</v>
      </c>
      <c r="AW170" s="1">
        <f t="shared" si="29"/>
        <v>1.0635060462881398</v>
      </c>
    </row>
    <row r="171" spans="1:49" x14ac:dyDescent="0.2">
      <c r="A171">
        <v>169</v>
      </c>
      <c r="B171" t="s">
        <v>5618</v>
      </c>
      <c r="C171" t="s">
        <v>5617</v>
      </c>
      <c r="F171" t="s">
        <v>5616</v>
      </c>
      <c r="G171" t="s">
        <v>15</v>
      </c>
      <c r="H171" t="s">
        <v>14</v>
      </c>
      <c r="I171" t="s">
        <v>5615</v>
      </c>
      <c r="J171">
        <v>60025038</v>
      </c>
      <c r="K171" t="s">
        <v>325</v>
      </c>
      <c r="L171" t="s">
        <v>324</v>
      </c>
      <c r="M171" t="s">
        <v>122</v>
      </c>
      <c r="N171">
        <v>3</v>
      </c>
      <c r="O171" t="s">
        <v>5614</v>
      </c>
      <c r="P171" t="s">
        <v>322</v>
      </c>
      <c r="Q171" t="s">
        <v>321</v>
      </c>
      <c r="R171" s="7">
        <v>31048</v>
      </c>
      <c r="S171" s="8">
        <f t="shared" si="24"/>
        <v>1985</v>
      </c>
      <c r="T171" s="8">
        <v>1985</v>
      </c>
      <c r="U171" s="8">
        <f t="shared" si="25"/>
        <v>37</v>
      </c>
      <c r="V171" s="7">
        <v>31107</v>
      </c>
      <c r="W171" t="s">
        <v>309</v>
      </c>
      <c r="X171" s="2">
        <v>0.62</v>
      </c>
      <c r="Y171" s="6">
        <f t="shared" si="22"/>
        <v>1.6550545901070447E-2</v>
      </c>
      <c r="AA171">
        <v>189464</v>
      </c>
      <c r="AB171">
        <v>17364</v>
      </c>
      <c r="AC171">
        <v>19410069</v>
      </c>
      <c r="AD171" t="s">
        <v>4</v>
      </c>
      <c r="AE171">
        <v>21</v>
      </c>
      <c r="AF171">
        <v>2</v>
      </c>
      <c r="AH171" t="s">
        <v>5613</v>
      </c>
      <c r="AI171" t="s">
        <v>5612</v>
      </c>
      <c r="AK171" t="s">
        <v>5611</v>
      </c>
      <c r="AL171">
        <v>5</v>
      </c>
      <c r="AM171" s="5">
        <f t="shared" si="26"/>
        <v>0.13513513513513514</v>
      </c>
      <c r="AN171" s="4">
        <f t="shared" si="23"/>
        <v>2.046726772209544E-4</v>
      </c>
      <c r="AO171" s="3"/>
      <c r="AP171">
        <v>0</v>
      </c>
      <c r="AR171" t="s">
        <v>0</v>
      </c>
      <c r="AT171" s="2">
        <v>1.7</v>
      </c>
      <c r="AU171" s="1">
        <f t="shared" si="27"/>
        <v>1.1646783933915599</v>
      </c>
      <c r="AV171" s="1">
        <f t="shared" si="28"/>
        <v>0.83776092891457021</v>
      </c>
      <c r="AW171" s="1">
        <f t="shared" si="29"/>
        <v>0.51084346443758022</v>
      </c>
    </row>
    <row r="172" spans="1:49" x14ac:dyDescent="0.2">
      <c r="A172">
        <v>170</v>
      </c>
      <c r="B172" t="s">
        <v>5610</v>
      </c>
      <c r="C172" t="s">
        <v>5609</v>
      </c>
      <c r="F172" t="s">
        <v>5608</v>
      </c>
      <c r="G172" t="s">
        <v>15</v>
      </c>
      <c r="H172" t="s">
        <v>14</v>
      </c>
      <c r="I172" t="s">
        <v>360</v>
      </c>
      <c r="J172" t="s">
        <v>5607</v>
      </c>
      <c r="K172" t="s">
        <v>5606</v>
      </c>
      <c r="L172" t="s">
        <v>5605</v>
      </c>
      <c r="M172" t="s">
        <v>5604</v>
      </c>
      <c r="N172">
        <v>5</v>
      </c>
      <c r="O172" t="s">
        <v>5603</v>
      </c>
      <c r="P172" t="s">
        <v>5602</v>
      </c>
      <c r="Q172" t="s">
        <v>5601</v>
      </c>
      <c r="R172" s="7">
        <v>31048</v>
      </c>
      <c r="S172" s="8">
        <f t="shared" si="24"/>
        <v>1985</v>
      </c>
      <c r="T172" s="8">
        <v>1985</v>
      </c>
      <c r="U172" s="8">
        <f t="shared" si="25"/>
        <v>37</v>
      </c>
      <c r="V172" s="7">
        <v>31107</v>
      </c>
      <c r="W172" t="s">
        <v>309</v>
      </c>
      <c r="X172" s="2">
        <v>0.62</v>
      </c>
      <c r="Y172" s="6">
        <f t="shared" si="22"/>
        <v>1.6550545901070447E-2</v>
      </c>
      <c r="AA172">
        <v>189464</v>
      </c>
      <c r="AB172">
        <v>17364</v>
      </c>
      <c r="AC172">
        <v>19410069</v>
      </c>
      <c r="AD172" t="s">
        <v>4</v>
      </c>
      <c r="AE172">
        <v>21</v>
      </c>
      <c r="AF172">
        <v>2</v>
      </c>
      <c r="AH172" t="s">
        <v>5600</v>
      </c>
      <c r="AI172" t="s">
        <v>5599</v>
      </c>
      <c r="AK172" t="s">
        <v>5598</v>
      </c>
      <c r="AL172">
        <v>3</v>
      </c>
      <c r="AM172" s="5">
        <f t="shared" si="26"/>
        <v>8.1081081081081086E-2</v>
      </c>
      <c r="AN172" s="4">
        <f t="shared" si="23"/>
        <v>1.2280360633257263E-4</v>
      </c>
      <c r="AO172" s="3"/>
      <c r="AP172">
        <v>0</v>
      </c>
      <c r="AR172" t="s">
        <v>0</v>
      </c>
      <c r="AT172" s="2">
        <v>1.7</v>
      </c>
      <c r="AU172" s="1">
        <f t="shared" si="27"/>
        <v>1.1622223212649083</v>
      </c>
      <c r="AV172" s="1">
        <f t="shared" si="28"/>
        <v>0.83366747537015096</v>
      </c>
      <c r="AW172" s="1">
        <f t="shared" si="29"/>
        <v>0.50511262947539348</v>
      </c>
    </row>
    <row r="173" spans="1:49" x14ac:dyDescent="0.2">
      <c r="A173">
        <v>171</v>
      </c>
      <c r="B173" t="s">
        <v>5597</v>
      </c>
      <c r="C173" t="s">
        <v>5596</v>
      </c>
      <c r="F173" t="s">
        <v>5595</v>
      </c>
      <c r="G173" t="s">
        <v>15</v>
      </c>
      <c r="H173" t="s">
        <v>14</v>
      </c>
      <c r="I173" t="s">
        <v>5594</v>
      </c>
      <c r="J173">
        <v>60031806</v>
      </c>
      <c r="K173" t="s">
        <v>315</v>
      </c>
      <c r="L173" t="s">
        <v>314</v>
      </c>
      <c r="M173" t="s">
        <v>43</v>
      </c>
      <c r="N173">
        <v>5</v>
      </c>
      <c r="O173" t="s">
        <v>5593</v>
      </c>
      <c r="P173" t="s">
        <v>312</v>
      </c>
      <c r="Q173" t="s">
        <v>311</v>
      </c>
      <c r="R173" s="7">
        <v>31048</v>
      </c>
      <c r="S173" s="8">
        <f t="shared" si="24"/>
        <v>1985</v>
      </c>
      <c r="T173" s="8">
        <v>1985</v>
      </c>
      <c r="U173" s="8">
        <f t="shared" si="25"/>
        <v>37</v>
      </c>
      <c r="V173" s="7">
        <v>31107</v>
      </c>
      <c r="W173" t="s">
        <v>309</v>
      </c>
      <c r="X173" s="2">
        <v>0.62</v>
      </c>
      <c r="Y173" s="6">
        <f t="shared" si="22"/>
        <v>1.6550545901070447E-2</v>
      </c>
      <c r="AA173">
        <v>189464</v>
      </c>
      <c r="AB173">
        <v>17364</v>
      </c>
      <c r="AC173">
        <v>19410069</v>
      </c>
      <c r="AD173" t="s">
        <v>4</v>
      </c>
      <c r="AE173">
        <v>21</v>
      </c>
      <c r="AF173">
        <v>2</v>
      </c>
      <c r="AH173" t="s">
        <v>5592</v>
      </c>
      <c r="AI173" t="s">
        <v>5591</v>
      </c>
      <c r="AK173" t="s">
        <v>5590</v>
      </c>
      <c r="AL173">
        <v>5</v>
      </c>
      <c r="AM173" s="5">
        <f t="shared" si="26"/>
        <v>0.13513513513513514</v>
      </c>
      <c r="AN173" s="4">
        <f t="shared" si="23"/>
        <v>2.046726772209544E-4</v>
      </c>
      <c r="AO173" s="3"/>
      <c r="AP173">
        <v>0</v>
      </c>
      <c r="AR173" t="s">
        <v>0</v>
      </c>
      <c r="AT173" s="2">
        <v>1.7</v>
      </c>
      <c r="AU173" s="1">
        <f t="shared" si="27"/>
        <v>1.1646783933915599</v>
      </c>
      <c r="AV173" s="1">
        <f t="shared" si="28"/>
        <v>0.83776092891457021</v>
      </c>
      <c r="AW173" s="1">
        <f t="shared" si="29"/>
        <v>0.51084346443758022</v>
      </c>
    </row>
    <row r="174" spans="1:49" x14ac:dyDescent="0.2">
      <c r="A174">
        <v>172</v>
      </c>
      <c r="B174" t="s">
        <v>5589</v>
      </c>
      <c r="C174" t="s">
        <v>5588</v>
      </c>
      <c r="F174" t="s">
        <v>5587</v>
      </c>
      <c r="G174" t="s">
        <v>15</v>
      </c>
      <c r="H174" t="s">
        <v>14</v>
      </c>
      <c r="I174" t="s">
        <v>5586</v>
      </c>
      <c r="J174" t="s">
        <v>5581</v>
      </c>
      <c r="K174" t="s">
        <v>5585</v>
      </c>
      <c r="L174" t="s">
        <v>5584</v>
      </c>
      <c r="M174" t="s">
        <v>28</v>
      </c>
      <c r="N174">
        <v>2</v>
      </c>
      <c r="O174" t="s">
        <v>5583</v>
      </c>
      <c r="P174" t="s">
        <v>5582</v>
      </c>
      <c r="Q174" t="s">
        <v>5581</v>
      </c>
      <c r="R174" s="7">
        <v>31048</v>
      </c>
      <c r="S174" s="8">
        <f t="shared" si="24"/>
        <v>1985</v>
      </c>
      <c r="T174" s="8">
        <v>1985</v>
      </c>
      <c r="U174" s="8">
        <f t="shared" si="25"/>
        <v>37</v>
      </c>
      <c r="V174" s="7">
        <v>31168</v>
      </c>
      <c r="W174" t="s">
        <v>5570</v>
      </c>
      <c r="X174" s="2">
        <v>0.58299999999999996</v>
      </c>
      <c r="Y174" s="6">
        <f t="shared" si="22"/>
        <v>1.5562852032780758E-2</v>
      </c>
      <c r="AA174">
        <v>7342101</v>
      </c>
      <c r="AB174">
        <v>28596</v>
      </c>
      <c r="AC174">
        <v>15208559</v>
      </c>
      <c r="AD174" t="s">
        <v>4</v>
      </c>
      <c r="AE174">
        <v>3</v>
      </c>
      <c r="AF174">
        <v>3</v>
      </c>
      <c r="AH174" t="s">
        <v>5580</v>
      </c>
      <c r="AI174" t="s">
        <v>5579</v>
      </c>
      <c r="AK174" t="s">
        <v>5578</v>
      </c>
      <c r="AL174">
        <v>6</v>
      </c>
      <c r="AM174" s="5">
        <f t="shared" si="26"/>
        <v>0.16216216216216217</v>
      </c>
      <c r="AN174" s="4">
        <f t="shared" si="23"/>
        <v>2.4560721266514527E-4</v>
      </c>
      <c r="AO174" s="3"/>
      <c r="AP174">
        <v>0</v>
      </c>
      <c r="AR174" t="s">
        <v>0</v>
      </c>
      <c r="AT174" s="2" t="s">
        <v>19</v>
      </c>
      <c r="AU174" s="1">
        <f t="shared" si="27"/>
        <v>1.0967678586746072</v>
      </c>
      <c r="AV174" s="1">
        <f t="shared" si="28"/>
        <v>0.79042296227229514</v>
      </c>
      <c r="AW174" s="1">
        <f t="shared" si="29"/>
        <v>0.48407806586998287</v>
      </c>
    </row>
    <row r="175" spans="1:49" x14ac:dyDescent="0.2">
      <c r="A175">
        <v>173</v>
      </c>
      <c r="B175" t="s">
        <v>5577</v>
      </c>
      <c r="C175" t="s">
        <v>5576</v>
      </c>
      <c r="F175" t="s">
        <v>5575</v>
      </c>
      <c r="G175" t="s">
        <v>15</v>
      </c>
      <c r="H175" t="s">
        <v>14</v>
      </c>
      <c r="I175" t="s">
        <v>5574</v>
      </c>
      <c r="J175">
        <v>60018020</v>
      </c>
      <c r="K175" t="s">
        <v>206</v>
      </c>
      <c r="L175" t="s">
        <v>205</v>
      </c>
      <c r="M175" t="s">
        <v>122</v>
      </c>
      <c r="N175">
        <v>11</v>
      </c>
      <c r="O175" t="s">
        <v>5573</v>
      </c>
      <c r="P175" t="s">
        <v>5572</v>
      </c>
      <c r="Q175" t="s">
        <v>5571</v>
      </c>
      <c r="R175" s="7">
        <v>31048</v>
      </c>
      <c r="S175" s="8">
        <f t="shared" si="24"/>
        <v>1985</v>
      </c>
      <c r="T175" s="8">
        <v>1985</v>
      </c>
      <c r="U175" s="8">
        <f t="shared" si="25"/>
        <v>37</v>
      </c>
      <c r="V175" s="7">
        <v>31168</v>
      </c>
      <c r="W175" t="s">
        <v>5570</v>
      </c>
      <c r="X175" s="2">
        <v>0.58299999999999996</v>
      </c>
      <c r="Y175" s="6">
        <f t="shared" si="22"/>
        <v>1.5562852032780758E-2</v>
      </c>
      <c r="AA175">
        <v>7342101</v>
      </c>
      <c r="AB175">
        <v>28596</v>
      </c>
      <c r="AC175">
        <v>15208559</v>
      </c>
      <c r="AD175" t="s">
        <v>4</v>
      </c>
      <c r="AE175">
        <v>3</v>
      </c>
      <c r="AF175">
        <v>3</v>
      </c>
      <c r="AH175" t="s">
        <v>5569</v>
      </c>
      <c r="AI175" t="s">
        <v>5568</v>
      </c>
      <c r="AK175" t="s">
        <v>5567</v>
      </c>
      <c r="AL175">
        <v>18</v>
      </c>
      <c r="AM175" s="5">
        <f t="shared" si="26"/>
        <v>0.48648648648648651</v>
      </c>
      <c r="AN175" s="4">
        <f t="shared" si="23"/>
        <v>7.368216379954358E-4</v>
      </c>
      <c r="AO175" s="3"/>
      <c r="AP175">
        <v>0</v>
      </c>
      <c r="AR175" t="s">
        <v>0</v>
      </c>
      <c r="AT175" s="2" t="s">
        <v>19</v>
      </c>
      <c r="AU175" s="1">
        <f t="shared" si="27"/>
        <v>1.1115042914345161</v>
      </c>
      <c r="AV175" s="1">
        <f t="shared" si="28"/>
        <v>0.81498368353880957</v>
      </c>
      <c r="AW175" s="1">
        <f t="shared" si="29"/>
        <v>0.51846307564310312</v>
      </c>
    </row>
    <row r="176" spans="1:49" x14ac:dyDescent="0.2">
      <c r="A176">
        <v>174</v>
      </c>
      <c r="B176" t="s">
        <v>5566</v>
      </c>
      <c r="C176" t="s">
        <v>5565</v>
      </c>
      <c r="F176" t="s">
        <v>5564</v>
      </c>
      <c r="G176" t="s">
        <v>15</v>
      </c>
      <c r="H176" t="s">
        <v>14</v>
      </c>
      <c r="I176" t="s">
        <v>5563</v>
      </c>
      <c r="N176">
        <v>2</v>
      </c>
      <c r="O176" t="s">
        <v>5562</v>
      </c>
      <c r="P176" t="s">
        <v>5561</v>
      </c>
      <c r="Q176" t="s">
        <v>895</v>
      </c>
      <c r="R176" s="7">
        <v>31048</v>
      </c>
      <c r="S176" s="8">
        <f t="shared" si="24"/>
        <v>1985</v>
      </c>
      <c r="T176" s="8">
        <v>1985</v>
      </c>
      <c r="U176" s="8">
        <f t="shared" si="25"/>
        <v>37</v>
      </c>
      <c r="V176" s="7" t="s">
        <v>5560</v>
      </c>
      <c r="W176" t="s">
        <v>367</v>
      </c>
      <c r="X176" s="2">
        <v>0.371</v>
      </c>
      <c r="Y176" s="6">
        <f t="shared" si="22"/>
        <v>9.9036331117695747E-3</v>
      </c>
      <c r="AA176">
        <v>486604</v>
      </c>
      <c r="AB176">
        <v>28580</v>
      </c>
      <c r="AC176" t="s">
        <v>366</v>
      </c>
      <c r="AD176" t="s">
        <v>4</v>
      </c>
      <c r="AE176">
        <v>20</v>
      </c>
      <c r="AF176">
        <v>4</v>
      </c>
      <c r="AH176" t="s">
        <v>5559</v>
      </c>
      <c r="AI176" t="s">
        <v>5558</v>
      </c>
      <c r="AK176" t="s">
        <v>5557</v>
      </c>
      <c r="AL176">
        <v>2</v>
      </c>
      <c r="AM176" s="5">
        <f t="shared" si="26"/>
        <v>5.4054054054054057E-2</v>
      </c>
      <c r="AN176" s="4">
        <f t="shared" si="23"/>
        <v>8.1869070888381765E-5</v>
      </c>
      <c r="AO176" s="3"/>
      <c r="AP176">
        <v>0</v>
      </c>
      <c r="AR176" t="s">
        <v>0</v>
      </c>
      <c r="AT176" s="2">
        <v>1.431</v>
      </c>
      <c r="AU176" s="1">
        <f t="shared" si="27"/>
        <v>0.69571038995052159</v>
      </c>
      <c r="AV176" s="1">
        <f t="shared" si="28"/>
        <v>0.49927510913289785</v>
      </c>
      <c r="AW176" s="1">
        <f t="shared" si="29"/>
        <v>0.30283982831527401</v>
      </c>
    </row>
    <row r="177" spans="1:49" x14ac:dyDescent="0.2">
      <c r="A177">
        <v>175</v>
      </c>
      <c r="B177" t="s">
        <v>5556</v>
      </c>
      <c r="C177" t="s">
        <v>5555</v>
      </c>
      <c r="F177" t="s">
        <v>5554</v>
      </c>
      <c r="G177" t="s">
        <v>15</v>
      </c>
      <c r="H177" t="s">
        <v>14</v>
      </c>
      <c r="I177" t="s">
        <v>5553</v>
      </c>
      <c r="J177">
        <v>60007136</v>
      </c>
      <c r="K177" t="s">
        <v>5552</v>
      </c>
      <c r="L177" t="s">
        <v>1291</v>
      </c>
      <c r="M177" t="s">
        <v>272</v>
      </c>
      <c r="N177">
        <v>4</v>
      </c>
      <c r="O177" t="s">
        <v>5551</v>
      </c>
      <c r="P177" t="s">
        <v>5550</v>
      </c>
      <c r="Q177" t="s">
        <v>5549</v>
      </c>
      <c r="R177" s="7">
        <v>31048</v>
      </c>
      <c r="S177" s="8">
        <f t="shared" si="24"/>
        <v>1985</v>
      </c>
      <c r="T177" s="8">
        <v>1985</v>
      </c>
      <c r="U177" s="8">
        <f t="shared" si="25"/>
        <v>37</v>
      </c>
      <c r="V177" s="7">
        <v>31048</v>
      </c>
      <c r="W177" t="s">
        <v>5417</v>
      </c>
      <c r="X177" s="2">
        <v>0.22500000000000001</v>
      </c>
      <c r="Y177" s="6">
        <f t="shared" si="22"/>
        <v>6.0062464963562111E-3</v>
      </c>
      <c r="AA177">
        <v>2726343</v>
      </c>
      <c r="AB177">
        <v>16128</v>
      </c>
      <c r="AC177" t="s">
        <v>5416</v>
      </c>
      <c r="AD177" t="s">
        <v>4</v>
      </c>
      <c r="AE177">
        <v>5</v>
      </c>
      <c r="AF177" s="9">
        <v>44257</v>
      </c>
      <c r="AH177" t="s">
        <v>5548</v>
      </c>
      <c r="AI177" t="s">
        <v>5547</v>
      </c>
      <c r="AK177" t="s">
        <v>5546</v>
      </c>
      <c r="AL177">
        <v>0</v>
      </c>
      <c r="AM177" s="5">
        <f t="shared" si="26"/>
        <v>0</v>
      </c>
      <c r="AN177" s="4">
        <f t="shared" si="23"/>
        <v>0</v>
      </c>
      <c r="AO177" s="3"/>
      <c r="AP177">
        <v>0</v>
      </c>
      <c r="AR177" t="s">
        <v>0</v>
      </c>
      <c r="AT177" s="2">
        <v>1.099</v>
      </c>
      <c r="AU177" s="1">
        <f t="shared" si="27"/>
        <v>0.42043725474493476</v>
      </c>
      <c r="AV177" s="1">
        <f t="shared" si="28"/>
        <v>0.30031232481781056</v>
      </c>
      <c r="AW177" s="1">
        <f t="shared" si="29"/>
        <v>0.18018739489068633</v>
      </c>
    </row>
    <row r="178" spans="1:49" x14ac:dyDescent="0.2">
      <c r="A178">
        <v>176</v>
      </c>
      <c r="B178" t="s">
        <v>5545</v>
      </c>
      <c r="C178" t="s">
        <v>5544</v>
      </c>
      <c r="F178" t="s">
        <v>5543</v>
      </c>
      <c r="G178" t="s">
        <v>15</v>
      </c>
      <c r="H178" t="s">
        <v>14</v>
      </c>
      <c r="I178" t="s">
        <v>5542</v>
      </c>
      <c r="J178">
        <v>60031581</v>
      </c>
      <c r="K178" t="s">
        <v>5541</v>
      </c>
      <c r="L178" t="s">
        <v>1634</v>
      </c>
      <c r="M178" t="s">
        <v>122</v>
      </c>
      <c r="N178">
        <v>1</v>
      </c>
      <c r="O178" t="s">
        <v>5540</v>
      </c>
      <c r="P178">
        <v>7102803490</v>
      </c>
      <c r="Q178">
        <v>60031581</v>
      </c>
      <c r="R178" s="7">
        <v>31048</v>
      </c>
      <c r="S178" s="8">
        <f t="shared" si="24"/>
        <v>1985</v>
      </c>
      <c r="T178" s="8">
        <v>1985</v>
      </c>
      <c r="U178" s="8">
        <f t="shared" si="25"/>
        <v>37</v>
      </c>
      <c r="V178" s="7">
        <v>31260</v>
      </c>
      <c r="W178" s="11" t="s">
        <v>5517</v>
      </c>
      <c r="X178" s="2">
        <v>1.3280000000000001</v>
      </c>
      <c r="Y178" s="6">
        <f t="shared" si="22"/>
        <v>3.5450201542937994E-2</v>
      </c>
      <c r="AA178">
        <v>21680329</v>
      </c>
      <c r="AB178">
        <v>21100399421</v>
      </c>
      <c r="AD178" t="s">
        <v>4</v>
      </c>
      <c r="AE178">
        <v>27</v>
      </c>
      <c r="AF178">
        <v>4</v>
      </c>
      <c r="AH178" s="9">
        <v>44412</v>
      </c>
      <c r="AL178">
        <v>12</v>
      </c>
      <c r="AM178" s="5">
        <f t="shared" si="26"/>
        <v>0.32432432432432434</v>
      </c>
      <c r="AN178" s="4">
        <f t="shared" si="23"/>
        <v>4.9121442533029054E-4</v>
      </c>
      <c r="AO178" s="3"/>
      <c r="AP178">
        <v>0</v>
      </c>
      <c r="AR178" t="s">
        <v>0</v>
      </c>
      <c r="AT178" s="2" t="s">
        <v>19</v>
      </c>
      <c r="AU178" s="1">
        <f t="shared" si="27"/>
        <v>2.4962505407655682</v>
      </c>
      <c r="AV178" s="1">
        <f t="shared" si="28"/>
        <v>1.7970707984134142</v>
      </c>
      <c r="AW178" s="1">
        <f t="shared" si="29"/>
        <v>1.09789105606126</v>
      </c>
    </row>
    <row r="179" spans="1:49" x14ac:dyDescent="0.2">
      <c r="A179">
        <v>177</v>
      </c>
      <c r="B179" t="s">
        <v>5539</v>
      </c>
      <c r="C179" t="s">
        <v>5538</v>
      </c>
      <c r="F179" t="s">
        <v>5537</v>
      </c>
      <c r="G179" t="s">
        <v>15</v>
      </c>
      <c r="H179" t="s">
        <v>14</v>
      </c>
      <c r="I179" t="s">
        <v>5521</v>
      </c>
      <c r="J179">
        <v>60020818</v>
      </c>
      <c r="K179" t="s">
        <v>5520</v>
      </c>
      <c r="L179" t="s">
        <v>5519</v>
      </c>
      <c r="M179" t="s">
        <v>122</v>
      </c>
      <c r="N179">
        <v>1</v>
      </c>
      <c r="O179" t="s">
        <v>5536</v>
      </c>
      <c r="P179">
        <v>57189501138</v>
      </c>
      <c r="Q179">
        <v>60020818</v>
      </c>
      <c r="R179" s="7">
        <v>31048</v>
      </c>
      <c r="S179" s="8">
        <f t="shared" si="24"/>
        <v>1985</v>
      </c>
      <c r="T179" s="8">
        <v>1985</v>
      </c>
      <c r="U179" s="8">
        <f t="shared" si="25"/>
        <v>37</v>
      </c>
      <c r="V179" s="7">
        <v>31321</v>
      </c>
      <c r="W179" s="11" t="s">
        <v>5517</v>
      </c>
      <c r="X179" s="2">
        <v>1.3280000000000001</v>
      </c>
      <c r="Y179" s="6">
        <f t="shared" si="22"/>
        <v>3.5450201542937994E-2</v>
      </c>
      <c r="AA179">
        <v>21680329</v>
      </c>
      <c r="AB179">
        <v>21100399421</v>
      </c>
      <c r="AD179" t="s">
        <v>4</v>
      </c>
      <c r="AE179">
        <v>27</v>
      </c>
      <c r="AF179">
        <v>5</v>
      </c>
      <c r="AH179" s="10">
        <v>41579</v>
      </c>
      <c r="AL179">
        <v>1</v>
      </c>
      <c r="AM179" s="5">
        <f t="shared" si="26"/>
        <v>2.7027027027027029E-2</v>
      </c>
      <c r="AN179" s="4">
        <f t="shared" si="23"/>
        <v>4.0934535444190883E-5</v>
      </c>
      <c r="AO179" s="3"/>
      <c r="AP179">
        <v>0</v>
      </c>
      <c r="AR179" t="s">
        <v>0</v>
      </c>
      <c r="AT179" s="2" t="s">
        <v>19</v>
      </c>
      <c r="AU179" s="1">
        <f t="shared" si="27"/>
        <v>2.4827421440689852</v>
      </c>
      <c r="AV179" s="1">
        <f t="shared" si="28"/>
        <v>1.7745568039191091</v>
      </c>
      <c r="AW179" s="1">
        <f t="shared" si="29"/>
        <v>1.0663714637692332</v>
      </c>
    </row>
    <row r="180" spans="1:49" x14ac:dyDescent="0.2">
      <c r="A180">
        <v>178</v>
      </c>
      <c r="B180" t="s">
        <v>5535</v>
      </c>
      <c r="C180" t="s">
        <v>5534</v>
      </c>
      <c r="F180" t="s">
        <v>5533</v>
      </c>
      <c r="G180" t="s">
        <v>15</v>
      </c>
      <c r="H180" t="s">
        <v>14</v>
      </c>
      <c r="I180" t="s">
        <v>5532</v>
      </c>
      <c r="J180">
        <v>60009628</v>
      </c>
      <c r="K180" t="s">
        <v>5531</v>
      </c>
      <c r="L180" t="s">
        <v>874</v>
      </c>
      <c r="M180" t="s">
        <v>298</v>
      </c>
      <c r="N180">
        <v>2</v>
      </c>
      <c r="O180" t="s">
        <v>5530</v>
      </c>
      <c r="P180" t="s">
        <v>5529</v>
      </c>
      <c r="Q180" t="s">
        <v>5528</v>
      </c>
      <c r="R180" s="7">
        <v>31048</v>
      </c>
      <c r="S180" s="8">
        <f t="shared" si="24"/>
        <v>1985</v>
      </c>
      <c r="T180" s="8">
        <v>1985</v>
      </c>
      <c r="U180" s="8">
        <f t="shared" si="25"/>
        <v>37</v>
      </c>
      <c r="V180" s="7">
        <v>1985</v>
      </c>
      <c r="W180" t="s">
        <v>5417</v>
      </c>
      <c r="X180" s="2">
        <v>0.22500000000000001</v>
      </c>
      <c r="Y180" s="6">
        <f t="shared" si="22"/>
        <v>6.0062464963562111E-3</v>
      </c>
      <c r="AA180">
        <v>2726343</v>
      </c>
      <c r="AB180">
        <v>16128</v>
      </c>
      <c r="AC180" t="s">
        <v>5416</v>
      </c>
      <c r="AD180" t="s">
        <v>4</v>
      </c>
      <c r="AE180">
        <v>5</v>
      </c>
      <c r="AF180">
        <v>4</v>
      </c>
      <c r="AH180" t="s">
        <v>5527</v>
      </c>
      <c r="AI180" t="s">
        <v>5526</v>
      </c>
      <c r="AK180" t="s">
        <v>5525</v>
      </c>
      <c r="AL180">
        <v>5</v>
      </c>
      <c r="AM180" s="5">
        <f t="shared" si="26"/>
        <v>0.13513513513513514</v>
      </c>
      <c r="AN180" s="4">
        <f t="shared" si="23"/>
        <v>2.046726772209544E-4</v>
      </c>
      <c r="AO180" s="3"/>
      <c r="AP180">
        <v>0</v>
      </c>
      <c r="AR180" t="s">
        <v>0</v>
      </c>
      <c r="AT180" s="2">
        <v>1.099</v>
      </c>
      <c r="AU180" s="1">
        <f t="shared" si="27"/>
        <v>0.42657743506156337</v>
      </c>
      <c r="AV180" s="1">
        <f t="shared" si="28"/>
        <v>0.31054595867885826</v>
      </c>
      <c r="AW180" s="1">
        <f t="shared" si="29"/>
        <v>0.19451448229615315</v>
      </c>
    </row>
    <row r="181" spans="1:49" x14ac:dyDescent="0.2">
      <c r="A181">
        <v>179</v>
      </c>
      <c r="B181" t="s">
        <v>5524</v>
      </c>
      <c r="C181" t="s">
        <v>5523</v>
      </c>
      <c r="F181" t="s">
        <v>5522</v>
      </c>
      <c r="G181" t="s">
        <v>15</v>
      </c>
      <c r="H181" t="s">
        <v>14</v>
      </c>
      <c r="I181" t="s">
        <v>5521</v>
      </c>
      <c r="J181">
        <v>60020818</v>
      </c>
      <c r="K181" t="s">
        <v>5520</v>
      </c>
      <c r="L181" t="s">
        <v>5519</v>
      </c>
      <c r="M181" t="s">
        <v>122</v>
      </c>
      <c r="N181">
        <v>1</v>
      </c>
      <c r="O181" t="s">
        <v>5518</v>
      </c>
      <c r="P181">
        <v>57189501138</v>
      </c>
      <c r="Q181">
        <v>60020818</v>
      </c>
      <c r="R181" s="7">
        <v>31048</v>
      </c>
      <c r="S181" s="8">
        <f t="shared" si="24"/>
        <v>1985</v>
      </c>
      <c r="T181" s="8">
        <v>1985</v>
      </c>
      <c r="U181" s="8">
        <f t="shared" si="25"/>
        <v>37</v>
      </c>
      <c r="V181" s="7">
        <v>31138</v>
      </c>
      <c r="W181" s="11" t="s">
        <v>5517</v>
      </c>
      <c r="X181" s="2">
        <v>1.3280000000000001</v>
      </c>
      <c r="Y181" s="6">
        <f t="shared" si="22"/>
        <v>3.5450201542937994E-2</v>
      </c>
      <c r="AA181">
        <v>21680329</v>
      </c>
      <c r="AB181">
        <v>21100399421</v>
      </c>
      <c r="AD181" t="s">
        <v>4</v>
      </c>
      <c r="AE181">
        <v>27</v>
      </c>
      <c r="AF181">
        <v>2</v>
      </c>
      <c r="AH181" s="10">
        <v>42491</v>
      </c>
      <c r="AL181">
        <v>6</v>
      </c>
      <c r="AM181" s="5">
        <f t="shared" si="26"/>
        <v>0.16216216216216217</v>
      </c>
      <c r="AN181" s="4">
        <f t="shared" si="23"/>
        <v>2.4560721266514527E-4</v>
      </c>
      <c r="AO181" s="3"/>
      <c r="AP181">
        <v>0</v>
      </c>
      <c r="AR181" t="s">
        <v>0</v>
      </c>
      <c r="AT181" s="2" t="s">
        <v>19</v>
      </c>
      <c r="AU181" s="1">
        <f t="shared" si="27"/>
        <v>2.4888823243856137</v>
      </c>
      <c r="AV181" s="1">
        <f t="shared" si="28"/>
        <v>1.7847904377801569</v>
      </c>
      <c r="AW181" s="1">
        <f t="shared" si="29"/>
        <v>1.0806985511747</v>
      </c>
    </row>
    <row r="182" spans="1:49" x14ac:dyDescent="0.2">
      <c r="A182">
        <v>180</v>
      </c>
      <c r="B182" t="s">
        <v>5516</v>
      </c>
      <c r="C182" t="s">
        <v>5515</v>
      </c>
      <c r="F182" t="s">
        <v>5514</v>
      </c>
      <c r="G182" t="s">
        <v>15</v>
      </c>
      <c r="H182" t="s">
        <v>14</v>
      </c>
      <c r="I182" t="s">
        <v>5513</v>
      </c>
      <c r="J182">
        <v>60004572</v>
      </c>
      <c r="K182" t="s">
        <v>5512</v>
      </c>
      <c r="L182" t="s">
        <v>5511</v>
      </c>
      <c r="M182" t="s">
        <v>530</v>
      </c>
      <c r="N182">
        <v>2</v>
      </c>
      <c r="O182" t="s">
        <v>5510</v>
      </c>
      <c r="P182" t="s">
        <v>5509</v>
      </c>
      <c r="Q182" t="s">
        <v>5508</v>
      </c>
      <c r="R182" s="7">
        <v>31048</v>
      </c>
      <c r="S182" s="8">
        <f t="shared" si="24"/>
        <v>1985</v>
      </c>
      <c r="T182" s="8">
        <v>1985</v>
      </c>
      <c r="U182" s="8">
        <f t="shared" si="25"/>
        <v>37</v>
      </c>
      <c r="V182" s="7" t="s">
        <v>4378</v>
      </c>
      <c r="W182" t="s">
        <v>5507</v>
      </c>
      <c r="X182" s="2">
        <v>0.51100000000000001</v>
      </c>
      <c r="Y182" s="6">
        <f t="shared" si="22"/>
        <v>1.3640853153946772E-2</v>
      </c>
      <c r="AA182">
        <v>222933</v>
      </c>
      <c r="AB182">
        <v>29630</v>
      </c>
      <c r="AC182">
        <v>14645262</v>
      </c>
      <c r="AD182" t="s">
        <v>4</v>
      </c>
      <c r="AE182">
        <v>19</v>
      </c>
      <c r="AF182">
        <v>6</v>
      </c>
      <c r="AH182" t="s">
        <v>5506</v>
      </c>
      <c r="AI182" t="s">
        <v>5505</v>
      </c>
      <c r="AK182" t="s">
        <v>5504</v>
      </c>
      <c r="AL182">
        <v>4</v>
      </c>
      <c r="AM182" s="5">
        <f t="shared" si="26"/>
        <v>0.10810810810810811</v>
      </c>
      <c r="AN182" s="4">
        <f t="shared" si="23"/>
        <v>1.6373814177676353E-4</v>
      </c>
      <c r="AO182" s="3"/>
      <c r="AP182">
        <v>0</v>
      </c>
      <c r="AR182" t="s">
        <v>0</v>
      </c>
      <c r="AT182" s="2">
        <v>1.016</v>
      </c>
      <c r="AU182" s="1">
        <f t="shared" si="27"/>
        <v>0.9597718650295769</v>
      </c>
      <c r="AV182" s="1">
        <f t="shared" si="28"/>
        <v>0.69022956478617681</v>
      </c>
      <c r="AW182" s="1">
        <f t="shared" si="29"/>
        <v>0.42068726454277661</v>
      </c>
    </row>
    <row r="183" spans="1:49" x14ac:dyDescent="0.2">
      <c r="A183">
        <v>181</v>
      </c>
      <c r="B183" t="s">
        <v>5503</v>
      </c>
      <c r="C183" t="s">
        <v>5502</v>
      </c>
      <c r="F183" t="s">
        <v>5501</v>
      </c>
      <c r="G183" t="s">
        <v>15</v>
      </c>
      <c r="H183" t="s">
        <v>14</v>
      </c>
      <c r="I183" t="s">
        <v>5500</v>
      </c>
      <c r="N183">
        <v>1</v>
      </c>
      <c r="O183" t="s">
        <v>5499</v>
      </c>
      <c r="P183">
        <v>24789319900</v>
      </c>
      <c r="R183" s="7">
        <v>31048</v>
      </c>
      <c r="S183" s="8">
        <f t="shared" si="24"/>
        <v>1985</v>
      </c>
      <c r="T183" s="8">
        <v>1985</v>
      </c>
      <c r="U183" s="8">
        <f t="shared" si="25"/>
        <v>37</v>
      </c>
      <c r="V183" s="7">
        <v>31048</v>
      </c>
      <c r="W183" t="s">
        <v>5498</v>
      </c>
      <c r="X183" s="2">
        <v>0.11700000000000001</v>
      </c>
      <c r="Y183" s="6">
        <f t="shared" si="22"/>
        <v>3.1232481781052297E-3</v>
      </c>
      <c r="AA183">
        <v>2179822</v>
      </c>
      <c r="AB183">
        <v>5300152612</v>
      </c>
      <c r="AC183">
        <v>19930615</v>
      </c>
      <c r="AD183" t="s">
        <v>4</v>
      </c>
      <c r="AE183">
        <v>2</v>
      </c>
      <c r="AF183">
        <v>1</v>
      </c>
      <c r="AH183" t="s">
        <v>5497</v>
      </c>
      <c r="AI183" t="s">
        <v>5496</v>
      </c>
      <c r="AK183" t="s">
        <v>5495</v>
      </c>
      <c r="AL183">
        <v>0</v>
      </c>
      <c r="AM183" s="5">
        <f t="shared" si="26"/>
        <v>0</v>
      </c>
      <c r="AN183" s="4">
        <f t="shared" si="23"/>
        <v>0</v>
      </c>
      <c r="AO183" s="3"/>
      <c r="AP183">
        <v>0</v>
      </c>
      <c r="AR183" t="s">
        <v>0</v>
      </c>
      <c r="AT183" s="2" t="s">
        <v>19</v>
      </c>
      <c r="AU183" s="1">
        <f t="shared" si="27"/>
        <v>0.21862737246736608</v>
      </c>
      <c r="AV183" s="1">
        <f t="shared" si="28"/>
        <v>0.15616240890526148</v>
      </c>
      <c r="AW183" s="1">
        <f t="shared" si="29"/>
        <v>9.3697445343156896E-2</v>
      </c>
    </row>
    <row r="184" spans="1:49" x14ac:dyDescent="0.2">
      <c r="A184">
        <v>182</v>
      </c>
      <c r="B184" t="s">
        <v>5494</v>
      </c>
      <c r="C184" t="s">
        <v>5493</v>
      </c>
      <c r="D184">
        <v>41555385900643</v>
      </c>
      <c r="F184" t="s">
        <v>5492</v>
      </c>
      <c r="G184" t="s">
        <v>15</v>
      </c>
      <c r="H184" t="s">
        <v>14</v>
      </c>
      <c r="I184" t="s">
        <v>5491</v>
      </c>
      <c r="N184">
        <v>2</v>
      </c>
      <c r="O184" t="s">
        <v>5490</v>
      </c>
      <c r="P184" t="s">
        <v>5489</v>
      </c>
      <c r="Q184" t="s">
        <v>895</v>
      </c>
      <c r="R184" s="7">
        <v>31048</v>
      </c>
      <c r="S184" s="8">
        <f t="shared" si="24"/>
        <v>1985</v>
      </c>
      <c r="T184" s="8">
        <v>1985</v>
      </c>
      <c r="U184" s="8">
        <f t="shared" si="25"/>
        <v>37</v>
      </c>
      <c r="V184" s="7">
        <v>1985</v>
      </c>
      <c r="W184" t="s">
        <v>5488</v>
      </c>
      <c r="X184" s="2" t="s">
        <v>19</v>
      </c>
      <c r="Y184" s="6" t="e">
        <f t="shared" si="22"/>
        <v>#VALUE!</v>
      </c>
      <c r="AA184">
        <v>415553</v>
      </c>
      <c r="AB184">
        <v>9800153164</v>
      </c>
      <c r="AD184" t="s">
        <v>4</v>
      </c>
      <c r="AE184">
        <v>25</v>
      </c>
      <c r="AF184">
        <v>1</v>
      </c>
      <c r="AH184" t="s">
        <v>5487</v>
      </c>
      <c r="AI184" t="s">
        <v>5486</v>
      </c>
      <c r="AK184" t="s">
        <v>5485</v>
      </c>
      <c r="AL184">
        <v>0</v>
      </c>
      <c r="AM184" s="5">
        <f t="shared" si="26"/>
        <v>0</v>
      </c>
      <c r="AN184" s="4">
        <f t="shared" si="23"/>
        <v>0</v>
      </c>
      <c r="AO184" s="3"/>
      <c r="AP184">
        <v>0</v>
      </c>
      <c r="AR184" t="s">
        <v>0</v>
      </c>
      <c r="AT184" s="2" t="s">
        <v>19</v>
      </c>
      <c r="AU184" s="1" t="e">
        <f t="shared" si="27"/>
        <v>#VALUE!</v>
      </c>
      <c r="AV184" s="1" t="e">
        <f t="shared" si="28"/>
        <v>#VALUE!</v>
      </c>
      <c r="AW184" s="1" t="e">
        <f t="shared" si="29"/>
        <v>#VALUE!</v>
      </c>
    </row>
    <row r="185" spans="1:49" x14ac:dyDescent="0.2">
      <c r="A185">
        <v>183</v>
      </c>
      <c r="B185" t="s">
        <v>5484</v>
      </c>
      <c r="C185" t="s">
        <v>5483</v>
      </c>
      <c r="D185" t="s">
        <v>5482</v>
      </c>
      <c r="F185" t="s">
        <v>5481</v>
      </c>
      <c r="G185" t="s">
        <v>15</v>
      </c>
      <c r="H185" t="s">
        <v>14</v>
      </c>
      <c r="I185" t="s">
        <v>5480</v>
      </c>
      <c r="J185">
        <v>60024199</v>
      </c>
      <c r="K185" t="s">
        <v>5479</v>
      </c>
      <c r="L185" t="s">
        <v>5478</v>
      </c>
      <c r="M185" t="s">
        <v>272</v>
      </c>
      <c r="N185">
        <v>1</v>
      </c>
      <c r="O185" t="s">
        <v>5477</v>
      </c>
      <c r="P185">
        <v>24513588700</v>
      </c>
      <c r="Q185">
        <v>60024199</v>
      </c>
      <c r="R185" s="7">
        <v>31048</v>
      </c>
      <c r="S185" s="8">
        <f t="shared" si="24"/>
        <v>1985</v>
      </c>
      <c r="T185" s="8">
        <v>1985</v>
      </c>
      <c r="U185" s="8">
        <f t="shared" si="25"/>
        <v>37</v>
      </c>
      <c r="V185" s="7">
        <v>1985</v>
      </c>
      <c r="W185" t="s">
        <v>5476</v>
      </c>
      <c r="X185" s="2">
        <v>1.4219999999999999</v>
      </c>
      <c r="Y185" s="6">
        <f t="shared" si="22"/>
        <v>3.7959477856971249E-2</v>
      </c>
      <c r="AA185" t="s">
        <v>5475</v>
      </c>
      <c r="AB185">
        <v>23256</v>
      </c>
      <c r="AD185" t="s">
        <v>4</v>
      </c>
      <c r="AE185">
        <v>13</v>
      </c>
      <c r="AF185">
        <v>3</v>
      </c>
      <c r="AH185" t="s">
        <v>5474</v>
      </c>
      <c r="AI185" t="s">
        <v>5473</v>
      </c>
      <c r="AK185" t="s">
        <v>5472</v>
      </c>
      <c r="AL185">
        <v>4</v>
      </c>
      <c r="AM185" s="5">
        <f t="shared" si="26"/>
        <v>0.10810810810810811</v>
      </c>
      <c r="AN185" s="4">
        <f t="shared" si="23"/>
        <v>1.6373814177676353E-4</v>
      </c>
      <c r="AO185" s="3"/>
      <c r="AP185">
        <v>0</v>
      </c>
      <c r="AR185" t="s">
        <v>0</v>
      </c>
      <c r="AT185" s="2">
        <v>3.1669999999999998</v>
      </c>
      <c r="AU185" s="1">
        <f t="shared" si="27"/>
        <v>2.6620755942412906</v>
      </c>
      <c r="AV185" s="1">
        <f t="shared" si="28"/>
        <v>1.9061607999374004</v>
      </c>
      <c r="AW185" s="1">
        <f t="shared" si="29"/>
        <v>1.1502460056335106</v>
      </c>
    </row>
    <row r="186" spans="1:49" x14ac:dyDescent="0.2">
      <c r="A186">
        <v>184</v>
      </c>
      <c r="B186" t="s">
        <v>5471</v>
      </c>
      <c r="C186" t="s">
        <v>5470</v>
      </c>
      <c r="D186" t="s">
        <v>5469</v>
      </c>
      <c r="F186" t="s">
        <v>5468</v>
      </c>
      <c r="G186" t="s">
        <v>15</v>
      </c>
      <c r="H186" t="s">
        <v>14</v>
      </c>
      <c r="I186" t="s">
        <v>5467</v>
      </c>
      <c r="J186">
        <v>60010365</v>
      </c>
      <c r="K186" t="s">
        <v>5466</v>
      </c>
      <c r="L186" t="s">
        <v>5465</v>
      </c>
      <c r="M186" t="s">
        <v>76</v>
      </c>
      <c r="N186">
        <v>2</v>
      </c>
      <c r="O186" t="s">
        <v>5464</v>
      </c>
      <c r="P186" t="s">
        <v>5463</v>
      </c>
      <c r="Q186" t="s">
        <v>5462</v>
      </c>
      <c r="R186" s="7">
        <v>31048</v>
      </c>
      <c r="S186" s="8">
        <f t="shared" si="24"/>
        <v>1985</v>
      </c>
      <c r="T186" s="8">
        <v>1985</v>
      </c>
      <c r="U186" s="8">
        <f t="shared" si="25"/>
        <v>37</v>
      </c>
      <c r="V186" s="7">
        <v>31321</v>
      </c>
      <c r="W186" t="s">
        <v>603</v>
      </c>
      <c r="X186" s="2">
        <v>1.1339999999999999</v>
      </c>
      <c r="Y186" s="6">
        <f t="shared" si="22"/>
        <v>3.0271482341635299E-2</v>
      </c>
      <c r="AA186">
        <v>945765</v>
      </c>
      <c r="AB186">
        <v>12372</v>
      </c>
      <c r="AD186" t="s">
        <v>4</v>
      </c>
      <c r="AE186">
        <v>12</v>
      </c>
      <c r="AF186">
        <v>10</v>
      </c>
      <c r="AH186" t="s">
        <v>5461</v>
      </c>
      <c r="AI186" t="s">
        <v>5460</v>
      </c>
      <c r="AK186" t="s">
        <v>5459</v>
      </c>
      <c r="AL186">
        <v>12</v>
      </c>
      <c r="AM186" s="5">
        <f t="shared" si="26"/>
        <v>0.32432432432432434</v>
      </c>
      <c r="AN186" s="4">
        <f t="shared" si="23"/>
        <v>4.9121442533029054E-4</v>
      </c>
      <c r="AO186" s="3"/>
      <c r="AP186">
        <v>0</v>
      </c>
      <c r="AR186" t="s">
        <v>0</v>
      </c>
      <c r="AT186" s="2">
        <v>2.4129999999999998</v>
      </c>
      <c r="AU186" s="1">
        <f t="shared" si="27"/>
        <v>2.1337401966743794</v>
      </c>
      <c r="AV186" s="1">
        <f t="shared" si="28"/>
        <v>1.5381348383482796</v>
      </c>
      <c r="AW186" s="1">
        <f t="shared" si="29"/>
        <v>0.94252948002217929</v>
      </c>
    </row>
    <row r="187" spans="1:49" x14ac:dyDescent="0.2">
      <c r="A187">
        <v>185</v>
      </c>
      <c r="B187" t="s">
        <v>5458</v>
      </c>
      <c r="C187" t="s">
        <v>5457</v>
      </c>
      <c r="D187" t="s">
        <v>5456</v>
      </c>
      <c r="F187" t="s">
        <v>5455</v>
      </c>
      <c r="G187" t="s">
        <v>15</v>
      </c>
      <c r="H187" t="s">
        <v>14</v>
      </c>
      <c r="I187" t="s">
        <v>5454</v>
      </c>
      <c r="J187">
        <v>60012771</v>
      </c>
      <c r="K187" t="s">
        <v>5453</v>
      </c>
      <c r="L187" t="s">
        <v>517</v>
      </c>
      <c r="M187" t="s">
        <v>122</v>
      </c>
      <c r="N187">
        <v>2</v>
      </c>
      <c r="O187" t="s">
        <v>5452</v>
      </c>
      <c r="P187" t="s">
        <v>5451</v>
      </c>
      <c r="Q187" t="s">
        <v>5450</v>
      </c>
      <c r="R187" s="7">
        <v>31048</v>
      </c>
      <c r="S187" s="8">
        <f t="shared" si="24"/>
        <v>1985</v>
      </c>
      <c r="T187" s="8">
        <v>1985</v>
      </c>
      <c r="U187" s="8">
        <f t="shared" si="25"/>
        <v>37</v>
      </c>
      <c r="V187" s="7">
        <v>31321</v>
      </c>
      <c r="W187" t="s">
        <v>603</v>
      </c>
      <c r="X187" s="2">
        <v>1.1339999999999999</v>
      </c>
      <c r="Y187" s="6">
        <f t="shared" si="22"/>
        <v>3.0271482341635299E-2</v>
      </c>
      <c r="AA187">
        <v>945765</v>
      </c>
      <c r="AB187">
        <v>12372</v>
      </c>
      <c r="AD187" t="s">
        <v>4</v>
      </c>
      <c r="AE187">
        <v>12</v>
      </c>
      <c r="AF187">
        <v>10</v>
      </c>
      <c r="AH187" t="s">
        <v>5449</v>
      </c>
      <c r="AI187" t="s">
        <v>5448</v>
      </c>
      <c r="AK187" t="s">
        <v>5447</v>
      </c>
      <c r="AL187">
        <v>3</v>
      </c>
      <c r="AM187" s="5">
        <f t="shared" si="26"/>
        <v>8.1081081081081086E-2</v>
      </c>
      <c r="AN187" s="4">
        <f t="shared" si="23"/>
        <v>1.2280360633257263E-4</v>
      </c>
      <c r="AO187" s="3"/>
      <c r="AP187">
        <v>0</v>
      </c>
      <c r="AR187" t="s">
        <v>0</v>
      </c>
      <c r="AT187" s="2">
        <v>2.4129999999999998</v>
      </c>
      <c r="AU187" s="1">
        <f t="shared" si="27"/>
        <v>2.1226878721044478</v>
      </c>
      <c r="AV187" s="1">
        <f t="shared" si="28"/>
        <v>1.5197142973983935</v>
      </c>
      <c r="AW187" s="1">
        <f t="shared" si="29"/>
        <v>0.91674072269233908</v>
      </c>
    </row>
    <row r="188" spans="1:49" x14ac:dyDescent="0.2">
      <c r="A188">
        <v>186</v>
      </c>
      <c r="B188" t="s">
        <v>5446</v>
      </c>
      <c r="C188" t="s">
        <v>5445</v>
      </c>
      <c r="D188">
        <v>377042785900512</v>
      </c>
      <c r="F188" t="s">
        <v>5444</v>
      </c>
      <c r="G188" t="s">
        <v>15</v>
      </c>
      <c r="H188" t="s">
        <v>14</v>
      </c>
      <c r="I188" t="s">
        <v>5443</v>
      </c>
      <c r="J188" t="s">
        <v>5442</v>
      </c>
      <c r="K188" t="s">
        <v>5441</v>
      </c>
      <c r="L188" t="s">
        <v>5440</v>
      </c>
      <c r="M188" t="s">
        <v>1056</v>
      </c>
      <c r="N188">
        <v>3</v>
      </c>
      <c r="O188" t="s">
        <v>5439</v>
      </c>
      <c r="P188" t="s">
        <v>5438</v>
      </c>
      <c r="Q188" t="s">
        <v>5437</v>
      </c>
      <c r="R188" s="7">
        <v>31048</v>
      </c>
      <c r="S188" s="8">
        <f t="shared" si="24"/>
        <v>1985</v>
      </c>
      <c r="T188" s="8">
        <v>1985</v>
      </c>
      <c r="U188" s="8">
        <f t="shared" si="25"/>
        <v>37</v>
      </c>
      <c r="V188" s="7">
        <v>31168</v>
      </c>
      <c r="W188" t="s">
        <v>5436</v>
      </c>
      <c r="X188" s="2">
        <v>0.876</v>
      </c>
      <c r="Y188" s="6">
        <f t="shared" si="22"/>
        <v>2.3384319692480181E-2</v>
      </c>
      <c r="AA188">
        <v>3770427</v>
      </c>
      <c r="AB188">
        <v>23847</v>
      </c>
      <c r="AD188" t="s">
        <v>4</v>
      </c>
      <c r="AE188" s="10">
        <v>41609</v>
      </c>
      <c r="AF188" t="s">
        <v>117</v>
      </c>
      <c r="AH188" t="s">
        <v>5435</v>
      </c>
      <c r="AI188" t="s">
        <v>5434</v>
      </c>
      <c r="AJ188" t="s">
        <v>5433</v>
      </c>
      <c r="AK188" t="s">
        <v>5432</v>
      </c>
      <c r="AL188">
        <v>2</v>
      </c>
      <c r="AM188" s="5">
        <f t="shared" si="26"/>
        <v>5.4054054054054057E-2</v>
      </c>
      <c r="AN188" s="4">
        <f t="shared" si="23"/>
        <v>8.1869070888381765E-5</v>
      </c>
      <c r="AO188" s="3"/>
      <c r="AP188">
        <v>1</v>
      </c>
      <c r="AR188" t="s">
        <v>0</v>
      </c>
      <c r="AT188" s="2" t="s">
        <v>19</v>
      </c>
      <c r="AU188" s="1">
        <f t="shared" si="27"/>
        <v>1.6393584506002641</v>
      </c>
      <c r="AV188" s="1">
        <f t="shared" si="28"/>
        <v>1.1733094381684281</v>
      </c>
      <c r="AW188" s="1">
        <f t="shared" si="29"/>
        <v>0.70726042573659209</v>
      </c>
    </row>
    <row r="189" spans="1:49" x14ac:dyDescent="0.2">
      <c r="A189">
        <v>187</v>
      </c>
      <c r="B189" t="s">
        <v>5431</v>
      </c>
      <c r="C189" t="s">
        <v>5430</v>
      </c>
      <c r="D189">
        <v>300962985902646</v>
      </c>
      <c r="F189" t="s">
        <v>5429</v>
      </c>
      <c r="G189" t="s">
        <v>15</v>
      </c>
      <c r="H189" t="s">
        <v>14</v>
      </c>
      <c r="I189" t="s">
        <v>5005</v>
      </c>
      <c r="J189">
        <v>60002443</v>
      </c>
      <c r="K189" t="s">
        <v>5004</v>
      </c>
      <c r="L189" t="s">
        <v>5003</v>
      </c>
      <c r="M189" t="s">
        <v>544</v>
      </c>
      <c r="N189">
        <v>2</v>
      </c>
      <c r="O189" t="s">
        <v>5428</v>
      </c>
      <c r="P189" t="s">
        <v>5427</v>
      </c>
      <c r="Q189" t="s">
        <v>5000</v>
      </c>
      <c r="R189" s="7">
        <v>31048</v>
      </c>
      <c r="S189" s="8">
        <f t="shared" si="24"/>
        <v>1985</v>
      </c>
      <c r="T189" s="8">
        <v>1985</v>
      </c>
      <c r="U189" s="8">
        <f t="shared" si="25"/>
        <v>37</v>
      </c>
      <c r="V189" s="7">
        <v>1985</v>
      </c>
      <c r="W189" t="s">
        <v>214</v>
      </c>
      <c r="X189" s="2">
        <v>0.64600000000000002</v>
      </c>
      <c r="Y189" s="6">
        <f t="shared" si="22"/>
        <v>1.72446010517605E-2</v>
      </c>
      <c r="AA189">
        <v>3009629</v>
      </c>
      <c r="AB189">
        <v>23398</v>
      </c>
      <c r="AD189" t="s">
        <v>4</v>
      </c>
      <c r="AE189">
        <v>81</v>
      </c>
      <c r="AF189">
        <v>1</v>
      </c>
      <c r="AH189" t="s">
        <v>5426</v>
      </c>
      <c r="AI189" t="s">
        <v>5425</v>
      </c>
      <c r="AK189" t="s">
        <v>5424</v>
      </c>
      <c r="AL189">
        <v>2</v>
      </c>
      <c r="AM189" s="5">
        <f t="shared" si="26"/>
        <v>5.4054054054054057E-2</v>
      </c>
      <c r="AN189" s="4">
        <f t="shared" si="23"/>
        <v>8.1869070888381765E-5</v>
      </c>
      <c r="AO189" s="3"/>
      <c r="AP189">
        <v>0</v>
      </c>
      <c r="AR189" t="s">
        <v>0</v>
      </c>
      <c r="AT189" s="2" t="s">
        <v>19</v>
      </c>
      <c r="AU189" s="1">
        <f t="shared" si="27"/>
        <v>1.2095781457498864</v>
      </c>
      <c r="AV189" s="1">
        <f t="shared" si="28"/>
        <v>0.86632350613244402</v>
      </c>
      <c r="AW189" s="1">
        <f t="shared" si="29"/>
        <v>0.52306886651500162</v>
      </c>
    </row>
    <row r="190" spans="1:49" x14ac:dyDescent="0.2">
      <c r="A190">
        <v>188</v>
      </c>
      <c r="B190" t="s">
        <v>5423</v>
      </c>
      <c r="C190" t="s">
        <v>5422</v>
      </c>
      <c r="F190" t="s">
        <v>5421</v>
      </c>
      <c r="G190" t="s">
        <v>15</v>
      </c>
      <c r="H190" t="s">
        <v>14</v>
      </c>
      <c r="I190" t="s">
        <v>5420</v>
      </c>
      <c r="J190">
        <v>60010818</v>
      </c>
      <c r="K190" t="s">
        <v>2212</v>
      </c>
      <c r="L190" t="s">
        <v>2211</v>
      </c>
      <c r="M190" t="s">
        <v>530</v>
      </c>
      <c r="N190">
        <v>2</v>
      </c>
      <c r="O190" t="s">
        <v>5419</v>
      </c>
      <c r="P190" t="s">
        <v>5418</v>
      </c>
      <c r="Q190" t="s">
        <v>2208</v>
      </c>
      <c r="R190" s="7">
        <v>31048</v>
      </c>
      <c r="S190" s="8">
        <f t="shared" si="24"/>
        <v>1985</v>
      </c>
      <c r="T190" s="8">
        <v>1985</v>
      </c>
      <c r="U190" s="8">
        <f t="shared" si="25"/>
        <v>37</v>
      </c>
      <c r="V190" s="7">
        <v>1985</v>
      </c>
      <c r="W190" t="s">
        <v>5417</v>
      </c>
      <c r="X190" s="2">
        <v>0.22500000000000001</v>
      </c>
      <c r="Y190" s="6">
        <f t="shared" si="22"/>
        <v>6.0062464963562111E-3</v>
      </c>
      <c r="AA190">
        <v>2726343</v>
      </c>
      <c r="AB190">
        <v>16128</v>
      </c>
      <c r="AC190" t="s">
        <v>5416</v>
      </c>
      <c r="AD190" t="s">
        <v>4</v>
      </c>
      <c r="AE190">
        <v>5</v>
      </c>
      <c r="AF190">
        <v>4</v>
      </c>
      <c r="AH190" t="s">
        <v>5415</v>
      </c>
      <c r="AI190" t="s">
        <v>5414</v>
      </c>
      <c r="AK190" t="s">
        <v>5413</v>
      </c>
      <c r="AL190">
        <v>9</v>
      </c>
      <c r="AM190" s="5">
        <f t="shared" si="26"/>
        <v>0.24324324324324326</v>
      </c>
      <c r="AN190" s="4">
        <f t="shared" si="23"/>
        <v>3.684108189977179E-4</v>
      </c>
      <c r="AO190" s="3"/>
      <c r="AP190">
        <v>0</v>
      </c>
      <c r="AR190" t="s">
        <v>0</v>
      </c>
      <c r="AT190" s="2">
        <v>1.099</v>
      </c>
      <c r="AU190" s="1">
        <f t="shared" si="27"/>
        <v>0.43148957931486631</v>
      </c>
      <c r="AV190" s="1">
        <f t="shared" si="28"/>
        <v>0.31873286576769644</v>
      </c>
      <c r="AW190" s="1">
        <f t="shared" si="29"/>
        <v>0.20597615222052659</v>
      </c>
    </row>
    <row r="191" spans="1:49" x14ac:dyDescent="0.2">
      <c r="A191">
        <v>189</v>
      </c>
      <c r="B191" t="s">
        <v>5412</v>
      </c>
      <c r="C191" t="s">
        <v>5411</v>
      </c>
      <c r="F191" t="s">
        <v>5410</v>
      </c>
      <c r="G191" t="s">
        <v>15</v>
      </c>
      <c r="H191" t="s">
        <v>14</v>
      </c>
      <c r="I191" t="s">
        <v>5409</v>
      </c>
      <c r="J191">
        <v>60028186</v>
      </c>
      <c r="K191" t="s">
        <v>5408</v>
      </c>
      <c r="L191" t="s">
        <v>5407</v>
      </c>
      <c r="M191" t="s">
        <v>785</v>
      </c>
      <c r="N191">
        <v>8</v>
      </c>
      <c r="O191" t="s">
        <v>5406</v>
      </c>
      <c r="P191" t="s">
        <v>5405</v>
      </c>
      <c r="Q191" t="s">
        <v>5404</v>
      </c>
      <c r="R191" s="7">
        <v>31048</v>
      </c>
      <c r="S191" s="8">
        <f t="shared" si="24"/>
        <v>1985</v>
      </c>
      <c r="T191" s="8">
        <v>1985</v>
      </c>
      <c r="U191" s="8">
        <f t="shared" si="25"/>
        <v>37</v>
      </c>
      <c r="V191" s="7">
        <v>1985</v>
      </c>
      <c r="W191" t="s">
        <v>5314</v>
      </c>
      <c r="X191" s="2">
        <v>3.6880000000000002</v>
      </c>
      <c r="Y191" s="6">
        <f t="shared" si="22"/>
        <v>9.8449053682496471E-2</v>
      </c>
      <c r="AA191">
        <v>319007</v>
      </c>
      <c r="AB191">
        <v>29150</v>
      </c>
      <c r="AD191" t="s">
        <v>4</v>
      </c>
      <c r="AE191">
        <v>54</v>
      </c>
      <c r="AF191">
        <v>15</v>
      </c>
      <c r="AH191" t="s">
        <v>5403</v>
      </c>
      <c r="AI191" t="s">
        <v>5402</v>
      </c>
      <c r="AK191" t="s">
        <v>5401</v>
      </c>
      <c r="AL191">
        <v>18</v>
      </c>
      <c r="AM191" s="5">
        <f t="shared" si="26"/>
        <v>0.48648648648648651</v>
      </c>
      <c r="AN191" s="4">
        <f t="shared" si="23"/>
        <v>7.368216379954358E-4</v>
      </c>
      <c r="AO191" s="3"/>
      <c r="AP191">
        <v>0</v>
      </c>
      <c r="AR191" t="s">
        <v>0</v>
      </c>
      <c r="AT191" s="2">
        <v>9.1609999999999996</v>
      </c>
      <c r="AU191" s="1">
        <f t="shared" si="27"/>
        <v>6.9135384069146157</v>
      </c>
      <c r="AV191" s="1">
        <f t="shared" si="28"/>
        <v>4.9592937660245955</v>
      </c>
      <c r="AW191" s="1">
        <f t="shared" si="29"/>
        <v>3.0050491251345743</v>
      </c>
    </row>
    <row r="192" spans="1:49" x14ac:dyDescent="0.2">
      <c r="A192">
        <v>190</v>
      </c>
      <c r="B192" t="s">
        <v>5400</v>
      </c>
      <c r="C192" t="s">
        <v>5399</v>
      </c>
      <c r="F192" t="s">
        <v>5398</v>
      </c>
      <c r="G192" t="s">
        <v>15</v>
      </c>
      <c r="H192" t="s">
        <v>14</v>
      </c>
      <c r="I192" t="s">
        <v>5397</v>
      </c>
      <c r="J192" t="s">
        <v>5396</v>
      </c>
      <c r="K192" t="s">
        <v>5395</v>
      </c>
      <c r="L192" t="s">
        <v>5394</v>
      </c>
      <c r="M192" t="s">
        <v>28</v>
      </c>
      <c r="N192">
        <v>9</v>
      </c>
      <c r="O192" t="s">
        <v>5393</v>
      </c>
      <c r="P192" t="s">
        <v>5392</v>
      </c>
      <c r="Q192" t="s">
        <v>5391</v>
      </c>
      <c r="R192" s="7">
        <v>31048</v>
      </c>
      <c r="S192" s="8">
        <f t="shared" si="24"/>
        <v>1985</v>
      </c>
      <c r="T192" s="8">
        <v>1985</v>
      </c>
      <c r="U192" s="8">
        <f t="shared" si="25"/>
        <v>37</v>
      </c>
      <c r="V192" s="7">
        <v>1985</v>
      </c>
      <c r="W192" t="s">
        <v>5314</v>
      </c>
      <c r="X192" s="2">
        <v>3.6880000000000002</v>
      </c>
      <c r="Y192" s="6">
        <f t="shared" si="22"/>
        <v>9.8449053682496471E-2</v>
      </c>
      <c r="AA192">
        <v>319007</v>
      </c>
      <c r="AB192">
        <v>29150</v>
      </c>
      <c r="AD192" t="s">
        <v>4</v>
      </c>
      <c r="AE192">
        <v>55</v>
      </c>
      <c r="AF192">
        <v>9</v>
      </c>
      <c r="AH192" t="s">
        <v>5390</v>
      </c>
      <c r="AI192" t="s">
        <v>5389</v>
      </c>
      <c r="AK192" t="s">
        <v>5388</v>
      </c>
      <c r="AL192">
        <v>24</v>
      </c>
      <c r="AM192" s="5">
        <f t="shared" si="26"/>
        <v>0.64864864864864868</v>
      </c>
      <c r="AN192" s="4">
        <f t="shared" si="23"/>
        <v>9.8242885066058107E-4</v>
      </c>
      <c r="AO192" s="3"/>
      <c r="AP192">
        <v>0</v>
      </c>
      <c r="AR192" t="s">
        <v>0</v>
      </c>
      <c r="AT192" s="2">
        <v>9.1609999999999996</v>
      </c>
      <c r="AU192" s="1">
        <f t="shared" si="27"/>
        <v>6.9209066232945693</v>
      </c>
      <c r="AV192" s="1">
        <f t="shared" si="28"/>
        <v>4.9715741266578526</v>
      </c>
      <c r="AW192" s="1">
        <f t="shared" si="29"/>
        <v>3.0222416300211346</v>
      </c>
    </row>
    <row r="193" spans="1:49" x14ac:dyDescent="0.2">
      <c r="A193">
        <v>191</v>
      </c>
      <c r="B193" t="s">
        <v>5387</v>
      </c>
      <c r="C193" t="s">
        <v>5386</v>
      </c>
      <c r="F193" t="s">
        <v>5385</v>
      </c>
      <c r="G193" t="s">
        <v>15</v>
      </c>
      <c r="H193" t="s">
        <v>14</v>
      </c>
      <c r="I193" t="s">
        <v>5384</v>
      </c>
      <c r="J193" t="s">
        <v>5383</v>
      </c>
      <c r="K193" t="s">
        <v>5382</v>
      </c>
      <c r="L193" t="s">
        <v>5381</v>
      </c>
      <c r="M193" t="s">
        <v>4716</v>
      </c>
      <c r="N193">
        <v>3</v>
      </c>
      <c r="O193" t="s">
        <v>5380</v>
      </c>
      <c r="P193" t="s">
        <v>5379</v>
      </c>
      <c r="Q193" t="s">
        <v>5378</v>
      </c>
      <c r="R193" s="7">
        <v>31048</v>
      </c>
      <c r="S193" s="8">
        <f t="shared" si="24"/>
        <v>1985</v>
      </c>
      <c r="T193" s="8">
        <v>1985</v>
      </c>
      <c r="U193" s="8">
        <f t="shared" si="25"/>
        <v>37</v>
      </c>
      <c r="V193" s="7">
        <v>1985</v>
      </c>
      <c r="W193" t="s">
        <v>5314</v>
      </c>
      <c r="X193" s="2">
        <v>3.6880000000000002</v>
      </c>
      <c r="Y193" s="6">
        <f t="shared" si="22"/>
        <v>9.8449053682496471E-2</v>
      </c>
      <c r="AA193">
        <v>319007</v>
      </c>
      <c r="AB193">
        <v>29150</v>
      </c>
      <c r="AD193" t="s">
        <v>4</v>
      </c>
      <c r="AE193">
        <v>54</v>
      </c>
      <c r="AF193">
        <v>12</v>
      </c>
      <c r="AH193" t="s">
        <v>5377</v>
      </c>
      <c r="AI193" t="s">
        <v>5376</v>
      </c>
      <c r="AK193" t="s">
        <v>5375</v>
      </c>
      <c r="AL193">
        <v>2</v>
      </c>
      <c r="AM193" s="5">
        <f t="shared" si="26"/>
        <v>5.4054054054054057E-2</v>
      </c>
      <c r="AN193" s="4">
        <f t="shared" si="23"/>
        <v>8.1869070888381765E-5</v>
      </c>
      <c r="AO193" s="3"/>
      <c r="AP193">
        <v>0</v>
      </c>
      <c r="AR193" t="s">
        <v>0</v>
      </c>
      <c r="AT193" s="2">
        <v>9.1609999999999996</v>
      </c>
      <c r="AU193" s="1">
        <f t="shared" si="27"/>
        <v>6.8938898299014033</v>
      </c>
      <c r="AV193" s="1">
        <f t="shared" si="28"/>
        <v>4.9265461376692423</v>
      </c>
      <c r="AW193" s="1">
        <f t="shared" si="29"/>
        <v>2.9592024454370809</v>
      </c>
    </row>
    <row r="194" spans="1:49" x14ac:dyDescent="0.2">
      <c r="A194">
        <v>192</v>
      </c>
      <c r="B194" t="s">
        <v>5374</v>
      </c>
      <c r="C194" t="s">
        <v>5373</v>
      </c>
      <c r="F194" t="s">
        <v>5372</v>
      </c>
      <c r="G194" t="s">
        <v>15</v>
      </c>
      <c r="H194" t="s">
        <v>14</v>
      </c>
      <c r="I194" t="s">
        <v>5371</v>
      </c>
      <c r="J194">
        <v>60006754</v>
      </c>
      <c r="K194" t="s">
        <v>5370</v>
      </c>
      <c r="L194" t="s">
        <v>5369</v>
      </c>
      <c r="M194" t="s">
        <v>2795</v>
      </c>
      <c r="N194">
        <v>3</v>
      </c>
      <c r="O194" t="s">
        <v>5368</v>
      </c>
      <c r="P194" t="s">
        <v>5367</v>
      </c>
      <c r="Q194" t="s">
        <v>5366</v>
      </c>
      <c r="R194" s="7">
        <v>31048</v>
      </c>
      <c r="S194" s="8">
        <f t="shared" si="24"/>
        <v>1985</v>
      </c>
      <c r="T194" s="8">
        <v>1985</v>
      </c>
      <c r="U194" s="8">
        <f t="shared" si="25"/>
        <v>37</v>
      </c>
      <c r="V194" s="7">
        <v>31048</v>
      </c>
      <c r="W194" t="s">
        <v>144</v>
      </c>
      <c r="X194" s="2">
        <v>1.1579999999999999</v>
      </c>
      <c r="Y194" s="6">
        <f t="shared" ref="Y194:Y257" si="30">(X194-$Z$4)/($Z$3-$Z$4)</f>
        <v>3.0912148634579962E-2</v>
      </c>
      <c r="AA194">
        <v>1668595</v>
      </c>
      <c r="AB194">
        <v>14223</v>
      </c>
      <c r="AC194">
        <v>15735079</v>
      </c>
      <c r="AD194" t="s">
        <v>4</v>
      </c>
      <c r="AE194">
        <v>7</v>
      </c>
      <c r="AF194">
        <v>2</v>
      </c>
      <c r="AH194" t="s">
        <v>5365</v>
      </c>
      <c r="AI194" t="s">
        <v>5364</v>
      </c>
      <c r="AJ194" t="s">
        <v>5363</v>
      </c>
      <c r="AK194" t="s">
        <v>5362</v>
      </c>
      <c r="AL194">
        <v>1</v>
      </c>
      <c r="AM194" s="5">
        <f t="shared" si="26"/>
        <v>2.7027027027027029E-2</v>
      </c>
      <c r="AN194" s="4">
        <f t="shared" ref="AN194:AN257" si="31">(AM194-$AO$4)/($AO$3-$AO$4)</f>
        <v>4.0934535444190883E-5</v>
      </c>
      <c r="AO194" s="3"/>
      <c r="AP194">
        <v>0</v>
      </c>
      <c r="AR194" t="s">
        <v>0</v>
      </c>
      <c r="AT194" s="2">
        <v>3.573</v>
      </c>
      <c r="AU194" s="1">
        <f t="shared" si="27"/>
        <v>2.165078440483923</v>
      </c>
      <c r="AV194" s="1">
        <f t="shared" si="28"/>
        <v>1.5476541585012078</v>
      </c>
      <c r="AW194" s="1">
        <f t="shared" si="29"/>
        <v>0.93022987651849232</v>
      </c>
    </row>
    <row r="195" spans="1:49" x14ac:dyDescent="0.2">
      <c r="A195">
        <v>193</v>
      </c>
      <c r="B195" t="s">
        <v>5361</v>
      </c>
      <c r="C195" t="s">
        <v>5360</v>
      </c>
      <c r="F195" t="s">
        <v>5359</v>
      </c>
      <c r="G195" t="s">
        <v>15</v>
      </c>
      <c r="H195" t="s">
        <v>14</v>
      </c>
      <c r="I195" t="s">
        <v>5358</v>
      </c>
      <c r="J195" t="s">
        <v>5357</v>
      </c>
      <c r="K195" t="s">
        <v>5356</v>
      </c>
      <c r="L195" t="s">
        <v>5355</v>
      </c>
      <c r="M195" t="s">
        <v>5354</v>
      </c>
      <c r="N195">
        <v>9</v>
      </c>
      <c r="O195" t="s">
        <v>5353</v>
      </c>
      <c r="P195" t="s">
        <v>5352</v>
      </c>
      <c r="Q195" t="s">
        <v>5351</v>
      </c>
      <c r="R195" s="7">
        <v>31048</v>
      </c>
      <c r="S195" s="8">
        <f t="shared" si="24"/>
        <v>1985</v>
      </c>
      <c r="T195" s="8">
        <v>1985</v>
      </c>
      <c r="U195" s="8">
        <f t="shared" si="25"/>
        <v>37</v>
      </c>
      <c r="V195" s="7">
        <v>31199</v>
      </c>
      <c r="W195" t="s">
        <v>5350</v>
      </c>
      <c r="X195" s="2">
        <v>7.1150000000000002</v>
      </c>
      <c r="Y195" s="6">
        <f t="shared" si="30"/>
        <v>0.18993086142921972</v>
      </c>
      <c r="AA195">
        <v>27863</v>
      </c>
      <c r="AB195">
        <v>22680</v>
      </c>
      <c r="AC195">
        <v>15205126</v>
      </c>
      <c r="AD195" t="s">
        <v>4</v>
      </c>
      <c r="AE195">
        <v>107</v>
      </c>
      <c r="AF195">
        <v>12</v>
      </c>
      <c r="AH195" t="s">
        <v>5349</v>
      </c>
      <c r="AI195" t="s">
        <v>5348</v>
      </c>
      <c r="AK195" t="s">
        <v>5347</v>
      </c>
      <c r="AL195">
        <v>54</v>
      </c>
      <c r="AM195" s="5">
        <f t="shared" si="26"/>
        <v>1.4594594594594594</v>
      </c>
      <c r="AN195" s="4">
        <f t="shared" si="31"/>
        <v>2.2104649139863073E-3</v>
      </c>
      <c r="AO195" s="3"/>
      <c r="AP195">
        <v>0</v>
      </c>
      <c r="AR195" t="s">
        <v>0</v>
      </c>
      <c r="AT195" s="2" t="s">
        <v>19</v>
      </c>
      <c r="AU195" s="1">
        <f t="shared" si="27"/>
        <v>13.361474247464969</v>
      </c>
      <c r="AV195" s="1">
        <f t="shared" si="28"/>
        <v>9.6070663171603012</v>
      </c>
      <c r="AW195" s="1">
        <f t="shared" si="29"/>
        <v>5.8526583868556328</v>
      </c>
    </row>
    <row r="196" spans="1:49" x14ac:dyDescent="0.2">
      <c r="A196">
        <v>194</v>
      </c>
      <c r="B196" t="s">
        <v>5346</v>
      </c>
      <c r="C196" t="s">
        <v>5345</v>
      </c>
      <c r="D196" t="s">
        <v>5344</v>
      </c>
      <c r="F196" t="s">
        <v>5343</v>
      </c>
      <c r="G196" t="s">
        <v>15</v>
      </c>
      <c r="H196" t="s">
        <v>14</v>
      </c>
      <c r="I196" t="s">
        <v>5342</v>
      </c>
      <c r="J196">
        <v>60033154</v>
      </c>
      <c r="K196" t="s">
        <v>3598</v>
      </c>
      <c r="L196" t="s">
        <v>3597</v>
      </c>
      <c r="M196" t="s">
        <v>76</v>
      </c>
      <c r="N196">
        <v>1</v>
      </c>
      <c r="O196" t="s">
        <v>5341</v>
      </c>
      <c r="P196">
        <v>24080143100</v>
      </c>
      <c r="Q196">
        <v>60033154</v>
      </c>
      <c r="R196" s="7">
        <v>31048</v>
      </c>
      <c r="S196" s="8">
        <f t="shared" si="24"/>
        <v>1985</v>
      </c>
      <c r="T196" s="8">
        <v>1985</v>
      </c>
      <c r="U196" s="8">
        <f t="shared" si="25"/>
        <v>37</v>
      </c>
      <c r="V196" s="7">
        <v>1985</v>
      </c>
      <c r="W196" t="s">
        <v>229</v>
      </c>
      <c r="X196" s="2">
        <v>0.998</v>
      </c>
      <c r="Y196" s="6">
        <f t="shared" si="30"/>
        <v>2.664104001494888E-2</v>
      </c>
      <c r="AA196">
        <v>207322</v>
      </c>
      <c r="AB196">
        <v>90127</v>
      </c>
      <c r="AD196" t="s">
        <v>4</v>
      </c>
      <c r="AE196">
        <v>14</v>
      </c>
      <c r="AF196">
        <v>5</v>
      </c>
      <c r="AH196" t="s">
        <v>5340</v>
      </c>
      <c r="AI196" t="s">
        <v>5339</v>
      </c>
      <c r="AJ196" t="s">
        <v>5338</v>
      </c>
      <c r="AK196" t="s">
        <v>5337</v>
      </c>
      <c r="AL196">
        <v>16</v>
      </c>
      <c r="AM196" s="5">
        <f t="shared" si="26"/>
        <v>0.43243243243243246</v>
      </c>
      <c r="AN196" s="4">
        <f t="shared" si="31"/>
        <v>6.5495256710705412E-4</v>
      </c>
      <c r="AO196" s="3"/>
      <c r="AP196">
        <v>0</v>
      </c>
      <c r="AQ196" t="s">
        <v>5336</v>
      </c>
      <c r="AR196" t="s">
        <v>0</v>
      </c>
      <c r="AS196" t="s">
        <v>5335</v>
      </c>
      <c r="AT196" s="2" t="s">
        <v>19</v>
      </c>
      <c r="AU196" s="1">
        <f t="shared" si="27"/>
        <v>1.8845213780596333</v>
      </c>
      <c r="AV196" s="1">
        <f t="shared" si="28"/>
        <v>1.3647996291027966</v>
      </c>
      <c r="AW196" s="1">
        <f t="shared" si="29"/>
        <v>0.8450778801459603</v>
      </c>
    </row>
    <row r="197" spans="1:49" x14ac:dyDescent="0.2">
      <c r="A197">
        <v>195</v>
      </c>
      <c r="B197" t="s">
        <v>5334</v>
      </c>
      <c r="C197" t="s">
        <v>5333</v>
      </c>
      <c r="D197" t="s">
        <v>5332</v>
      </c>
      <c r="F197" t="s">
        <v>5331</v>
      </c>
      <c r="G197" t="s">
        <v>15</v>
      </c>
      <c r="H197" t="s">
        <v>14</v>
      </c>
      <c r="I197" t="s">
        <v>5330</v>
      </c>
      <c r="J197">
        <v>60002443</v>
      </c>
      <c r="K197" t="s">
        <v>5004</v>
      </c>
      <c r="L197" t="s">
        <v>5003</v>
      </c>
      <c r="M197" t="s">
        <v>544</v>
      </c>
      <c r="N197">
        <v>2</v>
      </c>
      <c r="O197" t="s">
        <v>5329</v>
      </c>
      <c r="P197" t="s">
        <v>5328</v>
      </c>
      <c r="Q197" t="s">
        <v>5000</v>
      </c>
      <c r="R197" s="7">
        <v>31048</v>
      </c>
      <c r="S197" s="8">
        <f t="shared" si="24"/>
        <v>1985</v>
      </c>
      <c r="T197" s="8">
        <v>1985</v>
      </c>
      <c r="U197" s="8">
        <f t="shared" si="25"/>
        <v>37</v>
      </c>
      <c r="V197" s="7">
        <v>1985</v>
      </c>
      <c r="W197" t="s">
        <v>214</v>
      </c>
      <c r="X197" s="2">
        <v>0.64600000000000002</v>
      </c>
      <c r="Y197" s="6">
        <f t="shared" si="30"/>
        <v>1.72446010517605E-2</v>
      </c>
      <c r="AA197">
        <v>3009629</v>
      </c>
      <c r="AB197">
        <v>23398</v>
      </c>
      <c r="AD197" t="s">
        <v>4</v>
      </c>
      <c r="AE197">
        <v>82</v>
      </c>
      <c r="AF197">
        <v>1</v>
      </c>
      <c r="AH197" t="s">
        <v>5327</v>
      </c>
      <c r="AI197" t="s">
        <v>5326</v>
      </c>
      <c r="AK197" t="s">
        <v>5325</v>
      </c>
      <c r="AL197">
        <v>6</v>
      </c>
      <c r="AM197" s="5">
        <f t="shared" si="26"/>
        <v>0.16216216216216217</v>
      </c>
      <c r="AN197" s="4">
        <f t="shared" si="31"/>
        <v>2.4560721266514527E-4</v>
      </c>
      <c r="AO197" s="3"/>
      <c r="AP197">
        <v>0</v>
      </c>
      <c r="AR197" t="s">
        <v>0</v>
      </c>
      <c r="AT197" s="2" t="s">
        <v>19</v>
      </c>
      <c r="AU197" s="1">
        <f t="shared" si="27"/>
        <v>1.2144902900031893</v>
      </c>
      <c r="AV197" s="1">
        <f t="shared" si="28"/>
        <v>0.8745104132212822</v>
      </c>
      <c r="AW197" s="1">
        <f t="shared" si="29"/>
        <v>0.53453053643937509</v>
      </c>
    </row>
    <row r="198" spans="1:49" x14ac:dyDescent="0.2">
      <c r="A198">
        <v>196</v>
      </c>
      <c r="B198" t="s">
        <v>5324</v>
      </c>
      <c r="C198" t="s">
        <v>5323</v>
      </c>
      <c r="F198" t="s">
        <v>5322</v>
      </c>
      <c r="G198" t="s">
        <v>15</v>
      </c>
      <c r="H198" t="s">
        <v>14</v>
      </c>
      <c r="I198" t="s">
        <v>5321</v>
      </c>
      <c r="J198" t="s">
        <v>5320</v>
      </c>
      <c r="K198" t="s">
        <v>5319</v>
      </c>
      <c r="L198" t="s">
        <v>5318</v>
      </c>
      <c r="M198" t="s">
        <v>1056</v>
      </c>
      <c r="N198">
        <v>6</v>
      </c>
      <c r="O198" t="s">
        <v>5317</v>
      </c>
      <c r="P198" t="s">
        <v>5316</v>
      </c>
      <c r="Q198" t="s">
        <v>5315</v>
      </c>
      <c r="R198" s="7">
        <v>31048</v>
      </c>
      <c r="S198" s="8">
        <f t="shared" ref="S198:S261" si="32">YEAR(R198)</f>
        <v>1985</v>
      </c>
      <c r="T198" s="8">
        <v>1985</v>
      </c>
      <c r="U198" s="8">
        <f t="shared" ref="U198:U261" si="33">2022-T198</f>
        <v>37</v>
      </c>
      <c r="V198" s="7">
        <v>1985</v>
      </c>
      <c r="W198" t="s">
        <v>5314</v>
      </c>
      <c r="X198" s="2">
        <v>3.6880000000000002</v>
      </c>
      <c r="Y198" s="6">
        <f t="shared" si="30"/>
        <v>9.8449053682496471E-2</v>
      </c>
      <c r="AA198">
        <v>319007</v>
      </c>
      <c r="AB198">
        <v>29150</v>
      </c>
      <c r="AD198" t="s">
        <v>4</v>
      </c>
      <c r="AE198">
        <v>55</v>
      </c>
      <c r="AF198">
        <v>16</v>
      </c>
      <c r="AH198" t="s">
        <v>5313</v>
      </c>
      <c r="AI198" t="s">
        <v>5312</v>
      </c>
      <c r="AK198" t="s">
        <v>5311</v>
      </c>
      <c r="AL198">
        <v>25</v>
      </c>
      <c r="AM198" s="5">
        <f t="shared" ref="AM198:AM261" si="34">AL198/U198</f>
        <v>0.67567567567567566</v>
      </c>
      <c r="AN198" s="4">
        <f t="shared" si="31"/>
        <v>1.0233633861047719E-3</v>
      </c>
      <c r="AO198" s="3"/>
      <c r="AP198">
        <v>0</v>
      </c>
      <c r="AR198" t="s">
        <v>0</v>
      </c>
      <c r="AT198" s="2">
        <v>9.1609999999999996</v>
      </c>
      <c r="AU198" s="1">
        <f t="shared" ref="AU198:AU261" si="35">(Y198*0.7+AN198*0.3)*100</f>
        <v>6.9221346593578952</v>
      </c>
      <c r="AV198" s="1">
        <f t="shared" ref="AV198:AV261" si="36">(Y198*0.5+AN198*0.5)*100</f>
        <v>4.9736208534300621</v>
      </c>
      <c r="AW198" s="1">
        <f t="shared" ref="AW198:AW261" si="37">(Y198*0.3+AN198*0.7)*100</f>
        <v>3.0251070475022281</v>
      </c>
    </row>
    <row r="199" spans="1:49" x14ac:dyDescent="0.2">
      <c r="A199">
        <v>197</v>
      </c>
      <c r="B199" t="s">
        <v>5310</v>
      </c>
      <c r="C199" t="s">
        <v>5309</v>
      </c>
      <c r="F199" t="s">
        <v>5308</v>
      </c>
      <c r="G199" t="s">
        <v>15</v>
      </c>
      <c r="H199" t="s">
        <v>14</v>
      </c>
      <c r="I199" t="s">
        <v>5307</v>
      </c>
      <c r="J199" t="s">
        <v>5302</v>
      </c>
      <c r="K199" t="s">
        <v>5306</v>
      </c>
      <c r="L199" t="s">
        <v>5305</v>
      </c>
      <c r="M199" t="s">
        <v>28</v>
      </c>
      <c r="N199">
        <v>2</v>
      </c>
      <c r="O199" t="s">
        <v>5304</v>
      </c>
      <c r="P199" t="s">
        <v>5303</v>
      </c>
      <c r="Q199" t="s">
        <v>5302</v>
      </c>
      <c r="R199" s="7">
        <v>31048</v>
      </c>
      <c r="S199" s="8">
        <f t="shared" si="32"/>
        <v>1985</v>
      </c>
      <c r="T199" s="8">
        <v>1985</v>
      </c>
      <c r="U199" s="8">
        <f t="shared" si="33"/>
        <v>37</v>
      </c>
      <c r="V199" s="7">
        <v>31352</v>
      </c>
      <c r="W199" t="s">
        <v>24</v>
      </c>
      <c r="X199" s="2">
        <v>1.6519999999999999</v>
      </c>
      <c r="Y199" s="6">
        <f t="shared" si="30"/>
        <v>4.409919649769093E-2</v>
      </c>
      <c r="AA199" t="s">
        <v>23</v>
      </c>
      <c r="AB199">
        <v>17337</v>
      </c>
      <c r="AC199">
        <v>15582221</v>
      </c>
      <c r="AD199" t="s">
        <v>4</v>
      </c>
      <c r="AE199">
        <v>33</v>
      </c>
      <c r="AF199">
        <v>11</v>
      </c>
      <c r="AH199" t="s">
        <v>5301</v>
      </c>
      <c r="AI199" t="s">
        <v>5300</v>
      </c>
      <c r="AK199" t="s">
        <v>5299</v>
      </c>
      <c r="AL199">
        <v>29</v>
      </c>
      <c r="AM199" s="5">
        <f t="shared" si="34"/>
        <v>0.78378378378378377</v>
      </c>
      <c r="AN199" s="4">
        <f t="shared" si="31"/>
        <v>1.1871015278815354E-3</v>
      </c>
      <c r="AO199" s="3"/>
      <c r="AP199">
        <v>0</v>
      </c>
      <c r="AR199" t="s">
        <v>0</v>
      </c>
      <c r="AT199" s="2" t="s">
        <v>19</v>
      </c>
      <c r="AU199" s="1">
        <f t="shared" si="35"/>
        <v>3.1225568006748112</v>
      </c>
      <c r="AV199" s="1">
        <f t="shared" si="36"/>
        <v>2.264314901278623</v>
      </c>
      <c r="AW199" s="1">
        <f t="shared" si="37"/>
        <v>1.4060730018824352</v>
      </c>
    </row>
    <row r="200" spans="1:49" x14ac:dyDescent="0.2">
      <c r="A200">
        <v>198</v>
      </c>
      <c r="B200" t="s">
        <v>5298</v>
      </c>
      <c r="C200" t="s">
        <v>5297</v>
      </c>
      <c r="E200">
        <v>11540840</v>
      </c>
      <c r="F200" t="s">
        <v>5296</v>
      </c>
      <c r="G200" t="s">
        <v>15</v>
      </c>
      <c r="H200" t="s">
        <v>14</v>
      </c>
      <c r="I200" t="s">
        <v>5295</v>
      </c>
      <c r="J200">
        <v>60019578</v>
      </c>
      <c r="K200" t="s">
        <v>5294</v>
      </c>
      <c r="L200" t="s">
        <v>1645</v>
      </c>
      <c r="M200" t="s">
        <v>43</v>
      </c>
      <c r="N200">
        <v>10</v>
      </c>
      <c r="O200" t="s">
        <v>5293</v>
      </c>
      <c r="P200" t="s">
        <v>5292</v>
      </c>
      <c r="Q200" t="s">
        <v>5291</v>
      </c>
      <c r="R200" s="7">
        <v>31048</v>
      </c>
      <c r="S200" s="8">
        <f t="shared" si="32"/>
        <v>1985</v>
      </c>
      <c r="T200" s="8">
        <v>1985</v>
      </c>
      <c r="U200" s="8">
        <f t="shared" si="33"/>
        <v>37</v>
      </c>
      <c r="V200" s="7">
        <v>31321</v>
      </c>
      <c r="W200" t="s">
        <v>5290</v>
      </c>
      <c r="X200" s="2" t="s">
        <v>19</v>
      </c>
      <c r="Y200" s="6" t="e">
        <f t="shared" si="30"/>
        <v>#VALUE!</v>
      </c>
      <c r="AA200" t="s">
        <v>5289</v>
      </c>
      <c r="AB200">
        <v>26765</v>
      </c>
      <c r="AD200" t="s">
        <v>4</v>
      </c>
      <c r="AE200">
        <v>297</v>
      </c>
      <c r="AF200">
        <v>1</v>
      </c>
      <c r="AH200" t="s">
        <v>5288</v>
      </c>
      <c r="AI200" t="s">
        <v>5287</v>
      </c>
      <c r="AK200" t="s">
        <v>5286</v>
      </c>
      <c r="AL200">
        <v>43</v>
      </c>
      <c r="AM200" s="5">
        <f t="shared" si="34"/>
        <v>1.1621621621621621</v>
      </c>
      <c r="AN200" s="4">
        <f t="shared" si="31"/>
        <v>1.7601850241002076E-3</v>
      </c>
      <c r="AO200" s="3"/>
      <c r="AP200">
        <v>0</v>
      </c>
      <c r="AR200" t="s">
        <v>0</v>
      </c>
      <c r="AT200" s="2" t="s">
        <v>19</v>
      </c>
      <c r="AU200" s="1" t="e">
        <f t="shared" si="35"/>
        <v>#VALUE!</v>
      </c>
      <c r="AV200" s="1" t="e">
        <f t="shared" si="36"/>
        <v>#VALUE!</v>
      </c>
      <c r="AW200" s="1" t="e">
        <f t="shared" si="37"/>
        <v>#VALUE!</v>
      </c>
    </row>
    <row r="201" spans="1:49" x14ac:dyDescent="0.2">
      <c r="A201">
        <v>199</v>
      </c>
      <c r="B201" t="s">
        <v>5285</v>
      </c>
      <c r="C201" t="s">
        <v>5284</v>
      </c>
      <c r="F201" t="s">
        <v>5283</v>
      </c>
      <c r="G201" t="s">
        <v>15</v>
      </c>
      <c r="H201" t="s">
        <v>14</v>
      </c>
      <c r="I201" t="s">
        <v>5282</v>
      </c>
      <c r="J201">
        <v>60025641</v>
      </c>
      <c r="K201" t="s">
        <v>5281</v>
      </c>
      <c r="L201" t="s">
        <v>5280</v>
      </c>
      <c r="M201" t="s">
        <v>91</v>
      </c>
      <c r="N201">
        <v>3</v>
      </c>
      <c r="O201" t="s">
        <v>5279</v>
      </c>
      <c r="P201" t="s">
        <v>5278</v>
      </c>
      <c r="Q201" t="s">
        <v>5277</v>
      </c>
      <c r="R201" s="7">
        <v>31048</v>
      </c>
      <c r="S201" s="8">
        <f t="shared" si="32"/>
        <v>1985</v>
      </c>
      <c r="T201" s="8">
        <v>1985</v>
      </c>
      <c r="U201" s="8">
        <f t="shared" si="33"/>
        <v>37</v>
      </c>
      <c r="V201" s="7">
        <v>1985</v>
      </c>
      <c r="W201" t="s">
        <v>5276</v>
      </c>
      <c r="X201" s="2">
        <v>5.0110000000000001</v>
      </c>
      <c r="Y201" s="6">
        <f t="shared" si="30"/>
        <v>0.13376578308107098</v>
      </c>
      <c r="AA201">
        <v>278424</v>
      </c>
      <c r="AB201">
        <v>21121</v>
      </c>
      <c r="AD201" t="s">
        <v>4</v>
      </c>
      <c r="AE201">
        <v>82</v>
      </c>
      <c r="AF201">
        <v>19</v>
      </c>
      <c r="AH201" t="s">
        <v>5275</v>
      </c>
      <c r="AI201" t="s">
        <v>5274</v>
      </c>
      <c r="AK201" t="s">
        <v>5273</v>
      </c>
      <c r="AL201">
        <v>35</v>
      </c>
      <c r="AM201" s="5">
        <f t="shared" si="34"/>
        <v>0.94594594594594594</v>
      </c>
      <c r="AN201" s="4">
        <f t="shared" si="31"/>
        <v>1.4327087405466808E-3</v>
      </c>
      <c r="AO201" s="3"/>
      <c r="AP201">
        <v>1</v>
      </c>
      <c r="AR201" t="s">
        <v>0</v>
      </c>
      <c r="AT201" s="2" t="s">
        <v>19</v>
      </c>
      <c r="AU201" s="1">
        <f t="shared" si="35"/>
        <v>9.4065860778913688</v>
      </c>
      <c r="AV201" s="1">
        <f t="shared" si="36"/>
        <v>6.7599245910808836</v>
      </c>
      <c r="AW201" s="1">
        <f t="shared" si="37"/>
        <v>4.1132631042703967</v>
      </c>
    </row>
    <row r="202" spans="1:49" x14ac:dyDescent="0.2">
      <c r="A202">
        <v>200</v>
      </c>
      <c r="B202" t="s">
        <v>5272</v>
      </c>
      <c r="C202" t="s">
        <v>5271</v>
      </c>
      <c r="F202" t="s">
        <v>5270</v>
      </c>
      <c r="G202" t="s">
        <v>15</v>
      </c>
      <c r="H202" t="s">
        <v>14</v>
      </c>
      <c r="I202" t="s">
        <v>5269</v>
      </c>
      <c r="J202">
        <v>60104081</v>
      </c>
      <c r="K202" t="s">
        <v>5268</v>
      </c>
      <c r="L202" t="s">
        <v>5267</v>
      </c>
      <c r="M202" t="s">
        <v>272</v>
      </c>
      <c r="N202">
        <v>2</v>
      </c>
      <c r="O202" t="s">
        <v>5266</v>
      </c>
      <c r="P202" t="s">
        <v>5265</v>
      </c>
      <c r="Q202" t="s">
        <v>5264</v>
      </c>
      <c r="R202" s="7">
        <v>31048</v>
      </c>
      <c r="S202" s="8">
        <f t="shared" si="32"/>
        <v>1985</v>
      </c>
      <c r="T202" s="8">
        <v>1985</v>
      </c>
      <c r="U202" s="8">
        <f t="shared" si="33"/>
        <v>37</v>
      </c>
      <c r="V202" s="7">
        <v>1985</v>
      </c>
      <c r="W202" t="s">
        <v>201</v>
      </c>
      <c r="X202" s="2">
        <v>1.1879999999999999</v>
      </c>
      <c r="Y202" s="6">
        <f t="shared" si="30"/>
        <v>3.1712981500760788E-2</v>
      </c>
      <c r="AA202">
        <v>10706631</v>
      </c>
      <c r="AB202">
        <v>29210</v>
      </c>
      <c r="AD202" t="s">
        <v>4</v>
      </c>
      <c r="AE202">
        <v>28</v>
      </c>
      <c r="AF202">
        <v>9</v>
      </c>
      <c r="AH202" t="s">
        <v>5263</v>
      </c>
      <c r="AI202" t="s">
        <v>5262</v>
      </c>
      <c r="AK202" t="s">
        <v>5261</v>
      </c>
      <c r="AL202">
        <v>4</v>
      </c>
      <c r="AM202" s="5">
        <f t="shared" si="34"/>
        <v>0.10810810810810811</v>
      </c>
      <c r="AN202" s="4">
        <f t="shared" si="31"/>
        <v>1.6373814177676353E-4</v>
      </c>
      <c r="AO202" s="3"/>
      <c r="AP202">
        <v>0</v>
      </c>
      <c r="AR202" t="s">
        <v>0</v>
      </c>
      <c r="AT202" s="2">
        <v>3.5209999999999999</v>
      </c>
      <c r="AU202" s="1">
        <f t="shared" si="35"/>
        <v>2.2248208493065578</v>
      </c>
      <c r="AV202" s="1">
        <f t="shared" si="36"/>
        <v>1.5938359821268775</v>
      </c>
      <c r="AW202" s="1">
        <f t="shared" si="37"/>
        <v>0.96285111494719711</v>
      </c>
    </row>
    <row r="203" spans="1:49" x14ac:dyDescent="0.2">
      <c r="A203">
        <v>201</v>
      </c>
      <c r="B203" t="s">
        <v>5260</v>
      </c>
      <c r="C203" t="s">
        <v>5259</v>
      </c>
      <c r="F203" t="s">
        <v>5258</v>
      </c>
      <c r="G203" t="s">
        <v>15</v>
      </c>
      <c r="H203" t="s">
        <v>14</v>
      </c>
      <c r="I203" t="s">
        <v>5257</v>
      </c>
      <c r="J203">
        <v>60027550</v>
      </c>
      <c r="K203" t="s">
        <v>1371</v>
      </c>
      <c r="L203" t="s">
        <v>1006</v>
      </c>
      <c r="M203" t="s">
        <v>122</v>
      </c>
      <c r="N203">
        <v>3</v>
      </c>
      <c r="O203" t="s">
        <v>5256</v>
      </c>
      <c r="P203" t="s">
        <v>5255</v>
      </c>
      <c r="Q203" t="s">
        <v>1368</v>
      </c>
      <c r="R203" s="7">
        <v>31048</v>
      </c>
      <c r="S203" s="8">
        <f t="shared" si="32"/>
        <v>1985</v>
      </c>
      <c r="T203" s="8">
        <v>1985</v>
      </c>
      <c r="U203" s="8">
        <f t="shared" si="33"/>
        <v>37</v>
      </c>
      <c r="V203" s="7">
        <v>1985</v>
      </c>
      <c r="W203" t="s">
        <v>201</v>
      </c>
      <c r="X203" s="2">
        <v>1.1879999999999999</v>
      </c>
      <c r="Y203" s="6">
        <f t="shared" si="30"/>
        <v>3.1712981500760788E-2</v>
      </c>
      <c r="AA203">
        <v>10706631</v>
      </c>
      <c r="AB203">
        <v>29210</v>
      </c>
      <c r="AD203" t="s">
        <v>4</v>
      </c>
      <c r="AE203">
        <v>28</v>
      </c>
      <c r="AF203">
        <v>11</v>
      </c>
      <c r="AH203" t="s">
        <v>5254</v>
      </c>
      <c r="AI203" t="s">
        <v>5253</v>
      </c>
      <c r="AK203" t="s">
        <v>5252</v>
      </c>
      <c r="AL203">
        <v>7</v>
      </c>
      <c r="AM203" s="5">
        <f t="shared" si="34"/>
        <v>0.1891891891891892</v>
      </c>
      <c r="AN203" s="4">
        <f t="shared" si="31"/>
        <v>2.8654174810933616E-4</v>
      </c>
      <c r="AO203" s="3"/>
      <c r="AP203">
        <v>0</v>
      </c>
      <c r="AR203" t="s">
        <v>0</v>
      </c>
      <c r="AT203" s="2">
        <v>3.5209999999999999</v>
      </c>
      <c r="AU203" s="1">
        <f t="shared" si="35"/>
        <v>2.228504957496535</v>
      </c>
      <c r="AV203" s="1">
        <f t="shared" si="36"/>
        <v>1.599976162443506</v>
      </c>
      <c r="AW203" s="1">
        <f t="shared" si="37"/>
        <v>0.97144736739047721</v>
      </c>
    </row>
    <row r="204" spans="1:49" x14ac:dyDescent="0.2">
      <c r="A204">
        <v>202</v>
      </c>
      <c r="B204" t="s">
        <v>5251</v>
      </c>
      <c r="C204" t="s">
        <v>5250</v>
      </c>
      <c r="D204" t="s">
        <v>5249</v>
      </c>
      <c r="F204" t="s">
        <v>5248</v>
      </c>
      <c r="G204" t="s">
        <v>15</v>
      </c>
      <c r="H204" t="s">
        <v>14</v>
      </c>
      <c r="I204" t="s">
        <v>5247</v>
      </c>
      <c r="J204">
        <v>100456861</v>
      </c>
      <c r="K204" t="s">
        <v>5246</v>
      </c>
      <c r="L204" t="s">
        <v>5245</v>
      </c>
      <c r="M204" t="s">
        <v>91</v>
      </c>
      <c r="N204">
        <v>1</v>
      </c>
      <c r="O204" t="s">
        <v>5244</v>
      </c>
      <c r="P204">
        <v>36811179500</v>
      </c>
      <c r="Q204">
        <v>100456861</v>
      </c>
      <c r="R204" s="7">
        <v>31048</v>
      </c>
      <c r="S204" s="8">
        <f t="shared" si="32"/>
        <v>1985</v>
      </c>
      <c r="T204" s="8">
        <v>1985</v>
      </c>
      <c r="U204" s="8">
        <f t="shared" si="33"/>
        <v>37</v>
      </c>
      <c r="V204" s="7">
        <v>31168</v>
      </c>
      <c r="W204" t="s">
        <v>4486</v>
      </c>
      <c r="X204" s="2">
        <v>1.2609999999999999</v>
      </c>
      <c r="Y204" s="6">
        <f t="shared" si="30"/>
        <v>3.3661674808467469E-2</v>
      </c>
      <c r="AA204">
        <v>33472</v>
      </c>
      <c r="AB204">
        <v>24580</v>
      </c>
      <c r="AD204" t="s">
        <v>4</v>
      </c>
      <c r="AE204">
        <v>33</v>
      </c>
      <c r="AF204">
        <v>2</v>
      </c>
      <c r="AH204" t="s">
        <v>5243</v>
      </c>
      <c r="AI204" t="s">
        <v>5242</v>
      </c>
      <c r="AK204" t="s">
        <v>5241</v>
      </c>
      <c r="AL204">
        <v>20</v>
      </c>
      <c r="AM204" s="5">
        <f t="shared" si="34"/>
        <v>0.54054054054054057</v>
      </c>
      <c r="AN204" s="4">
        <f t="shared" si="31"/>
        <v>8.186907088838176E-4</v>
      </c>
      <c r="AO204" s="3"/>
      <c r="AP204">
        <v>0</v>
      </c>
      <c r="AR204" t="s">
        <v>5240</v>
      </c>
      <c r="AT204" s="2">
        <v>2.8439999999999999</v>
      </c>
      <c r="AU204" s="1">
        <f t="shared" si="35"/>
        <v>2.3808779578592372</v>
      </c>
      <c r="AV204" s="1">
        <f t="shared" si="36"/>
        <v>1.7240182758675644</v>
      </c>
      <c r="AW204" s="1">
        <f t="shared" si="37"/>
        <v>1.0671585938758914</v>
      </c>
    </row>
    <row r="205" spans="1:49" x14ac:dyDescent="0.2">
      <c r="A205">
        <v>203</v>
      </c>
      <c r="B205" t="s">
        <v>5239</v>
      </c>
      <c r="C205" t="s">
        <v>5238</v>
      </c>
      <c r="F205" t="s">
        <v>5237</v>
      </c>
      <c r="G205" t="s">
        <v>15</v>
      </c>
      <c r="H205" t="s">
        <v>14</v>
      </c>
      <c r="I205" t="s">
        <v>5236</v>
      </c>
      <c r="J205">
        <v>60003455</v>
      </c>
      <c r="K205" t="s">
        <v>5235</v>
      </c>
      <c r="L205" t="s">
        <v>1090</v>
      </c>
      <c r="M205" t="s">
        <v>530</v>
      </c>
      <c r="N205">
        <v>2</v>
      </c>
      <c r="O205" t="s">
        <v>5234</v>
      </c>
      <c r="P205" t="s">
        <v>5233</v>
      </c>
      <c r="Q205" t="s">
        <v>5232</v>
      </c>
      <c r="R205" s="7">
        <v>31048</v>
      </c>
      <c r="S205" s="8">
        <f t="shared" si="32"/>
        <v>1985</v>
      </c>
      <c r="T205" s="8">
        <v>1985</v>
      </c>
      <c r="U205" s="8">
        <f t="shared" si="33"/>
        <v>37</v>
      </c>
      <c r="V205" s="7">
        <v>31199</v>
      </c>
      <c r="W205" t="s">
        <v>256</v>
      </c>
      <c r="X205" s="2">
        <v>1.1479999999999999</v>
      </c>
      <c r="Y205" s="6">
        <f t="shared" si="30"/>
        <v>3.0645204345853019E-2</v>
      </c>
      <c r="AA205">
        <v>244082</v>
      </c>
      <c r="AB205">
        <v>22631</v>
      </c>
      <c r="AC205">
        <v>10963642</v>
      </c>
      <c r="AD205" t="s">
        <v>4</v>
      </c>
      <c r="AE205">
        <v>84</v>
      </c>
      <c r="AF205">
        <v>2</v>
      </c>
      <c r="AH205" t="s">
        <v>5231</v>
      </c>
      <c r="AI205" t="s">
        <v>5230</v>
      </c>
      <c r="AJ205" t="s">
        <v>5229</v>
      </c>
      <c r="AK205" t="s">
        <v>5228</v>
      </c>
      <c r="AL205">
        <v>12</v>
      </c>
      <c r="AM205" s="5">
        <f t="shared" si="34"/>
        <v>0.32432432432432434</v>
      </c>
      <c r="AN205" s="4">
        <f t="shared" si="31"/>
        <v>4.9121442533029054E-4</v>
      </c>
      <c r="AO205" s="3"/>
      <c r="AP205">
        <v>0</v>
      </c>
      <c r="AR205" t="s">
        <v>0</v>
      </c>
      <c r="AT205" s="2" t="s">
        <v>19</v>
      </c>
      <c r="AU205" s="1">
        <f t="shared" si="35"/>
        <v>2.1599007369696199</v>
      </c>
      <c r="AV205" s="1">
        <f t="shared" si="36"/>
        <v>1.5568209385591656</v>
      </c>
      <c r="AW205" s="1">
        <f t="shared" si="37"/>
        <v>0.95374114014871081</v>
      </c>
    </row>
    <row r="206" spans="1:49" x14ac:dyDescent="0.2">
      <c r="A206">
        <v>204</v>
      </c>
      <c r="B206" t="s">
        <v>5227</v>
      </c>
      <c r="C206" t="s">
        <v>5226</v>
      </c>
      <c r="F206" t="s">
        <v>5225</v>
      </c>
      <c r="G206" t="s">
        <v>15</v>
      </c>
      <c r="H206" t="s">
        <v>14</v>
      </c>
      <c r="I206" t="s">
        <v>5224</v>
      </c>
      <c r="J206" t="s">
        <v>5218</v>
      </c>
      <c r="K206" t="s">
        <v>5223</v>
      </c>
      <c r="L206" t="s">
        <v>5222</v>
      </c>
      <c r="M206" t="s">
        <v>5221</v>
      </c>
      <c r="N206">
        <v>2</v>
      </c>
      <c r="O206" t="s">
        <v>5220</v>
      </c>
      <c r="P206" t="s">
        <v>5219</v>
      </c>
      <c r="Q206" t="s">
        <v>5218</v>
      </c>
      <c r="R206" s="7">
        <v>31048</v>
      </c>
      <c r="S206" s="8">
        <f t="shared" si="32"/>
        <v>1985</v>
      </c>
      <c r="T206" s="8">
        <v>1985</v>
      </c>
      <c r="U206" s="8">
        <f t="shared" si="33"/>
        <v>37</v>
      </c>
      <c r="V206" s="7">
        <v>31321</v>
      </c>
      <c r="W206" t="s">
        <v>5217</v>
      </c>
      <c r="X206" s="2">
        <v>1.994</v>
      </c>
      <c r="Y206" s="6">
        <f t="shared" si="30"/>
        <v>5.322869117215237E-2</v>
      </c>
      <c r="AA206">
        <v>249297</v>
      </c>
      <c r="AB206">
        <v>21100779404</v>
      </c>
      <c r="AC206">
        <v>15205835</v>
      </c>
      <c r="AD206" t="s">
        <v>4</v>
      </c>
      <c r="AE206">
        <v>18</v>
      </c>
      <c r="AF206">
        <v>10</v>
      </c>
      <c r="AH206" t="s">
        <v>5216</v>
      </c>
      <c r="AI206" t="s">
        <v>5215</v>
      </c>
      <c r="AK206" t="s">
        <v>5214</v>
      </c>
      <c r="AL206">
        <v>14</v>
      </c>
      <c r="AM206" s="5">
        <f t="shared" si="34"/>
        <v>0.3783783783783784</v>
      </c>
      <c r="AN206" s="4">
        <f t="shared" si="31"/>
        <v>5.7308349621867233E-4</v>
      </c>
      <c r="AO206" s="3"/>
      <c r="AP206">
        <v>0</v>
      </c>
      <c r="AR206" t="s">
        <v>0</v>
      </c>
      <c r="AT206" s="2">
        <v>5.9850000000000003</v>
      </c>
      <c r="AU206" s="1">
        <f t="shared" si="35"/>
        <v>3.7432008869372257</v>
      </c>
      <c r="AV206" s="1">
        <f t="shared" si="36"/>
        <v>2.6900887334185519</v>
      </c>
      <c r="AW206" s="1">
        <f t="shared" si="37"/>
        <v>1.6369765798998781</v>
      </c>
    </row>
    <row r="207" spans="1:49" x14ac:dyDescent="0.2">
      <c r="A207">
        <v>205</v>
      </c>
      <c r="B207" t="s">
        <v>5213</v>
      </c>
      <c r="C207" t="s">
        <v>5212</v>
      </c>
      <c r="F207" t="s">
        <v>5211</v>
      </c>
      <c r="G207" t="s">
        <v>15</v>
      </c>
      <c r="H207" t="s">
        <v>14</v>
      </c>
      <c r="I207" t="s">
        <v>5210</v>
      </c>
      <c r="J207">
        <v>60012689</v>
      </c>
      <c r="K207" t="s">
        <v>5209</v>
      </c>
      <c r="L207" t="s">
        <v>5208</v>
      </c>
      <c r="M207" t="s">
        <v>91</v>
      </c>
      <c r="N207">
        <v>1</v>
      </c>
      <c r="O207" t="s">
        <v>5207</v>
      </c>
      <c r="P207">
        <v>7402393694</v>
      </c>
      <c r="Q207">
        <v>60012689</v>
      </c>
      <c r="R207" s="7">
        <v>31048</v>
      </c>
      <c r="S207" s="8">
        <f t="shared" si="32"/>
        <v>1985</v>
      </c>
      <c r="T207" s="8">
        <v>1985</v>
      </c>
      <c r="U207" s="8">
        <f t="shared" si="33"/>
        <v>37</v>
      </c>
      <c r="V207" s="7">
        <v>31321</v>
      </c>
      <c r="W207" t="s">
        <v>5206</v>
      </c>
      <c r="X207" s="2">
        <v>1.2030000000000001</v>
      </c>
      <c r="Y207" s="6">
        <f t="shared" si="30"/>
        <v>3.2113397933851207E-2</v>
      </c>
      <c r="AA207">
        <v>3405443</v>
      </c>
      <c r="AB207">
        <v>22803</v>
      </c>
      <c r="AC207">
        <v>14320762</v>
      </c>
      <c r="AD207" t="s">
        <v>4</v>
      </c>
      <c r="AE207">
        <v>17</v>
      </c>
      <c r="AF207">
        <v>4</v>
      </c>
      <c r="AH207" t="s">
        <v>5205</v>
      </c>
      <c r="AI207" t="s">
        <v>5204</v>
      </c>
      <c r="AK207" t="s">
        <v>5203</v>
      </c>
      <c r="AL207">
        <v>16</v>
      </c>
      <c r="AM207" s="5">
        <f t="shared" si="34"/>
        <v>0.43243243243243246</v>
      </c>
      <c r="AN207" s="4">
        <f t="shared" si="31"/>
        <v>6.5495256710705412E-4</v>
      </c>
      <c r="AO207" s="3"/>
      <c r="AP207">
        <v>0</v>
      </c>
      <c r="AR207" t="s">
        <v>0</v>
      </c>
      <c r="AT207" s="2">
        <v>2.98</v>
      </c>
      <c r="AU207" s="1">
        <f t="shared" si="35"/>
        <v>2.2675864323827963</v>
      </c>
      <c r="AV207" s="1">
        <f t="shared" si="36"/>
        <v>1.6384175250479132</v>
      </c>
      <c r="AW207" s="1">
        <f t="shared" si="37"/>
        <v>1.00924861771303</v>
      </c>
    </row>
    <row r="208" spans="1:49" x14ac:dyDescent="0.2">
      <c r="A208">
        <v>206</v>
      </c>
      <c r="B208" t="s">
        <v>5202</v>
      </c>
      <c r="C208" t="s">
        <v>5201</v>
      </c>
      <c r="F208" t="s">
        <v>5200</v>
      </c>
      <c r="G208" t="s">
        <v>15</v>
      </c>
      <c r="H208" t="s">
        <v>14</v>
      </c>
      <c r="I208" t="s">
        <v>5199</v>
      </c>
      <c r="J208">
        <v>60051492</v>
      </c>
      <c r="K208" t="s">
        <v>5198</v>
      </c>
      <c r="L208" t="s">
        <v>5197</v>
      </c>
      <c r="M208" t="s">
        <v>5196</v>
      </c>
      <c r="N208">
        <v>2</v>
      </c>
      <c r="O208" t="s">
        <v>5195</v>
      </c>
      <c r="P208" t="s">
        <v>5194</v>
      </c>
      <c r="Q208" t="s">
        <v>5193</v>
      </c>
      <c r="R208" s="7">
        <v>31048</v>
      </c>
      <c r="S208" s="8">
        <f t="shared" si="32"/>
        <v>1985</v>
      </c>
      <c r="T208" s="8">
        <v>1985</v>
      </c>
      <c r="U208" s="8">
        <f t="shared" si="33"/>
        <v>37</v>
      </c>
      <c r="V208" s="7">
        <v>31352</v>
      </c>
      <c r="W208" t="s">
        <v>72</v>
      </c>
      <c r="X208" s="2">
        <v>0.76500000000000001</v>
      </c>
      <c r="Y208" s="6">
        <f t="shared" si="30"/>
        <v>2.0421238087611118E-2</v>
      </c>
      <c r="AA208">
        <v>138703</v>
      </c>
      <c r="AB208">
        <v>19793</v>
      </c>
      <c r="AC208">
        <v>15707458</v>
      </c>
      <c r="AD208" t="s">
        <v>4</v>
      </c>
      <c r="AE208">
        <v>39</v>
      </c>
      <c r="AF208">
        <v>2</v>
      </c>
      <c r="AH208" t="s">
        <v>5192</v>
      </c>
      <c r="AI208" t="s">
        <v>5191</v>
      </c>
      <c r="AJ208" t="s">
        <v>5190</v>
      </c>
      <c r="AK208" t="s">
        <v>5189</v>
      </c>
      <c r="AL208">
        <v>18</v>
      </c>
      <c r="AM208" s="5">
        <f t="shared" si="34"/>
        <v>0.48648648648648651</v>
      </c>
      <c r="AN208" s="4">
        <f t="shared" si="31"/>
        <v>7.368216379954358E-4</v>
      </c>
      <c r="AO208" s="3"/>
      <c r="AP208">
        <v>0</v>
      </c>
      <c r="AR208" t="s">
        <v>0</v>
      </c>
      <c r="AT208" s="2" t="s">
        <v>19</v>
      </c>
      <c r="AU208" s="1">
        <f t="shared" si="35"/>
        <v>1.4515913152726412</v>
      </c>
      <c r="AV208" s="1">
        <f t="shared" si="36"/>
        <v>1.0579029862803278</v>
      </c>
      <c r="AW208" s="1">
        <f t="shared" si="37"/>
        <v>0.6642146572880141</v>
      </c>
    </row>
    <row r="209" spans="1:49" x14ac:dyDescent="0.2">
      <c r="A209">
        <v>207</v>
      </c>
      <c r="B209" t="s">
        <v>5188</v>
      </c>
      <c r="C209" t="s">
        <v>5187</v>
      </c>
      <c r="F209" t="s">
        <v>5186</v>
      </c>
      <c r="G209" t="s">
        <v>15</v>
      </c>
      <c r="H209" t="s">
        <v>14</v>
      </c>
      <c r="I209" t="s">
        <v>5185</v>
      </c>
      <c r="J209" t="s">
        <v>4683</v>
      </c>
      <c r="K209" t="s">
        <v>4682</v>
      </c>
      <c r="L209" t="s">
        <v>4681</v>
      </c>
      <c r="M209" t="s">
        <v>4680</v>
      </c>
      <c r="N209">
        <v>3</v>
      </c>
      <c r="O209" t="s">
        <v>5184</v>
      </c>
      <c r="P209" t="s">
        <v>5183</v>
      </c>
      <c r="Q209" t="s">
        <v>5182</v>
      </c>
      <c r="R209" s="7">
        <v>31048</v>
      </c>
      <c r="S209" s="8">
        <f t="shared" si="32"/>
        <v>1985</v>
      </c>
      <c r="T209" s="8">
        <v>1985</v>
      </c>
      <c r="U209" s="8">
        <f t="shared" si="33"/>
        <v>37</v>
      </c>
      <c r="V209" s="7">
        <v>31352</v>
      </c>
      <c r="W209" t="s">
        <v>24</v>
      </c>
      <c r="X209" s="2">
        <v>1.6519999999999999</v>
      </c>
      <c r="Y209" s="6">
        <f t="shared" si="30"/>
        <v>4.409919649769093E-2</v>
      </c>
      <c r="AA209" t="s">
        <v>23</v>
      </c>
      <c r="AB209">
        <v>17337</v>
      </c>
      <c r="AC209">
        <v>15582221</v>
      </c>
      <c r="AD209" t="s">
        <v>4</v>
      </c>
      <c r="AE209">
        <v>33</v>
      </c>
      <c r="AF209">
        <v>11</v>
      </c>
      <c r="AH209" t="s">
        <v>5181</v>
      </c>
      <c r="AI209" t="s">
        <v>5180</v>
      </c>
      <c r="AK209" t="s">
        <v>5179</v>
      </c>
      <c r="AL209">
        <v>13</v>
      </c>
      <c r="AM209" s="5">
        <f t="shared" si="34"/>
        <v>0.35135135135135137</v>
      </c>
      <c r="AN209" s="4">
        <f t="shared" si="31"/>
        <v>5.3214896077448143E-4</v>
      </c>
      <c r="AO209" s="3"/>
      <c r="AP209">
        <v>0</v>
      </c>
      <c r="AR209" t="s">
        <v>0</v>
      </c>
      <c r="AT209" s="2" t="s">
        <v>19</v>
      </c>
      <c r="AU209" s="1">
        <f t="shared" si="35"/>
        <v>3.1029082236615992</v>
      </c>
      <c r="AV209" s="1">
        <f t="shared" si="36"/>
        <v>2.2315672729232707</v>
      </c>
      <c r="AW209" s="1">
        <f t="shared" si="37"/>
        <v>1.3602263221849415</v>
      </c>
    </row>
    <row r="210" spans="1:49" x14ac:dyDescent="0.2">
      <c r="A210">
        <v>208</v>
      </c>
      <c r="B210" t="s">
        <v>5178</v>
      </c>
      <c r="C210" t="s">
        <v>5177</v>
      </c>
      <c r="D210" t="s">
        <v>5176</v>
      </c>
      <c r="F210" t="s">
        <v>5175</v>
      </c>
      <c r="G210" t="s">
        <v>15</v>
      </c>
      <c r="H210" t="s">
        <v>14</v>
      </c>
      <c r="I210" t="s">
        <v>5174</v>
      </c>
      <c r="J210" t="s">
        <v>5173</v>
      </c>
      <c r="K210" t="s">
        <v>5172</v>
      </c>
      <c r="L210" t="s">
        <v>5171</v>
      </c>
      <c r="M210" t="s">
        <v>5170</v>
      </c>
      <c r="N210">
        <v>3</v>
      </c>
      <c r="O210" t="s">
        <v>5169</v>
      </c>
      <c r="P210" t="s">
        <v>5168</v>
      </c>
      <c r="Q210" t="s">
        <v>5167</v>
      </c>
      <c r="R210" s="7">
        <v>31048</v>
      </c>
      <c r="S210" s="8">
        <f t="shared" si="32"/>
        <v>1985</v>
      </c>
      <c r="T210" s="8">
        <v>1985</v>
      </c>
      <c r="U210" s="8">
        <f t="shared" si="33"/>
        <v>37</v>
      </c>
      <c r="V210" s="7">
        <v>31079</v>
      </c>
      <c r="W210" t="s">
        <v>5166</v>
      </c>
      <c r="X210" s="2" t="s">
        <v>19</v>
      </c>
      <c r="Y210" s="6" t="e">
        <f t="shared" si="30"/>
        <v>#VALUE!</v>
      </c>
      <c r="AA210">
        <v>958956</v>
      </c>
      <c r="AB210">
        <v>23844</v>
      </c>
      <c r="AC210">
        <v>10960902</v>
      </c>
      <c r="AD210" t="s">
        <v>4</v>
      </c>
      <c r="AE210">
        <v>38</v>
      </c>
      <c r="AF210">
        <v>1</v>
      </c>
      <c r="AH210" t="s">
        <v>5165</v>
      </c>
      <c r="AI210" t="s">
        <v>5164</v>
      </c>
      <c r="AK210" t="s">
        <v>5163</v>
      </c>
      <c r="AL210">
        <v>24</v>
      </c>
      <c r="AM210" s="5">
        <f t="shared" si="34"/>
        <v>0.64864864864864868</v>
      </c>
      <c r="AN210" s="4">
        <f t="shared" si="31"/>
        <v>9.8242885066058107E-4</v>
      </c>
      <c r="AO210" s="3"/>
      <c r="AP210">
        <v>1</v>
      </c>
      <c r="AR210" t="s">
        <v>0</v>
      </c>
      <c r="AT210" s="2" t="s">
        <v>19</v>
      </c>
      <c r="AU210" s="1" t="e">
        <f t="shared" si="35"/>
        <v>#VALUE!</v>
      </c>
      <c r="AV210" s="1" t="e">
        <f t="shared" si="36"/>
        <v>#VALUE!</v>
      </c>
      <c r="AW210" s="1" t="e">
        <f t="shared" si="37"/>
        <v>#VALUE!</v>
      </c>
    </row>
    <row r="211" spans="1:49" x14ac:dyDescent="0.2">
      <c r="A211">
        <v>209</v>
      </c>
      <c r="B211" t="s">
        <v>5162</v>
      </c>
      <c r="C211" t="s">
        <v>5161</v>
      </c>
      <c r="D211">
        <v>273117785900675</v>
      </c>
      <c r="F211" t="s">
        <v>5160</v>
      </c>
      <c r="G211" t="s">
        <v>15</v>
      </c>
      <c r="H211" t="s">
        <v>14</v>
      </c>
      <c r="I211" t="s">
        <v>5159</v>
      </c>
      <c r="J211" t="s">
        <v>5154</v>
      </c>
      <c r="K211" t="s">
        <v>5158</v>
      </c>
      <c r="L211" t="s">
        <v>5157</v>
      </c>
      <c r="M211" t="s">
        <v>148</v>
      </c>
      <c r="N211">
        <v>2</v>
      </c>
      <c r="O211" t="s">
        <v>5156</v>
      </c>
      <c r="P211" t="s">
        <v>5155</v>
      </c>
      <c r="Q211" t="s">
        <v>5154</v>
      </c>
      <c r="R211" s="7">
        <v>31048</v>
      </c>
      <c r="S211" s="8">
        <f t="shared" si="32"/>
        <v>1985</v>
      </c>
      <c r="T211" s="8">
        <v>1985</v>
      </c>
      <c r="U211" s="8">
        <f t="shared" si="33"/>
        <v>37</v>
      </c>
      <c r="V211" s="7">
        <v>1985</v>
      </c>
      <c r="W211" t="s">
        <v>5153</v>
      </c>
      <c r="X211" s="2">
        <v>0.68200000000000005</v>
      </c>
      <c r="Y211" s="6">
        <f t="shared" si="30"/>
        <v>1.8205600491177493E-2</v>
      </c>
      <c r="AA211">
        <v>2731177</v>
      </c>
      <c r="AB211">
        <v>12375</v>
      </c>
      <c r="AD211" t="s">
        <v>4</v>
      </c>
      <c r="AE211">
        <v>5</v>
      </c>
      <c r="AF211">
        <v>12</v>
      </c>
      <c r="AH211" t="s">
        <v>5152</v>
      </c>
      <c r="AI211" t="s">
        <v>5151</v>
      </c>
      <c r="AK211" t="s">
        <v>5150</v>
      </c>
      <c r="AL211">
        <v>2</v>
      </c>
      <c r="AM211" s="5">
        <f t="shared" si="34"/>
        <v>5.4054054054054057E-2</v>
      </c>
      <c r="AN211" s="4">
        <f t="shared" si="31"/>
        <v>8.1869070888381765E-5</v>
      </c>
      <c r="AO211" s="3"/>
      <c r="AP211">
        <v>0</v>
      </c>
      <c r="AR211" t="s">
        <v>0</v>
      </c>
      <c r="AT211" s="2">
        <v>2.1520000000000001</v>
      </c>
      <c r="AU211" s="1">
        <f t="shared" si="35"/>
        <v>1.276848106509076</v>
      </c>
      <c r="AV211" s="1">
        <f t="shared" si="36"/>
        <v>0.91437347810329372</v>
      </c>
      <c r="AW211" s="1">
        <f t="shared" si="37"/>
        <v>0.55189884969751146</v>
      </c>
    </row>
    <row r="212" spans="1:49" x14ac:dyDescent="0.2">
      <c r="A212">
        <v>210</v>
      </c>
      <c r="B212" t="s">
        <v>5149</v>
      </c>
      <c r="C212" t="s">
        <v>5148</v>
      </c>
      <c r="F212" t="s">
        <v>5147</v>
      </c>
      <c r="G212" t="s">
        <v>15</v>
      </c>
      <c r="H212" t="s">
        <v>14</v>
      </c>
      <c r="I212" t="s">
        <v>5146</v>
      </c>
      <c r="J212">
        <v>60009982</v>
      </c>
      <c r="K212" t="s">
        <v>359</v>
      </c>
      <c r="L212" t="s">
        <v>358</v>
      </c>
      <c r="M212" t="s">
        <v>122</v>
      </c>
      <c r="N212">
        <v>1</v>
      </c>
      <c r="O212" t="s">
        <v>5145</v>
      </c>
      <c r="P212">
        <v>35586046100</v>
      </c>
      <c r="Q212">
        <v>60009982</v>
      </c>
      <c r="R212" s="7">
        <v>31048</v>
      </c>
      <c r="S212" s="8">
        <f t="shared" si="32"/>
        <v>1985</v>
      </c>
      <c r="T212" s="8">
        <v>1985</v>
      </c>
      <c r="U212" s="8">
        <f t="shared" si="33"/>
        <v>37</v>
      </c>
      <c r="V212" s="7">
        <v>31352</v>
      </c>
      <c r="W212" t="s">
        <v>24</v>
      </c>
      <c r="X212" s="2">
        <v>1.6519999999999999</v>
      </c>
      <c r="Y212" s="6">
        <f t="shared" si="30"/>
        <v>4.409919649769093E-2</v>
      </c>
      <c r="AA212" t="s">
        <v>23</v>
      </c>
      <c r="AB212">
        <v>17337</v>
      </c>
      <c r="AC212">
        <v>15582221</v>
      </c>
      <c r="AD212" t="s">
        <v>4</v>
      </c>
      <c r="AE212">
        <v>33</v>
      </c>
      <c r="AF212">
        <v>11</v>
      </c>
      <c r="AH212" t="s">
        <v>5144</v>
      </c>
      <c r="AI212" t="s">
        <v>5143</v>
      </c>
      <c r="AK212" t="s">
        <v>5142</v>
      </c>
      <c r="AL212">
        <v>17</v>
      </c>
      <c r="AM212" s="5">
        <f t="shared" si="34"/>
        <v>0.45945945945945948</v>
      </c>
      <c r="AN212" s="4">
        <f t="shared" si="31"/>
        <v>6.9588710255124491E-4</v>
      </c>
      <c r="AO212" s="3"/>
      <c r="AP212">
        <v>0</v>
      </c>
      <c r="AR212" t="s">
        <v>0</v>
      </c>
      <c r="AT212" s="2" t="s">
        <v>19</v>
      </c>
      <c r="AU212" s="1">
        <f t="shared" si="35"/>
        <v>3.1078203679149023</v>
      </c>
      <c r="AV212" s="1">
        <f t="shared" si="36"/>
        <v>2.2397541800121088</v>
      </c>
      <c r="AW212" s="1">
        <f t="shared" si="37"/>
        <v>1.371687992109315</v>
      </c>
    </row>
    <row r="213" spans="1:49" x14ac:dyDescent="0.2">
      <c r="A213">
        <v>211</v>
      </c>
      <c r="B213" t="s">
        <v>5141</v>
      </c>
      <c r="C213" t="s">
        <v>5140</v>
      </c>
      <c r="F213" t="s">
        <v>5139</v>
      </c>
      <c r="G213" t="s">
        <v>15</v>
      </c>
      <c r="H213" t="s">
        <v>14</v>
      </c>
      <c r="I213" t="s">
        <v>5138</v>
      </c>
      <c r="J213">
        <v>60000264</v>
      </c>
      <c r="K213" t="s">
        <v>1261</v>
      </c>
      <c r="L213" t="s">
        <v>1260</v>
      </c>
      <c r="M213" t="s">
        <v>544</v>
      </c>
      <c r="N213">
        <v>3</v>
      </c>
      <c r="O213" t="s">
        <v>5137</v>
      </c>
      <c r="P213" t="s">
        <v>5136</v>
      </c>
      <c r="Q213" t="s">
        <v>5135</v>
      </c>
      <c r="R213" s="7">
        <v>31048</v>
      </c>
      <c r="S213" s="8">
        <f t="shared" si="32"/>
        <v>1985</v>
      </c>
      <c r="T213" s="8">
        <v>1985</v>
      </c>
      <c r="U213" s="8">
        <f t="shared" si="33"/>
        <v>37</v>
      </c>
      <c r="V213" s="7">
        <v>1985</v>
      </c>
      <c r="W213" t="s">
        <v>201</v>
      </c>
      <c r="X213" s="2">
        <v>1.1879999999999999</v>
      </c>
      <c r="Y213" s="6">
        <f t="shared" si="30"/>
        <v>3.1712981500760788E-2</v>
      </c>
      <c r="AA213">
        <v>10706631</v>
      </c>
      <c r="AB213">
        <v>29210</v>
      </c>
      <c r="AD213" t="s">
        <v>4</v>
      </c>
      <c r="AE213">
        <v>28</v>
      </c>
      <c r="AF213">
        <v>5</v>
      </c>
      <c r="AH213" t="s">
        <v>5134</v>
      </c>
      <c r="AI213" t="s">
        <v>5133</v>
      </c>
      <c r="AK213" t="s">
        <v>5132</v>
      </c>
      <c r="AL213">
        <v>4</v>
      </c>
      <c r="AM213" s="5">
        <f t="shared" si="34"/>
        <v>0.10810810810810811</v>
      </c>
      <c r="AN213" s="4">
        <f t="shared" si="31"/>
        <v>1.6373814177676353E-4</v>
      </c>
      <c r="AO213" s="3"/>
      <c r="AP213">
        <v>0</v>
      </c>
      <c r="AR213" t="s">
        <v>0</v>
      </c>
      <c r="AT213" s="2">
        <v>3.5209999999999999</v>
      </c>
      <c r="AU213" s="1">
        <f t="shared" si="35"/>
        <v>2.2248208493065578</v>
      </c>
      <c r="AV213" s="1">
        <f t="shared" si="36"/>
        <v>1.5938359821268775</v>
      </c>
      <c r="AW213" s="1">
        <f t="shared" si="37"/>
        <v>0.96285111494719711</v>
      </c>
    </row>
    <row r="214" spans="1:49" x14ac:dyDescent="0.2">
      <c r="A214">
        <v>212</v>
      </c>
      <c r="B214" t="s">
        <v>5131</v>
      </c>
      <c r="F214" t="s">
        <v>5130</v>
      </c>
      <c r="G214" t="s">
        <v>15</v>
      </c>
      <c r="H214" t="s">
        <v>14</v>
      </c>
      <c r="I214" t="s">
        <v>5129</v>
      </c>
      <c r="J214">
        <v>60004504</v>
      </c>
      <c r="K214" t="s">
        <v>5128</v>
      </c>
      <c r="L214" t="s">
        <v>517</v>
      </c>
      <c r="M214" t="s">
        <v>122</v>
      </c>
      <c r="N214">
        <v>1</v>
      </c>
      <c r="O214" t="s">
        <v>5127</v>
      </c>
      <c r="P214">
        <v>7410290668</v>
      </c>
      <c r="Q214">
        <v>60004504</v>
      </c>
      <c r="R214" s="7">
        <v>31048</v>
      </c>
      <c r="S214" s="8">
        <f t="shared" si="32"/>
        <v>1985</v>
      </c>
      <c r="T214" s="8">
        <v>1985</v>
      </c>
      <c r="U214" s="8">
        <f t="shared" si="33"/>
        <v>37</v>
      </c>
      <c r="V214" s="7">
        <v>1985</v>
      </c>
      <c r="W214" t="s">
        <v>5126</v>
      </c>
      <c r="X214" s="2" t="s">
        <v>19</v>
      </c>
      <c r="Y214" s="6" t="e">
        <f t="shared" si="30"/>
        <v>#VALUE!</v>
      </c>
      <c r="AA214">
        <v>2760037</v>
      </c>
      <c r="AB214">
        <v>37141</v>
      </c>
      <c r="AD214" t="s">
        <v>4</v>
      </c>
      <c r="AE214">
        <v>4</v>
      </c>
      <c r="AF214">
        <v>1</v>
      </c>
      <c r="AH214" t="s">
        <v>5125</v>
      </c>
      <c r="AI214" t="s">
        <v>5124</v>
      </c>
      <c r="AK214" t="s">
        <v>5123</v>
      </c>
      <c r="AL214">
        <v>0</v>
      </c>
      <c r="AM214" s="5">
        <f t="shared" si="34"/>
        <v>0</v>
      </c>
      <c r="AN214" s="4">
        <f t="shared" si="31"/>
        <v>0</v>
      </c>
      <c r="AO214" s="3"/>
      <c r="AP214">
        <v>0</v>
      </c>
      <c r="AR214" t="s">
        <v>0</v>
      </c>
      <c r="AT214" s="2" t="s">
        <v>19</v>
      </c>
      <c r="AU214" s="1" t="e">
        <f t="shared" si="35"/>
        <v>#VALUE!</v>
      </c>
      <c r="AV214" s="1" t="e">
        <f t="shared" si="36"/>
        <v>#VALUE!</v>
      </c>
      <c r="AW214" s="1" t="e">
        <f t="shared" si="37"/>
        <v>#VALUE!</v>
      </c>
    </row>
    <row r="215" spans="1:49" x14ac:dyDescent="0.2">
      <c r="A215">
        <v>213</v>
      </c>
      <c r="B215" t="s">
        <v>5122</v>
      </c>
      <c r="C215" t="s">
        <v>5121</v>
      </c>
      <c r="F215" t="s">
        <v>5120</v>
      </c>
      <c r="G215" t="s">
        <v>15</v>
      </c>
      <c r="H215" t="s">
        <v>14</v>
      </c>
      <c r="I215" t="s">
        <v>5119</v>
      </c>
      <c r="J215">
        <v>60019870</v>
      </c>
      <c r="K215" t="s">
        <v>5118</v>
      </c>
      <c r="L215" t="s">
        <v>5117</v>
      </c>
      <c r="M215" t="s">
        <v>43</v>
      </c>
      <c r="N215">
        <v>2</v>
      </c>
      <c r="O215" t="s">
        <v>5116</v>
      </c>
      <c r="P215" t="s">
        <v>5115</v>
      </c>
      <c r="Q215" t="s">
        <v>5114</v>
      </c>
      <c r="R215" s="7">
        <v>31048</v>
      </c>
      <c r="S215" s="8">
        <f t="shared" si="32"/>
        <v>1985</v>
      </c>
      <c r="T215" s="8">
        <v>1985</v>
      </c>
      <c r="U215" s="8">
        <f t="shared" si="33"/>
        <v>37</v>
      </c>
      <c r="V215" s="7">
        <v>1985</v>
      </c>
      <c r="W215" t="s">
        <v>540</v>
      </c>
      <c r="X215" s="2">
        <v>0.375</v>
      </c>
      <c r="Y215" s="6">
        <f t="shared" si="30"/>
        <v>1.0010410827260351E-2</v>
      </c>
      <c r="AA215">
        <v>135194</v>
      </c>
      <c r="AB215">
        <v>24918</v>
      </c>
      <c r="AD215" t="s">
        <v>4</v>
      </c>
      <c r="AE215">
        <v>21</v>
      </c>
      <c r="AF215">
        <v>23</v>
      </c>
      <c r="AH215" t="s">
        <v>5113</v>
      </c>
      <c r="AI215" t="s">
        <v>5112</v>
      </c>
      <c r="AJ215" t="s">
        <v>5111</v>
      </c>
      <c r="AK215" t="s">
        <v>5110</v>
      </c>
      <c r="AL215">
        <v>1</v>
      </c>
      <c r="AM215" s="5">
        <f t="shared" si="34"/>
        <v>2.7027027027027029E-2</v>
      </c>
      <c r="AN215" s="4">
        <f t="shared" si="31"/>
        <v>4.0934535444190883E-5</v>
      </c>
      <c r="AO215" s="3"/>
      <c r="AP215">
        <v>0</v>
      </c>
      <c r="AR215" t="s">
        <v>0</v>
      </c>
      <c r="AT215" s="2">
        <v>1.3140000000000001</v>
      </c>
      <c r="AU215" s="1">
        <f t="shared" si="35"/>
        <v>0.70195679397155031</v>
      </c>
      <c r="AV215" s="1">
        <f t="shared" si="36"/>
        <v>0.50256726813522712</v>
      </c>
      <c r="AW215" s="1">
        <f t="shared" si="37"/>
        <v>0.30317774229890387</v>
      </c>
    </row>
    <row r="216" spans="1:49" x14ac:dyDescent="0.2">
      <c r="A216">
        <v>214</v>
      </c>
      <c r="B216" t="s">
        <v>5109</v>
      </c>
      <c r="C216" t="s">
        <v>5108</v>
      </c>
      <c r="F216" t="s">
        <v>5107</v>
      </c>
      <c r="G216" t="s">
        <v>15</v>
      </c>
      <c r="H216" t="s">
        <v>14</v>
      </c>
      <c r="I216" t="s">
        <v>5106</v>
      </c>
      <c r="J216" t="s">
        <v>5105</v>
      </c>
      <c r="K216" t="s">
        <v>5104</v>
      </c>
      <c r="L216" t="s">
        <v>5103</v>
      </c>
      <c r="M216" t="s">
        <v>61</v>
      </c>
      <c r="N216">
        <v>5</v>
      </c>
      <c r="O216" t="s">
        <v>5102</v>
      </c>
      <c r="P216" t="s">
        <v>5101</v>
      </c>
      <c r="Q216" t="s">
        <v>5100</v>
      </c>
      <c r="R216" s="7">
        <v>31048</v>
      </c>
      <c r="S216" s="8">
        <f t="shared" si="32"/>
        <v>1985</v>
      </c>
      <c r="T216" s="8">
        <v>1985</v>
      </c>
      <c r="U216" s="8">
        <f t="shared" si="33"/>
        <v>37</v>
      </c>
      <c r="V216" s="7">
        <v>1985</v>
      </c>
      <c r="W216" t="s">
        <v>540</v>
      </c>
      <c r="X216" s="2">
        <v>0.375</v>
      </c>
      <c r="Y216" s="6">
        <f t="shared" si="30"/>
        <v>1.0010410827260351E-2</v>
      </c>
      <c r="AA216">
        <v>135194</v>
      </c>
      <c r="AB216">
        <v>24918</v>
      </c>
      <c r="AD216" t="s">
        <v>4</v>
      </c>
      <c r="AE216">
        <v>21</v>
      </c>
      <c r="AF216">
        <v>23</v>
      </c>
      <c r="AH216" t="s">
        <v>5099</v>
      </c>
      <c r="AI216" t="s">
        <v>5098</v>
      </c>
      <c r="AJ216" t="s">
        <v>5097</v>
      </c>
      <c r="AK216" t="s">
        <v>5096</v>
      </c>
      <c r="AL216">
        <v>21</v>
      </c>
      <c r="AM216" s="5">
        <f t="shared" si="34"/>
        <v>0.56756756756756754</v>
      </c>
      <c r="AN216" s="4">
        <f t="shared" si="31"/>
        <v>8.5962524432800838E-4</v>
      </c>
      <c r="AO216" s="3"/>
      <c r="AP216">
        <v>0</v>
      </c>
      <c r="AR216" t="s">
        <v>0</v>
      </c>
      <c r="AT216" s="2">
        <v>1.3140000000000001</v>
      </c>
      <c r="AU216" s="1">
        <f t="shared" si="35"/>
        <v>0.72651751523806485</v>
      </c>
      <c r="AV216" s="1">
        <f t="shared" si="36"/>
        <v>0.54350180357941802</v>
      </c>
      <c r="AW216" s="1">
        <f t="shared" si="37"/>
        <v>0.36048609192077108</v>
      </c>
    </row>
    <row r="217" spans="1:49" x14ac:dyDescent="0.2">
      <c r="A217">
        <v>215</v>
      </c>
      <c r="B217" t="s">
        <v>5095</v>
      </c>
      <c r="C217" t="s">
        <v>5094</v>
      </c>
      <c r="F217" t="s">
        <v>5093</v>
      </c>
      <c r="G217" t="s">
        <v>15</v>
      </c>
      <c r="H217" t="s">
        <v>14</v>
      </c>
      <c r="I217" t="s">
        <v>5092</v>
      </c>
      <c r="J217">
        <v>60016218</v>
      </c>
      <c r="K217" t="s">
        <v>5091</v>
      </c>
      <c r="L217" t="s">
        <v>5090</v>
      </c>
      <c r="M217" t="s">
        <v>861</v>
      </c>
      <c r="N217">
        <v>1</v>
      </c>
      <c r="O217" t="s">
        <v>5089</v>
      </c>
      <c r="P217">
        <v>7101618795</v>
      </c>
      <c r="Q217">
        <v>60016218</v>
      </c>
      <c r="R217" s="7">
        <v>31048</v>
      </c>
      <c r="S217" s="8">
        <f t="shared" si="32"/>
        <v>1985</v>
      </c>
      <c r="T217" s="8">
        <v>1985</v>
      </c>
      <c r="U217" s="8">
        <f t="shared" si="33"/>
        <v>37</v>
      </c>
      <c r="V217" s="7">
        <v>1985</v>
      </c>
      <c r="W217" t="s">
        <v>540</v>
      </c>
      <c r="X217" s="2">
        <v>0.375</v>
      </c>
      <c r="Y217" s="6">
        <f t="shared" si="30"/>
        <v>1.0010410827260351E-2</v>
      </c>
      <c r="AA217">
        <v>135194</v>
      </c>
      <c r="AB217">
        <v>24918</v>
      </c>
      <c r="AD217" t="s">
        <v>4</v>
      </c>
      <c r="AE217">
        <v>21</v>
      </c>
      <c r="AF217">
        <v>23</v>
      </c>
      <c r="AH217" t="s">
        <v>5088</v>
      </c>
      <c r="AI217" t="s">
        <v>5087</v>
      </c>
      <c r="AJ217" t="s">
        <v>3052</v>
      </c>
      <c r="AK217" t="s">
        <v>5086</v>
      </c>
      <c r="AL217">
        <v>0</v>
      </c>
      <c r="AM217" s="5">
        <f t="shared" si="34"/>
        <v>0</v>
      </c>
      <c r="AN217" s="4">
        <f t="shared" si="31"/>
        <v>0</v>
      </c>
      <c r="AO217" s="3"/>
      <c r="AP217">
        <v>0</v>
      </c>
      <c r="AR217" t="s">
        <v>0</v>
      </c>
      <c r="AT217" s="2">
        <v>1.3140000000000001</v>
      </c>
      <c r="AU217" s="1">
        <f t="shared" si="35"/>
        <v>0.70072875790822453</v>
      </c>
      <c r="AV217" s="1">
        <f t="shared" si="36"/>
        <v>0.5005205413630176</v>
      </c>
      <c r="AW217" s="1">
        <f t="shared" si="37"/>
        <v>0.30031232481781051</v>
      </c>
    </row>
    <row r="218" spans="1:49" x14ac:dyDescent="0.2">
      <c r="A218">
        <v>216</v>
      </c>
      <c r="B218" t="s">
        <v>5085</v>
      </c>
      <c r="C218" t="s">
        <v>5084</v>
      </c>
      <c r="F218" t="s">
        <v>5083</v>
      </c>
      <c r="G218" t="s">
        <v>15</v>
      </c>
      <c r="H218" t="s">
        <v>14</v>
      </c>
      <c r="I218" t="s">
        <v>5082</v>
      </c>
      <c r="J218">
        <v>60030553</v>
      </c>
      <c r="K218" t="s">
        <v>3832</v>
      </c>
      <c r="L218" t="s">
        <v>3831</v>
      </c>
      <c r="M218" t="s">
        <v>272</v>
      </c>
      <c r="N218">
        <v>2</v>
      </c>
      <c r="O218" t="s">
        <v>5081</v>
      </c>
      <c r="P218" t="s">
        <v>5080</v>
      </c>
      <c r="Q218" t="s">
        <v>5079</v>
      </c>
      <c r="R218" s="7">
        <v>31048</v>
      </c>
      <c r="S218" s="8">
        <f t="shared" si="32"/>
        <v>1985</v>
      </c>
      <c r="T218" s="8">
        <v>1985</v>
      </c>
      <c r="U218" s="8">
        <f t="shared" si="33"/>
        <v>37</v>
      </c>
      <c r="V218" s="7">
        <v>1985</v>
      </c>
      <c r="W218" t="s">
        <v>540</v>
      </c>
      <c r="X218" s="2">
        <v>0.375</v>
      </c>
      <c r="Y218" s="6">
        <f t="shared" si="30"/>
        <v>1.0010410827260351E-2</v>
      </c>
      <c r="AA218">
        <v>135194</v>
      </c>
      <c r="AB218">
        <v>24918</v>
      </c>
      <c r="AD218" t="s">
        <v>4</v>
      </c>
      <c r="AE218">
        <v>21</v>
      </c>
      <c r="AH218" t="s">
        <v>5078</v>
      </c>
      <c r="AI218" t="s">
        <v>5077</v>
      </c>
      <c r="AJ218" t="s">
        <v>704</v>
      </c>
      <c r="AK218" t="s">
        <v>5076</v>
      </c>
      <c r="AL218">
        <v>0</v>
      </c>
      <c r="AM218" s="5">
        <f t="shared" si="34"/>
        <v>0</v>
      </c>
      <c r="AN218" s="4">
        <f t="shared" si="31"/>
        <v>0</v>
      </c>
      <c r="AO218" s="3"/>
      <c r="AP218">
        <v>0</v>
      </c>
      <c r="AR218" t="s">
        <v>0</v>
      </c>
      <c r="AT218" s="2">
        <v>1.3140000000000001</v>
      </c>
      <c r="AU218" s="1">
        <f t="shared" si="35"/>
        <v>0.70072875790822453</v>
      </c>
      <c r="AV218" s="1">
        <f t="shared" si="36"/>
        <v>0.5005205413630176</v>
      </c>
      <c r="AW218" s="1">
        <f t="shared" si="37"/>
        <v>0.30031232481781051</v>
      </c>
    </row>
    <row r="219" spans="1:49" x14ac:dyDescent="0.2">
      <c r="A219">
        <v>217</v>
      </c>
      <c r="B219" t="s">
        <v>5075</v>
      </c>
      <c r="C219" t="s">
        <v>5074</v>
      </c>
      <c r="E219">
        <v>4094550</v>
      </c>
      <c r="F219" t="s">
        <v>5073</v>
      </c>
      <c r="G219" t="s">
        <v>15</v>
      </c>
      <c r="H219" t="s">
        <v>14</v>
      </c>
      <c r="I219" t="s">
        <v>5072</v>
      </c>
      <c r="N219">
        <v>1</v>
      </c>
      <c r="O219" t="s">
        <v>5071</v>
      </c>
      <c r="P219">
        <v>57214980519</v>
      </c>
      <c r="R219" s="7">
        <v>31048</v>
      </c>
      <c r="S219" s="8">
        <f t="shared" si="32"/>
        <v>1985</v>
      </c>
      <c r="T219" s="8">
        <v>1985</v>
      </c>
      <c r="U219" s="8">
        <f t="shared" si="33"/>
        <v>37</v>
      </c>
      <c r="V219" s="7">
        <v>31260</v>
      </c>
      <c r="W219" t="s">
        <v>5070</v>
      </c>
      <c r="X219" s="2">
        <v>1.696</v>
      </c>
      <c r="Y219" s="6">
        <f t="shared" si="30"/>
        <v>4.5273751368089483E-2</v>
      </c>
      <c r="AA219">
        <v>7403194</v>
      </c>
      <c r="AB219">
        <v>17267</v>
      </c>
      <c r="AC219">
        <v>15222594</v>
      </c>
      <c r="AD219" t="s">
        <v>4</v>
      </c>
      <c r="AE219">
        <v>2</v>
      </c>
      <c r="AF219">
        <v>4</v>
      </c>
      <c r="AH219" t="s">
        <v>5069</v>
      </c>
      <c r="AI219" t="s">
        <v>5068</v>
      </c>
      <c r="AK219" t="s">
        <v>5067</v>
      </c>
      <c r="AL219">
        <v>10</v>
      </c>
      <c r="AM219" s="5">
        <f t="shared" si="34"/>
        <v>0.27027027027027029</v>
      </c>
      <c r="AN219" s="4">
        <f t="shared" si="31"/>
        <v>4.093453544419088E-4</v>
      </c>
      <c r="AO219" s="3"/>
      <c r="AP219">
        <v>0</v>
      </c>
      <c r="AR219" t="s">
        <v>0</v>
      </c>
      <c r="AT219" s="2">
        <v>4.6680000000000001</v>
      </c>
      <c r="AU219" s="1">
        <f t="shared" si="35"/>
        <v>3.181442956399521</v>
      </c>
      <c r="AV219" s="1">
        <f t="shared" si="36"/>
        <v>2.2841548361265698</v>
      </c>
      <c r="AW219" s="1">
        <f t="shared" si="37"/>
        <v>1.3868667158536181</v>
      </c>
    </row>
    <row r="220" spans="1:49" x14ac:dyDescent="0.2">
      <c r="A220">
        <v>218</v>
      </c>
      <c r="B220" t="s">
        <v>5066</v>
      </c>
      <c r="C220" t="s">
        <v>5065</v>
      </c>
      <c r="F220" t="s">
        <v>5064</v>
      </c>
      <c r="G220" t="s">
        <v>15</v>
      </c>
      <c r="H220" t="s">
        <v>14</v>
      </c>
      <c r="I220" t="s">
        <v>5063</v>
      </c>
      <c r="J220">
        <v>115552146</v>
      </c>
      <c r="K220" t="s">
        <v>5062</v>
      </c>
      <c r="L220" t="s">
        <v>3068</v>
      </c>
      <c r="M220" t="s">
        <v>544</v>
      </c>
      <c r="N220">
        <v>3</v>
      </c>
      <c r="O220" t="s">
        <v>5061</v>
      </c>
      <c r="P220" t="s">
        <v>5060</v>
      </c>
      <c r="Q220" t="s">
        <v>5059</v>
      </c>
      <c r="R220" s="7">
        <v>31048</v>
      </c>
      <c r="S220" s="8">
        <f t="shared" si="32"/>
        <v>1985</v>
      </c>
      <c r="T220" s="8">
        <v>1985</v>
      </c>
      <c r="U220" s="8">
        <f t="shared" si="33"/>
        <v>37</v>
      </c>
      <c r="V220" s="7">
        <v>1985</v>
      </c>
      <c r="W220" t="s">
        <v>590</v>
      </c>
      <c r="X220" s="2">
        <v>0.111</v>
      </c>
      <c r="Y220" s="6">
        <f t="shared" si="30"/>
        <v>2.9630816048690639E-3</v>
      </c>
      <c r="AA220">
        <v>87566621</v>
      </c>
      <c r="AB220">
        <v>24890</v>
      </c>
      <c r="AC220">
        <v>15206424</v>
      </c>
      <c r="AD220" t="s">
        <v>4</v>
      </c>
      <c r="AE220">
        <v>68</v>
      </c>
      <c r="AF220">
        <v>12</v>
      </c>
      <c r="AH220" t="s">
        <v>5058</v>
      </c>
      <c r="AI220" t="s">
        <v>5057</v>
      </c>
      <c r="AK220" t="s">
        <v>5056</v>
      </c>
      <c r="AL220">
        <v>0</v>
      </c>
      <c r="AM220" s="5">
        <f t="shared" si="34"/>
        <v>0</v>
      </c>
      <c r="AN220" s="4">
        <f t="shared" si="31"/>
        <v>0</v>
      </c>
      <c r="AO220" s="3"/>
      <c r="AP220">
        <v>0</v>
      </c>
      <c r="AR220" t="s">
        <v>0</v>
      </c>
      <c r="AT220" s="2" t="s">
        <v>19</v>
      </c>
      <c r="AU220" s="1">
        <f t="shared" si="35"/>
        <v>0.20741571234083445</v>
      </c>
      <c r="AV220" s="1">
        <f t="shared" si="36"/>
        <v>0.1481540802434532</v>
      </c>
      <c r="AW220" s="1">
        <f t="shared" si="37"/>
        <v>8.8892448146071903E-2</v>
      </c>
    </row>
    <row r="221" spans="1:49" x14ac:dyDescent="0.2">
      <c r="A221">
        <v>219</v>
      </c>
      <c r="B221" t="s">
        <v>5055</v>
      </c>
      <c r="C221" t="s">
        <v>5054</v>
      </c>
      <c r="F221" t="s">
        <v>5053</v>
      </c>
      <c r="G221" t="s">
        <v>15</v>
      </c>
      <c r="H221" t="s">
        <v>14</v>
      </c>
      <c r="I221" t="s">
        <v>5052</v>
      </c>
      <c r="J221">
        <v>124819992</v>
      </c>
      <c r="K221" t="s">
        <v>5051</v>
      </c>
      <c r="L221" t="s">
        <v>2078</v>
      </c>
      <c r="M221" t="s">
        <v>5050</v>
      </c>
      <c r="N221">
        <v>2</v>
      </c>
      <c r="O221" t="s">
        <v>5049</v>
      </c>
      <c r="P221" t="s">
        <v>5048</v>
      </c>
      <c r="Q221" t="s">
        <v>5047</v>
      </c>
      <c r="R221" s="7">
        <v>31048</v>
      </c>
      <c r="S221" s="8">
        <f t="shared" si="32"/>
        <v>1985</v>
      </c>
      <c r="T221" s="8">
        <v>1985</v>
      </c>
      <c r="U221" s="8">
        <f t="shared" si="33"/>
        <v>37</v>
      </c>
      <c r="V221" s="7">
        <v>1985</v>
      </c>
      <c r="W221" s="11" t="s">
        <v>1366</v>
      </c>
      <c r="X221" s="2">
        <v>2.383</v>
      </c>
      <c r="Y221" s="6">
        <f t="shared" si="30"/>
        <v>6.3612824003630442E-2</v>
      </c>
      <c r="AA221">
        <v>1437097</v>
      </c>
      <c r="AB221">
        <v>101236</v>
      </c>
      <c r="AD221" t="s">
        <v>4</v>
      </c>
      <c r="AE221">
        <v>132</v>
      </c>
      <c r="AF221">
        <v>7</v>
      </c>
      <c r="AH221" t="s">
        <v>5046</v>
      </c>
      <c r="AL221">
        <v>7</v>
      </c>
      <c r="AM221" s="5">
        <f t="shared" si="34"/>
        <v>0.1891891891891892</v>
      </c>
      <c r="AN221" s="4">
        <f t="shared" si="31"/>
        <v>2.8654174810933616E-4</v>
      </c>
      <c r="AO221" s="3"/>
      <c r="AP221">
        <v>0</v>
      </c>
      <c r="AR221" t="s">
        <v>0</v>
      </c>
      <c r="AT221" s="2" t="s">
        <v>19</v>
      </c>
      <c r="AU221" s="1">
        <f t="shared" si="35"/>
        <v>4.4614939326974108</v>
      </c>
      <c r="AV221" s="1">
        <f t="shared" si="36"/>
        <v>3.1949682875869891</v>
      </c>
      <c r="AW221" s="1">
        <f t="shared" si="37"/>
        <v>1.9284426424765668</v>
      </c>
    </row>
    <row r="222" spans="1:49" x14ac:dyDescent="0.2">
      <c r="A222">
        <v>220</v>
      </c>
      <c r="B222" t="s">
        <v>5045</v>
      </c>
      <c r="C222" t="s">
        <v>5044</v>
      </c>
      <c r="D222" t="s">
        <v>5043</v>
      </c>
      <c r="E222">
        <v>4030435</v>
      </c>
      <c r="F222" t="s">
        <v>5042</v>
      </c>
      <c r="G222" t="s">
        <v>15</v>
      </c>
      <c r="H222" t="s">
        <v>14</v>
      </c>
      <c r="I222" t="s">
        <v>5041</v>
      </c>
      <c r="J222" t="s">
        <v>5040</v>
      </c>
      <c r="K222" t="s">
        <v>5039</v>
      </c>
      <c r="L222" t="s">
        <v>5038</v>
      </c>
      <c r="M222" t="s">
        <v>28</v>
      </c>
      <c r="N222">
        <v>7</v>
      </c>
      <c r="O222" t="s">
        <v>5037</v>
      </c>
      <c r="P222" t="s">
        <v>5036</v>
      </c>
      <c r="Q222" t="s">
        <v>5035</v>
      </c>
      <c r="R222" s="7">
        <v>31048</v>
      </c>
      <c r="S222" s="8">
        <f t="shared" si="32"/>
        <v>1985</v>
      </c>
      <c r="T222" s="8">
        <v>1985</v>
      </c>
      <c r="U222" s="8">
        <f t="shared" si="33"/>
        <v>37</v>
      </c>
      <c r="V222" s="7">
        <v>31291</v>
      </c>
      <c r="W222" t="s">
        <v>1328</v>
      </c>
      <c r="X222" s="2" t="s">
        <v>19</v>
      </c>
      <c r="Y222" s="6" t="e">
        <f t="shared" si="30"/>
        <v>#VALUE!</v>
      </c>
      <c r="AA222">
        <v>3603016</v>
      </c>
      <c r="AB222">
        <v>17191</v>
      </c>
      <c r="AD222" t="s">
        <v>4</v>
      </c>
      <c r="AE222">
        <v>11</v>
      </c>
      <c r="AF222">
        <v>9</v>
      </c>
      <c r="AH222" t="s">
        <v>5034</v>
      </c>
      <c r="AI222" t="s">
        <v>5033</v>
      </c>
      <c r="AJ222" t="s">
        <v>5032</v>
      </c>
      <c r="AK222" t="s">
        <v>5031</v>
      </c>
      <c r="AL222">
        <v>40</v>
      </c>
      <c r="AM222" s="5">
        <f t="shared" si="34"/>
        <v>1.0810810810810811</v>
      </c>
      <c r="AN222" s="4">
        <f t="shared" si="31"/>
        <v>1.6373814177676352E-3</v>
      </c>
      <c r="AO222" s="3"/>
      <c r="AP222">
        <v>0</v>
      </c>
      <c r="AQ222" t="s">
        <v>1214</v>
      </c>
      <c r="AR222" t="s">
        <v>5030</v>
      </c>
      <c r="AS222" t="s">
        <v>1212</v>
      </c>
      <c r="AT222" s="2" t="s">
        <v>19</v>
      </c>
      <c r="AU222" s="1" t="e">
        <f t="shared" si="35"/>
        <v>#VALUE!</v>
      </c>
      <c r="AV222" s="1" t="e">
        <f t="shared" si="36"/>
        <v>#VALUE!</v>
      </c>
      <c r="AW222" s="1" t="e">
        <f t="shared" si="37"/>
        <v>#VALUE!</v>
      </c>
    </row>
    <row r="223" spans="1:49" x14ac:dyDescent="0.2">
      <c r="A223">
        <v>221</v>
      </c>
      <c r="B223" t="s">
        <v>5029</v>
      </c>
      <c r="C223" t="s">
        <v>5028</v>
      </c>
      <c r="F223" t="s">
        <v>5027</v>
      </c>
      <c r="G223" t="s">
        <v>15</v>
      </c>
      <c r="H223" t="s">
        <v>14</v>
      </c>
      <c r="I223" t="s">
        <v>5026</v>
      </c>
      <c r="J223">
        <v>60021208</v>
      </c>
      <c r="K223" t="s">
        <v>5025</v>
      </c>
      <c r="L223" t="s">
        <v>594</v>
      </c>
      <c r="M223" t="s">
        <v>544</v>
      </c>
      <c r="N223">
        <v>2</v>
      </c>
      <c r="O223" t="s">
        <v>5024</v>
      </c>
      <c r="P223" t="s">
        <v>5023</v>
      </c>
      <c r="Q223" t="s">
        <v>5022</v>
      </c>
      <c r="R223" s="7">
        <v>31048</v>
      </c>
      <c r="S223" s="8">
        <f t="shared" si="32"/>
        <v>1985</v>
      </c>
      <c r="T223" s="8">
        <v>1985</v>
      </c>
      <c r="U223" s="8">
        <f t="shared" si="33"/>
        <v>37</v>
      </c>
      <c r="V223" s="7">
        <v>1985</v>
      </c>
      <c r="W223" t="s">
        <v>590</v>
      </c>
      <c r="X223" s="2">
        <v>0.111</v>
      </c>
      <c r="Y223" s="6">
        <f t="shared" si="30"/>
        <v>2.9630816048690639E-3</v>
      </c>
      <c r="AA223">
        <v>87566621</v>
      </c>
      <c r="AB223">
        <v>24890</v>
      </c>
      <c r="AC223">
        <v>15206424</v>
      </c>
      <c r="AD223" t="s">
        <v>4</v>
      </c>
      <c r="AE223">
        <v>68</v>
      </c>
      <c r="AF223">
        <v>12</v>
      </c>
      <c r="AH223" t="s">
        <v>5021</v>
      </c>
      <c r="AI223" t="s">
        <v>5020</v>
      </c>
      <c r="AK223" t="s">
        <v>5019</v>
      </c>
      <c r="AL223">
        <v>1</v>
      </c>
      <c r="AM223" s="5">
        <f t="shared" si="34"/>
        <v>2.7027027027027029E-2</v>
      </c>
      <c r="AN223" s="4">
        <f t="shared" si="31"/>
        <v>4.0934535444190883E-5</v>
      </c>
      <c r="AO223" s="3"/>
      <c r="AP223">
        <v>0</v>
      </c>
      <c r="AR223" t="s">
        <v>0</v>
      </c>
      <c r="AT223" s="2" t="s">
        <v>19</v>
      </c>
      <c r="AU223" s="1">
        <f t="shared" si="35"/>
        <v>0.20864374840416014</v>
      </c>
      <c r="AV223" s="1">
        <f t="shared" si="36"/>
        <v>0.15020080701566274</v>
      </c>
      <c r="AW223" s="1">
        <f t="shared" si="37"/>
        <v>9.1757865627165272E-2</v>
      </c>
    </row>
    <row r="224" spans="1:49" x14ac:dyDescent="0.2">
      <c r="A224">
        <v>222</v>
      </c>
      <c r="B224" t="s">
        <v>5018</v>
      </c>
      <c r="C224" t="s">
        <v>5017</v>
      </c>
      <c r="F224" t="s">
        <v>5016</v>
      </c>
      <c r="G224" t="s">
        <v>15</v>
      </c>
      <c r="H224" t="s">
        <v>14</v>
      </c>
      <c r="I224" t="s">
        <v>5015</v>
      </c>
      <c r="J224">
        <v>60005460</v>
      </c>
      <c r="K224" t="s">
        <v>179</v>
      </c>
      <c r="L224" t="s">
        <v>178</v>
      </c>
      <c r="M224" t="s">
        <v>91</v>
      </c>
      <c r="N224">
        <v>1</v>
      </c>
      <c r="O224" t="s">
        <v>5014</v>
      </c>
      <c r="P224">
        <v>7003953871</v>
      </c>
      <c r="Q224">
        <v>60005460</v>
      </c>
      <c r="R224" s="7">
        <v>31048</v>
      </c>
      <c r="S224" s="8">
        <f t="shared" si="32"/>
        <v>1985</v>
      </c>
      <c r="T224" s="8">
        <v>1985</v>
      </c>
      <c r="U224" s="8">
        <f t="shared" si="33"/>
        <v>37</v>
      </c>
      <c r="V224" s="7">
        <v>31321</v>
      </c>
      <c r="W224" t="s">
        <v>5013</v>
      </c>
      <c r="X224" s="2">
        <v>0.56899999999999995</v>
      </c>
      <c r="Y224" s="6">
        <f t="shared" si="30"/>
        <v>1.5189130028563038E-2</v>
      </c>
      <c r="AA224">
        <v>222720</v>
      </c>
      <c r="AB224">
        <v>20919</v>
      </c>
      <c r="AC224">
        <v>13652818</v>
      </c>
      <c r="AD224" t="s">
        <v>4</v>
      </c>
      <c r="AE224">
        <v>140</v>
      </c>
      <c r="AF224">
        <v>1</v>
      </c>
      <c r="AH224" t="s">
        <v>5012</v>
      </c>
      <c r="AI224" t="s">
        <v>5011</v>
      </c>
      <c r="AJ224" t="s">
        <v>5010</v>
      </c>
      <c r="AK224" t="s">
        <v>5009</v>
      </c>
      <c r="AL224">
        <v>27</v>
      </c>
      <c r="AM224" s="5">
        <f t="shared" si="34"/>
        <v>0.72972972972972971</v>
      </c>
      <c r="AN224" s="4">
        <f t="shared" si="31"/>
        <v>1.1052324569931537E-3</v>
      </c>
      <c r="AO224" s="3"/>
      <c r="AP224">
        <v>0</v>
      </c>
      <c r="AR224" t="s">
        <v>0</v>
      </c>
      <c r="AT224" s="2">
        <v>1.758</v>
      </c>
      <c r="AU224" s="1">
        <f t="shared" si="35"/>
        <v>1.0963960757092071</v>
      </c>
      <c r="AV224" s="1">
        <f t="shared" si="36"/>
        <v>0.81471812427780965</v>
      </c>
      <c r="AW224" s="1">
        <f t="shared" si="37"/>
        <v>0.53304017284641181</v>
      </c>
    </row>
    <row r="225" spans="1:49" x14ac:dyDescent="0.2">
      <c r="A225">
        <v>223</v>
      </c>
      <c r="B225" t="s">
        <v>5008</v>
      </c>
      <c r="C225" t="s">
        <v>5007</v>
      </c>
      <c r="D225">
        <v>300962985904815</v>
      </c>
      <c r="F225" t="s">
        <v>5006</v>
      </c>
      <c r="G225" t="s">
        <v>15</v>
      </c>
      <c r="H225" t="s">
        <v>14</v>
      </c>
      <c r="I225" t="s">
        <v>5005</v>
      </c>
      <c r="J225">
        <v>60002443</v>
      </c>
      <c r="K225" t="s">
        <v>5004</v>
      </c>
      <c r="L225" t="s">
        <v>5003</v>
      </c>
      <c r="M225" t="s">
        <v>544</v>
      </c>
      <c r="N225">
        <v>2</v>
      </c>
      <c r="O225" t="s">
        <v>5002</v>
      </c>
      <c r="P225" t="s">
        <v>5001</v>
      </c>
      <c r="Q225" t="s">
        <v>5000</v>
      </c>
      <c r="R225" s="7">
        <v>31048</v>
      </c>
      <c r="S225" s="8">
        <f t="shared" si="32"/>
        <v>1985</v>
      </c>
      <c r="T225" s="8">
        <v>1985</v>
      </c>
      <c r="U225" s="8">
        <f t="shared" si="33"/>
        <v>37</v>
      </c>
      <c r="V225" s="7">
        <v>1985</v>
      </c>
      <c r="W225" t="s">
        <v>214</v>
      </c>
      <c r="X225" s="2">
        <v>0.64600000000000002</v>
      </c>
      <c r="Y225" s="6">
        <f t="shared" si="30"/>
        <v>1.72446010517605E-2</v>
      </c>
      <c r="AA225">
        <v>3009629</v>
      </c>
      <c r="AB225">
        <v>23398</v>
      </c>
      <c r="AD225" t="s">
        <v>4</v>
      </c>
      <c r="AE225">
        <v>82</v>
      </c>
      <c r="AF225">
        <v>4</v>
      </c>
      <c r="AH225" t="s">
        <v>4999</v>
      </c>
      <c r="AI225" t="s">
        <v>4998</v>
      </c>
      <c r="AK225" t="s">
        <v>4997</v>
      </c>
      <c r="AL225">
        <v>1</v>
      </c>
      <c r="AM225" s="5">
        <f t="shared" si="34"/>
        <v>2.7027027027027029E-2</v>
      </c>
      <c r="AN225" s="4">
        <f t="shared" si="31"/>
        <v>4.0934535444190883E-5</v>
      </c>
      <c r="AO225" s="3"/>
      <c r="AP225">
        <v>0</v>
      </c>
      <c r="AR225" t="s">
        <v>0</v>
      </c>
      <c r="AT225" s="2" t="s">
        <v>19</v>
      </c>
      <c r="AU225" s="1">
        <f t="shared" si="35"/>
        <v>1.2083501096865608</v>
      </c>
      <c r="AV225" s="1">
        <f t="shared" si="36"/>
        <v>0.86427677936023461</v>
      </c>
      <c r="AW225" s="1">
        <f t="shared" si="37"/>
        <v>0.52020344903390825</v>
      </c>
    </row>
    <row r="226" spans="1:49" x14ac:dyDescent="0.2">
      <c r="A226">
        <v>224</v>
      </c>
      <c r="B226" t="s">
        <v>4996</v>
      </c>
      <c r="C226" t="s">
        <v>4995</v>
      </c>
      <c r="F226" t="s">
        <v>4994</v>
      </c>
      <c r="G226" t="s">
        <v>15</v>
      </c>
      <c r="H226" t="s">
        <v>14</v>
      </c>
      <c r="I226" t="s">
        <v>4993</v>
      </c>
      <c r="J226">
        <v>60015945</v>
      </c>
      <c r="K226" t="s">
        <v>4992</v>
      </c>
      <c r="L226" t="s">
        <v>4991</v>
      </c>
      <c r="M226" t="s">
        <v>530</v>
      </c>
      <c r="N226">
        <v>2</v>
      </c>
      <c r="O226" t="s">
        <v>4990</v>
      </c>
      <c r="P226" t="s">
        <v>4989</v>
      </c>
      <c r="Q226" t="s">
        <v>4988</v>
      </c>
      <c r="R226" s="7">
        <v>31048</v>
      </c>
      <c r="S226" s="8">
        <f t="shared" si="32"/>
        <v>1985</v>
      </c>
      <c r="T226" s="8">
        <v>1985</v>
      </c>
      <c r="U226" s="8">
        <f t="shared" si="33"/>
        <v>37</v>
      </c>
      <c r="V226" s="7">
        <v>1985</v>
      </c>
      <c r="W226" t="s">
        <v>4987</v>
      </c>
      <c r="X226" s="2" t="s">
        <v>19</v>
      </c>
      <c r="Y226" s="6" t="e">
        <f t="shared" si="30"/>
        <v>#VALUE!</v>
      </c>
      <c r="AA226">
        <v>9628452</v>
      </c>
      <c r="AB226">
        <v>130030</v>
      </c>
      <c r="AD226" t="s">
        <v>4</v>
      </c>
      <c r="AE226">
        <v>226</v>
      </c>
      <c r="AF226">
        <v>1244</v>
      </c>
      <c r="AH226" t="s">
        <v>4986</v>
      </c>
      <c r="AL226">
        <v>13</v>
      </c>
      <c r="AM226" s="5">
        <f t="shared" si="34"/>
        <v>0.35135135135135137</v>
      </c>
      <c r="AN226" s="4">
        <f t="shared" si="31"/>
        <v>5.3214896077448143E-4</v>
      </c>
      <c r="AO226" s="3"/>
      <c r="AP226">
        <v>0</v>
      </c>
      <c r="AR226" t="s">
        <v>0</v>
      </c>
      <c r="AT226" s="2" t="s">
        <v>19</v>
      </c>
      <c r="AU226" s="1" t="e">
        <f t="shared" si="35"/>
        <v>#VALUE!</v>
      </c>
      <c r="AV226" s="1" t="e">
        <f t="shared" si="36"/>
        <v>#VALUE!</v>
      </c>
      <c r="AW226" s="1" t="e">
        <f t="shared" si="37"/>
        <v>#VALUE!</v>
      </c>
    </row>
    <row r="227" spans="1:49" x14ac:dyDescent="0.2">
      <c r="A227">
        <v>225</v>
      </c>
      <c r="B227" t="s">
        <v>4985</v>
      </c>
      <c r="C227" t="s">
        <v>4984</v>
      </c>
      <c r="F227" t="s">
        <v>4983</v>
      </c>
      <c r="G227" t="s">
        <v>15</v>
      </c>
      <c r="H227" t="s">
        <v>14</v>
      </c>
      <c r="I227" t="s">
        <v>2664</v>
      </c>
      <c r="J227">
        <v>60009697</v>
      </c>
      <c r="K227" t="s">
        <v>2663</v>
      </c>
      <c r="L227" t="s">
        <v>2662</v>
      </c>
      <c r="M227" t="s">
        <v>76</v>
      </c>
      <c r="N227">
        <v>2</v>
      </c>
      <c r="O227" t="s">
        <v>4982</v>
      </c>
      <c r="P227" t="s">
        <v>4981</v>
      </c>
      <c r="Q227" t="s">
        <v>2659</v>
      </c>
      <c r="R227" s="7">
        <v>31048</v>
      </c>
      <c r="S227" s="8">
        <f t="shared" si="32"/>
        <v>1985</v>
      </c>
      <c r="T227" s="8">
        <v>1985</v>
      </c>
      <c r="U227" s="8">
        <f t="shared" si="33"/>
        <v>37</v>
      </c>
      <c r="V227" s="7">
        <v>1985</v>
      </c>
      <c r="W227" s="11" t="s">
        <v>1366</v>
      </c>
      <c r="X227" s="2">
        <v>2.383</v>
      </c>
      <c r="Y227" s="6">
        <f t="shared" si="30"/>
        <v>6.3612824003630442E-2</v>
      </c>
      <c r="AA227">
        <v>1437097</v>
      </c>
      <c r="AB227">
        <v>101236</v>
      </c>
      <c r="AD227" t="s">
        <v>4</v>
      </c>
      <c r="AE227">
        <v>132</v>
      </c>
      <c r="AF227">
        <v>7</v>
      </c>
      <c r="AH227" t="s">
        <v>4980</v>
      </c>
      <c r="AL227">
        <v>3</v>
      </c>
      <c r="AM227" s="5">
        <f t="shared" si="34"/>
        <v>8.1081081081081086E-2</v>
      </c>
      <c r="AN227" s="4">
        <f t="shared" si="31"/>
        <v>1.2280360633257263E-4</v>
      </c>
      <c r="AO227" s="3"/>
      <c r="AP227">
        <v>0</v>
      </c>
      <c r="AR227" t="s">
        <v>0</v>
      </c>
      <c r="AT227" s="2" t="s">
        <v>19</v>
      </c>
      <c r="AU227" s="1">
        <f t="shared" si="35"/>
        <v>4.4565817884441081</v>
      </c>
      <c r="AV227" s="1">
        <f t="shared" si="36"/>
        <v>3.1867813804981506</v>
      </c>
      <c r="AW227" s="1">
        <f t="shared" si="37"/>
        <v>1.9169809725521934</v>
      </c>
    </row>
    <row r="228" spans="1:49" x14ac:dyDescent="0.2">
      <c r="A228">
        <v>226</v>
      </c>
      <c r="B228" t="s">
        <v>4979</v>
      </c>
      <c r="C228" t="s">
        <v>4978</v>
      </c>
      <c r="E228">
        <v>3851849</v>
      </c>
      <c r="F228" t="s">
        <v>4977</v>
      </c>
      <c r="G228" t="s">
        <v>15</v>
      </c>
      <c r="H228" t="s">
        <v>14</v>
      </c>
      <c r="I228" t="s">
        <v>4976</v>
      </c>
      <c r="J228">
        <v>60014653</v>
      </c>
      <c r="K228" t="s">
        <v>4975</v>
      </c>
      <c r="L228" t="s">
        <v>631</v>
      </c>
      <c r="M228" t="s">
        <v>122</v>
      </c>
      <c r="N228">
        <v>4</v>
      </c>
      <c r="O228" t="s">
        <v>4974</v>
      </c>
      <c r="P228" t="s">
        <v>4973</v>
      </c>
      <c r="Q228" t="s">
        <v>4972</v>
      </c>
      <c r="R228" s="7">
        <v>31048</v>
      </c>
      <c r="S228" s="8">
        <f t="shared" si="32"/>
        <v>1985</v>
      </c>
      <c r="T228" s="8">
        <v>1985</v>
      </c>
      <c r="U228" s="8">
        <f t="shared" si="33"/>
        <v>37</v>
      </c>
      <c r="V228" s="7">
        <v>1985</v>
      </c>
      <c r="W228" t="s">
        <v>4971</v>
      </c>
      <c r="X228" s="2" t="s">
        <v>19</v>
      </c>
      <c r="Y228" s="6" t="e">
        <f t="shared" si="30"/>
        <v>#VALUE!</v>
      </c>
      <c r="AA228">
        <v>222739</v>
      </c>
      <c r="AB228">
        <v>33110</v>
      </c>
      <c r="AD228" t="s">
        <v>4</v>
      </c>
      <c r="AE228">
        <v>20</v>
      </c>
      <c r="AF228">
        <v>3</v>
      </c>
      <c r="AH228" t="s">
        <v>4970</v>
      </c>
      <c r="AI228" t="s">
        <v>4969</v>
      </c>
      <c r="AK228" t="s">
        <v>4968</v>
      </c>
      <c r="AL228">
        <v>3</v>
      </c>
      <c r="AM228" s="5">
        <f t="shared" si="34"/>
        <v>8.1081081081081086E-2</v>
      </c>
      <c r="AN228" s="4">
        <f t="shared" si="31"/>
        <v>1.2280360633257263E-4</v>
      </c>
      <c r="AO228" s="3"/>
      <c r="AP228">
        <v>0</v>
      </c>
      <c r="AR228" t="s">
        <v>0</v>
      </c>
      <c r="AT228" s="2" t="s">
        <v>19</v>
      </c>
      <c r="AU228" s="1" t="e">
        <f t="shared" si="35"/>
        <v>#VALUE!</v>
      </c>
      <c r="AV228" s="1" t="e">
        <f t="shared" si="36"/>
        <v>#VALUE!</v>
      </c>
      <c r="AW228" s="1" t="e">
        <f t="shared" si="37"/>
        <v>#VALUE!</v>
      </c>
    </row>
    <row r="229" spans="1:49" x14ac:dyDescent="0.2">
      <c r="A229">
        <v>227</v>
      </c>
      <c r="B229" t="s">
        <v>4967</v>
      </c>
      <c r="C229" t="s">
        <v>4966</v>
      </c>
      <c r="D229" t="s">
        <v>4965</v>
      </c>
      <c r="E229">
        <v>3864717</v>
      </c>
      <c r="F229" t="s">
        <v>4964</v>
      </c>
      <c r="G229" t="s">
        <v>15</v>
      </c>
      <c r="H229" t="s">
        <v>14</v>
      </c>
      <c r="I229" t="s">
        <v>4963</v>
      </c>
      <c r="J229" t="s">
        <v>4962</v>
      </c>
      <c r="K229" t="s">
        <v>4961</v>
      </c>
      <c r="L229" t="s">
        <v>4960</v>
      </c>
      <c r="M229" t="s">
        <v>1056</v>
      </c>
      <c r="N229">
        <v>3</v>
      </c>
      <c r="O229" t="s">
        <v>4959</v>
      </c>
      <c r="P229" t="s">
        <v>4958</v>
      </c>
      <c r="Q229" t="s">
        <v>4957</v>
      </c>
      <c r="R229" s="7">
        <v>31048</v>
      </c>
      <c r="S229" s="8">
        <f t="shared" si="32"/>
        <v>1985</v>
      </c>
      <c r="T229" s="8">
        <v>1985</v>
      </c>
      <c r="U229" s="8">
        <f t="shared" si="33"/>
        <v>37</v>
      </c>
      <c r="V229" s="7">
        <v>1985</v>
      </c>
      <c r="W229" t="s">
        <v>4956</v>
      </c>
      <c r="X229" s="2">
        <v>0.91600000000000004</v>
      </c>
      <c r="Y229" s="6">
        <f t="shared" si="30"/>
        <v>2.4452096847387951E-2</v>
      </c>
      <c r="AA229">
        <v>3781119</v>
      </c>
      <c r="AB229">
        <v>15636</v>
      </c>
      <c r="AD229" t="s">
        <v>4</v>
      </c>
      <c r="AE229">
        <v>38</v>
      </c>
      <c r="AF229" s="9">
        <v>44256</v>
      </c>
      <c r="AH229" t="s">
        <v>187</v>
      </c>
      <c r="AI229" t="s">
        <v>4955</v>
      </c>
      <c r="AJ229" t="s">
        <v>4954</v>
      </c>
      <c r="AK229" t="s">
        <v>4953</v>
      </c>
      <c r="AL229">
        <v>86</v>
      </c>
      <c r="AM229" s="5">
        <f t="shared" si="34"/>
        <v>2.3243243243243241</v>
      </c>
      <c r="AN229" s="4">
        <f t="shared" si="31"/>
        <v>3.5203700482004151E-3</v>
      </c>
      <c r="AO229" s="3"/>
      <c r="AP229">
        <v>0</v>
      </c>
      <c r="AR229" t="s">
        <v>0</v>
      </c>
      <c r="AT229" s="2">
        <v>3.6880000000000002</v>
      </c>
      <c r="AU229" s="1">
        <f t="shared" si="35"/>
        <v>1.817257880763169</v>
      </c>
      <c r="AV229" s="1">
        <f t="shared" si="36"/>
        <v>1.3986233447794183</v>
      </c>
      <c r="AW229" s="1">
        <f t="shared" si="37"/>
        <v>0.97998880879566741</v>
      </c>
    </row>
    <row r="230" spans="1:49" x14ac:dyDescent="0.2">
      <c r="A230">
        <v>228</v>
      </c>
      <c r="B230" t="s">
        <v>4952</v>
      </c>
      <c r="C230" t="s">
        <v>4951</v>
      </c>
      <c r="F230" t="s">
        <v>4950</v>
      </c>
      <c r="G230" t="s">
        <v>15</v>
      </c>
      <c r="H230" t="s">
        <v>14</v>
      </c>
      <c r="I230" t="s">
        <v>4949</v>
      </c>
      <c r="J230">
        <v>60027271</v>
      </c>
      <c r="K230" t="s">
        <v>4281</v>
      </c>
      <c r="L230" t="s">
        <v>517</v>
      </c>
      <c r="M230" t="s">
        <v>122</v>
      </c>
      <c r="N230">
        <v>3</v>
      </c>
      <c r="O230" t="s">
        <v>4948</v>
      </c>
      <c r="P230" t="s">
        <v>4947</v>
      </c>
      <c r="Q230" t="s">
        <v>4946</v>
      </c>
      <c r="R230" s="7">
        <v>31048</v>
      </c>
      <c r="S230" s="8">
        <f t="shared" si="32"/>
        <v>1985</v>
      </c>
      <c r="T230" s="8">
        <v>1985</v>
      </c>
      <c r="U230" s="8">
        <f t="shared" si="33"/>
        <v>37</v>
      </c>
      <c r="V230" s="7">
        <v>1985</v>
      </c>
      <c r="W230" t="s">
        <v>1040</v>
      </c>
      <c r="X230" s="2">
        <v>1.67</v>
      </c>
      <c r="Y230" s="6">
        <f t="shared" si="30"/>
        <v>4.4579696217399427E-2</v>
      </c>
      <c r="AA230">
        <v>1480227</v>
      </c>
      <c r="AB230">
        <v>28428</v>
      </c>
      <c r="AD230" t="s">
        <v>4</v>
      </c>
      <c r="AE230">
        <v>90</v>
      </c>
      <c r="AF230" t="s">
        <v>1039</v>
      </c>
      <c r="AH230" t="s">
        <v>4945</v>
      </c>
      <c r="AI230" t="s">
        <v>4944</v>
      </c>
      <c r="AK230" t="s">
        <v>4943</v>
      </c>
      <c r="AL230">
        <v>59</v>
      </c>
      <c r="AM230" s="5">
        <f t="shared" si="34"/>
        <v>1.5945945945945945</v>
      </c>
      <c r="AN230" s="4">
        <f t="shared" si="31"/>
        <v>2.4151375912072615E-3</v>
      </c>
      <c r="AO230" s="3"/>
      <c r="AP230">
        <v>0</v>
      </c>
      <c r="AR230" t="s">
        <v>0</v>
      </c>
      <c r="AT230" s="2" t="s">
        <v>19</v>
      </c>
      <c r="AU230" s="1">
        <f t="shared" si="35"/>
        <v>3.1930328629541775</v>
      </c>
      <c r="AV230" s="1">
        <f t="shared" si="36"/>
        <v>2.3497416904303345</v>
      </c>
      <c r="AW230" s="1">
        <f t="shared" si="37"/>
        <v>1.5064505179064911</v>
      </c>
    </row>
    <row r="231" spans="1:49" x14ac:dyDescent="0.2">
      <c r="A231">
        <v>229</v>
      </c>
      <c r="B231" t="s">
        <v>4942</v>
      </c>
      <c r="C231" t="s">
        <v>4941</v>
      </c>
      <c r="F231" t="s">
        <v>4940</v>
      </c>
      <c r="G231" t="s">
        <v>15</v>
      </c>
      <c r="H231" t="s">
        <v>14</v>
      </c>
      <c r="I231" t="s">
        <v>4939</v>
      </c>
      <c r="J231">
        <v>60024185</v>
      </c>
      <c r="K231" t="s">
        <v>4938</v>
      </c>
      <c r="L231" t="s">
        <v>4937</v>
      </c>
      <c r="M231" t="s">
        <v>122</v>
      </c>
      <c r="N231">
        <v>2</v>
      </c>
      <c r="O231" t="s">
        <v>4936</v>
      </c>
      <c r="P231" t="s">
        <v>4935</v>
      </c>
      <c r="Q231" t="s">
        <v>4934</v>
      </c>
      <c r="R231" s="7">
        <v>31048</v>
      </c>
      <c r="S231" s="8">
        <f t="shared" si="32"/>
        <v>1985</v>
      </c>
      <c r="T231" s="8">
        <v>1985</v>
      </c>
      <c r="U231" s="8">
        <f t="shared" si="33"/>
        <v>37</v>
      </c>
      <c r="V231" s="7">
        <v>1985</v>
      </c>
      <c r="W231" t="s">
        <v>4933</v>
      </c>
      <c r="X231" s="2">
        <v>12.555999999999999</v>
      </c>
      <c r="Y231" s="6">
        <f t="shared" si="30"/>
        <v>0.33517524892554923</v>
      </c>
      <c r="AA231">
        <v>368075</v>
      </c>
      <c r="AB231">
        <v>23571</v>
      </c>
      <c r="AD231" t="s">
        <v>4</v>
      </c>
      <c r="AE231">
        <v>229</v>
      </c>
      <c r="AF231">
        <v>4709</v>
      </c>
      <c r="AH231" t="s">
        <v>4932</v>
      </c>
      <c r="AI231" t="s">
        <v>4931</v>
      </c>
      <c r="AK231" t="s">
        <v>4930</v>
      </c>
      <c r="AL231">
        <v>14</v>
      </c>
      <c r="AM231" s="5">
        <f t="shared" si="34"/>
        <v>0.3783783783783784</v>
      </c>
      <c r="AN231" s="4">
        <f t="shared" si="31"/>
        <v>5.7308349621867233E-4</v>
      </c>
      <c r="AO231" s="3"/>
      <c r="AP231">
        <v>0</v>
      </c>
      <c r="AR231" t="s">
        <v>0</v>
      </c>
      <c r="AT231" s="2">
        <v>47.728000000000002</v>
      </c>
      <c r="AU231" s="1">
        <f t="shared" si="35"/>
        <v>23.479459929675002</v>
      </c>
      <c r="AV231" s="1">
        <f t="shared" si="36"/>
        <v>16.787416621088393</v>
      </c>
      <c r="AW231" s="1">
        <f t="shared" si="37"/>
        <v>10.095373312501783</v>
      </c>
    </row>
    <row r="232" spans="1:49" x14ac:dyDescent="0.2">
      <c r="A232">
        <v>230</v>
      </c>
      <c r="B232" t="s">
        <v>4929</v>
      </c>
      <c r="F232" t="s">
        <v>4928</v>
      </c>
      <c r="G232" t="s">
        <v>15</v>
      </c>
      <c r="H232" t="s">
        <v>14</v>
      </c>
      <c r="I232" t="s">
        <v>4927</v>
      </c>
      <c r="J232">
        <v>60009839</v>
      </c>
      <c r="K232" t="s">
        <v>4926</v>
      </c>
      <c r="L232" t="s">
        <v>4925</v>
      </c>
      <c r="M232" t="s">
        <v>76</v>
      </c>
      <c r="N232">
        <v>1</v>
      </c>
      <c r="O232" t="s">
        <v>4924</v>
      </c>
      <c r="P232">
        <v>7006213848</v>
      </c>
      <c r="Q232">
        <v>60009839</v>
      </c>
      <c r="R232" s="7">
        <v>31048</v>
      </c>
      <c r="S232" s="8">
        <f t="shared" si="32"/>
        <v>1985</v>
      </c>
      <c r="T232" s="8">
        <v>1985</v>
      </c>
      <c r="U232" s="8">
        <f t="shared" si="33"/>
        <v>37</v>
      </c>
      <c r="V232" s="7">
        <v>1985</v>
      </c>
      <c r="W232" t="s">
        <v>4923</v>
      </c>
      <c r="X232" s="2" t="s">
        <v>19</v>
      </c>
      <c r="Y232" s="6" t="e">
        <f t="shared" si="30"/>
        <v>#VALUE!</v>
      </c>
      <c r="AB232">
        <v>12366</v>
      </c>
      <c r="AD232" t="s">
        <v>4</v>
      </c>
      <c r="AE232">
        <v>51</v>
      </c>
      <c r="AF232">
        <v>10</v>
      </c>
      <c r="AH232" t="s">
        <v>4922</v>
      </c>
      <c r="AI232" t="s">
        <v>4921</v>
      </c>
      <c r="AK232" t="s">
        <v>4920</v>
      </c>
      <c r="AL232">
        <v>2</v>
      </c>
      <c r="AM232" s="5">
        <f t="shared" si="34"/>
        <v>5.4054054054054057E-2</v>
      </c>
      <c r="AN232" s="4">
        <f t="shared" si="31"/>
        <v>8.1869070888381765E-5</v>
      </c>
      <c r="AO232" s="3"/>
      <c r="AP232">
        <v>0</v>
      </c>
      <c r="AR232" t="s">
        <v>0</v>
      </c>
      <c r="AT232" s="2" t="s">
        <v>19</v>
      </c>
      <c r="AU232" s="1" t="e">
        <f t="shared" si="35"/>
        <v>#VALUE!</v>
      </c>
      <c r="AV232" s="1" t="e">
        <f t="shared" si="36"/>
        <v>#VALUE!</v>
      </c>
      <c r="AW232" s="1" t="e">
        <f t="shared" si="37"/>
        <v>#VALUE!</v>
      </c>
    </row>
    <row r="233" spans="1:49" x14ac:dyDescent="0.2">
      <c r="A233">
        <v>231</v>
      </c>
      <c r="B233" t="s">
        <v>4919</v>
      </c>
      <c r="C233" t="s">
        <v>4918</v>
      </c>
      <c r="F233" t="s">
        <v>4917</v>
      </c>
      <c r="G233" t="s">
        <v>15</v>
      </c>
      <c r="H233" t="s">
        <v>14</v>
      </c>
      <c r="I233" t="s">
        <v>4916</v>
      </c>
      <c r="J233" t="s">
        <v>4911</v>
      </c>
      <c r="K233" t="s">
        <v>4915</v>
      </c>
      <c r="L233" t="s">
        <v>4914</v>
      </c>
      <c r="M233" t="s">
        <v>28</v>
      </c>
      <c r="N233">
        <v>2</v>
      </c>
      <c r="O233" t="s">
        <v>4913</v>
      </c>
      <c r="P233" t="s">
        <v>4912</v>
      </c>
      <c r="Q233" t="s">
        <v>4911</v>
      </c>
      <c r="R233" s="7">
        <v>31048</v>
      </c>
      <c r="S233" s="8">
        <f t="shared" si="32"/>
        <v>1985</v>
      </c>
      <c r="T233" s="8">
        <v>1985</v>
      </c>
      <c r="U233" s="8">
        <f t="shared" si="33"/>
        <v>37</v>
      </c>
      <c r="V233" s="7">
        <v>31382</v>
      </c>
      <c r="W233" t="s">
        <v>3361</v>
      </c>
      <c r="X233" s="2">
        <v>0.46</v>
      </c>
      <c r="Y233" s="6">
        <f t="shared" si="30"/>
        <v>1.2279437281439364E-2</v>
      </c>
      <c r="AA233">
        <v>933813</v>
      </c>
      <c r="AB233">
        <v>28031</v>
      </c>
      <c r="AC233">
        <v>19399375</v>
      </c>
      <c r="AD233" t="s">
        <v>4</v>
      </c>
      <c r="AE233">
        <v>13</v>
      </c>
      <c r="AF233">
        <v>6</v>
      </c>
      <c r="AH233" t="s">
        <v>4910</v>
      </c>
      <c r="AI233" t="s">
        <v>4909</v>
      </c>
      <c r="AK233" t="s">
        <v>4908</v>
      </c>
      <c r="AL233">
        <v>6</v>
      </c>
      <c r="AM233" s="5">
        <f t="shared" si="34"/>
        <v>0.16216216216216217</v>
      </c>
      <c r="AN233" s="4">
        <f t="shared" si="31"/>
        <v>2.4560721266514527E-4</v>
      </c>
      <c r="AO233" s="3"/>
      <c r="AP233">
        <v>0</v>
      </c>
      <c r="AR233" t="s">
        <v>0</v>
      </c>
      <c r="AT233" s="2">
        <v>1.222</v>
      </c>
      <c r="AU233" s="1">
        <f t="shared" si="35"/>
        <v>0.86692882608070976</v>
      </c>
      <c r="AV233" s="1">
        <f t="shared" si="36"/>
        <v>0.62625222470522546</v>
      </c>
      <c r="AW233" s="1">
        <f t="shared" si="37"/>
        <v>0.38557562332974105</v>
      </c>
    </row>
    <row r="234" spans="1:49" x14ac:dyDescent="0.2">
      <c r="A234">
        <v>232</v>
      </c>
      <c r="B234" t="s">
        <v>4907</v>
      </c>
      <c r="C234" t="s">
        <v>4906</v>
      </c>
      <c r="F234" t="s">
        <v>4905</v>
      </c>
      <c r="G234" t="s">
        <v>15</v>
      </c>
      <c r="H234" t="s">
        <v>14</v>
      </c>
      <c r="I234" t="s">
        <v>4904</v>
      </c>
      <c r="J234">
        <v>60032315</v>
      </c>
      <c r="K234" t="s">
        <v>4903</v>
      </c>
      <c r="L234" t="s">
        <v>4902</v>
      </c>
      <c r="M234" t="s">
        <v>544</v>
      </c>
      <c r="N234">
        <v>2</v>
      </c>
      <c r="O234" t="s">
        <v>4901</v>
      </c>
      <c r="P234" t="s">
        <v>4900</v>
      </c>
      <c r="Q234" t="s">
        <v>4899</v>
      </c>
      <c r="R234" s="7">
        <v>31048</v>
      </c>
      <c r="S234" s="8">
        <f t="shared" si="32"/>
        <v>1985</v>
      </c>
      <c r="T234" s="8">
        <v>1985</v>
      </c>
      <c r="U234" s="8">
        <f t="shared" si="33"/>
        <v>37</v>
      </c>
      <c r="V234" s="7">
        <v>1985</v>
      </c>
      <c r="W234" t="s">
        <v>4801</v>
      </c>
      <c r="X234" s="2" t="s">
        <v>19</v>
      </c>
      <c r="Y234" s="6" t="e">
        <f t="shared" si="30"/>
        <v>#VALUE!</v>
      </c>
      <c r="AA234">
        <v>221392</v>
      </c>
      <c r="AB234">
        <v>34890</v>
      </c>
      <c r="AD234" t="s">
        <v>4</v>
      </c>
      <c r="AE234">
        <v>37</v>
      </c>
      <c r="AF234">
        <v>3</v>
      </c>
      <c r="AH234" t="s">
        <v>4898</v>
      </c>
      <c r="AI234" t="s">
        <v>4897</v>
      </c>
      <c r="AK234" t="s">
        <v>4896</v>
      </c>
      <c r="AL234">
        <v>21</v>
      </c>
      <c r="AM234" s="5">
        <f t="shared" si="34"/>
        <v>0.56756756756756754</v>
      </c>
      <c r="AN234" s="4">
        <f t="shared" si="31"/>
        <v>8.5962524432800838E-4</v>
      </c>
      <c r="AO234" s="3"/>
      <c r="AP234">
        <v>1</v>
      </c>
      <c r="AR234" t="s">
        <v>0</v>
      </c>
      <c r="AT234" s="2" t="s">
        <v>19</v>
      </c>
      <c r="AU234" s="1" t="e">
        <f t="shared" si="35"/>
        <v>#VALUE!</v>
      </c>
      <c r="AV234" s="1" t="e">
        <f t="shared" si="36"/>
        <v>#VALUE!</v>
      </c>
      <c r="AW234" s="1" t="e">
        <f t="shared" si="37"/>
        <v>#VALUE!</v>
      </c>
    </row>
    <row r="235" spans="1:49" x14ac:dyDescent="0.2">
      <c r="A235">
        <v>233</v>
      </c>
      <c r="B235" t="s">
        <v>4895</v>
      </c>
      <c r="C235" t="s">
        <v>4894</v>
      </c>
      <c r="F235" t="s">
        <v>4893</v>
      </c>
      <c r="G235" t="s">
        <v>15</v>
      </c>
      <c r="H235" t="s">
        <v>14</v>
      </c>
      <c r="I235" t="s">
        <v>4541</v>
      </c>
      <c r="J235" t="s">
        <v>4540</v>
      </c>
      <c r="K235" t="s">
        <v>4539</v>
      </c>
      <c r="L235" t="s">
        <v>4538</v>
      </c>
      <c r="M235" t="s">
        <v>4537</v>
      </c>
      <c r="N235">
        <v>2</v>
      </c>
      <c r="O235" t="s">
        <v>4536</v>
      </c>
      <c r="P235" t="s">
        <v>4535</v>
      </c>
      <c r="Q235" t="s">
        <v>4534</v>
      </c>
      <c r="R235" s="7">
        <v>31048</v>
      </c>
      <c r="S235" s="8">
        <f t="shared" si="32"/>
        <v>1985</v>
      </c>
      <c r="T235" s="8">
        <v>1985</v>
      </c>
      <c r="U235" s="8">
        <f t="shared" si="33"/>
        <v>37</v>
      </c>
      <c r="V235" s="7">
        <v>31382</v>
      </c>
      <c r="W235" t="s">
        <v>24</v>
      </c>
      <c r="X235" s="2">
        <v>1.6519999999999999</v>
      </c>
      <c r="Y235" s="6">
        <f t="shared" si="30"/>
        <v>4.409919649769093E-2</v>
      </c>
      <c r="AA235" t="s">
        <v>23</v>
      </c>
      <c r="AB235">
        <v>17337</v>
      </c>
      <c r="AC235">
        <v>15582221</v>
      </c>
      <c r="AD235" t="s">
        <v>4</v>
      </c>
      <c r="AE235">
        <v>33</v>
      </c>
      <c r="AF235">
        <v>12</v>
      </c>
      <c r="AH235" t="s">
        <v>4892</v>
      </c>
      <c r="AI235" t="s">
        <v>4891</v>
      </c>
      <c r="AK235" t="s">
        <v>4890</v>
      </c>
      <c r="AL235">
        <v>24</v>
      </c>
      <c r="AM235" s="5">
        <f t="shared" si="34"/>
        <v>0.64864864864864868</v>
      </c>
      <c r="AN235" s="4">
        <f t="shared" si="31"/>
        <v>9.8242885066058107E-4</v>
      </c>
      <c r="AO235" s="3"/>
      <c r="AP235">
        <v>0</v>
      </c>
      <c r="AR235" t="s">
        <v>0</v>
      </c>
      <c r="AT235" s="2" t="s">
        <v>19</v>
      </c>
      <c r="AU235" s="1">
        <f t="shared" si="35"/>
        <v>3.1164166203581827</v>
      </c>
      <c r="AV235" s="1">
        <f t="shared" si="36"/>
        <v>2.2540812674175759</v>
      </c>
      <c r="AW235" s="1">
        <f t="shared" si="37"/>
        <v>1.3917459144769684</v>
      </c>
    </row>
    <row r="236" spans="1:49" x14ac:dyDescent="0.2">
      <c r="A236">
        <v>234</v>
      </c>
      <c r="B236" t="s">
        <v>4889</v>
      </c>
      <c r="C236" t="s">
        <v>4888</v>
      </c>
      <c r="F236" t="s">
        <v>4887</v>
      </c>
      <c r="G236" t="s">
        <v>15</v>
      </c>
      <c r="H236" t="s">
        <v>14</v>
      </c>
      <c r="I236" t="s">
        <v>4886</v>
      </c>
      <c r="J236">
        <v>60003500</v>
      </c>
      <c r="K236" t="s">
        <v>925</v>
      </c>
      <c r="L236" t="s">
        <v>924</v>
      </c>
      <c r="M236" t="s">
        <v>122</v>
      </c>
      <c r="N236">
        <v>3</v>
      </c>
      <c r="O236" t="s">
        <v>4885</v>
      </c>
      <c r="P236" t="s">
        <v>4884</v>
      </c>
      <c r="Q236" t="s">
        <v>4883</v>
      </c>
      <c r="R236" s="7">
        <v>31048</v>
      </c>
      <c r="S236" s="8">
        <f t="shared" si="32"/>
        <v>1985</v>
      </c>
      <c r="T236" s="8">
        <v>1985</v>
      </c>
      <c r="U236" s="8">
        <f t="shared" si="33"/>
        <v>37</v>
      </c>
      <c r="V236" s="7">
        <v>31382</v>
      </c>
      <c r="W236" t="s">
        <v>24</v>
      </c>
      <c r="X236" s="2">
        <v>1.6519999999999999</v>
      </c>
      <c r="Y236" s="6">
        <f t="shared" si="30"/>
        <v>4.409919649769093E-2</v>
      </c>
      <c r="AA236" t="s">
        <v>23</v>
      </c>
      <c r="AB236">
        <v>17337</v>
      </c>
      <c r="AC236">
        <v>15582221</v>
      </c>
      <c r="AD236" t="s">
        <v>4</v>
      </c>
      <c r="AE236">
        <v>33</v>
      </c>
      <c r="AF236">
        <v>12</v>
      </c>
      <c r="AH236" t="s">
        <v>4882</v>
      </c>
      <c r="AI236" t="s">
        <v>4881</v>
      </c>
      <c r="AK236" t="s">
        <v>4880</v>
      </c>
      <c r="AL236">
        <v>9</v>
      </c>
      <c r="AM236" s="5">
        <f t="shared" si="34"/>
        <v>0.24324324324324326</v>
      </c>
      <c r="AN236" s="4">
        <f t="shared" si="31"/>
        <v>3.684108189977179E-4</v>
      </c>
      <c r="AO236" s="3"/>
      <c r="AP236">
        <v>0</v>
      </c>
      <c r="AR236" t="s">
        <v>0</v>
      </c>
      <c r="AT236" s="2" t="s">
        <v>19</v>
      </c>
      <c r="AU236" s="1">
        <f t="shared" si="35"/>
        <v>3.0979960794082966</v>
      </c>
      <c r="AV236" s="1">
        <f t="shared" si="36"/>
        <v>2.2233803658344322</v>
      </c>
      <c r="AW236" s="1">
        <f t="shared" si="37"/>
        <v>1.3487646522605681</v>
      </c>
    </row>
    <row r="237" spans="1:49" x14ac:dyDescent="0.2">
      <c r="A237">
        <v>235</v>
      </c>
      <c r="B237" t="s">
        <v>4879</v>
      </c>
      <c r="C237" t="s">
        <v>4878</v>
      </c>
      <c r="F237" t="s">
        <v>4877</v>
      </c>
      <c r="G237" t="s">
        <v>15</v>
      </c>
      <c r="H237" t="s">
        <v>14</v>
      </c>
      <c r="I237" t="s">
        <v>2875</v>
      </c>
      <c r="N237">
        <v>1</v>
      </c>
      <c r="O237" t="s">
        <v>2874</v>
      </c>
      <c r="P237">
        <v>24512080300</v>
      </c>
      <c r="R237" s="7">
        <v>31048</v>
      </c>
      <c r="S237" s="8">
        <f t="shared" si="32"/>
        <v>1985</v>
      </c>
      <c r="T237" s="8">
        <v>1985</v>
      </c>
      <c r="U237" s="8">
        <f t="shared" si="33"/>
        <v>37</v>
      </c>
      <c r="V237" s="7">
        <v>31382</v>
      </c>
      <c r="W237" t="s">
        <v>24</v>
      </c>
      <c r="X237" s="2">
        <v>1.6519999999999999</v>
      </c>
      <c r="Y237" s="6">
        <f t="shared" si="30"/>
        <v>4.409919649769093E-2</v>
      </c>
      <c r="AA237" t="s">
        <v>23</v>
      </c>
      <c r="AB237">
        <v>17337</v>
      </c>
      <c r="AC237">
        <v>15582221</v>
      </c>
      <c r="AD237" t="s">
        <v>4</v>
      </c>
      <c r="AE237">
        <v>33</v>
      </c>
      <c r="AF237">
        <v>12</v>
      </c>
      <c r="AH237" t="s">
        <v>4876</v>
      </c>
      <c r="AI237" t="s">
        <v>4875</v>
      </c>
      <c r="AK237" t="s">
        <v>4874</v>
      </c>
      <c r="AL237">
        <v>87</v>
      </c>
      <c r="AM237" s="5">
        <f t="shared" si="34"/>
        <v>2.3513513513513513</v>
      </c>
      <c r="AN237" s="4">
        <f t="shared" si="31"/>
        <v>3.5613045836446061E-3</v>
      </c>
      <c r="AO237" s="3"/>
      <c r="AP237">
        <v>0</v>
      </c>
      <c r="AR237" t="s">
        <v>0</v>
      </c>
      <c r="AT237" s="2" t="s">
        <v>19</v>
      </c>
      <c r="AU237" s="1">
        <f t="shared" si="35"/>
        <v>3.1937828923477034</v>
      </c>
      <c r="AV237" s="1">
        <f t="shared" si="36"/>
        <v>2.3830250540667768</v>
      </c>
      <c r="AW237" s="1">
        <f t="shared" si="37"/>
        <v>1.5722672157858504</v>
      </c>
    </row>
    <row r="238" spans="1:49" x14ac:dyDescent="0.2">
      <c r="A238">
        <v>236</v>
      </c>
      <c r="B238" t="s">
        <v>4873</v>
      </c>
      <c r="C238" t="s">
        <v>4872</v>
      </c>
      <c r="F238" t="s">
        <v>4871</v>
      </c>
      <c r="G238" t="s">
        <v>15</v>
      </c>
      <c r="H238" t="s">
        <v>14</v>
      </c>
      <c r="I238" t="s">
        <v>4870</v>
      </c>
      <c r="J238" t="s">
        <v>4869</v>
      </c>
      <c r="K238" t="s">
        <v>4868</v>
      </c>
      <c r="L238" t="s">
        <v>4867</v>
      </c>
      <c r="M238" t="s">
        <v>28</v>
      </c>
      <c r="N238">
        <v>4</v>
      </c>
      <c r="O238" t="s">
        <v>4866</v>
      </c>
      <c r="P238" t="s">
        <v>4865</v>
      </c>
      <c r="Q238" t="s">
        <v>4864</v>
      </c>
      <c r="R238" s="7">
        <v>31048</v>
      </c>
      <c r="S238" s="8">
        <f t="shared" si="32"/>
        <v>1985</v>
      </c>
      <c r="T238" s="8">
        <v>1985</v>
      </c>
      <c r="U238" s="8">
        <f t="shared" si="33"/>
        <v>37</v>
      </c>
      <c r="V238" s="7">
        <v>1985</v>
      </c>
      <c r="W238" t="s">
        <v>4801</v>
      </c>
      <c r="X238" s="2" t="s">
        <v>19</v>
      </c>
      <c r="Y238" s="6" t="e">
        <f t="shared" si="30"/>
        <v>#VALUE!</v>
      </c>
      <c r="AA238">
        <v>221392</v>
      </c>
      <c r="AB238">
        <v>34890</v>
      </c>
      <c r="AD238" t="s">
        <v>4</v>
      </c>
      <c r="AE238">
        <v>37</v>
      </c>
      <c r="AF238">
        <v>12</v>
      </c>
      <c r="AH238" t="s">
        <v>4863</v>
      </c>
      <c r="AI238" t="s">
        <v>4862</v>
      </c>
      <c r="AK238" t="s">
        <v>4861</v>
      </c>
      <c r="AL238">
        <v>73</v>
      </c>
      <c r="AM238" s="5">
        <f t="shared" si="34"/>
        <v>1.972972972972973</v>
      </c>
      <c r="AN238" s="4">
        <f t="shared" si="31"/>
        <v>2.9882210874259342E-3</v>
      </c>
      <c r="AO238" s="3"/>
      <c r="AP238">
        <v>1</v>
      </c>
      <c r="AR238" t="s">
        <v>0</v>
      </c>
      <c r="AT238" s="2" t="s">
        <v>19</v>
      </c>
      <c r="AU238" s="1" t="e">
        <f t="shared" si="35"/>
        <v>#VALUE!</v>
      </c>
      <c r="AV238" s="1" t="e">
        <f t="shared" si="36"/>
        <v>#VALUE!</v>
      </c>
      <c r="AW238" s="1" t="e">
        <f t="shared" si="37"/>
        <v>#VALUE!</v>
      </c>
    </row>
    <row r="239" spans="1:49" x14ac:dyDescent="0.2">
      <c r="A239">
        <v>237</v>
      </c>
      <c r="B239" t="s">
        <v>4860</v>
      </c>
      <c r="C239" t="s">
        <v>4859</v>
      </c>
      <c r="F239" t="s">
        <v>4858</v>
      </c>
      <c r="G239" t="s">
        <v>15</v>
      </c>
      <c r="H239" t="s">
        <v>14</v>
      </c>
      <c r="I239" t="s">
        <v>4857</v>
      </c>
      <c r="J239">
        <v>60022195</v>
      </c>
      <c r="K239" t="s">
        <v>1852</v>
      </c>
      <c r="L239" t="s">
        <v>358</v>
      </c>
      <c r="M239" t="s">
        <v>122</v>
      </c>
      <c r="N239">
        <v>4</v>
      </c>
      <c r="O239" t="s">
        <v>4856</v>
      </c>
      <c r="P239" t="s">
        <v>4855</v>
      </c>
      <c r="Q239" t="s">
        <v>4854</v>
      </c>
      <c r="R239" s="7">
        <v>31048</v>
      </c>
      <c r="S239" s="8">
        <f t="shared" si="32"/>
        <v>1985</v>
      </c>
      <c r="T239" s="8">
        <v>1985</v>
      </c>
      <c r="U239" s="8">
        <f t="shared" si="33"/>
        <v>37</v>
      </c>
      <c r="V239" s="7">
        <v>31382</v>
      </c>
      <c r="W239" t="s">
        <v>3361</v>
      </c>
      <c r="X239" s="2">
        <v>0.46</v>
      </c>
      <c r="Y239" s="6">
        <f t="shared" si="30"/>
        <v>1.2279437281439364E-2</v>
      </c>
      <c r="AA239">
        <v>933813</v>
      </c>
      <c r="AB239">
        <v>28031</v>
      </c>
      <c r="AC239">
        <v>19399375</v>
      </c>
      <c r="AD239" t="s">
        <v>4</v>
      </c>
      <c r="AE239">
        <v>13</v>
      </c>
      <c r="AF239">
        <v>6</v>
      </c>
      <c r="AH239" t="s">
        <v>4853</v>
      </c>
      <c r="AI239" t="s">
        <v>4852</v>
      </c>
      <c r="AK239" t="s">
        <v>4851</v>
      </c>
      <c r="AL239">
        <v>15</v>
      </c>
      <c r="AM239" s="5">
        <f t="shared" si="34"/>
        <v>0.40540540540540543</v>
      </c>
      <c r="AN239" s="4">
        <f t="shared" si="31"/>
        <v>6.1401803166286322E-4</v>
      </c>
      <c r="AO239" s="3"/>
      <c r="AP239">
        <v>0</v>
      </c>
      <c r="AR239" t="s">
        <v>0</v>
      </c>
      <c r="AT239" s="2">
        <v>1.222</v>
      </c>
      <c r="AU239" s="1">
        <f t="shared" si="35"/>
        <v>0.8779811506506412</v>
      </c>
      <c r="AV239" s="1">
        <f t="shared" si="36"/>
        <v>0.64467276565511134</v>
      </c>
      <c r="AW239" s="1">
        <f t="shared" si="37"/>
        <v>0.41136438065958131</v>
      </c>
    </row>
    <row r="240" spans="1:49" x14ac:dyDescent="0.2">
      <c r="A240">
        <v>238</v>
      </c>
      <c r="B240" t="s">
        <v>4850</v>
      </c>
      <c r="F240" t="s">
        <v>4849</v>
      </c>
      <c r="G240" t="s">
        <v>15</v>
      </c>
      <c r="H240" t="s">
        <v>14</v>
      </c>
      <c r="I240" t="s">
        <v>4848</v>
      </c>
      <c r="J240">
        <v>60092258</v>
      </c>
      <c r="K240" t="s">
        <v>4847</v>
      </c>
      <c r="L240" t="s">
        <v>4846</v>
      </c>
      <c r="M240" t="s">
        <v>544</v>
      </c>
      <c r="N240">
        <v>1</v>
      </c>
      <c r="O240" t="s">
        <v>4845</v>
      </c>
      <c r="P240">
        <v>24281871400</v>
      </c>
      <c r="Q240">
        <v>60092258</v>
      </c>
      <c r="R240" s="7">
        <v>31048</v>
      </c>
      <c r="S240" s="8">
        <f t="shared" si="32"/>
        <v>1985</v>
      </c>
      <c r="T240" s="8">
        <v>1985</v>
      </c>
      <c r="U240" s="8">
        <f t="shared" si="33"/>
        <v>37</v>
      </c>
      <c r="V240" s="7">
        <v>1985</v>
      </c>
      <c r="W240" t="s">
        <v>4844</v>
      </c>
      <c r="X240" s="2" t="s">
        <v>19</v>
      </c>
      <c r="Y240" s="6" t="e">
        <f t="shared" si="30"/>
        <v>#VALUE!</v>
      </c>
      <c r="AA240">
        <v>2774488</v>
      </c>
      <c r="AB240">
        <v>34396</v>
      </c>
      <c r="AD240" t="s">
        <v>4</v>
      </c>
      <c r="AE240">
        <v>5</v>
      </c>
      <c r="AF240">
        <v>4</v>
      </c>
      <c r="AH240" t="s">
        <v>4843</v>
      </c>
      <c r="AI240" t="s">
        <v>4842</v>
      </c>
      <c r="AK240" t="s">
        <v>4841</v>
      </c>
      <c r="AL240">
        <v>0</v>
      </c>
      <c r="AM240" s="5">
        <f t="shared" si="34"/>
        <v>0</v>
      </c>
      <c r="AN240" s="4">
        <f t="shared" si="31"/>
        <v>0</v>
      </c>
      <c r="AO240" s="3"/>
      <c r="AP240">
        <v>0</v>
      </c>
      <c r="AR240" t="s">
        <v>0</v>
      </c>
      <c r="AT240" s="2" t="s">
        <v>19</v>
      </c>
      <c r="AU240" s="1" t="e">
        <f t="shared" si="35"/>
        <v>#VALUE!</v>
      </c>
      <c r="AV240" s="1" t="e">
        <f t="shared" si="36"/>
        <v>#VALUE!</v>
      </c>
      <c r="AW240" s="1" t="e">
        <f t="shared" si="37"/>
        <v>#VALUE!</v>
      </c>
    </row>
    <row r="241" spans="1:49" x14ac:dyDescent="0.2">
      <c r="A241">
        <v>239</v>
      </c>
      <c r="B241" t="s">
        <v>4840</v>
      </c>
      <c r="C241" t="s">
        <v>4839</v>
      </c>
      <c r="F241" t="s">
        <v>4838</v>
      </c>
      <c r="G241" t="s">
        <v>15</v>
      </c>
      <c r="H241" t="s">
        <v>14</v>
      </c>
      <c r="I241" t="s">
        <v>4837</v>
      </c>
      <c r="J241" t="s">
        <v>4832</v>
      </c>
      <c r="K241" t="s">
        <v>4836</v>
      </c>
      <c r="L241" t="s">
        <v>4835</v>
      </c>
      <c r="M241" t="s">
        <v>28</v>
      </c>
      <c r="N241">
        <v>2</v>
      </c>
      <c r="O241" t="s">
        <v>4834</v>
      </c>
      <c r="P241" t="s">
        <v>4833</v>
      </c>
      <c r="Q241" t="s">
        <v>4832</v>
      </c>
      <c r="R241" s="7">
        <v>31048</v>
      </c>
      <c r="S241" s="8">
        <f t="shared" si="32"/>
        <v>1985</v>
      </c>
      <c r="T241" s="8">
        <v>1985</v>
      </c>
      <c r="U241" s="8">
        <f t="shared" si="33"/>
        <v>37</v>
      </c>
      <c r="V241" s="7">
        <v>31382</v>
      </c>
      <c r="W241" t="s">
        <v>24</v>
      </c>
      <c r="X241" s="2">
        <v>1.6519999999999999</v>
      </c>
      <c r="Y241" s="6">
        <f t="shared" si="30"/>
        <v>4.409919649769093E-2</v>
      </c>
      <c r="AA241" t="s">
        <v>23</v>
      </c>
      <c r="AB241">
        <v>17337</v>
      </c>
      <c r="AC241">
        <v>15582221</v>
      </c>
      <c r="AD241" t="s">
        <v>4</v>
      </c>
      <c r="AE241">
        <v>33</v>
      </c>
      <c r="AF241">
        <v>12</v>
      </c>
      <c r="AH241" t="s">
        <v>4831</v>
      </c>
      <c r="AI241" t="s">
        <v>4830</v>
      </c>
      <c r="AK241" t="s">
        <v>4829</v>
      </c>
      <c r="AL241">
        <v>4</v>
      </c>
      <c r="AM241" s="5">
        <f t="shared" si="34"/>
        <v>0.10810810810810811</v>
      </c>
      <c r="AN241" s="4">
        <f t="shared" si="31"/>
        <v>1.6373814177676353E-4</v>
      </c>
      <c r="AO241" s="3"/>
      <c r="AP241">
        <v>0</v>
      </c>
      <c r="AR241" t="s">
        <v>0</v>
      </c>
      <c r="AT241" s="2" t="s">
        <v>19</v>
      </c>
      <c r="AU241" s="1">
        <f t="shared" si="35"/>
        <v>3.091855899091668</v>
      </c>
      <c r="AV241" s="1">
        <f t="shared" si="36"/>
        <v>2.2131467319733846</v>
      </c>
      <c r="AW241" s="1">
        <f t="shared" si="37"/>
        <v>1.3344375648551012</v>
      </c>
    </row>
    <row r="242" spans="1:49" x14ac:dyDescent="0.2">
      <c r="A242">
        <v>240</v>
      </c>
      <c r="B242" t="s">
        <v>4828</v>
      </c>
      <c r="F242" t="s">
        <v>4827</v>
      </c>
      <c r="G242" t="s">
        <v>15</v>
      </c>
      <c r="H242" t="s">
        <v>14</v>
      </c>
      <c r="I242" t="s">
        <v>4826</v>
      </c>
      <c r="J242">
        <v>60028333</v>
      </c>
      <c r="K242" t="s">
        <v>2733</v>
      </c>
      <c r="L242" t="s">
        <v>2732</v>
      </c>
      <c r="M242" t="s">
        <v>43</v>
      </c>
      <c r="N242">
        <v>2</v>
      </c>
      <c r="O242" t="s">
        <v>4825</v>
      </c>
      <c r="P242" t="s">
        <v>4824</v>
      </c>
      <c r="Q242" t="s">
        <v>4823</v>
      </c>
      <c r="R242" s="7">
        <v>31048</v>
      </c>
      <c r="S242" s="8">
        <f t="shared" si="32"/>
        <v>1985</v>
      </c>
      <c r="T242" s="8">
        <v>1985</v>
      </c>
      <c r="U242" s="8">
        <f t="shared" si="33"/>
        <v>37</v>
      </c>
      <c r="V242" s="7">
        <v>1985</v>
      </c>
      <c r="W242" t="s">
        <v>4822</v>
      </c>
      <c r="X242" s="2" t="s">
        <v>19</v>
      </c>
      <c r="Y242" s="6" t="e">
        <f t="shared" si="30"/>
        <v>#VALUE!</v>
      </c>
      <c r="AB242">
        <v>30988</v>
      </c>
      <c r="AD242" t="s">
        <v>4</v>
      </c>
      <c r="AE242">
        <v>42</v>
      </c>
      <c r="AH242" t="s">
        <v>4821</v>
      </c>
      <c r="AI242" t="s">
        <v>4820</v>
      </c>
      <c r="AK242" t="s">
        <v>4819</v>
      </c>
      <c r="AL242">
        <v>0</v>
      </c>
      <c r="AM242" s="5">
        <f t="shared" si="34"/>
        <v>0</v>
      </c>
      <c r="AN242" s="4">
        <f t="shared" si="31"/>
        <v>0</v>
      </c>
      <c r="AO242" s="3"/>
      <c r="AP242">
        <v>0</v>
      </c>
      <c r="AR242" t="s">
        <v>0</v>
      </c>
      <c r="AT242" s="2" t="s">
        <v>19</v>
      </c>
      <c r="AU242" s="1" t="e">
        <f t="shared" si="35"/>
        <v>#VALUE!</v>
      </c>
      <c r="AV242" s="1" t="e">
        <f t="shared" si="36"/>
        <v>#VALUE!</v>
      </c>
      <c r="AW242" s="1" t="e">
        <f t="shared" si="37"/>
        <v>#VALUE!</v>
      </c>
    </row>
    <row r="243" spans="1:49" x14ac:dyDescent="0.2">
      <c r="A243">
        <v>241</v>
      </c>
      <c r="B243" t="s">
        <v>4818</v>
      </c>
      <c r="C243" t="s">
        <v>4817</v>
      </c>
      <c r="F243" t="s">
        <v>4816</v>
      </c>
      <c r="G243" t="s">
        <v>15</v>
      </c>
      <c r="H243" t="s">
        <v>14</v>
      </c>
      <c r="I243" t="s">
        <v>4815</v>
      </c>
      <c r="J243">
        <v>60008435</v>
      </c>
      <c r="K243" t="s">
        <v>1384</v>
      </c>
      <c r="L243" t="s">
        <v>1383</v>
      </c>
      <c r="M243" t="s">
        <v>544</v>
      </c>
      <c r="N243">
        <v>3</v>
      </c>
      <c r="O243" t="s">
        <v>4814</v>
      </c>
      <c r="P243" t="s">
        <v>4813</v>
      </c>
      <c r="Q243" t="s">
        <v>1380</v>
      </c>
      <c r="R243" s="7">
        <v>31048</v>
      </c>
      <c r="S243" s="8">
        <f t="shared" si="32"/>
        <v>1985</v>
      </c>
      <c r="T243" s="8">
        <v>1985</v>
      </c>
      <c r="U243" s="8">
        <f t="shared" si="33"/>
        <v>37</v>
      </c>
      <c r="V243" s="7">
        <v>1985</v>
      </c>
      <c r="W243" t="s">
        <v>4801</v>
      </c>
      <c r="X243" s="2" t="s">
        <v>19</v>
      </c>
      <c r="Y243" s="6" t="e">
        <f t="shared" si="30"/>
        <v>#VALUE!</v>
      </c>
      <c r="AA243">
        <v>221392</v>
      </c>
      <c r="AB243">
        <v>34890</v>
      </c>
      <c r="AD243" t="s">
        <v>4</v>
      </c>
      <c r="AE243">
        <v>37</v>
      </c>
      <c r="AF243">
        <v>3</v>
      </c>
      <c r="AH243" t="s">
        <v>4812</v>
      </c>
      <c r="AI243" t="s">
        <v>4811</v>
      </c>
      <c r="AK243" t="s">
        <v>4810</v>
      </c>
      <c r="AL243">
        <v>46</v>
      </c>
      <c r="AM243" s="5">
        <f t="shared" si="34"/>
        <v>1.2432432432432432</v>
      </c>
      <c r="AN243" s="4">
        <f t="shared" si="31"/>
        <v>1.8829886304327804E-3</v>
      </c>
      <c r="AO243" s="3"/>
      <c r="AP243">
        <v>1</v>
      </c>
      <c r="AR243" t="s">
        <v>0</v>
      </c>
      <c r="AT243" s="2" t="s">
        <v>19</v>
      </c>
      <c r="AU243" s="1" t="e">
        <f t="shared" si="35"/>
        <v>#VALUE!</v>
      </c>
      <c r="AV243" s="1" t="e">
        <f t="shared" si="36"/>
        <v>#VALUE!</v>
      </c>
      <c r="AW243" s="1" t="e">
        <f t="shared" si="37"/>
        <v>#VALUE!</v>
      </c>
    </row>
    <row r="244" spans="1:49" x14ac:dyDescent="0.2">
      <c r="A244">
        <v>242</v>
      </c>
      <c r="B244" t="s">
        <v>4809</v>
      </c>
      <c r="C244" t="s">
        <v>4808</v>
      </c>
      <c r="F244" t="s">
        <v>4807</v>
      </c>
      <c r="G244" t="s">
        <v>15</v>
      </c>
      <c r="H244" t="s">
        <v>14</v>
      </c>
      <c r="I244" t="s">
        <v>4382</v>
      </c>
      <c r="J244">
        <v>60011001</v>
      </c>
      <c r="K244" t="s">
        <v>4806</v>
      </c>
      <c r="L244" t="s">
        <v>4805</v>
      </c>
      <c r="M244" t="s">
        <v>544</v>
      </c>
      <c r="N244">
        <v>3</v>
      </c>
      <c r="O244" t="s">
        <v>4804</v>
      </c>
      <c r="P244" t="s">
        <v>4803</v>
      </c>
      <c r="Q244" t="s">
        <v>4802</v>
      </c>
      <c r="R244" s="7">
        <v>31048</v>
      </c>
      <c r="S244" s="8">
        <f t="shared" si="32"/>
        <v>1985</v>
      </c>
      <c r="T244" s="8">
        <v>1985</v>
      </c>
      <c r="U244" s="8">
        <f t="shared" si="33"/>
        <v>37</v>
      </c>
      <c r="V244" s="7">
        <v>1985</v>
      </c>
      <c r="W244" t="s">
        <v>4801</v>
      </c>
      <c r="X244" s="2" t="s">
        <v>19</v>
      </c>
      <c r="Y244" s="6" t="e">
        <f t="shared" si="30"/>
        <v>#VALUE!</v>
      </c>
      <c r="AA244">
        <v>221392</v>
      </c>
      <c r="AB244">
        <v>34890</v>
      </c>
      <c r="AD244" t="s">
        <v>4</v>
      </c>
      <c r="AE244">
        <v>37</v>
      </c>
      <c r="AF244">
        <v>3</v>
      </c>
      <c r="AH244" t="s">
        <v>4800</v>
      </c>
      <c r="AI244" t="s">
        <v>4799</v>
      </c>
      <c r="AK244" t="s">
        <v>4798</v>
      </c>
      <c r="AL244">
        <v>8</v>
      </c>
      <c r="AM244" s="5">
        <f t="shared" si="34"/>
        <v>0.21621621621621623</v>
      </c>
      <c r="AN244" s="4">
        <f t="shared" si="31"/>
        <v>3.2747628355352706E-4</v>
      </c>
      <c r="AO244" s="3"/>
      <c r="AP244">
        <v>1</v>
      </c>
      <c r="AR244" t="s">
        <v>0</v>
      </c>
      <c r="AT244" s="2" t="s">
        <v>19</v>
      </c>
      <c r="AU244" s="1" t="e">
        <f t="shared" si="35"/>
        <v>#VALUE!</v>
      </c>
      <c r="AV244" s="1" t="e">
        <f t="shared" si="36"/>
        <v>#VALUE!</v>
      </c>
      <c r="AW244" s="1" t="e">
        <f t="shared" si="37"/>
        <v>#VALUE!</v>
      </c>
    </row>
    <row r="245" spans="1:49" x14ac:dyDescent="0.2">
      <c r="A245">
        <v>243</v>
      </c>
      <c r="B245" t="s">
        <v>4797</v>
      </c>
      <c r="C245" t="s">
        <v>4796</v>
      </c>
      <c r="F245" t="s">
        <v>4795</v>
      </c>
      <c r="G245" t="s">
        <v>15</v>
      </c>
      <c r="H245" t="s">
        <v>14</v>
      </c>
      <c r="I245" t="s">
        <v>558</v>
      </c>
      <c r="J245">
        <v>60023053</v>
      </c>
      <c r="K245" t="s">
        <v>557</v>
      </c>
      <c r="L245" t="s">
        <v>556</v>
      </c>
      <c r="M245" t="s">
        <v>122</v>
      </c>
      <c r="N245">
        <v>2</v>
      </c>
      <c r="O245" t="s">
        <v>555</v>
      </c>
      <c r="P245" t="s">
        <v>554</v>
      </c>
      <c r="Q245" t="s">
        <v>553</v>
      </c>
      <c r="R245" s="7">
        <v>31048</v>
      </c>
      <c r="S245" s="8">
        <f t="shared" si="32"/>
        <v>1985</v>
      </c>
      <c r="T245" s="8">
        <v>1985</v>
      </c>
      <c r="U245" s="8">
        <f t="shared" si="33"/>
        <v>37</v>
      </c>
      <c r="V245" s="7">
        <v>31382</v>
      </c>
      <c r="W245" t="s">
        <v>24</v>
      </c>
      <c r="X245" s="2">
        <v>1.6519999999999999</v>
      </c>
      <c r="Y245" s="6">
        <f t="shared" si="30"/>
        <v>4.409919649769093E-2</v>
      </c>
      <c r="AA245" t="s">
        <v>23</v>
      </c>
      <c r="AB245">
        <v>17337</v>
      </c>
      <c r="AC245">
        <v>15582221</v>
      </c>
      <c r="AD245" t="s">
        <v>4</v>
      </c>
      <c r="AE245">
        <v>33</v>
      </c>
      <c r="AF245">
        <v>12</v>
      </c>
      <c r="AH245" t="s">
        <v>4794</v>
      </c>
      <c r="AI245" t="s">
        <v>4793</v>
      </c>
      <c r="AK245" t="s">
        <v>4792</v>
      </c>
      <c r="AL245">
        <v>2</v>
      </c>
      <c r="AM245" s="5">
        <f t="shared" si="34"/>
        <v>5.4054054054054057E-2</v>
      </c>
      <c r="AN245" s="4">
        <f t="shared" si="31"/>
        <v>8.1869070888381765E-5</v>
      </c>
      <c r="AO245" s="3"/>
      <c r="AP245">
        <v>0</v>
      </c>
      <c r="AR245" t="s">
        <v>0</v>
      </c>
      <c r="AT245" s="2" t="s">
        <v>19</v>
      </c>
      <c r="AU245" s="1">
        <f t="shared" si="35"/>
        <v>3.0893998269650167</v>
      </c>
      <c r="AV245" s="1">
        <f t="shared" si="36"/>
        <v>2.2090532784289656</v>
      </c>
      <c r="AW245" s="1">
        <f t="shared" si="37"/>
        <v>1.3287067298929145</v>
      </c>
    </row>
    <row r="246" spans="1:49" x14ac:dyDescent="0.2">
      <c r="A246">
        <v>244</v>
      </c>
      <c r="B246" t="s">
        <v>4791</v>
      </c>
      <c r="C246" t="s">
        <v>4790</v>
      </c>
      <c r="F246" t="s">
        <v>4789</v>
      </c>
      <c r="G246" t="s">
        <v>15</v>
      </c>
      <c r="H246" t="s">
        <v>14</v>
      </c>
      <c r="I246" t="s">
        <v>4788</v>
      </c>
      <c r="J246" t="s">
        <v>4787</v>
      </c>
      <c r="K246" t="s">
        <v>4786</v>
      </c>
      <c r="L246" t="s">
        <v>4785</v>
      </c>
      <c r="M246" t="s">
        <v>2782</v>
      </c>
      <c r="N246">
        <v>4</v>
      </c>
      <c r="O246" t="s">
        <v>4784</v>
      </c>
      <c r="P246" t="s">
        <v>4783</v>
      </c>
      <c r="Q246" t="s">
        <v>4782</v>
      </c>
      <c r="R246" s="7">
        <v>31048</v>
      </c>
      <c r="S246" s="8">
        <f t="shared" si="32"/>
        <v>1985</v>
      </c>
      <c r="T246" s="8">
        <v>1985</v>
      </c>
      <c r="U246" s="8">
        <f t="shared" si="33"/>
        <v>37</v>
      </c>
      <c r="V246" s="7">
        <v>31382</v>
      </c>
      <c r="W246" t="s">
        <v>4602</v>
      </c>
      <c r="X246" s="2">
        <v>0.82</v>
      </c>
      <c r="Y246" s="6">
        <f t="shared" si="30"/>
        <v>2.1889431675609299E-2</v>
      </c>
      <c r="AA246">
        <v>189456</v>
      </c>
      <c r="AB246">
        <v>15361</v>
      </c>
      <c r="AC246">
        <v>15579662</v>
      </c>
      <c r="AD246" t="s">
        <v>4</v>
      </c>
      <c r="AE246">
        <v>34</v>
      </c>
      <c r="AF246">
        <v>5</v>
      </c>
      <c r="AH246" t="s">
        <v>4781</v>
      </c>
      <c r="AI246" t="s">
        <v>4780</v>
      </c>
      <c r="AK246" t="s">
        <v>4779</v>
      </c>
      <c r="AL246">
        <v>1</v>
      </c>
      <c r="AM246" s="5">
        <f t="shared" si="34"/>
        <v>2.7027027027027029E-2</v>
      </c>
      <c r="AN246" s="4">
        <f t="shared" si="31"/>
        <v>4.0934535444190883E-5</v>
      </c>
      <c r="AO246" s="3"/>
      <c r="AP246">
        <v>0</v>
      </c>
      <c r="AR246" t="s">
        <v>0</v>
      </c>
      <c r="AT246" s="2" t="s">
        <v>19</v>
      </c>
      <c r="AU246" s="1">
        <f t="shared" si="35"/>
        <v>1.5334882533559766</v>
      </c>
      <c r="AV246" s="1">
        <f t="shared" si="36"/>
        <v>1.0965183105526746</v>
      </c>
      <c r="AW246" s="1">
        <f t="shared" si="37"/>
        <v>0.65954836774937231</v>
      </c>
    </row>
    <row r="247" spans="1:49" x14ac:dyDescent="0.2">
      <c r="A247">
        <v>245</v>
      </c>
      <c r="B247" t="s">
        <v>4778</v>
      </c>
      <c r="C247" t="s">
        <v>4777</v>
      </c>
      <c r="F247" t="s">
        <v>4776</v>
      </c>
      <c r="G247" t="s">
        <v>15</v>
      </c>
      <c r="H247" t="s">
        <v>14</v>
      </c>
      <c r="I247" t="s">
        <v>4775</v>
      </c>
      <c r="J247">
        <v>60001881</v>
      </c>
      <c r="K247" t="s">
        <v>2176</v>
      </c>
      <c r="L247" t="s">
        <v>2175</v>
      </c>
      <c r="M247" t="s">
        <v>530</v>
      </c>
      <c r="N247">
        <v>4</v>
      </c>
      <c r="O247" t="s">
        <v>4774</v>
      </c>
      <c r="P247" t="s">
        <v>4773</v>
      </c>
      <c r="Q247" t="s">
        <v>4772</v>
      </c>
      <c r="R247" s="7">
        <v>31048</v>
      </c>
      <c r="S247" s="8">
        <f t="shared" si="32"/>
        <v>1985</v>
      </c>
      <c r="T247" s="8">
        <v>1985</v>
      </c>
      <c r="U247" s="8">
        <f t="shared" si="33"/>
        <v>37</v>
      </c>
      <c r="V247" s="7" t="s">
        <v>4771</v>
      </c>
      <c r="W247" s="11" t="s">
        <v>4770</v>
      </c>
      <c r="X247" s="2">
        <v>2.383</v>
      </c>
      <c r="Y247" s="6">
        <f t="shared" si="30"/>
        <v>6.3612824003630442E-2</v>
      </c>
      <c r="AB247">
        <v>12118</v>
      </c>
      <c r="AD247" t="s">
        <v>4</v>
      </c>
      <c r="AE247">
        <v>132</v>
      </c>
      <c r="AF247">
        <v>6</v>
      </c>
      <c r="AH247" t="s">
        <v>4769</v>
      </c>
      <c r="AI247" t="s">
        <v>4768</v>
      </c>
      <c r="AK247" t="s">
        <v>4767</v>
      </c>
      <c r="AL247">
        <v>3</v>
      </c>
      <c r="AM247" s="5">
        <f t="shared" si="34"/>
        <v>8.1081081081081086E-2</v>
      </c>
      <c r="AN247" s="4">
        <f t="shared" si="31"/>
        <v>1.2280360633257263E-4</v>
      </c>
      <c r="AO247" s="3"/>
      <c r="AP247">
        <v>0</v>
      </c>
      <c r="AR247" t="s">
        <v>0</v>
      </c>
      <c r="AT247" s="2" t="s">
        <v>19</v>
      </c>
      <c r="AU247" s="1">
        <f t="shared" si="35"/>
        <v>4.4565817884441081</v>
      </c>
      <c r="AV247" s="1">
        <f t="shared" si="36"/>
        <v>3.1867813804981506</v>
      </c>
      <c r="AW247" s="1">
        <f t="shared" si="37"/>
        <v>1.9169809725521934</v>
      </c>
    </row>
    <row r="248" spans="1:49" x14ac:dyDescent="0.2">
      <c r="A248">
        <v>246</v>
      </c>
      <c r="B248" t="s">
        <v>4766</v>
      </c>
      <c r="C248" t="s">
        <v>4765</v>
      </c>
      <c r="F248" t="s">
        <v>4764</v>
      </c>
      <c r="G248" t="s">
        <v>15</v>
      </c>
      <c r="H248" t="s">
        <v>14</v>
      </c>
      <c r="I248" t="s">
        <v>4763</v>
      </c>
      <c r="J248" t="s">
        <v>4762</v>
      </c>
      <c r="K248" t="s">
        <v>4761</v>
      </c>
      <c r="L248" t="s">
        <v>4760</v>
      </c>
      <c r="M248" t="s">
        <v>4759</v>
      </c>
      <c r="N248">
        <v>2</v>
      </c>
      <c r="O248" t="s">
        <v>4758</v>
      </c>
      <c r="P248" t="s">
        <v>4757</v>
      </c>
      <c r="Q248" t="s">
        <v>4756</v>
      </c>
      <c r="R248" s="7">
        <v>31048</v>
      </c>
      <c r="S248" s="8">
        <f t="shared" si="32"/>
        <v>1985</v>
      </c>
      <c r="T248" s="8">
        <v>1985</v>
      </c>
      <c r="U248" s="8">
        <f t="shared" si="33"/>
        <v>37</v>
      </c>
      <c r="V248" s="7">
        <v>1985</v>
      </c>
      <c r="W248" s="11" t="s">
        <v>2012</v>
      </c>
      <c r="X248" s="2">
        <v>2.383</v>
      </c>
      <c r="Y248" s="6">
        <f t="shared" si="30"/>
        <v>6.3612824003630442E-2</v>
      </c>
      <c r="AA248">
        <v>1437070</v>
      </c>
      <c r="AB248">
        <v>39742</v>
      </c>
      <c r="AD248" t="s">
        <v>4</v>
      </c>
      <c r="AE248">
        <v>132</v>
      </c>
      <c r="AF248">
        <v>7</v>
      </c>
      <c r="AH248" t="s">
        <v>4755</v>
      </c>
      <c r="AI248" t="s">
        <v>4754</v>
      </c>
      <c r="AJ248" t="s">
        <v>4753</v>
      </c>
      <c r="AK248" t="s">
        <v>4752</v>
      </c>
      <c r="AL248">
        <v>2</v>
      </c>
      <c r="AM248" s="5">
        <f t="shared" si="34"/>
        <v>5.4054054054054057E-2</v>
      </c>
      <c r="AN248" s="4">
        <f t="shared" si="31"/>
        <v>8.1869070888381765E-5</v>
      </c>
      <c r="AO248" s="3"/>
      <c r="AP248">
        <v>0</v>
      </c>
      <c r="AR248" t="s">
        <v>0</v>
      </c>
      <c r="AT248" s="2" t="s">
        <v>19</v>
      </c>
      <c r="AU248" s="1">
        <f t="shared" si="35"/>
        <v>4.4553537523807822</v>
      </c>
      <c r="AV248" s="1">
        <f t="shared" si="36"/>
        <v>3.1847346537259411</v>
      </c>
      <c r="AW248" s="1">
        <f t="shared" si="37"/>
        <v>1.9141155550711002</v>
      </c>
    </row>
    <row r="249" spans="1:49" x14ac:dyDescent="0.2">
      <c r="A249">
        <v>247</v>
      </c>
      <c r="B249" t="s">
        <v>4751</v>
      </c>
      <c r="C249" t="s">
        <v>4750</v>
      </c>
      <c r="F249" t="s">
        <v>4749</v>
      </c>
      <c r="G249" t="s">
        <v>15</v>
      </c>
      <c r="H249" t="s">
        <v>14</v>
      </c>
      <c r="I249" t="s">
        <v>4748</v>
      </c>
      <c r="N249">
        <v>1</v>
      </c>
      <c r="O249" t="s">
        <v>4747</v>
      </c>
      <c r="P249">
        <v>57225294174</v>
      </c>
      <c r="R249" s="7">
        <v>31048</v>
      </c>
      <c r="S249" s="8">
        <f t="shared" si="32"/>
        <v>1985</v>
      </c>
      <c r="T249" s="8">
        <v>1985</v>
      </c>
      <c r="U249" s="8">
        <f t="shared" si="33"/>
        <v>37</v>
      </c>
      <c r="V249" s="7">
        <v>1985</v>
      </c>
      <c r="W249" t="s">
        <v>4746</v>
      </c>
      <c r="X249" s="2">
        <v>0.42499999999999999</v>
      </c>
      <c r="Y249" s="6">
        <f t="shared" si="30"/>
        <v>1.1345132270895064E-2</v>
      </c>
      <c r="AA249">
        <v>671924</v>
      </c>
      <c r="AB249">
        <v>16784</v>
      </c>
      <c r="AC249">
        <v>14449862</v>
      </c>
      <c r="AD249" t="s">
        <v>4</v>
      </c>
      <c r="AE249">
        <v>33</v>
      </c>
      <c r="AF249">
        <v>2</v>
      </c>
      <c r="AH249" t="s">
        <v>4745</v>
      </c>
      <c r="AI249" t="s">
        <v>4744</v>
      </c>
      <c r="AK249" t="s">
        <v>4743</v>
      </c>
      <c r="AL249">
        <v>3</v>
      </c>
      <c r="AM249" s="5">
        <f t="shared" si="34"/>
        <v>8.1081081081081086E-2</v>
      </c>
      <c r="AN249" s="4">
        <f t="shared" si="31"/>
        <v>1.2280360633257263E-4</v>
      </c>
      <c r="AO249" s="3"/>
      <c r="AP249">
        <v>0</v>
      </c>
      <c r="AR249" t="s">
        <v>0</v>
      </c>
      <c r="AT249" s="2">
        <v>1.2370000000000001</v>
      </c>
      <c r="AU249" s="1">
        <f t="shared" si="35"/>
        <v>0.7978433671526316</v>
      </c>
      <c r="AV249" s="1">
        <f t="shared" si="36"/>
        <v>0.57339679386138176</v>
      </c>
      <c r="AW249" s="1">
        <f t="shared" si="37"/>
        <v>0.34895022057013197</v>
      </c>
    </row>
    <row r="250" spans="1:49" x14ac:dyDescent="0.2">
      <c r="A250">
        <v>248</v>
      </c>
      <c r="B250" t="s">
        <v>4742</v>
      </c>
      <c r="C250" t="s">
        <v>4741</v>
      </c>
      <c r="F250" t="s">
        <v>4740</v>
      </c>
      <c r="G250" t="s">
        <v>15</v>
      </c>
      <c r="H250" t="s">
        <v>14</v>
      </c>
      <c r="I250" t="s">
        <v>4739</v>
      </c>
      <c r="J250">
        <v>60072501</v>
      </c>
      <c r="K250" t="s">
        <v>4738</v>
      </c>
      <c r="L250" t="s">
        <v>2319</v>
      </c>
      <c r="M250" t="s">
        <v>91</v>
      </c>
      <c r="N250">
        <v>1</v>
      </c>
      <c r="O250" t="s">
        <v>4737</v>
      </c>
      <c r="P250">
        <v>6507768837</v>
      </c>
      <c r="Q250">
        <v>60072501</v>
      </c>
      <c r="R250" s="7">
        <v>31048</v>
      </c>
      <c r="S250" s="8">
        <f t="shared" si="32"/>
        <v>1985</v>
      </c>
      <c r="T250" s="8">
        <v>1985</v>
      </c>
      <c r="U250" s="8">
        <f t="shared" si="33"/>
        <v>37</v>
      </c>
      <c r="V250" s="7">
        <v>31382</v>
      </c>
      <c r="W250" t="s">
        <v>24</v>
      </c>
      <c r="X250" s="2">
        <v>1.6519999999999999</v>
      </c>
      <c r="Y250" s="6">
        <f t="shared" si="30"/>
        <v>4.409919649769093E-2</v>
      </c>
      <c r="AA250" t="s">
        <v>23</v>
      </c>
      <c r="AB250">
        <v>17337</v>
      </c>
      <c r="AC250">
        <v>15582221</v>
      </c>
      <c r="AD250" t="s">
        <v>4</v>
      </c>
      <c r="AE250">
        <v>33</v>
      </c>
      <c r="AF250">
        <v>12</v>
      </c>
      <c r="AH250" t="s">
        <v>4736</v>
      </c>
      <c r="AI250" t="s">
        <v>4735</v>
      </c>
      <c r="AK250" t="s">
        <v>4734</v>
      </c>
      <c r="AL250">
        <v>4</v>
      </c>
      <c r="AM250" s="5">
        <f t="shared" si="34"/>
        <v>0.10810810810810811</v>
      </c>
      <c r="AN250" s="4">
        <f t="shared" si="31"/>
        <v>1.6373814177676353E-4</v>
      </c>
      <c r="AO250" s="3"/>
      <c r="AP250">
        <v>0</v>
      </c>
      <c r="AR250" t="s">
        <v>0</v>
      </c>
      <c r="AT250" s="2" t="s">
        <v>19</v>
      </c>
      <c r="AU250" s="1">
        <f t="shared" si="35"/>
        <v>3.091855899091668</v>
      </c>
      <c r="AV250" s="1">
        <f t="shared" si="36"/>
        <v>2.2131467319733846</v>
      </c>
      <c r="AW250" s="1">
        <f t="shared" si="37"/>
        <v>1.3344375648551012</v>
      </c>
    </row>
    <row r="251" spans="1:49" x14ac:dyDescent="0.2">
      <c r="A251">
        <v>249</v>
      </c>
      <c r="B251" t="s">
        <v>4733</v>
      </c>
      <c r="C251" t="s">
        <v>4732</v>
      </c>
      <c r="F251" t="s">
        <v>4731</v>
      </c>
      <c r="G251" t="s">
        <v>15</v>
      </c>
      <c r="H251" t="s">
        <v>14</v>
      </c>
      <c r="I251" t="s">
        <v>4730</v>
      </c>
      <c r="J251">
        <v>60013901</v>
      </c>
      <c r="K251" t="s">
        <v>4729</v>
      </c>
      <c r="L251" t="s">
        <v>2710</v>
      </c>
      <c r="M251" t="s">
        <v>122</v>
      </c>
      <c r="N251">
        <v>5</v>
      </c>
      <c r="O251" t="s">
        <v>4728</v>
      </c>
      <c r="P251" t="s">
        <v>4727</v>
      </c>
      <c r="Q251" t="s">
        <v>4726</v>
      </c>
      <c r="R251" s="7">
        <v>31048</v>
      </c>
      <c r="S251" s="8">
        <f t="shared" si="32"/>
        <v>1985</v>
      </c>
      <c r="T251" s="8">
        <v>1985</v>
      </c>
      <c r="U251" s="8">
        <f t="shared" si="33"/>
        <v>37</v>
      </c>
      <c r="V251" s="7">
        <v>31382</v>
      </c>
      <c r="W251" t="s">
        <v>3361</v>
      </c>
      <c r="X251" s="2">
        <v>0.46</v>
      </c>
      <c r="Y251" s="6">
        <f t="shared" si="30"/>
        <v>1.2279437281439364E-2</v>
      </c>
      <c r="AA251">
        <v>933813</v>
      </c>
      <c r="AB251">
        <v>28031</v>
      </c>
      <c r="AC251">
        <v>19399375</v>
      </c>
      <c r="AD251" t="s">
        <v>4</v>
      </c>
      <c r="AE251">
        <v>13</v>
      </c>
      <c r="AF251">
        <v>6</v>
      </c>
      <c r="AH251" t="s">
        <v>4725</v>
      </c>
      <c r="AI251" t="s">
        <v>4724</v>
      </c>
      <c r="AK251" t="s">
        <v>4723</v>
      </c>
      <c r="AL251">
        <v>1</v>
      </c>
      <c r="AM251" s="5">
        <f t="shared" si="34"/>
        <v>2.7027027027027029E-2</v>
      </c>
      <c r="AN251" s="4">
        <f t="shared" si="31"/>
        <v>4.0934535444190883E-5</v>
      </c>
      <c r="AO251" s="3"/>
      <c r="AP251">
        <v>0</v>
      </c>
      <c r="AR251" t="s">
        <v>0</v>
      </c>
      <c r="AT251" s="2">
        <v>1.222</v>
      </c>
      <c r="AU251" s="1">
        <f t="shared" si="35"/>
        <v>0.8607886457640811</v>
      </c>
      <c r="AV251" s="1">
        <f t="shared" si="36"/>
        <v>0.61601859084417765</v>
      </c>
      <c r="AW251" s="1">
        <f t="shared" si="37"/>
        <v>0.37124853592427426</v>
      </c>
    </row>
    <row r="252" spans="1:49" x14ac:dyDescent="0.2">
      <c r="A252">
        <v>250</v>
      </c>
      <c r="B252" t="s">
        <v>4722</v>
      </c>
      <c r="C252" t="s">
        <v>4721</v>
      </c>
      <c r="F252" t="s">
        <v>4720</v>
      </c>
      <c r="G252" t="s">
        <v>15</v>
      </c>
      <c r="H252" t="s">
        <v>14</v>
      </c>
      <c r="I252" t="s">
        <v>4719</v>
      </c>
      <c r="J252" t="s">
        <v>4713</v>
      </c>
      <c r="K252" t="s">
        <v>4718</v>
      </c>
      <c r="L252" t="s">
        <v>4717</v>
      </c>
      <c r="M252" t="s">
        <v>4716</v>
      </c>
      <c r="N252">
        <v>2</v>
      </c>
      <c r="O252" t="s">
        <v>4715</v>
      </c>
      <c r="P252" t="s">
        <v>4714</v>
      </c>
      <c r="Q252" t="s">
        <v>4713</v>
      </c>
      <c r="R252" s="7">
        <v>31048</v>
      </c>
      <c r="S252" s="8">
        <f t="shared" si="32"/>
        <v>1985</v>
      </c>
      <c r="T252" s="8">
        <v>1985</v>
      </c>
      <c r="U252" s="8">
        <f t="shared" si="33"/>
        <v>37</v>
      </c>
      <c r="V252" s="7">
        <v>31382</v>
      </c>
      <c r="W252" t="s">
        <v>24</v>
      </c>
      <c r="X252" s="2">
        <v>1.6519999999999999</v>
      </c>
      <c r="Y252" s="6">
        <f t="shared" si="30"/>
        <v>4.409919649769093E-2</v>
      </c>
      <c r="AA252" t="s">
        <v>23</v>
      </c>
      <c r="AB252">
        <v>17337</v>
      </c>
      <c r="AC252">
        <v>15582221</v>
      </c>
      <c r="AD252" t="s">
        <v>4</v>
      </c>
      <c r="AE252">
        <v>33</v>
      </c>
      <c r="AF252">
        <v>12</v>
      </c>
      <c r="AH252" t="s">
        <v>4712</v>
      </c>
      <c r="AI252" t="s">
        <v>4711</v>
      </c>
      <c r="AK252" t="s">
        <v>4710</v>
      </c>
      <c r="AL252">
        <v>1</v>
      </c>
      <c r="AM252" s="5">
        <f t="shared" si="34"/>
        <v>2.7027027027027029E-2</v>
      </c>
      <c r="AN252" s="4">
        <f t="shared" si="31"/>
        <v>4.0934535444190883E-5</v>
      </c>
      <c r="AO252" s="3"/>
      <c r="AP252">
        <v>0</v>
      </c>
      <c r="AR252" t="s">
        <v>0</v>
      </c>
      <c r="AT252" s="2" t="s">
        <v>19</v>
      </c>
      <c r="AU252" s="1">
        <f t="shared" si="35"/>
        <v>3.0881717909016908</v>
      </c>
      <c r="AV252" s="1">
        <f t="shared" si="36"/>
        <v>2.2070065516567561</v>
      </c>
      <c r="AW252" s="1">
        <f t="shared" si="37"/>
        <v>1.3258413124118213</v>
      </c>
    </row>
    <row r="253" spans="1:49" x14ac:dyDescent="0.2">
      <c r="A253">
        <v>251</v>
      </c>
      <c r="B253" t="s">
        <v>4709</v>
      </c>
      <c r="C253" t="s">
        <v>4708</v>
      </c>
      <c r="F253" t="s">
        <v>4707</v>
      </c>
      <c r="G253" t="s">
        <v>15</v>
      </c>
      <c r="H253" t="s">
        <v>14</v>
      </c>
      <c r="I253" t="s">
        <v>2223</v>
      </c>
      <c r="J253" t="s">
        <v>4706</v>
      </c>
      <c r="K253" t="s">
        <v>4705</v>
      </c>
      <c r="L253" t="s">
        <v>4704</v>
      </c>
      <c r="M253" t="s">
        <v>2782</v>
      </c>
      <c r="N253">
        <v>5</v>
      </c>
      <c r="O253" t="s">
        <v>4703</v>
      </c>
      <c r="P253" t="s">
        <v>4702</v>
      </c>
      <c r="Q253" t="s">
        <v>4701</v>
      </c>
      <c r="R253" s="7">
        <v>31048</v>
      </c>
      <c r="S253" s="8">
        <f t="shared" si="32"/>
        <v>1985</v>
      </c>
      <c r="T253" s="8">
        <v>1985</v>
      </c>
      <c r="U253" s="8">
        <f t="shared" si="33"/>
        <v>37</v>
      </c>
      <c r="V253" s="7">
        <v>31382</v>
      </c>
      <c r="W253" t="s">
        <v>24</v>
      </c>
      <c r="X253" s="2">
        <v>1.6519999999999999</v>
      </c>
      <c r="Y253" s="6">
        <f t="shared" si="30"/>
        <v>4.409919649769093E-2</v>
      </c>
      <c r="AA253" t="s">
        <v>23</v>
      </c>
      <c r="AB253">
        <v>17337</v>
      </c>
      <c r="AC253">
        <v>15582221</v>
      </c>
      <c r="AD253" t="s">
        <v>4</v>
      </c>
      <c r="AE253">
        <v>33</v>
      </c>
      <c r="AF253">
        <v>12</v>
      </c>
      <c r="AH253" t="s">
        <v>4700</v>
      </c>
      <c r="AI253" t="s">
        <v>4699</v>
      </c>
      <c r="AK253" t="s">
        <v>4698</v>
      </c>
      <c r="AL253">
        <v>196</v>
      </c>
      <c r="AM253" s="5">
        <f t="shared" si="34"/>
        <v>5.2972972972972974</v>
      </c>
      <c r="AN253" s="4">
        <f t="shared" si="31"/>
        <v>8.0231689470614126E-3</v>
      </c>
      <c r="AO253" s="3"/>
      <c r="AP253">
        <v>0</v>
      </c>
      <c r="AR253" t="s">
        <v>0</v>
      </c>
      <c r="AT253" s="2" t="s">
        <v>19</v>
      </c>
      <c r="AU253" s="1">
        <f t="shared" si="35"/>
        <v>3.3276388232502079</v>
      </c>
      <c r="AV253" s="1">
        <f t="shared" si="36"/>
        <v>2.6061182722376173</v>
      </c>
      <c r="AW253" s="1">
        <f t="shared" si="37"/>
        <v>1.8845977212250267</v>
      </c>
    </row>
    <row r="254" spans="1:49" x14ac:dyDescent="0.2">
      <c r="A254">
        <v>252</v>
      </c>
      <c r="B254" t="s">
        <v>4697</v>
      </c>
      <c r="C254" t="s">
        <v>4696</v>
      </c>
      <c r="F254" t="s">
        <v>4695</v>
      </c>
      <c r="G254" t="s">
        <v>15</v>
      </c>
      <c r="H254" t="s">
        <v>14</v>
      </c>
      <c r="I254" t="s">
        <v>4694</v>
      </c>
      <c r="J254">
        <v>60027716</v>
      </c>
      <c r="K254" t="s">
        <v>4693</v>
      </c>
      <c r="L254" t="s">
        <v>517</v>
      </c>
      <c r="M254" t="s">
        <v>122</v>
      </c>
      <c r="N254">
        <v>1</v>
      </c>
      <c r="O254" t="s">
        <v>4692</v>
      </c>
      <c r="P254">
        <v>6602869948</v>
      </c>
      <c r="Q254">
        <v>60027716</v>
      </c>
      <c r="R254" s="7">
        <v>31048</v>
      </c>
      <c r="S254" s="8">
        <f t="shared" si="32"/>
        <v>1985</v>
      </c>
      <c r="T254" s="8">
        <v>1985</v>
      </c>
      <c r="U254" s="8">
        <f t="shared" si="33"/>
        <v>37</v>
      </c>
      <c r="V254" s="7" t="s">
        <v>4691</v>
      </c>
      <c r="W254" t="s">
        <v>2694</v>
      </c>
      <c r="X254" s="2" t="s">
        <v>19</v>
      </c>
      <c r="Y254" s="6" t="e">
        <f t="shared" si="30"/>
        <v>#VALUE!</v>
      </c>
      <c r="AA254">
        <v>281522</v>
      </c>
      <c r="AB254">
        <v>12174</v>
      </c>
      <c r="AC254">
        <v>21614296</v>
      </c>
      <c r="AD254" t="s">
        <v>4</v>
      </c>
      <c r="AE254">
        <v>32</v>
      </c>
      <c r="AF254">
        <v>4</v>
      </c>
      <c r="AH254" t="s">
        <v>4690</v>
      </c>
      <c r="AI254" t="s">
        <v>4689</v>
      </c>
      <c r="AK254" t="s">
        <v>4688</v>
      </c>
      <c r="AL254">
        <v>48</v>
      </c>
      <c r="AM254" s="5">
        <f t="shared" si="34"/>
        <v>1.2972972972972974</v>
      </c>
      <c r="AN254" s="4">
        <f t="shared" si="31"/>
        <v>1.9648577013211621E-3</v>
      </c>
      <c r="AO254" s="3"/>
      <c r="AP254">
        <v>0</v>
      </c>
      <c r="AR254" t="s">
        <v>0</v>
      </c>
      <c r="AT254" s="2" t="s">
        <v>19</v>
      </c>
      <c r="AU254" s="1" t="e">
        <f t="shared" si="35"/>
        <v>#VALUE!</v>
      </c>
      <c r="AV254" s="1" t="e">
        <f t="shared" si="36"/>
        <v>#VALUE!</v>
      </c>
      <c r="AW254" s="1" t="e">
        <f t="shared" si="37"/>
        <v>#VALUE!</v>
      </c>
    </row>
    <row r="255" spans="1:49" x14ac:dyDescent="0.2">
      <c r="A255">
        <v>253</v>
      </c>
      <c r="B255" t="s">
        <v>4687</v>
      </c>
      <c r="C255" t="s">
        <v>4686</v>
      </c>
      <c r="F255" t="s">
        <v>4685</v>
      </c>
      <c r="G255" t="s">
        <v>15</v>
      </c>
      <c r="H255" t="s">
        <v>14</v>
      </c>
      <c r="I255" t="s">
        <v>4684</v>
      </c>
      <c r="J255" t="s">
        <v>4683</v>
      </c>
      <c r="K255" t="s">
        <v>4682</v>
      </c>
      <c r="L255" t="s">
        <v>4681</v>
      </c>
      <c r="M255" t="s">
        <v>4680</v>
      </c>
      <c r="N255">
        <v>3</v>
      </c>
      <c r="O255" t="s">
        <v>4679</v>
      </c>
      <c r="P255" t="s">
        <v>4678</v>
      </c>
      <c r="Q255" t="s">
        <v>4677</v>
      </c>
      <c r="R255" s="7">
        <v>31048</v>
      </c>
      <c r="S255" s="8">
        <f t="shared" si="32"/>
        <v>1985</v>
      </c>
      <c r="T255" s="8">
        <v>1985</v>
      </c>
      <c r="U255" s="8">
        <f t="shared" si="33"/>
        <v>37</v>
      </c>
      <c r="V255" s="7">
        <v>31382</v>
      </c>
      <c r="W255" t="s">
        <v>24</v>
      </c>
      <c r="X255" s="2">
        <v>1.6519999999999999</v>
      </c>
      <c r="Y255" s="6">
        <f t="shared" si="30"/>
        <v>4.409919649769093E-2</v>
      </c>
      <c r="AA255" t="s">
        <v>23</v>
      </c>
      <c r="AB255">
        <v>17337</v>
      </c>
      <c r="AC255">
        <v>15582221</v>
      </c>
      <c r="AD255" t="s">
        <v>4</v>
      </c>
      <c r="AE255">
        <v>33</v>
      </c>
      <c r="AF255">
        <v>12</v>
      </c>
      <c r="AH255" t="s">
        <v>4676</v>
      </c>
      <c r="AI255" t="s">
        <v>4675</v>
      </c>
      <c r="AK255" t="s">
        <v>4674</v>
      </c>
      <c r="AL255">
        <v>35</v>
      </c>
      <c r="AM255" s="5">
        <f t="shared" si="34"/>
        <v>0.94594594594594594</v>
      </c>
      <c r="AN255" s="4">
        <f t="shared" si="31"/>
        <v>1.4327087405466808E-3</v>
      </c>
      <c r="AO255" s="3"/>
      <c r="AP255">
        <v>0</v>
      </c>
      <c r="AR255" t="s">
        <v>0</v>
      </c>
      <c r="AT255" s="2" t="s">
        <v>19</v>
      </c>
      <c r="AU255" s="1">
        <f t="shared" si="35"/>
        <v>3.1299250170547652</v>
      </c>
      <c r="AV255" s="1">
        <f t="shared" si="36"/>
        <v>2.2765952619118806</v>
      </c>
      <c r="AW255" s="1">
        <f t="shared" si="37"/>
        <v>1.4232655067689954</v>
      </c>
    </row>
    <row r="256" spans="1:49" x14ac:dyDescent="0.2">
      <c r="A256">
        <v>254</v>
      </c>
      <c r="B256" t="s">
        <v>4673</v>
      </c>
      <c r="C256" t="s">
        <v>4672</v>
      </c>
      <c r="F256" t="s">
        <v>4671</v>
      </c>
      <c r="G256" t="s">
        <v>15</v>
      </c>
      <c r="H256" t="s">
        <v>14</v>
      </c>
      <c r="I256" t="s">
        <v>4670</v>
      </c>
      <c r="J256">
        <v>60000673</v>
      </c>
      <c r="K256" t="s">
        <v>4669</v>
      </c>
      <c r="L256" t="s">
        <v>4668</v>
      </c>
      <c r="M256" t="s">
        <v>76</v>
      </c>
      <c r="N256">
        <v>1</v>
      </c>
      <c r="O256" t="s">
        <v>4667</v>
      </c>
      <c r="P256">
        <v>7005209825</v>
      </c>
      <c r="Q256">
        <v>60000673</v>
      </c>
      <c r="R256" s="7">
        <v>31048</v>
      </c>
      <c r="S256" s="8">
        <f t="shared" si="32"/>
        <v>1985</v>
      </c>
      <c r="T256" s="8">
        <v>1985</v>
      </c>
      <c r="U256" s="8">
        <f t="shared" si="33"/>
        <v>37</v>
      </c>
      <c r="V256" s="7">
        <v>1985</v>
      </c>
      <c r="W256" t="s">
        <v>4666</v>
      </c>
      <c r="X256" s="2">
        <v>1.0900000000000001</v>
      </c>
      <c r="Y256" s="6">
        <f t="shared" si="30"/>
        <v>2.9096927471236756E-2</v>
      </c>
      <c r="AB256">
        <v>12016</v>
      </c>
      <c r="AD256" t="s">
        <v>4</v>
      </c>
      <c r="AE256">
        <v>42</v>
      </c>
      <c r="AF256">
        <v>12</v>
      </c>
      <c r="AH256" t="s">
        <v>4665</v>
      </c>
      <c r="AI256" t="s">
        <v>4664</v>
      </c>
      <c r="AK256" t="s">
        <v>4663</v>
      </c>
      <c r="AL256">
        <v>100</v>
      </c>
      <c r="AM256" s="5">
        <f t="shared" si="34"/>
        <v>2.7027027027027026</v>
      </c>
      <c r="AN256" s="4">
        <f t="shared" si="31"/>
        <v>4.0934535444190874E-3</v>
      </c>
      <c r="AO256" s="3"/>
      <c r="AP256">
        <v>0</v>
      </c>
      <c r="AR256" t="s">
        <v>0</v>
      </c>
      <c r="AT256" s="2" t="s">
        <v>19</v>
      </c>
      <c r="AU256" s="1">
        <f t="shared" si="35"/>
        <v>2.1595885293191452</v>
      </c>
      <c r="AV256" s="1">
        <f t="shared" si="36"/>
        <v>1.6595190507827922</v>
      </c>
      <c r="AW256" s="1">
        <f t="shared" si="37"/>
        <v>1.1594495722464389</v>
      </c>
    </row>
    <row r="257" spans="1:49" x14ac:dyDescent="0.2">
      <c r="A257">
        <v>255</v>
      </c>
      <c r="B257" t="s">
        <v>4662</v>
      </c>
      <c r="C257" t="s">
        <v>4661</v>
      </c>
      <c r="F257" t="s">
        <v>4660</v>
      </c>
      <c r="G257" t="s">
        <v>15</v>
      </c>
      <c r="H257" t="s">
        <v>14</v>
      </c>
      <c r="I257" t="s">
        <v>4659</v>
      </c>
      <c r="J257" t="s">
        <v>4653</v>
      </c>
      <c r="K257" t="s">
        <v>4658</v>
      </c>
      <c r="L257" t="s">
        <v>4657</v>
      </c>
      <c r="M257" t="s">
        <v>4656</v>
      </c>
      <c r="N257">
        <v>2</v>
      </c>
      <c r="O257" t="s">
        <v>4655</v>
      </c>
      <c r="P257" t="s">
        <v>4654</v>
      </c>
      <c r="Q257" t="s">
        <v>4653</v>
      </c>
      <c r="R257" s="7">
        <v>31048</v>
      </c>
      <c r="S257" s="8">
        <f t="shared" si="32"/>
        <v>1985</v>
      </c>
      <c r="T257" s="8">
        <v>1985</v>
      </c>
      <c r="U257" s="8">
        <f t="shared" si="33"/>
        <v>37</v>
      </c>
      <c r="V257" s="7">
        <v>31382</v>
      </c>
      <c r="W257" t="s">
        <v>24</v>
      </c>
      <c r="X257" s="2">
        <v>1.6519999999999999</v>
      </c>
      <c r="Y257" s="6">
        <f t="shared" si="30"/>
        <v>4.409919649769093E-2</v>
      </c>
      <c r="AA257" t="s">
        <v>23</v>
      </c>
      <c r="AB257">
        <v>17337</v>
      </c>
      <c r="AC257">
        <v>15582221</v>
      </c>
      <c r="AD257" t="s">
        <v>4</v>
      </c>
      <c r="AE257">
        <v>33</v>
      </c>
      <c r="AF257">
        <v>12</v>
      </c>
      <c r="AH257" t="s">
        <v>4652</v>
      </c>
      <c r="AI257" t="s">
        <v>4651</v>
      </c>
      <c r="AK257" t="s">
        <v>4650</v>
      </c>
      <c r="AL257">
        <v>4</v>
      </c>
      <c r="AM257" s="5">
        <f t="shared" si="34"/>
        <v>0.10810810810810811</v>
      </c>
      <c r="AN257" s="4">
        <f t="shared" si="31"/>
        <v>1.6373814177676353E-4</v>
      </c>
      <c r="AO257" s="3"/>
      <c r="AP257">
        <v>0</v>
      </c>
      <c r="AR257" t="s">
        <v>0</v>
      </c>
      <c r="AT257" s="2" t="s">
        <v>19</v>
      </c>
      <c r="AU257" s="1">
        <f t="shared" si="35"/>
        <v>3.091855899091668</v>
      </c>
      <c r="AV257" s="1">
        <f t="shared" si="36"/>
        <v>2.2131467319733846</v>
      </c>
      <c r="AW257" s="1">
        <f t="shared" si="37"/>
        <v>1.3344375648551012</v>
      </c>
    </row>
    <row r="258" spans="1:49" x14ac:dyDescent="0.2">
      <c r="A258">
        <v>256</v>
      </c>
      <c r="B258" t="s">
        <v>4649</v>
      </c>
      <c r="C258" t="s">
        <v>4648</v>
      </c>
      <c r="F258" t="s">
        <v>4647</v>
      </c>
      <c r="G258" t="s">
        <v>15</v>
      </c>
      <c r="H258" t="s">
        <v>14</v>
      </c>
      <c r="I258" t="s">
        <v>4646</v>
      </c>
      <c r="J258" t="s">
        <v>4645</v>
      </c>
      <c r="K258" t="s">
        <v>4644</v>
      </c>
      <c r="L258" t="s">
        <v>4643</v>
      </c>
      <c r="M258" t="s">
        <v>2015</v>
      </c>
      <c r="N258">
        <v>2</v>
      </c>
      <c r="O258" t="s">
        <v>4642</v>
      </c>
      <c r="P258" t="s">
        <v>4641</v>
      </c>
      <c r="Q258" t="s">
        <v>4640</v>
      </c>
      <c r="R258" s="7">
        <v>31048</v>
      </c>
      <c r="S258" s="8">
        <f t="shared" si="32"/>
        <v>1985</v>
      </c>
      <c r="T258" s="8">
        <v>1985</v>
      </c>
      <c r="U258" s="8">
        <f t="shared" si="33"/>
        <v>37</v>
      </c>
      <c r="V258" s="7">
        <v>1985</v>
      </c>
      <c r="W258" t="s">
        <v>4639</v>
      </c>
      <c r="X258" s="2" t="s">
        <v>19</v>
      </c>
      <c r="Y258" s="6" t="e">
        <f t="shared" ref="Y258:Y321" si="38">(X258-$Z$4)/($Z$3-$Z$4)</f>
        <v>#VALUE!</v>
      </c>
      <c r="AA258">
        <v>2635933</v>
      </c>
      <c r="AB258">
        <v>32697</v>
      </c>
      <c r="AC258">
        <v>14737116</v>
      </c>
      <c r="AD258" t="s">
        <v>4</v>
      </c>
      <c r="AE258">
        <v>76</v>
      </c>
      <c r="AF258" s="9">
        <v>44257</v>
      </c>
      <c r="AH258" t="s">
        <v>4638</v>
      </c>
      <c r="AI258" t="s">
        <v>4637</v>
      </c>
      <c r="AJ258" t="s">
        <v>4636</v>
      </c>
      <c r="AK258" t="s">
        <v>4635</v>
      </c>
      <c r="AL258">
        <v>30</v>
      </c>
      <c r="AM258" s="5">
        <f t="shared" si="34"/>
        <v>0.81081081081081086</v>
      </c>
      <c r="AN258" s="4">
        <f t="shared" ref="AN258:AN321" si="39">(AM258-$AO$4)/($AO$3-$AO$4)</f>
        <v>1.2280360633257264E-3</v>
      </c>
      <c r="AO258" s="3"/>
      <c r="AP258">
        <v>0</v>
      </c>
      <c r="AR258" t="s">
        <v>0</v>
      </c>
      <c r="AT258" s="2" t="s">
        <v>19</v>
      </c>
      <c r="AU258" s="1" t="e">
        <f t="shared" si="35"/>
        <v>#VALUE!</v>
      </c>
      <c r="AV258" s="1" t="e">
        <f t="shared" si="36"/>
        <v>#VALUE!</v>
      </c>
      <c r="AW258" s="1" t="e">
        <f t="shared" si="37"/>
        <v>#VALUE!</v>
      </c>
    </row>
    <row r="259" spans="1:49" x14ac:dyDescent="0.2">
      <c r="A259">
        <v>257</v>
      </c>
      <c r="B259" t="s">
        <v>4634</v>
      </c>
      <c r="C259" t="s">
        <v>4633</v>
      </c>
      <c r="F259" t="s">
        <v>4632</v>
      </c>
      <c r="G259" t="s">
        <v>15</v>
      </c>
      <c r="H259" t="s">
        <v>14</v>
      </c>
      <c r="I259" t="s">
        <v>4631</v>
      </c>
      <c r="J259" t="s">
        <v>4630</v>
      </c>
      <c r="K259" t="s">
        <v>4629</v>
      </c>
      <c r="L259" t="s">
        <v>4628</v>
      </c>
      <c r="M259" t="s">
        <v>4627</v>
      </c>
      <c r="N259">
        <v>6</v>
      </c>
      <c r="O259" t="s">
        <v>4626</v>
      </c>
      <c r="P259" t="s">
        <v>4625</v>
      </c>
      <c r="Q259" t="s">
        <v>4624</v>
      </c>
      <c r="R259" s="7">
        <v>31048</v>
      </c>
      <c r="S259" s="8">
        <f t="shared" si="32"/>
        <v>1985</v>
      </c>
      <c r="T259" s="8">
        <v>1985</v>
      </c>
      <c r="U259" s="8">
        <f t="shared" si="33"/>
        <v>37</v>
      </c>
      <c r="V259" s="7">
        <v>31382</v>
      </c>
      <c r="W259" t="s">
        <v>24</v>
      </c>
      <c r="X259" s="2">
        <v>1.6519999999999999</v>
      </c>
      <c r="Y259" s="6">
        <f t="shared" si="38"/>
        <v>4.409919649769093E-2</v>
      </c>
      <c r="AA259" t="s">
        <v>23</v>
      </c>
      <c r="AB259">
        <v>17337</v>
      </c>
      <c r="AC259">
        <v>15582221</v>
      </c>
      <c r="AD259" t="s">
        <v>4</v>
      </c>
      <c r="AE259">
        <v>33</v>
      </c>
      <c r="AF259">
        <v>12</v>
      </c>
      <c r="AH259" t="s">
        <v>4623</v>
      </c>
      <c r="AI259" t="s">
        <v>4622</v>
      </c>
      <c r="AK259" t="s">
        <v>4621</v>
      </c>
      <c r="AL259">
        <v>351</v>
      </c>
      <c r="AM259" s="5">
        <f t="shared" si="34"/>
        <v>9.486486486486486</v>
      </c>
      <c r="AN259" s="4">
        <f t="shared" si="39"/>
        <v>1.4368021940910997E-2</v>
      </c>
      <c r="AO259" s="3"/>
      <c r="AP259">
        <v>0</v>
      </c>
      <c r="AR259" t="s">
        <v>0</v>
      </c>
      <c r="AT259" s="2" t="s">
        <v>19</v>
      </c>
      <c r="AU259" s="1">
        <f t="shared" si="35"/>
        <v>3.5179844130656952</v>
      </c>
      <c r="AV259" s="1">
        <f t="shared" si="36"/>
        <v>2.9233609219300964</v>
      </c>
      <c r="AW259" s="1">
        <f t="shared" si="37"/>
        <v>2.3287374307944972</v>
      </c>
    </row>
    <row r="260" spans="1:49" x14ac:dyDescent="0.2">
      <c r="A260">
        <v>258</v>
      </c>
      <c r="B260" t="s">
        <v>4620</v>
      </c>
      <c r="C260" t="s">
        <v>4619</v>
      </c>
      <c r="F260" t="s">
        <v>4618</v>
      </c>
      <c r="G260" t="s">
        <v>15</v>
      </c>
      <c r="H260" t="s">
        <v>14</v>
      </c>
      <c r="I260" t="s">
        <v>4617</v>
      </c>
      <c r="J260">
        <v>60019983</v>
      </c>
      <c r="K260" t="s">
        <v>2944</v>
      </c>
      <c r="L260" t="s">
        <v>2943</v>
      </c>
      <c r="M260" t="s">
        <v>544</v>
      </c>
      <c r="N260">
        <v>2</v>
      </c>
      <c r="O260" t="s">
        <v>4616</v>
      </c>
      <c r="P260" t="s">
        <v>4615</v>
      </c>
      <c r="Q260" t="s">
        <v>2940</v>
      </c>
      <c r="R260" s="7">
        <v>31048</v>
      </c>
      <c r="S260" s="8">
        <f t="shared" si="32"/>
        <v>1985</v>
      </c>
      <c r="T260" s="8">
        <v>1985</v>
      </c>
      <c r="U260" s="8">
        <f t="shared" si="33"/>
        <v>37</v>
      </c>
      <c r="V260" s="7">
        <v>31382</v>
      </c>
      <c r="W260" t="s">
        <v>24</v>
      </c>
      <c r="X260" s="2">
        <v>1.6519999999999999</v>
      </c>
      <c r="Y260" s="6">
        <f t="shared" si="38"/>
        <v>4.409919649769093E-2</v>
      </c>
      <c r="AA260" t="s">
        <v>23</v>
      </c>
      <c r="AB260">
        <v>17337</v>
      </c>
      <c r="AC260">
        <v>15582221</v>
      </c>
      <c r="AD260" t="s">
        <v>4</v>
      </c>
      <c r="AE260">
        <v>33</v>
      </c>
      <c r="AF260">
        <v>12</v>
      </c>
      <c r="AH260" t="s">
        <v>4614</v>
      </c>
      <c r="AI260" t="s">
        <v>4613</v>
      </c>
      <c r="AK260" t="s">
        <v>4612</v>
      </c>
      <c r="AL260">
        <v>0</v>
      </c>
      <c r="AM260" s="5">
        <f t="shared" si="34"/>
        <v>0</v>
      </c>
      <c r="AN260" s="4">
        <f t="shared" si="39"/>
        <v>0</v>
      </c>
      <c r="AO260" s="3"/>
      <c r="AP260">
        <v>0</v>
      </c>
      <c r="AR260" t="s">
        <v>0</v>
      </c>
      <c r="AT260" s="2" t="s">
        <v>19</v>
      </c>
      <c r="AU260" s="1">
        <f t="shared" si="35"/>
        <v>3.0869437548383649</v>
      </c>
      <c r="AV260" s="1">
        <f t="shared" si="36"/>
        <v>2.2049598248845466</v>
      </c>
      <c r="AW260" s="1">
        <f t="shared" si="37"/>
        <v>1.3229758949307278</v>
      </c>
    </row>
    <row r="261" spans="1:49" x14ac:dyDescent="0.2">
      <c r="A261">
        <v>259</v>
      </c>
      <c r="B261" t="s">
        <v>4611</v>
      </c>
      <c r="C261" t="s">
        <v>4610</v>
      </c>
      <c r="F261" t="s">
        <v>4609</v>
      </c>
      <c r="G261" t="s">
        <v>15</v>
      </c>
      <c r="H261" t="s">
        <v>14</v>
      </c>
      <c r="I261" t="s">
        <v>4608</v>
      </c>
      <c r="J261">
        <v>60032350</v>
      </c>
      <c r="K261" t="s">
        <v>4607</v>
      </c>
      <c r="L261" t="s">
        <v>4606</v>
      </c>
      <c r="M261" t="s">
        <v>298</v>
      </c>
      <c r="N261">
        <v>2</v>
      </c>
      <c r="O261" t="s">
        <v>4605</v>
      </c>
      <c r="P261" t="s">
        <v>4604</v>
      </c>
      <c r="Q261" t="s">
        <v>4603</v>
      </c>
      <c r="R261" s="7">
        <v>31048</v>
      </c>
      <c r="S261" s="8">
        <f t="shared" si="32"/>
        <v>1985</v>
      </c>
      <c r="T261" s="8">
        <v>1985</v>
      </c>
      <c r="U261" s="8">
        <f t="shared" si="33"/>
        <v>37</v>
      </c>
      <c r="V261" s="7">
        <v>31382</v>
      </c>
      <c r="W261" t="s">
        <v>4602</v>
      </c>
      <c r="X261" s="2">
        <v>0.82</v>
      </c>
      <c r="Y261" s="6">
        <f t="shared" si="38"/>
        <v>2.1889431675609299E-2</v>
      </c>
      <c r="AA261">
        <v>189456</v>
      </c>
      <c r="AB261">
        <v>15361</v>
      </c>
      <c r="AC261">
        <v>15579662</v>
      </c>
      <c r="AD261" t="s">
        <v>4</v>
      </c>
      <c r="AE261">
        <v>34</v>
      </c>
      <c r="AF261">
        <v>5</v>
      </c>
      <c r="AH261" t="s">
        <v>4601</v>
      </c>
      <c r="AI261" t="s">
        <v>4600</v>
      </c>
      <c r="AK261" t="s">
        <v>4599</v>
      </c>
      <c r="AL261">
        <v>13</v>
      </c>
      <c r="AM261" s="5">
        <f t="shared" si="34"/>
        <v>0.35135135135135137</v>
      </c>
      <c r="AN261" s="4">
        <f t="shared" si="39"/>
        <v>5.3214896077448143E-4</v>
      </c>
      <c r="AO261" s="3"/>
      <c r="AP261">
        <v>0</v>
      </c>
      <c r="AR261" t="s">
        <v>0</v>
      </c>
      <c r="AT261" s="2" t="s">
        <v>19</v>
      </c>
      <c r="AU261" s="1">
        <f t="shared" si="35"/>
        <v>1.5482246861158853</v>
      </c>
      <c r="AV261" s="1">
        <f t="shared" si="36"/>
        <v>1.121079031819189</v>
      </c>
      <c r="AW261" s="1">
        <f t="shared" si="37"/>
        <v>0.69393337752249262</v>
      </c>
    </row>
    <row r="262" spans="1:49" x14ac:dyDescent="0.2">
      <c r="A262">
        <v>260</v>
      </c>
      <c r="B262" t="s">
        <v>4598</v>
      </c>
      <c r="C262" t="s">
        <v>4597</v>
      </c>
      <c r="F262" t="s">
        <v>4596</v>
      </c>
      <c r="G262" t="s">
        <v>15</v>
      </c>
      <c r="H262" t="s">
        <v>14</v>
      </c>
      <c r="I262" t="s">
        <v>4595</v>
      </c>
      <c r="J262">
        <v>60008877</v>
      </c>
      <c r="K262" t="s">
        <v>4594</v>
      </c>
      <c r="L262" t="s">
        <v>4593</v>
      </c>
      <c r="M262" t="s">
        <v>530</v>
      </c>
      <c r="N262">
        <v>3</v>
      </c>
      <c r="O262" t="s">
        <v>4592</v>
      </c>
      <c r="P262" t="s">
        <v>4591</v>
      </c>
      <c r="Q262" t="s">
        <v>4590</v>
      </c>
      <c r="R262" s="7">
        <v>31048</v>
      </c>
      <c r="S262" s="8">
        <f t="shared" ref="S262:S325" si="40">YEAR(R262)</f>
        <v>1985</v>
      </c>
      <c r="T262" s="8">
        <v>1985</v>
      </c>
      <c r="U262" s="8">
        <f t="shared" ref="U262:U325" si="41">2022-T262</f>
        <v>37</v>
      </c>
      <c r="V262" s="7">
        <v>1985</v>
      </c>
      <c r="W262" s="11" t="s">
        <v>2012</v>
      </c>
      <c r="X262" s="2">
        <v>2.383</v>
      </c>
      <c r="Y262" s="6">
        <f t="shared" si="38"/>
        <v>6.3612824003630442E-2</v>
      </c>
      <c r="AA262">
        <v>1437070</v>
      </c>
      <c r="AB262">
        <v>39742</v>
      </c>
      <c r="AD262" t="s">
        <v>4</v>
      </c>
      <c r="AE262">
        <v>132</v>
      </c>
      <c r="AF262">
        <v>7</v>
      </c>
      <c r="AH262" t="s">
        <v>4589</v>
      </c>
      <c r="AI262" t="s">
        <v>4588</v>
      </c>
      <c r="AJ262" t="s">
        <v>4587</v>
      </c>
      <c r="AK262" t="s">
        <v>4586</v>
      </c>
      <c r="AL262">
        <v>2</v>
      </c>
      <c r="AM262" s="5">
        <f t="shared" ref="AM262:AM325" si="42">AL262/U262</f>
        <v>5.4054054054054057E-2</v>
      </c>
      <c r="AN262" s="4">
        <f t="shared" si="39"/>
        <v>8.1869070888381765E-5</v>
      </c>
      <c r="AO262" s="3"/>
      <c r="AP262">
        <v>0</v>
      </c>
      <c r="AR262" t="s">
        <v>0</v>
      </c>
      <c r="AT262" s="2" t="s">
        <v>19</v>
      </c>
      <c r="AU262" s="1">
        <f t="shared" ref="AU262:AU325" si="43">(Y262*0.7+AN262*0.3)*100</f>
        <v>4.4553537523807822</v>
      </c>
      <c r="AV262" s="1">
        <f t="shared" ref="AV262:AV325" si="44">(Y262*0.5+AN262*0.5)*100</f>
        <v>3.1847346537259411</v>
      </c>
      <c r="AW262" s="1">
        <f t="shared" ref="AW262:AW325" si="45">(Y262*0.3+AN262*0.7)*100</f>
        <v>1.9141155550711002</v>
      </c>
    </row>
    <row r="263" spans="1:49" x14ac:dyDescent="0.2">
      <c r="A263">
        <v>261</v>
      </c>
      <c r="B263" t="s">
        <v>4585</v>
      </c>
      <c r="C263" t="s">
        <v>4584</v>
      </c>
      <c r="E263">
        <v>3836678</v>
      </c>
      <c r="F263" t="s">
        <v>4583</v>
      </c>
      <c r="G263" t="s">
        <v>15</v>
      </c>
      <c r="H263" t="s">
        <v>14</v>
      </c>
      <c r="I263" t="s">
        <v>4582</v>
      </c>
      <c r="J263">
        <v>60005455</v>
      </c>
      <c r="K263" t="s">
        <v>1152</v>
      </c>
      <c r="L263" t="s">
        <v>1151</v>
      </c>
      <c r="M263" t="s">
        <v>122</v>
      </c>
      <c r="N263">
        <v>2</v>
      </c>
      <c r="O263" t="s">
        <v>4581</v>
      </c>
      <c r="P263" t="s">
        <v>4580</v>
      </c>
      <c r="Q263" t="s">
        <v>1148</v>
      </c>
      <c r="R263" s="7">
        <v>31048</v>
      </c>
      <c r="S263" s="8">
        <f t="shared" si="40"/>
        <v>1985</v>
      </c>
      <c r="T263" s="8">
        <v>1985</v>
      </c>
      <c r="U263" s="8">
        <f t="shared" si="41"/>
        <v>37</v>
      </c>
      <c r="V263" s="7">
        <v>1985</v>
      </c>
      <c r="W263" t="s">
        <v>753</v>
      </c>
      <c r="X263" s="2">
        <v>0.435</v>
      </c>
      <c r="Y263" s="6">
        <f t="shared" si="38"/>
        <v>1.1612076559622007E-2</v>
      </c>
      <c r="AA263">
        <v>1978462</v>
      </c>
      <c r="AB263">
        <v>14839</v>
      </c>
      <c r="AC263" t="s">
        <v>752</v>
      </c>
      <c r="AD263" t="s">
        <v>4</v>
      </c>
      <c r="AE263">
        <v>6</v>
      </c>
      <c r="AF263">
        <v>4</v>
      </c>
      <c r="AH263" t="s">
        <v>4579</v>
      </c>
      <c r="AI263" t="s">
        <v>4578</v>
      </c>
      <c r="AJ263" t="s">
        <v>4577</v>
      </c>
      <c r="AK263" t="s">
        <v>4576</v>
      </c>
      <c r="AL263">
        <v>5</v>
      </c>
      <c r="AM263" s="5">
        <f t="shared" si="42"/>
        <v>0.13513513513513514</v>
      </c>
      <c r="AN263" s="4">
        <f t="shared" si="39"/>
        <v>2.046726772209544E-4</v>
      </c>
      <c r="AO263" s="3"/>
      <c r="AP263">
        <v>0</v>
      </c>
      <c r="AQ263" t="s">
        <v>4575</v>
      </c>
      <c r="AR263" t="s">
        <v>4574</v>
      </c>
      <c r="AS263" t="s">
        <v>4573</v>
      </c>
      <c r="AT263" s="2">
        <v>2.0099999999999998</v>
      </c>
      <c r="AU263" s="1">
        <f t="shared" si="43"/>
        <v>0.81898553949016906</v>
      </c>
      <c r="AV263" s="1">
        <f t="shared" si="44"/>
        <v>0.59083746184214803</v>
      </c>
      <c r="AW263" s="1">
        <f t="shared" si="45"/>
        <v>0.362689384194127</v>
      </c>
    </row>
    <row r="264" spans="1:49" x14ac:dyDescent="0.2">
      <c r="A264">
        <v>262</v>
      </c>
      <c r="B264" t="s">
        <v>4572</v>
      </c>
      <c r="C264" t="s">
        <v>4571</v>
      </c>
      <c r="F264" t="s">
        <v>4570</v>
      </c>
      <c r="G264" t="s">
        <v>15</v>
      </c>
      <c r="H264" t="s">
        <v>14</v>
      </c>
      <c r="I264" t="s">
        <v>4569</v>
      </c>
      <c r="J264">
        <v>60013959</v>
      </c>
      <c r="K264" t="s">
        <v>4568</v>
      </c>
      <c r="L264" t="s">
        <v>4567</v>
      </c>
      <c r="M264" t="s">
        <v>122</v>
      </c>
      <c r="N264">
        <v>1</v>
      </c>
      <c r="O264" t="s">
        <v>4566</v>
      </c>
      <c r="P264">
        <v>16467842900</v>
      </c>
      <c r="Q264">
        <v>60013959</v>
      </c>
      <c r="R264" s="7">
        <v>31048</v>
      </c>
      <c r="S264" s="8">
        <f t="shared" si="40"/>
        <v>1985</v>
      </c>
      <c r="T264" s="8">
        <v>1985</v>
      </c>
      <c r="U264" s="8">
        <f t="shared" si="41"/>
        <v>37</v>
      </c>
      <c r="V264" s="7">
        <v>1985</v>
      </c>
      <c r="W264" t="s">
        <v>4565</v>
      </c>
      <c r="X264" s="2">
        <v>0.34200000000000003</v>
      </c>
      <c r="Y264" s="6">
        <f t="shared" si="38"/>
        <v>9.1294946744614417E-3</v>
      </c>
      <c r="AA264">
        <v>30031</v>
      </c>
      <c r="AB264">
        <v>19296</v>
      </c>
      <c r="AD264" t="s">
        <v>4</v>
      </c>
      <c r="AE264">
        <v>114</v>
      </c>
      <c r="AF264">
        <v>2</v>
      </c>
      <c r="AH264" t="s">
        <v>4564</v>
      </c>
      <c r="AI264" t="s">
        <v>4563</v>
      </c>
      <c r="AK264" t="s">
        <v>4562</v>
      </c>
      <c r="AL264">
        <v>14</v>
      </c>
      <c r="AM264" s="5">
        <f t="shared" si="42"/>
        <v>0.3783783783783784</v>
      </c>
      <c r="AN264" s="4">
        <f t="shared" si="39"/>
        <v>5.7308349621867233E-4</v>
      </c>
      <c r="AO264" s="3"/>
      <c r="AP264">
        <v>0</v>
      </c>
      <c r="AR264" t="s">
        <v>0</v>
      </c>
      <c r="AT264" s="2">
        <v>0.73499999999999999</v>
      </c>
      <c r="AU264" s="1">
        <f t="shared" si="43"/>
        <v>0.65625713209886105</v>
      </c>
      <c r="AV264" s="1">
        <f t="shared" si="44"/>
        <v>0.4851289085340057</v>
      </c>
      <c r="AW264" s="1">
        <f t="shared" si="45"/>
        <v>0.31400068496915029</v>
      </c>
    </row>
    <row r="265" spans="1:49" x14ac:dyDescent="0.2">
      <c r="A265">
        <v>263</v>
      </c>
      <c r="B265" t="s">
        <v>4561</v>
      </c>
      <c r="F265" t="s">
        <v>4560</v>
      </c>
      <c r="G265" t="s">
        <v>15</v>
      </c>
      <c r="H265" t="s">
        <v>14</v>
      </c>
      <c r="I265" t="s">
        <v>876</v>
      </c>
      <c r="J265">
        <v>60012162</v>
      </c>
      <c r="K265" t="s">
        <v>875</v>
      </c>
      <c r="L265" t="s">
        <v>874</v>
      </c>
      <c r="M265" t="s">
        <v>298</v>
      </c>
      <c r="N265">
        <v>1</v>
      </c>
      <c r="O265" t="s">
        <v>4559</v>
      </c>
      <c r="P265">
        <v>7003971368</v>
      </c>
      <c r="Q265">
        <v>60012162</v>
      </c>
      <c r="R265" s="7">
        <v>31048</v>
      </c>
      <c r="S265" s="8">
        <f t="shared" si="40"/>
        <v>1985</v>
      </c>
      <c r="T265" s="8">
        <v>1985</v>
      </c>
      <c r="U265" s="8">
        <f t="shared" si="41"/>
        <v>37</v>
      </c>
      <c r="V265" s="7">
        <v>1985</v>
      </c>
      <c r="W265" t="s">
        <v>4558</v>
      </c>
      <c r="X265" s="2" t="s">
        <v>19</v>
      </c>
      <c r="Y265" s="6" t="e">
        <f t="shared" si="38"/>
        <v>#VALUE!</v>
      </c>
      <c r="AA265">
        <v>3792285</v>
      </c>
      <c r="AB265">
        <v>34899</v>
      </c>
      <c r="AD265" t="s">
        <v>4</v>
      </c>
      <c r="AE265">
        <v>9</v>
      </c>
      <c r="AF265">
        <v>3</v>
      </c>
      <c r="AH265" t="s">
        <v>4557</v>
      </c>
      <c r="AI265" t="s">
        <v>4556</v>
      </c>
      <c r="AK265" t="s">
        <v>4555</v>
      </c>
      <c r="AL265">
        <v>0</v>
      </c>
      <c r="AM265" s="5">
        <f t="shared" si="42"/>
        <v>0</v>
      </c>
      <c r="AN265" s="4">
        <f t="shared" si="39"/>
        <v>0</v>
      </c>
      <c r="AO265" s="3"/>
      <c r="AP265">
        <v>0</v>
      </c>
      <c r="AR265" t="s">
        <v>0</v>
      </c>
      <c r="AT265" s="2" t="s">
        <v>19</v>
      </c>
      <c r="AU265" s="1" t="e">
        <f t="shared" si="43"/>
        <v>#VALUE!</v>
      </c>
      <c r="AV265" s="1" t="e">
        <f t="shared" si="44"/>
        <v>#VALUE!</v>
      </c>
      <c r="AW265" s="1" t="e">
        <f t="shared" si="45"/>
        <v>#VALUE!</v>
      </c>
    </row>
    <row r="266" spans="1:49" x14ac:dyDescent="0.2">
      <c r="A266">
        <v>264</v>
      </c>
      <c r="B266" t="s">
        <v>4554</v>
      </c>
      <c r="C266" t="s">
        <v>4553</v>
      </c>
      <c r="F266" t="s">
        <v>4552</v>
      </c>
      <c r="G266" t="s">
        <v>15</v>
      </c>
      <c r="H266" t="s">
        <v>14</v>
      </c>
      <c r="I266" t="s">
        <v>4551</v>
      </c>
      <c r="J266">
        <v>113066498</v>
      </c>
      <c r="K266" t="s">
        <v>4550</v>
      </c>
      <c r="L266" t="s">
        <v>4549</v>
      </c>
      <c r="M266" t="s">
        <v>530</v>
      </c>
      <c r="N266">
        <v>1</v>
      </c>
      <c r="O266" t="s">
        <v>4548</v>
      </c>
      <c r="P266">
        <v>6603919164</v>
      </c>
      <c r="Q266">
        <v>113066498</v>
      </c>
      <c r="R266" s="7">
        <v>31048</v>
      </c>
      <c r="S266" s="8">
        <f t="shared" si="40"/>
        <v>1985</v>
      </c>
      <c r="T266" s="8">
        <v>1985</v>
      </c>
      <c r="U266" s="8">
        <f t="shared" si="41"/>
        <v>37</v>
      </c>
      <c r="V266" s="7">
        <v>31382</v>
      </c>
      <c r="W266" t="s">
        <v>1801</v>
      </c>
      <c r="X266" s="2">
        <v>1.774</v>
      </c>
      <c r="Y266" s="6">
        <f t="shared" si="38"/>
        <v>4.7355916820159633E-2</v>
      </c>
      <c r="AA266">
        <v>295515</v>
      </c>
      <c r="AB266">
        <v>29066</v>
      </c>
      <c r="AC266">
        <v>17414326</v>
      </c>
      <c r="AD266" t="s">
        <v>4</v>
      </c>
      <c r="AE266">
        <v>25</v>
      </c>
      <c r="AF266">
        <v>12</v>
      </c>
      <c r="AH266" t="s">
        <v>4547</v>
      </c>
      <c r="AI266" t="s">
        <v>4546</v>
      </c>
      <c r="AK266" t="s">
        <v>4545</v>
      </c>
      <c r="AL266">
        <v>21</v>
      </c>
      <c r="AM266" s="5">
        <f t="shared" si="42"/>
        <v>0.56756756756756754</v>
      </c>
      <c r="AN266" s="4">
        <f t="shared" si="39"/>
        <v>8.5962524432800838E-4</v>
      </c>
      <c r="AO266" s="3"/>
      <c r="AP266">
        <v>0</v>
      </c>
      <c r="AR266" t="s">
        <v>0</v>
      </c>
      <c r="AT266" s="2">
        <v>3.1789999999999998</v>
      </c>
      <c r="AU266" s="1">
        <f t="shared" si="43"/>
        <v>3.3407029347410142</v>
      </c>
      <c r="AV266" s="1">
        <f t="shared" si="44"/>
        <v>2.4107771032243819</v>
      </c>
      <c r="AW266" s="1">
        <f t="shared" si="45"/>
        <v>1.4808512717077496</v>
      </c>
    </row>
    <row r="267" spans="1:49" x14ac:dyDescent="0.2">
      <c r="A267">
        <v>265</v>
      </c>
      <c r="B267" t="s">
        <v>4544</v>
      </c>
      <c r="C267" t="s">
        <v>4543</v>
      </c>
      <c r="F267" t="s">
        <v>4542</v>
      </c>
      <c r="G267" t="s">
        <v>15</v>
      </c>
      <c r="H267" t="s">
        <v>14</v>
      </c>
      <c r="I267" t="s">
        <v>4541</v>
      </c>
      <c r="J267" t="s">
        <v>4540</v>
      </c>
      <c r="K267" t="s">
        <v>4539</v>
      </c>
      <c r="L267" t="s">
        <v>4538</v>
      </c>
      <c r="M267" t="s">
        <v>4537</v>
      </c>
      <c r="N267">
        <v>2</v>
      </c>
      <c r="O267" t="s">
        <v>4536</v>
      </c>
      <c r="P267" t="s">
        <v>4535</v>
      </c>
      <c r="Q267" t="s">
        <v>4534</v>
      </c>
      <c r="R267" s="7">
        <v>31048</v>
      </c>
      <c r="S267" s="8">
        <f t="shared" si="40"/>
        <v>1985</v>
      </c>
      <c r="T267" s="8">
        <v>1985</v>
      </c>
      <c r="U267" s="8">
        <f t="shared" si="41"/>
        <v>37</v>
      </c>
      <c r="V267" s="7">
        <v>31382</v>
      </c>
      <c r="W267" t="s">
        <v>24</v>
      </c>
      <c r="X267" s="2">
        <v>1.6519999999999999</v>
      </c>
      <c r="Y267" s="6">
        <f t="shared" si="38"/>
        <v>4.409919649769093E-2</v>
      </c>
      <c r="AA267" t="s">
        <v>23</v>
      </c>
      <c r="AB267">
        <v>17337</v>
      </c>
      <c r="AC267">
        <v>15582221</v>
      </c>
      <c r="AD267" t="s">
        <v>4</v>
      </c>
      <c r="AE267">
        <v>33</v>
      </c>
      <c r="AF267">
        <v>12</v>
      </c>
      <c r="AH267" t="s">
        <v>4533</v>
      </c>
      <c r="AI267" t="s">
        <v>4532</v>
      </c>
      <c r="AK267" t="s">
        <v>4531</v>
      </c>
      <c r="AL267">
        <v>7</v>
      </c>
      <c r="AM267" s="5">
        <f t="shared" si="42"/>
        <v>0.1891891891891892</v>
      </c>
      <c r="AN267" s="4">
        <f t="shared" si="39"/>
        <v>2.8654174810933616E-4</v>
      </c>
      <c r="AO267" s="3"/>
      <c r="AP267">
        <v>0</v>
      </c>
      <c r="AR267" t="s">
        <v>0</v>
      </c>
      <c r="AT267" s="2" t="s">
        <v>19</v>
      </c>
      <c r="AU267" s="1">
        <f t="shared" si="43"/>
        <v>3.0955400072816452</v>
      </c>
      <c r="AV267" s="1">
        <f t="shared" si="44"/>
        <v>2.2192869122900132</v>
      </c>
      <c r="AW267" s="1">
        <f t="shared" si="45"/>
        <v>1.3430338172983813</v>
      </c>
    </row>
    <row r="268" spans="1:49" x14ac:dyDescent="0.2">
      <c r="A268">
        <v>266</v>
      </c>
      <c r="B268" t="s">
        <v>4530</v>
      </c>
      <c r="C268" t="s">
        <v>4529</v>
      </c>
      <c r="F268" t="s">
        <v>4528</v>
      </c>
      <c r="G268" t="s">
        <v>15</v>
      </c>
      <c r="H268" t="s">
        <v>14</v>
      </c>
      <c r="I268" t="s">
        <v>4527</v>
      </c>
      <c r="J268">
        <v>60012708</v>
      </c>
      <c r="K268" t="s">
        <v>335</v>
      </c>
      <c r="L268" t="s">
        <v>334</v>
      </c>
      <c r="M268" t="s">
        <v>122</v>
      </c>
      <c r="N268">
        <v>3</v>
      </c>
      <c r="O268" t="s">
        <v>4526</v>
      </c>
      <c r="P268" t="s">
        <v>4525</v>
      </c>
      <c r="Q268" t="s">
        <v>331</v>
      </c>
      <c r="R268" s="7">
        <v>31048</v>
      </c>
      <c r="S268" s="8">
        <f t="shared" si="40"/>
        <v>1985</v>
      </c>
      <c r="T268" s="8">
        <v>1985</v>
      </c>
      <c r="U268" s="8">
        <f t="shared" si="41"/>
        <v>37</v>
      </c>
      <c r="V268" s="7">
        <v>31382</v>
      </c>
      <c r="W268" t="s">
        <v>2761</v>
      </c>
      <c r="X268" s="2">
        <v>1.6379999999999999</v>
      </c>
      <c r="Y268" s="6">
        <f t="shared" si="38"/>
        <v>4.3725474493473214E-2</v>
      </c>
      <c r="AA268">
        <v>963518</v>
      </c>
      <c r="AB268">
        <v>31560</v>
      </c>
      <c r="AD268" t="s">
        <v>4</v>
      </c>
      <c r="AE268">
        <v>33</v>
      </c>
      <c r="AF268">
        <v>6</v>
      </c>
      <c r="AH268" t="s">
        <v>4524</v>
      </c>
      <c r="AI268" t="s">
        <v>4523</v>
      </c>
      <c r="AK268" t="s">
        <v>4522</v>
      </c>
      <c r="AL268">
        <v>95</v>
      </c>
      <c r="AM268" s="5">
        <f t="shared" si="42"/>
        <v>2.5675675675675675</v>
      </c>
      <c r="AN268" s="4">
        <f t="shared" si="39"/>
        <v>3.8887808671981333E-3</v>
      </c>
      <c r="AO268" s="3"/>
      <c r="AP268">
        <v>0</v>
      </c>
      <c r="AR268" t="s">
        <v>0</v>
      </c>
      <c r="AT268" s="2" t="s">
        <v>19</v>
      </c>
      <c r="AU268" s="1">
        <f t="shared" si="43"/>
        <v>3.1774466405590687</v>
      </c>
      <c r="AV268" s="1">
        <f t="shared" si="44"/>
        <v>2.3807127680335674</v>
      </c>
      <c r="AW268" s="1">
        <f t="shared" si="45"/>
        <v>1.5839788955080658</v>
      </c>
    </row>
    <row r="269" spans="1:49" x14ac:dyDescent="0.2">
      <c r="A269">
        <v>267</v>
      </c>
      <c r="B269" t="s">
        <v>4521</v>
      </c>
      <c r="C269" t="s">
        <v>4520</v>
      </c>
      <c r="F269" t="s">
        <v>4519</v>
      </c>
      <c r="G269" t="s">
        <v>15</v>
      </c>
      <c r="H269" t="s">
        <v>14</v>
      </c>
      <c r="I269" t="s">
        <v>3342</v>
      </c>
      <c r="J269">
        <v>60013141</v>
      </c>
      <c r="K269" t="s">
        <v>3341</v>
      </c>
      <c r="L269" t="s">
        <v>3340</v>
      </c>
      <c r="M269" t="s">
        <v>3339</v>
      </c>
      <c r="N269">
        <v>1</v>
      </c>
      <c r="O269" t="s">
        <v>3338</v>
      </c>
      <c r="P269">
        <v>7101988263</v>
      </c>
      <c r="Q269">
        <v>60013141</v>
      </c>
      <c r="R269" s="7">
        <v>31048</v>
      </c>
      <c r="S269" s="8">
        <f t="shared" si="40"/>
        <v>1985</v>
      </c>
      <c r="T269" s="8">
        <v>1985</v>
      </c>
      <c r="U269" s="8">
        <f t="shared" si="41"/>
        <v>37</v>
      </c>
      <c r="V269" s="7">
        <v>31382</v>
      </c>
      <c r="W269" t="s">
        <v>24</v>
      </c>
      <c r="X269" s="2">
        <v>1.6519999999999999</v>
      </c>
      <c r="Y269" s="6">
        <f t="shared" si="38"/>
        <v>4.409919649769093E-2</v>
      </c>
      <c r="AA269" t="s">
        <v>23</v>
      </c>
      <c r="AB269">
        <v>17337</v>
      </c>
      <c r="AC269">
        <v>15582221</v>
      </c>
      <c r="AD269" t="s">
        <v>4</v>
      </c>
      <c r="AE269">
        <v>33</v>
      </c>
      <c r="AF269">
        <v>12</v>
      </c>
      <c r="AH269" t="s">
        <v>4518</v>
      </c>
      <c r="AI269" t="s">
        <v>4517</v>
      </c>
      <c r="AK269" t="s">
        <v>4516</v>
      </c>
      <c r="AL269">
        <v>18</v>
      </c>
      <c r="AM269" s="5">
        <f t="shared" si="42"/>
        <v>0.48648648648648651</v>
      </c>
      <c r="AN269" s="4">
        <f t="shared" si="39"/>
        <v>7.368216379954358E-4</v>
      </c>
      <c r="AO269" s="3"/>
      <c r="AP269">
        <v>0</v>
      </c>
      <c r="AR269" t="s">
        <v>0</v>
      </c>
      <c r="AT269" s="2" t="s">
        <v>19</v>
      </c>
      <c r="AU269" s="1">
        <f t="shared" si="43"/>
        <v>3.1090484039782278</v>
      </c>
      <c r="AV269" s="1">
        <f t="shared" si="44"/>
        <v>2.2418009067843183</v>
      </c>
      <c r="AW269" s="1">
        <f t="shared" si="45"/>
        <v>1.3745534095904084</v>
      </c>
    </row>
    <row r="270" spans="1:49" x14ac:dyDescent="0.2">
      <c r="A270">
        <v>268</v>
      </c>
      <c r="B270" t="s">
        <v>4515</v>
      </c>
      <c r="F270" t="s">
        <v>4514</v>
      </c>
      <c r="G270" t="s">
        <v>15</v>
      </c>
      <c r="H270" t="s">
        <v>14</v>
      </c>
      <c r="I270" t="s">
        <v>4513</v>
      </c>
      <c r="J270">
        <v>60002930</v>
      </c>
      <c r="K270" t="s">
        <v>4512</v>
      </c>
      <c r="L270" t="s">
        <v>4511</v>
      </c>
      <c r="M270" t="s">
        <v>272</v>
      </c>
      <c r="N270">
        <v>2</v>
      </c>
      <c r="O270" t="s">
        <v>4510</v>
      </c>
      <c r="P270" t="s">
        <v>4509</v>
      </c>
      <c r="Q270" t="s">
        <v>4508</v>
      </c>
      <c r="R270" s="7">
        <v>31048</v>
      </c>
      <c r="S270" s="8">
        <f t="shared" si="40"/>
        <v>1985</v>
      </c>
      <c r="T270" s="8">
        <v>1985</v>
      </c>
      <c r="U270" s="8">
        <f t="shared" si="41"/>
        <v>37</v>
      </c>
      <c r="V270" s="7">
        <v>1985</v>
      </c>
      <c r="W270" t="s">
        <v>4507</v>
      </c>
      <c r="X270" s="2">
        <v>0.52200000000000002</v>
      </c>
      <c r="Y270" s="6">
        <f t="shared" si="38"/>
        <v>1.393449187154641E-2</v>
      </c>
      <c r="AA270">
        <v>9927689</v>
      </c>
      <c r="AB270">
        <v>27424</v>
      </c>
      <c r="AD270" t="s">
        <v>4</v>
      </c>
      <c r="AE270">
        <v>3</v>
      </c>
      <c r="AF270">
        <v>6</v>
      </c>
      <c r="AH270" t="s">
        <v>4506</v>
      </c>
      <c r="AI270" t="s">
        <v>4505</v>
      </c>
      <c r="AK270" t="s">
        <v>4504</v>
      </c>
      <c r="AL270">
        <v>44</v>
      </c>
      <c r="AM270" s="5">
        <f t="shared" si="42"/>
        <v>1.1891891891891893</v>
      </c>
      <c r="AN270" s="4">
        <f t="shared" si="39"/>
        <v>1.8011195595443988E-3</v>
      </c>
      <c r="AO270" s="3"/>
      <c r="AP270">
        <v>0</v>
      </c>
      <c r="AR270" t="s">
        <v>0</v>
      </c>
      <c r="AT270" s="2">
        <v>1.88</v>
      </c>
      <c r="AU270" s="1">
        <f t="shared" si="43"/>
        <v>1.0294480177945806</v>
      </c>
      <c r="AV270" s="1">
        <f t="shared" si="44"/>
        <v>0.7867805715545404</v>
      </c>
      <c r="AW270" s="1">
        <f t="shared" si="45"/>
        <v>0.54411312531450029</v>
      </c>
    </row>
    <row r="271" spans="1:49" x14ac:dyDescent="0.2">
      <c r="A271">
        <v>269</v>
      </c>
      <c r="B271" t="s">
        <v>4503</v>
      </c>
      <c r="F271" t="s">
        <v>4502</v>
      </c>
      <c r="G271" t="s">
        <v>15</v>
      </c>
      <c r="H271" t="s">
        <v>14</v>
      </c>
      <c r="I271" t="s">
        <v>4501</v>
      </c>
      <c r="J271">
        <v>60031101</v>
      </c>
      <c r="K271" t="s">
        <v>4500</v>
      </c>
      <c r="L271" t="s">
        <v>358</v>
      </c>
      <c r="M271" t="s">
        <v>530</v>
      </c>
      <c r="N271">
        <v>1</v>
      </c>
      <c r="O271" t="s">
        <v>4499</v>
      </c>
      <c r="P271">
        <v>7005121547</v>
      </c>
      <c r="Q271">
        <v>60031101</v>
      </c>
      <c r="R271" s="7">
        <v>31048</v>
      </c>
      <c r="S271" s="8">
        <f t="shared" si="40"/>
        <v>1985</v>
      </c>
      <c r="T271" s="8">
        <v>1985</v>
      </c>
      <c r="U271" s="8">
        <f t="shared" si="41"/>
        <v>37</v>
      </c>
      <c r="V271" s="7">
        <v>1985</v>
      </c>
      <c r="W271" t="s">
        <v>4498</v>
      </c>
      <c r="X271" s="2">
        <v>0.85899999999999999</v>
      </c>
      <c r="Y271" s="6">
        <f t="shared" si="38"/>
        <v>2.2930514401644377E-2</v>
      </c>
      <c r="AA271">
        <v>223360</v>
      </c>
      <c r="AB271">
        <v>13939</v>
      </c>
      <c r="AD271" t="s">
        <v>4</v>
      </c>
      <c r="AE271">
        <v>59</v>
      </c>
      <c r="AF271">
        <v>5</v>
      </c>
      <c r="AH271" t="s">
        <v>4497</v>
      </c>
      <c r="AI271" t="s">
        <v>4496</v>
      </c>
      <c r="AK271" t="s">
        <v>4495</v>
      </c>
      <c r="AL271">
        <v>19</v>
      </c>
      <c r="AM271" s="5">
        <f t="shared" si="42"/>
        <v>0.51351351351351349</v>
      </c>
      <c r="AN271" s="4">
        <f t="shared" si="39"/>
        <v>7.7775617343962659E-4</v>
      </c>
      <c r="AO271" s="3"/>
      <c r="AP271">
        <v>0</v>
      </c>
      <c r="AR271" t="s">
        <v>0</v>
      </c>
      <c r="AT271" s="2">
        <v>1.4710000000000001</v>
      </c>
      <c r="AU271" s="1">
        <f t="shared" si="43"/>
        <v>1.628468693318295</v>
      </c>
      <c r="AV271" s="1">
        <f t="shared" si="44"/>
        <v>1.1854135287542003</v>
      </c>
      <c r="AW271" s="1">
        <f t="shared" si="45"/>
        <v>0.74235836419010515</v>
      </c>
    </row>
    <row r="272" spans="1:49" x14ac:dyDescent="0.2">
      <c r="A272">
        <v>270</v>
      </c>
      <c r="B272" t="s">
        <v>4494</v>
      </c>
      <c r="C272" t="s">
        <v>4493</v>
      </c>
      <c r="D272" t="s">
        <v>4492</v>
      </c>
      <c r="F272" t="s">
        <v>4491</v>
      </c>
      <c r="G272" t="s">
        <v>15</v>
      </c>
      <c r="H272" t="s">
        <v>14</v>
      </c>
      <c r="I272" t="s">
        <v>4490</v>
      </c>
      <c r="J272">
        <v>60029170</v>
      </c>
      <c r="K272" t="s">
        <v>4489</v>
      </c>
      <c r="L272" t="s">
        <v>4488</v>
      </c>
      <c r="M272" t="s">
        <v>191</v>
      </c>
      <c r="N272">
        <v>1</v>
      </c>
      <c r="O272" t="s">
        <v>4487</v>
      </c>
      <c r="P272">
        <v>7003791615</v>
      </c>
      <c r="Q272">
        <v>60029170</v>
      </c>
      <c r="R272" s="7">
        <v>31048</v>
      </c>
      <c r="S272" s="8">
        <f t="shared" si="40"/>
        <v>1985</v>
      </c>
      <c r="T272" s="8">
        <v>1985</v>
      </c>
      <c r="U272" s="8">
        <f t="shared" si="41"/>
        <v>37</v>
      </c>
      <c r="V272" s="7">
        <v>31168</v>
      </c>
      <c r="W272" t="s">
        <v>4486</v>
      </c>
      <c r="X272" s="2">
        <v>1.2609999999999999</v>
      </c>
      <c r="Y272" s="6">
        <f t="shared" si="38"/>
        <v>3.3661674808467469E-2</v>
      </c>
      <c r="AA272">
        <v>33472</v>
      </c>
      <c r="AB272">
        <v>24580</v>
      </c>
      <c r="AD272" t="s">
        <v>4</v>
      </c>
      <c r="AE272">
        <v>33</v>
      </c>
      <c r="AF272">
        <v>2</v>
      </c>
      <c r="AH272" t="s">
        <v>4485</v>
      </c>
      <c r="AI272" t="s">
        <v>4484</v>
      </c>
      <c r="AK272" t="s">
        <v>4483</v>
      </c>
      <c r="AL272">
        <v>23</v>
      </c>
      <c r="AM272" s="5">
        <f t="shared" si="42"/>
        <v>0.6216216216216216</v>
      </c>
      <c r="AN272" s="4">
        <f t="shared" si="39"/>
        <v>9.4149431521639018E-4</v>
      </c>
      <c r="AO272" s="3"/>
      <c r="AP272">
        <v>0</v>
      </c>
      <c r="AR272" t="s">
        <v>0</v>
      </c>
      <c r="AT272" s="2">
        <v>2.8439999999999999</v>
      </c>
      <c r="AU272" s="1">
        <f t="shared" si="43"/>
        <v>2.3845620660492144</v>
      </c>
      <c r="AV272" s="1">
        <f t="shared" si="44"/>
        <v>1.7301584561841929</v>
      </c>
      <c r="AW272" s="1">
        <f t="shared" si="45"/>
        <v>1.0757548463191715</v>
      </c>
    </row>
    <row r="273" spans="1:49" x14ac:dyDescent="0.2">
      <c r="A273">
        <v>271</v>
      </c>
      <c r="B273" t="s">
        <v>4482</v>
      </c>
      <c r="C273" t="s">
        <v>4481</v>
      </c>
      <c r="F273" t="s">
        <v>4480</v>
      </c>
      <c r="G273" t="s">
        <v>15</v>
      </c>
      <c r="H273" t="s">
        <v>14</v>
      </c>
      <c r="I273" t="s">
        <v>4408</v>
      </c>
      <c r="J273">
        <v>106113428</v>
      </c>
      <c r="K273" t="s">
        <v>4479</v>
      </c>
      <c r="L273" t="s">
        <v>4478</v>
      </c>
      <c r="M273" t="s">
        <v>122</v>
      </c>
      <c r="N273">
        <v>2</v>
      </c>
      <c r="O273" t="s">
        <v>4477</v>
      </c>
      <c r="P273" t="s">
        <v>4476</v>
      </c>
      <c r="Q273" t="s">
        <v>4475</v>
      </c>
      <c r="R273" s="7">
        <v>31048</v>
      </c>
      <c r="S273" s="8">
        <f t="shared" si="40"/>
        <v>1985</v>
      </c>
      <c r="T273" s="8">
        <v>1985</v>
      </c>
      <c r="U273" s="8">
        <f t="shared" si="41"/>
        <v>37</v>
      </c>
      <c r="V273" s="7">
        <v>1985</v>
      </c>
      <c r="W273" t="s">
        <v>1040</v>
      </c>
      <c r="X273" s="2">
        <v>1.67</v>
      </c>
      <c r="Y273" s="6">
        <f t="shared" si="38"/>
        <v>4.4579696217399427E-2</v>
      </c>
      <c r="AA273">
        <v>1480227</v>
      </c>
      <c r="AB273">
        <v>28428</v>
      </c>
      <c r="AD273" t="s">
        <v>4</v>
      </c>
      <c r="AE273">
        <v>90</v>
      </c>
      <c r="AF273" t="s">
        <v>4474</v>
      </c>
      <c r="AH273" t="s">
        <v>4473</v>
      </c>
      <c r="AI273" t="s">
        <v>4472</v>
      </c>
      <c r="AK273" t="s">
        <v>4471</v>
      </c>
      <c r="AL273">
        <v>0</v>
      </c>
      <c r="AM273" s="5">
        <f t="shared" si="42"/>
        <v>0</v>
      </c>
      <c r="AN273" s="4">
        <f t="shared" si="39"/>
        <v>0</v>
      </c>
      <c r="AO273" s="3"/>
      <c r="AP273">
        <v>0</v>
      </c>
      <c r="AR273" t="s">
        <v>0</v>
      </c>
      <c r="AT273" s="2" t="s">
        <v>19</v>
      </c>
      <c r="AU273" s="1">
        <f t="shared" si="43"/>
        <v>3.1205787352179595</v>
      </c>
      <c r="AV273" s="1">
        <f t="shared" si="44"/>
        <v>2.2289848108699712</v>
      </c>
      <c r="AW273" s="1">
        <f t="shared" si="45"/>
        <v>1.3373908865219828</v>
      </c>
    </row>
    <row r="274" spans="1:49" x14ac:dyDescent="0.2">
      <c r="A274">
        <v>272</v>
      </c>
      <c r="B274" t="s">
        <v>4470</v>
      </c>
      <c r="C274" t="s">
        <v>4469</v>
      </c>
      <c r="F274" t="s">
        <v>4468</v>
      </c>
      <c r="G274" t="s">
        <v>15</v>
      </c>
      <c r="H274" t="s">
        <v>14</v>
      </c>
      <c r="I274" t="s">
        <v>4467</v>
      </c>
      <c r="N274">
        <v>1</v>
      </c>
      <c r="O274" t="s">
        <v>4466</v>
      </c>
      <c r="P274">
        <v>15035887600</v>
      </c>
      <c r="R274" s="7">
        <v>31048</v>
      </c>
      <c r="S274" s="8">
        <f t="shared" si="40"/>
        <v>1985</v>
      </c>
      <c r="T274" s="8">
        <v>1985</v>
      </c>
      <c r="U274" s="8">
        <f t="shared" si="41"/>
        <v>37</v>
      </c>
      <c r="V274" s="7">
        <v>1985</v>
      </c>
      <c r="W274" t="s">
        <v>1040</v>
      </c>
      <c r="X274" s="2">
        <v>1.67</v>
      </c>
      <c r="Y274" s="6">
        <f t="shared" si="38"/>
        <v>4.4579696217399427E-2</v>
      </c>
      <c r="AA274">
        <v>1480227</v>
      </c>
      <c r="AB274">
        <v>28428</v>
      </c>
      <c r="AD274" t="s">
        <v>4</v>
      </c>
      <c r="AE274">
        <v>90</v>
      </c>
      <c r="AF274" t="s">
        <v>4465</v>
      </c>
      <c r="AH274" t="s">
        <v>4464</v>
      </c>
      <c r="AI274" t="s">
        <v>4463</v>
      </c>
      <c r="AK274" t="s">
        <v>4462</v>
      </c>
      <c r="AL274">
        <v>26</v>
      </c>
      <c r="AM274" s="5">
        <f t="shared" si="42"/>
        <v>0.70270270270270274</v>
      </c>
      <c r="AN274" s="4">
        <f t="shared" si="39"/>
        <v>1.0642979215489629E-3</v>
      </c>
      <c r="AO274" s="3"/>
      <c r="AP274">
        <v>0</v>
      </c>
      <c r="AR274" t="s">
        <v>0</v>
      </c>
      <c r="AT274" s="2" t="s">
        <v>19</v>
      </c>
      <c r="AU274" s="1">
        <f t="shared" si="43"/>
        <v>3.1525076728644281</v>
      </c>
      <c r="AV274" s="1">
        <f t="shared" si="44"/>
        <v>2.2821997069474196</v>
      </c>
      <c r="AW274" s="1">
        <f t="shared" si="45"/>
        <v>1.4118917410304104</v>
      </c>
    </row>
    <row r="275" spans="1:49" x14ac:dyDescent="0.2">
      <c r="A275">
        <v>273</v>
      </c>
      <c r="B275" t="s">
        <v>4461</v>
      </c>
      <c r="C275" t="s">
        <v>4460</v>
      </c>
      <c r="F275" t="s">
        <v>4459</v>
      </c>
      <c r="G275" t="s">
        <v>15</v>
      </c>
      <c r="H275" t="s">
        <v>14</v>
      </c>
      <c r="I275" t="s">
        <v>4458</v>
      </c>
      <c r="J275">
        <v>60014652</v>
      </c>
      <c r="K275" t="s">
        <v>4300</v>
      </c>
      <c r="L275" t="s">
        <v>4299</v>
      </c>
      <c r="M275" t="s">
        <v>544</v>
      </c>
      <c r="N275">
        <v>3</v>
      </c>
      <c r="O275" t="s">
        <v>4457</v>
      </c>
      <c r="P275" t="s">
        <v>4456</v>
      </c>
      <c r="Q275" t="s">
        <v>4296</v>
      </c>
      <c r="R275" s="7">
        <v>31048</v>
      </c>
      <c r="S275" s="8">
        <f t="shared" si="40"/>
        <v>1985</v>
      </c>
      <c r="T275" s="8">
        <v>1985</v>
      </c>
      <c r="U275" s="8">
        <f t="shared" si="41"/>
        <v>37</v>
      </c>
      <c r="V275" s="7">
        <v>1985</v>
      </c>
      <c r="W275" t="s">
        <v>590</v>
      </c>
      <c r="X275" s="2">
        <v>0.111</v>
      </c>
      <c r="Y275" s="6">
        <f t="shared" si="38"/>
        <v>2.9630816048690639E-3</v>
      </c>
      <c r="AA275">
        <v>87566621</v>
      </c>
      <c r="AB275">
        <v>24890</v>
      </c>
      <c r="AC275">
        <v>15206424</v>
      </c>
      <c r="AD275" t="s">
        <v>4</v>
      </c>
      <c r="AE275">
        <v>68</v>
      </c>
      <c r="AF275">
        <v>11</v>
      </c>
      <c r="AH275" t="s">
        <v>4455</v>
      </c>
      <c r="AI275" t="s">
        <v>4454</v>
      </c>
      <c r="AK275" t="s">
        <v>4453</v>
      </c>
      <c r="AL275">
        <v>0</v>
      </c>
      <c r="AM275" s="5">
        <f t="shared" si="42"/>
        <v>0</v>
      </c>
      <c r="AN275" s="4">
        <f t="shared" si="39"/>
        <v>0</v>
      </c>
      <c r="AO275" s="3"/>
      <c r="AP275">
        <v>0</v>
      </c>
      <c r="AR275" t="s">
        <v>0</v>
      </c>
      <c r="AT275" s="2" t="s">
        <v>19</v>
      </c>
      <c r="AU275" s="1">
        <f t="shared" si="43"/>
        <v>0.20741571234083445</v>
      </c>
      <c r="AV275" s="1">
        <f t="shared" si="44"/>
        <v>0.1481540802434532</v>
      </c>
      <c r="AW275" s="1">
        <f t="shared" si="45"/>
        <v>8.8892448146071903E-2</v>
      </c>
    </row>
    <row r="276" spans="1:49" x14ac:dyDescent="0.2">
      <c r="A276">
        <v>274</v>
      </c>
      <c r="B276" t="s">
        <v>4452</v>
      </c>
      <c r="C276" t="s">
        <v>4451</v>
      </c>
      <c r="F276" t="s">
        <v>4450</v>
      </c>
      <c r="G276" t="s">
        <v>15</v>
      </c>
      <c r="H276" t="s">
        <v>14</v>
      </c>
      <c r="I276" t="s">
        <v>4449</v>
      </c>
      <c r="J276">
        <v>60005304</v>
      </c>
      <c r="K276" t="s">
        <v>3710</v>
      </c>
      <c r="L276" t="s">
        <v>3275</v>
      </c>
      <c r="M276" t="s">
        <v>122</v>
      </c>
      <c r="N276">
        <v>2</v>
      </c>
      <c r="O276" t="s">
        <v>4448</v>
      </c>
      <c r="P276" t="s">
        <v>4447</v>
      </c>
      <c r="Q276" t="s">
        <v>4446</v>
      </c>
      <c r="R276" s="7">
        <v>31048</v>
      </c>
      <c r="S276" s="8">
        <f t="shared" si="40"/>
        <v>1985</v>
      </c>
      <c r="T276" s="8">
        <v>1985</v>
      </c>
      <c r="U276" s="8">
        <f t="shared" si="41"/>
        <v>37</v>
      </c>
      <c r="V276" s="7" t="s">
        <v>4235</v>
      </c>
      <c r="W276" t="s">
        <v>4445</v>
      </c>
      <c r="X276" s="2">
        <v>0.35699999999999998</v>
      </c>
      <c r="Y276" s="6">
        <f t="shared" si="38"/>
        <v>9.5299111075518531E-3</v>
      </c>
      <c r="AA276">
        <v>913286</v>
      </c>
      <c r="AB276">
        <v>12316</v>
      </c>
      <c r="AD276" t="s">
        <v>4</v>
      </c>
      <c r="AE276">
        <v>24</v>
      </c>
      <c r="AF276">
        <v>6</v>
      </c>
      <c r="AH276" t="s">
        <v>4444</v>
      </c>
      <c r="AI276" t="s">
        <v>4443</v>
      </c>
      <c r="AK276" t="s">
        <v>4442</v>
      </c>
      <c r="AL276">
        <v>70</v>
      </c>
      <c r="AM276" s="5">
        <f t="shared" si="42"/>
        <v>1.8918918918918919</v>
      </c>
      <c r="AN276" s="4">
        <f t="shared" si="39"/>
        <v>2.8654174810933616E-3</v>
      </c>
      <c r="AO276" s="3"/>
      <c r="AP276">
        <v>0</v>
      </c>
      <c r="AR276" t="s">
        <v>0</v>
      </c>
      <c r="AT276" s="2">
        <v>1.0840000000000001</v>
      </c>
      <c r="AU276" s="1">
        <f t="shared" si="43"/>
        <v>0.75305630196143059</v>
      </c>
      <c r="AV276" s="1">
        <f t="shared" si="44"/>
        <v>0.61976642943226079</v>
      </c>
      <c r="AW276" s="1">
        <f t="shared" si="45"/>
        <v>0.48647655690309094</v>
      </c>
    </row>
    <row r="277" spans="1:49" x14ac:dyDescent="0.2">
      <c r="A277">
        <v>275</v>
      </c>
      <c r="B277" t="s">
        <v>4441</v>
      </c>
      <c r="C277" t="s">
        <v>4440</v>
      </c>
      <c r="F277" t="s">
        <v>4439</v>
      </c>
      <c r="G277" t="s">
        <v>15</v>
      </c>
      <c r="H277" t="s">
        <v>14</v>
      </c>
      <c r="I277" t="s">
        <v>4438</v>
      </c>
      <c r="J277">
        <v>60031720</v>
      </c>
      <c r="K277" t="s">
        <v>4437</v>
      </c>
      <c r="L277" t="s">
        <v>4436</v>
      </c>
      <c r="M277" t="s">
        <v>544</v>
      </c>
      <c r="N277">
        <v>4</v>
      </c>
      <c r="O277" t="s">
        <v>4435</v>
      </c>
      <c r="P277" t="s">
        <v>4434</v>
      </c>
      <c r="Q277" t="s">
        <v>4433</v>
      </c>
      <c r="R277" s="7">
        <v>31048</v>
      </c>
      <c r="S277" s="8">
        <f t="shared" si="40"/>
        <v>1985</v>
      </c>
      <c r="T277" s="8">
        <v>1985</v>
      </c>
      <c r="U277" s="8">
        <f t="shared" si="41"/>
        <v>37</v>
      </c>
      <c r="V277" s="7">
        <v>1985</v>
      </c>
      <c r="W277" t="s">
        <v>590</v>
      </c>
      <c r="X277" s="2">
        <v>0.111</v>
      </c>
      <c r="Y277" s="6">
        <f t="shared" si="38"/>
        <v>2.9630816048690639E-3</v>
      </c>
      <c r="AA277">
        <v>87566621</v>
      </c>
      <c r="AB277">
        <v>24890</v>
      </c>
      <c r="AC277">
        <v>15206424</v>
      </c>
      <c r="AD277" t="s">
        <v>4</v>
      </c>
      <c r="AE277">
        <v>68</v>
      </c>
      <c r="AF277">
        <v>11</v>
      </c>
      <c r="AH277" t="s">
        <v>4432</v>
      </c>
      <c r="AI277" t="s">
        <v>4431</v>
      </c>
      <c r="AK277" t="s">
        <v>4430</v>
      </c>
      <c r="AL277">
        <v>0</v>
      </c>
      <c r="AM277" s="5">
        <f t="shared" si="42"/>
        <v>0</v>
      </c>
      <c r="AN277" s="4">
        <f t="shared" si="39"/>
        <v>0</v>
      </c>
      <c r="AO277" s="3"/>
      <c r="AP277">
        <v>0</v>
      </c>
      <c r="AR277" t="s">
        <v>0</v>
      </c>
      <c r="AT277" s="2" t="s">
        <v>19</v>
      </c>
      <c r="AU277" s="1">
        <f t="shared" si="43"/>
        <v>0.20741571234083445</v>
      </c>
      <c r="AV277" s="1">
        <f t="shared" si="44"/>
        <v>0.1481540802434532</v>
      </c>
      <c r="AW277" s="1">
        <f t="shared" si="45"/>
        <v>8.8892448146071903E-2</v>
      </c>
    </row>
    <row r="278" spans="1:49" x14ac:dyDescent="0.2">
      <c r="A278">
        <v>276</v>
      </c>
      <c r="B278" t="s">
        <v>4429</v>
      </c>
      <c r="C278" t="s">
        <v>4428</v>
      </c>
      <c r="F278" t="s">
        <v>4427</v>
      </c>
      <c r="G278" t="s">
        <v>15</v>
      </c>
      <c r="H278" t="s">
        <v>14</v>
      </c>
      <c r="I278" t="s">
        <v>4426</v>
      </c>
      <c r="N278">
        <v>2</v>
      </c>
      <c r="O278" t="s">
        <v>4425</v>
      </c>
      <c r="P278" t="s">
        <v>4424</v>
      </c>
      <c r="Q278" t="s">
        <v>895</v>
      </c>
      <c r="R278" s="7">
        <v>31048</v>
      </c>
      <c r="S278" s="8">
        <f t="shared" si="40"/>
        <v>1985</v>
      </c>
      <c r="T278" s="8">
        <v>1985</v>
      </c>
      <c r="U278" s="8">
        <f t="shared" si="41"/>
        <v>37</v>
      </c>
      <c r="V278" s="7" t="s">
        <v>4378</v>
      </c>
      <c r="W278" t="s">
        <v>367</v>
      </c>
      <c r="X278" s="2">
        <v>0.371</v>
      </c>
      <c r="Y278" s="6">
        <f t="shared" si="38"/>
        <v>9.9036331117695747E-3</v>
      </c>
      <c r="AA278">
        <v>486604</v>
      </c>
      <c r="AB278">
        <v>28580</v>
      </c>
      <c r="AC278" t="s">
        <v>366</v>
      </c>
      <c r="AD278" t="s">
        <v>4</v>
      </c>
      <c r="AE278">
        <v>20</v>
      </c>
      <c r="AF278">
        <v>6</v>
      </c>
      <c r="AH278" t="s">
        <v>4423</v>
      </c>
      <c r="AI278" t="s">
        <v>4422</v>
      </c>
      <c r="AK278" t="s">
        <v>4421</v>
      </c>
      <c r="AL278">
        <v>76</v>
      </c>
      <c r="AM278" s="5">
        <f t="shared" si="42"/>
        <v>2.0540540540540539</v>
      </c>
      <c r="AN278" s="4">
        <f t="shared" si="39"/>
        <v>3.1110246937585064E-3</v>
      </c>
      <c r="AO278" s="3"/>
      <c r="AP278">
        <v>0</v>
      </c>
      <c r="AR278" t="s">
        <v>0</v>
      </c>
      <c r="AT278" s="2">
        <v>1.431</v>
      </c>
      <c r="AU278" s="1">
        <f t="shared" si="43"/>
        <v>0.78658505863662531</v>
      </c>
      <c r="AV278" s="1">
        <f t="shared" si="44"/>
        <v>0.65073289027640402</v>
      </c>
      <c r="AW278" s="1">
        <f t="shared" si="45"/>
        <v>0.51488072191618273</v>
      </c>
    </row>
    <row r="279" spans="1:49" x14ac:dyDescent="0.2">
      <c r="A279">
        <v>277</v>
      </c>
      <c r="B279" t="s">
        <v>4420</v>
      </c>
      <c r="C279" t="s">
        <v>4419</v>
      </c>
      <c r="F279" t="s">
        <v>4418</v>
      </c>
      <c r="G279" t="s">
        <v>15</v>
      </c>
      <c r="H279" t="s">
        <v>14</v>
      </c>
      <c r="I279" t="s">
        <v>4417</v>
      </c>
      <c r="N279">
        <v>4</v>
      </c>
      <c r="O279" t="s">
        <v>4416</v>
      </c>
      <c r="P279" t="s">
        <v>4415</v>
      </c>
      <c r="Q279" t="s">
        <v>489</v>
      </c>
      <c r="R279" s="7">
        <v>31048</v>
      </c>
      <c r="S279" s="8">
        <f t="shared" si="40"/>
        <v>1985</v>
      </c>
      <c r="T279" s="8">
        <v>1985</v>
      </c>
      <c r="U279" s="8">
        <f t="shared" si="41"/>
        <v>37</v>
      </c>
      <c r="V279" s="7" t="s">
        <v>4378</v>
      </c>
      <c r="W279" t="s">
        <v>367</v>
      </c>
      <c r="X279" s="2">
        <v>0.371</v>
      </c>
      <c r="Y279" s="6">
        <f t="shared" si="38"/>
        <v>9.9036331117695747E-3</v>
      </c>
      <c r="AA279">
        <v>486604</v>
      </c>
      <c r="AB279">
        <v>28580</v>
      </c>
      <c r="AC279" t="s">
        <v>366</v>
      </c>
      <c r="AD279" t="s">
        <v>4</v>
      </c>
      <c r="AE279">
        <v>20</v>
      </c>
      <c r="AF279">
        <v>6</v>
      </c>
      <c r="AH279" t="s">
        <v>4414</v>
      </c>
      <c r="AI279" t="s">
        <v>4413</v>
      </c>
      <c r="AK279" t="s">
        <v>4412</v>
      </c>
      <c r="AL279">
        <v>20</v>
      </c>
      <c r="AM279" s="5">
        <f t="shared" si="42"/>
        <v>0.54054054054054057</v>
      </c>
      <c r="AN279" s="4">
        <f t="shared" si="39"/>
        <v>8.186907088838176E-4</v>
      </c>
      <c r="AO279" s="3"/>
      <c r="AP279">
        <v>0</v>
      </c>
      <c r="AR279" t="s">
        <v>0</v>
      </c>
      <c r="AT279" s="2">
        <v>1.431</v>
      </c>
      <c r="AU279" s="1">
        <f t="shared" si="43"/>
        <v>0.71781503909038469</v>
      </c>
      <c r="AV279" s="1">
        <f t="shared" si="44"/>
        <v>0.53611619103266961</v>
      </c>
      <c r="AW279" s="1">
        <f t="shared" si="45"/>
        <v>0.35441734297495447</v>
      </c>
    </row>
    <row r="280" spans="1:49" x14ac:dyDescent="0.2">
      <c r="A280">
        <v>278</v>
      </c>
      <c r="B280" t="s">
        <v>4411</v>
      </c>
      <c r="C280" t="s">
        <v>4410</v>
      </c>
      <c r="F280" t="s">
        <v>4409</v>
      </c>
      <c r="G280" t="s">
        <v>15</v>
      </c>
      <c r="H280" t="s">
        <v>14</v>
      </c>
      <c r="I280" t="s">
        <v>4408</v>
      </c>
      <c r="N280">
        <v>2</v>
      </c>
      <c r="O280" t="s">
        <v>4407</v>
      </c>
      <c r="P280" t="s">
        <v>4406</v>
      </c>
      <c r="Q280" t="s">
        <v>895</v>
      </c>
      <c r="R280" s="7">
        <v>31048</v>
      </c>
      <c r="S280" s="8">
        <f t="shared" si="40"/>
        <v>1985</v>
      </c>
      <c r="T280" s="8">
        <v>1985</v>
      </c>
      <c r="U280" s="8">
        <f t="shared" si="41"/>
        <v>37</v>
      </c>
      <c r="V280" s="7" t="s">
        <v>4378</v>
      </c>
      <c r="W280" t="s">
        <v>367</v>
      </c>
      <c r="X280" s="2">
        <v>0.371</v>
      </c>
      <c r="Y280" s="6">
        <f t="shared" si="38"/>
        <v>9.9036331117695747E-3</v>
      </c>
      <c r="AA280">
        <v>486604</v>
      </c>
      <c r="AB280">
        <v>28580</v>
      </c>
      <c r="AC280" t="s">
        <v>366</v>
      </c>
      <c r="AD280" t="s">
        <v>4</v>
      </c>
      <c r="AE280">
        <v>20</v>
      </c>
      <c r="AF280">
        <v>6</v>
      </c>
      <c r="AH280" t="s">
        <v>4405</v>
      </c>
      <c r="AI280" t="s">
        <v>4404</v>
      </c>
      <c r="AK280" t="s">
        <v>4403</v>
      </c>
      <c r="AL280">
        <v>4</v>
      </c>
      <c r="AM280" s="5">
        <f t="shared" si="42"/>
        <v>0.10810810810810811</v>
      </c>
      <c r="AN280" s="4">
        <f t="shared" si="39"/>
        <v>1.6373814177676353E-4</v>
      </c>
      <c r="AO280" s="3"/>
      <c r="AP280">
        <v>0</v>
      </c>
      <c r="AR280" t="s">
        <v>0</v>
      </c>
      <c r="AT280" s="2">
        <v>1.431</v>
      </c>
      <c r="AU280" s="1">
        <f t="shared" si="43"/>
        <v>0.69816646207717314</v>
      </c>
      <c r="AV280" s="1">
        <f t="shared" si="44"/>
        <v>0.50336856267731689</v>
      </c>
      <c r="AW280" s="1">
        <f t="shared" si="45"/>
        <v>0.30857066327746069</v>
      </c>
    </row>
    <row r="281" spans="1:49" x14ac:dyDescent="0.2">
      <c r="A281">
        <v>279</v>
      </c>
      <c r="B281" t="s">
        <v>4402</v>
      </c>
      <c r="C281" t="s">
        <v>4401</v>
      </c>
      <c r="F281" t="s">
        <v>4400</v>
      </c>
      <c r="G281" t="s">
        <v>15</v>
      </c>
      <c r="H281" t="s">
        <v>14</v>
      </c>
      <c r="I281" t="s">
        <v>4382</v>
      </c>
      <c r="N281">
        <v>6</v>
      </c>
      <c r="O281" t="s">
        <v>4399</v>
      </c>
      <c r="P281" t="s">
        <v>4398</v>
      </c>
      <c r="Q281" t="s">
        <v>4379</v>
      </c>
      <c r="R281" s="7">
        <v>31048</v>
      </c>
      <c r="S281" s="8">
        <f t="shared" si="40"/>
        <v>1985</v>
      </c>
      <c r="T281" s="8">
        <v>1985</v>
      </c>
      <c r="U281" s="8">
        <f t="shared" si="41"/>
        <v>37</v>
      </c>
      <c r="V281" s="7" t="s">
        <v>4378</v>
      </c>
      <c r="W281" t="s">
        <v>367</v>
      </c>
      <c r="X281" s="2">
        <v>0.371</v>
      </c>
      <c r="Y281" s="6">
        <f t="shared" si="38"/>
        <v>9.9036331117695747E-3</v>
      </c>
      <c r="AA281">
        <v>486604</v>
      </c>
      <c r="AB281">
        <v>28580</v>
      </c>
      <c r="AC281" t="s">
        <v>366</v>
      </c>
      <c r="AD281" t="s">
        <v>4</v>
      </c>
      <c r="AE281">
        <v>20</v>
      </c>
      <c r="AF281">
        <v>6</v>
      </c>
      <c r="AH281" t="s">
        <v>4397</v>
      </c>
      <c r="AI281" t="s">
        <v>4396</v>
      </c>
      <c r="AK281" t="s">
        <v>4395</v>
      </c>
      <c r="AL281">
        <v>206</v>
      </c>
      <c r="AM281" s="5">
        <f t="shared" si="42"/>
        <v>5.5675675675675675</v>
      </c>
      <c r="AN281" s="4">
        <f t="shared" si="39"/>
        <v>8.4325143015033209E-3</v>
      </c>
      <c r="AO281" s="3"/>
      <c r="AP281">
        <v>0</v>
      </c>
      <c r="AR281" t="s">
        <v>0</v>
      </c>
      <c r="AT281" s="2">
        <v>1.431</v>
      </c>
      <c r="AU281" s="1">
        <f t="shared" si="43"/>
        <v>0.94622974686896977</v>
      </c>
      <c r="AV281" s="1">
        <f t="shared" si="44"/>
        <v>0.91680737066364482</v>
      </c>
      <c r="AW281" s="1">
        <f t="shared" si="45"/>
        <v>0.88738499445831964</v>
      </c>
    </row>
    <row r="282" spans="1:49" x14ac:dyDescent="0.2">
      <c r="A282">
        <v>280</v>
      </c>
      <c r="B282" t="s">
        <v>4394</v>
      </c>
      <c r="C282" t="s">
        <v>4393</v>
      </c>
      <c r="F282" t="s">
        <v>4392</v>
      </c>
      <c r="G282" t="s">
        <v>15</v>
      </c>
      <c r="H282" t="s">
        <v>14</v>
      </c>
      <c r="I282" t="s">
        <v>4391</v>
      </c>
      <c r="N282">
        <v>2</v>
      </c>
      <c r="O282" t="s">
        <v>4390</v>
      </c>
      <c r="P282" t="s">
        <v>4389</v>
      </c>
      <c r="Q282" t="s">
        <v>895</v>
      </c>
      <c r="R282" s="7">
        <v>31048</v>
      </c>
      <c r="S282" s="8">
        <f t="shared" si="40"/>
        <v>1985</v>
      </c>
      <c r="T282" s="8">
        <v>1985</v>
      </c>
      <c r="U282" s="8">
        <f t="shared" si="41"/>
        <v>37</v>
      </c>
      <c r="V282" s="7" t="s">
        <v>4378</v>
      </c>
      <c r="W282" t="s">
        <v>367</v>
      </c>
      <c r="X282" s="2">
        <v>0.371</v>
      </c>
      <c r="Y282" s="6">
        <f t="shared" si="38"/>
        <v>9.9036331117695747E-3</v>
      </c>
      <c r="AA282">
        <v>486604</v>
      </c>
      <c r="AB282">
        <v>28580</v>
      </c>
      <c r="AC282" t="s">
        <v>366</v>
      </c>
      <c r="AD282" t="s">
        <v>4</v>
      </c>
      <c r="AE282">
        <v>20</v>
      </c>
      <c r="AF282">
        <v>6</v>
      </c>
      <c r="AH282" t="s">
        <v>4388</v>
      </c>
      <c r="AI282" t="s">
        <v>4387</v>
      </c>
      <c r="AK282" t="s">
        <v>4386</v>
      </c>
      <c r="AL282">
        <v>29</v>
      </c>
      <c r="AM282" s="5">
        <f t="shared" si="42"/>
        <v>0.78378378378378377</v>
      </c>
      <c r="AN282" s="4">
        <f t="shared" si="39"/>
        <v>1.1871015278815354E-3</v>
      </c>
      <c r="AO282" s="3"/>
      <c r="AP282">
        <v>0</v>
      </c>
      <c r="AR282" t="s">
        <v>0</v>
      </c>
      <c r="AT282" s="2">
        <v>1.431</v>
      </c>
      <c r="AU282" s="1">
        <f t="shared" si="43"/>
        <v>0.72886736366031624</v>
      </c>
      <c r="AV282" s="1">
        <f t="shared" si="44"/>
        <v>0.55453673198255549</v>
      </c>
      <c r="AW282" s="1">
        <f t="shared" si="45"/>
        <v>0.38020610030479474</v>
      </c>
    </row>
    <row r="283" spans="1:49" x14ac:dyDescent="0.2">
      <c r="A283">
        <v>281</v>
      </c>
      <c r="B283" t="s">
        <v>4385</v>
      </c>
      <c r="C283" t="s">
        <v>4384</v>
      </c>
      <c r="F283" t="s">
        <v>4383</v>
      </c>
      <c r="G283" t="s">
        <v>15</v>
      </c>
      <c r="H283" t="s">
        <v>14</v>
      </c>
      <c r="I283" t="s">
        <v>4382</v>
      </c>
      <c r="N283">
        <v>6</v>
      </c>
      <c r="O283" t="s">
        <v>4381</v>
      </c>
      <c r="P283" t="s">
        <v>4380</v>
      </c>
      <c r="Q283" t="s">
        <v>4379</v>
      </c>
      <c r="R283" s="7">
        <v>31048</v>
      </c>
      <c r="S283" s="8">
        <f t="shared" si="40"/>
        <v>1985</v>
      </c>
      <c r="T283" s="8">
        <v>1985</v>
      </c>
      <c r="U283" s="8">
        <f t="shared" si="41"/>
        <v>37</v>
      </c>
      <c r="V283" s="7" t="s">
        <v>4378</v>
      </c>
      <c r="W283" t="s">
        <v>367</v>
      </c>
      <c r="X283" s="2">
        <v>0.371</v>
      </c>
      <c r="Y283" s="6">
        <f t="shared" si="38"/>
        <v>9.9036331117695747E-3</v>
      </c>
      <c r="AA283">
        <v>486604</v>
      </c>
      <c r="AB283">
        <v>28580</v>
      </c>
      <c r="AC283" t="s">
        <v>366</v>
      </c>
      <c r="AD283" t="s">
        <v>4</v>
      </c>
      <c r="AE283">
        <v>20</v>
      </c>
      <c r="AF283">
        <v>6</v>
      </c>
      <c r="AH283" t="s">
        <v>4377</v>
      </c>
      <c r="AI283" t="s">
        <v>4376</v>
      </c>
      <c r="AK283" t="s">
        <v>4375</v>
      </c>
      <c r="AL283">
        <v>154</v>
      </c>
      <c r="AM283" s="5">
        <f t="shared" si="42"/>
        <v>4.1621621621621623</v>
      </c>
      <c r="AN283" s="4">
        <f t="shared" si="39"/>
        <v>6.3039184584053956E-3</v>
      </c>
      <c r="AO283" s="3"/>
      <c r="AP283">
        <v>0</v>
      </c>
      <c r="AR283" t="s">
        <v>0</v>
      </c>
      <c r="AT283" s="2">
        <v>1.431</v>
      </c>
      <c r="AU283" s="1">
        <f t="shared" si="43"/>
        <v>0.88237187157603203</v>
      </c>
      <c r="AV283" s="1">
        <f t="shared" si="44"/>
        <v>0.81037757850874848</v>
      </c>
      <c r="AW283" s="1">
        <f t="shared" si="45"/>
        <v>0.73838328544146481</v>
      </c>
    </row>
    <row r="284" spans="1:49" x14ac:dyDescent="0.2">
      <c r="A284">
        <v>282</v>
      </c>
      <c r="B284" t="s">
        <v>4374</v>
      </c>
      <c r="C284" t="s">
        <v>4373</v>
      </c>
      <c r="F284" t="s">
        <v>4372</v>
      </c>
      <c r="G284" t="s">
        <v>15</v>
      </c>
      <c r="H284" t="s">
        <v>14</v>
      </c>
      <c r="I284" t="s">
        <v>4371</v>
      </c>
      <c r="J284">
        <v>60004354</v>
      </c>
      <c r="K284" t="s">
        <v>4370</v>
      </c>
      <c r="L284" t="s">
        <v>4369</v>
      </c>
      <c r="M284" t="s">
        <v>122</v>
      </c>
      <c r="N284">
        <v>2</v>
      </c>
      <c r="O284" t="s">
        <v>4368</v>
      </c>
      <c r="P284" t="s">
        <v>4367</v>
      </c>
      <c r="Q284" t="s">
        <v>4366</v>
      </c>
      <c r="R284" s="7">
        <v>31048</v>
      </c>
      <c r="S284" s="8">
        <f t="shared" si="40"/>
        <v>1985</v>
      </c>
      <c r="T284" s="8">
        <v>1985</v>
      </c>
      <c r="U284" s="8">
        <f t="shared" si="41"/>
        <v>37</v>
      </c>
      <c r="V284" s="7" t="s">
        <v>4365</v>
      </c>
      <c r="W284" t="s">
        <v>1632</v>
      </c>
      <c r="X284" s="2">
        <v>1.365</v>
      </c>
      <c r="Y284" s="6">
        <f t="shared" si="38"/>
        <v>3.6437895411227675E-2</v>
      </c>
      <c r="AA284">
        <v>189545</v>
      </c>
      <c r="AB284">
        <v>17393</v>
      </c>
      <c r="AD284" t="s">
        <v>4</v>
      </c>
      <c r="AE284" t="s">
        <v>4364</v>
      </c>
      <c r="AF284">
        <v>4</v>
      </c>
      <c r="AH284" t="s">
        <v>4363</v>
      </c>
      <c r="AI284" t="s">
        <v>4362</v>
      </c>
      <c r="AK284" t="s">
        <v>4361</v>
      </c>
      <c r="AL284">
        <v>7</v>
      </c>
      <c r="AM284" s="5">
        <f t="shared" si="42"/>
        <v>0.1891891891891892</v>
      </c>
      <c r="AN284" s="4">
        <f t="shared" si="39"/>
        <v>2.8654174810933616E-4</v>
      </c>
      <c r="AO284" s="3"/>
      <c r="AP284">
        <v>0</v>
      </c>
      <c r="AR284" t="s">
        <v>0</v>
      </c>
      <c r="AT284" s="2" t="s">
        <v>19</v>
      </c>
      <c r="AU284" s="1">
        <f t="shared" si="43"/>
        <v>2.559248931229217</v>
      </c>
      <c r="AV284" s="1">
        <f t="shared" si="44"/>
        <v>1.8362218579668508</v>
      </c>
      <c r="AW284" s="1">
        <f t="shared" si="45"/>
        <v>1.1131947847044836</v>
      </c>
    </row>
    <row r="285" spans="1:49" x14ac:dyDescent="0.2">
      <c r="A285">
        <v>283</v>
      </c>
      <c r="B285" t="s">
        <v>4360</v>
      </c>
      <c r="C285" t="s">
        <v>4359</v>
      </c>
      <c r="F285" t="s">
        <v>4358</v>
      </c>
      <c r="G285" t="s">
        <v>15</v>
      </c>
      <c r="H285" t="s">
        <v>14</v>
      </c>
      <c r="I285" t="s">
        <v>4357</v>
      </c>
      <c r="J285">
        <v>60022148</v>
      </c>
      <c r="K285" t="s">
        <v>1091</v>
      </c>
      <c r="L285" t="s">
        <v>1090</v>
      </c>
      <c r="M285" t="s">
        <v>530</v>
      </c>
      <c r="N285">
        <v>2</v>
      </c>
      <c r="O285" t="s">
        <v>4356</v>
      </c>
      <c r="P285" t="s">
        <v>4355</v>
      </c>
      <c r="Q285" t="s">
        <v>4354</v>
      </c>
      <c r="R285" s="7">
        <v>31048</v>
      </c>
      <c r="S285" s="8">
        <f t="shared" si="40"/>
        <v>1985</v>
      </c>
      <c r="T285" s="8">
        <v>1985</v>
      </c>
      <c r="U285" s="8">
        <f t="shared" si="41"/>
        <v>37</v>
      </c>
      <c r="V285" s="7" t="s">
        <v>4235</v>
      </c>
      <c r="W285" t="s">
        <v>1087</v>
      </c>
      <c r="X285" s="2" t="s">
        <v>19</v>
      </c>
      <c r="Y285" s="6" t="e">
        <f t="shared" si="38"/>
        <v>#VALUE!</v>
      </c>
      <c r="AA285">
        <v>2671689</v>
      </c>
      <c r="AB285">
        <v>87645</v>
      </c>
      <c r="AD285" t="s">
        <v>4</v>
      </c>
      <c r="AE285">
        <v>55</v>
      </c>
      <c r="AF285" s="9">
        <v>44541</v>
      </c>
      <c r="AH285" t="s">
        <v>4353</v>
      </c>
      <c r="AI285" t="s">
        <v>4352</v>
      </c>
      <c r="AK285" t="s">
        <v>4351</v>
      </c>
      <c r="AL285">
        <v>0</v>
      </c>
      <c r="AM285" s="5">
        <f t="shared" si="42"/>
        <v>0</v>
      </c>
      <c r="AN285" s="4">
        <f t="shared" si="39"/>
        <v>0</v>
      </c>
      <c r="AO285" s="3"/>
      <c r="AP285">
        <v>0</v>
      </c>
      <c r="AR285" t="s">
        <v>0</v>
      </c>
      <c r="AT285" s="2" t="s">
        <v>19</v>
      </c>
      <c r="AU285" s="1" t="e">
        <f t="shared" si="43"/>
        <v>#VALUE!</v>
      </c>
      <c r="AV285" s="1" t="e">
        <f t="shared" si="44"/>
        <v>#VALUE!</v>
      </c>
      <c r="AW285" s="1" t="e">
        <f t="shared" si="45"/>
        <v>#VALUE!</v>
      </c>
    </row>
    <row r="286" spans="1:49" x14ac:dyDescent="0.2">
      <c r="A286">
        <v>284</v>
      </c>
      <c r="B286" t="s">
        <v>4350</v>
      </c>
      <c r="C286" t="s">
        <v>4349</v>
      </c>
      <c r="D286">
        <v>94576585900219</v>
      </c>
      <c r="E286">
        <v>11539666</v>
      </c>
      <c r="F286" t="s">
        <v>4348</v>
      </c>
      <c r="G286" t="s">
        <v>15</v>
      </c>
      <c r="H286" t="s">
        <v>14</v>
      </c>
      <c r="I286" t="s">
        <v>4347</v>
      </c>
      <c r="J286" t="s">
        <v>4346</v>
      </c>
      <c r="K286" t="s">
        <v>4345</v>
      </c>
      <c r="L286" t="s">
        <v>4344</v>
      </c>
      <c r="M286" t="s">
        <v>28</v>
      </c>
      <c r="N286">
        <v>1</v>
      </c>
      <c r="O286" t="s">
        <v>4343</v>
      </c>
      <c r="P286">
        <v>7004487518</v>
      </c>
      <c r="Q286" t="s">
        <v>4342</v>
      </c>
      <c r="R286" s="7">
        <v>31048</v>
      </c>
      <c r="S286" s="8">
        <f t="shared" si="40"/>
        <v>1985</v>
      </c>
      <c r="T286" s="8">
        <v>1985</v>
      </c>
      <c r="U286" s="8">
        <f t="shared" si="41"/>
        <v>37</v>
      </c>
      <c r="V286" s="7">
        <v>31352</v>
      </c>
      <c r="W286" t="s">
        <v>603</v>
      </c>
      <c r="X286" s="2">
        <v>1.1339999999999999</v>
      </c>
      <c r="Y286" s="6">
        <f t="shared" si="38"/>
        <v>3.0271482341635299E-2</v>
      </c>
      <c r="AA286">
        <v>945765</v>
      </c>
      <c r="AB286">
        <v>12372</v>
      </c>
      <c r="AD286" t="s">
        <v>4</v>
      </c>
      <c r="AE286">
        <v>12</v>
      </c>
      <c r="AF286">
        <v>11</v>
      </c>
      <c r="AH286" t="s">
        <v>4341</v>
      </c>
      <c r="AI286" t="s">
        <v>4340</v>
      </c>
      <c r="AK286" t="s">
        <v>4339</v>
      </c>
      <c r="AL286">
        <v>0</v>
      </c>
      <c r="AM286" s="5">
        <f t="shared" si="42"/>
        <v>0</v>
      </c>
      <c r="AN286" s="4">
        <f t="shared" si="39"/>
        <v>0</v>
      </c>
      <c r="AO286" s="3"/>
      <c r="AP286">
        <v>0</v>
      </c>
      <c r="AQ286" t="s">
        <v>4338</v>
      </c>
      <c r="AR286" t="s">
        <v>4337</v>
      </c>
      <c r="AS286" t="s">
        <v>651</v>
      </c>
      <c r="AT286" s="2">
        <v>2.4129999999999998</v>
      </c>
      <c r="AU286" s="1">
        <f t="shared" si="43"/>
        <v>2.119003763914471</v>
      </c>
      <c r="AV286" s="1">
        <f t="shared" si="44"/>
        <v>1.5135741170817649</v>
      </c>
      <c r="AW286" s="1">
        <f t="shared" si="45"/>
        <v>0.90814447024905898</v>
      </c>
    </row>
    <row r="287" spans="1:49" x14ac:dyDescent="0.2">
      <c r="A287">
        <v>285</v>
      </c>
      <c r="B287" t="s">
        <v>4336</v>
      </c>
      <c r="C287" t="s">
        <v>4335</v>
      </c>
      <c r="F287" t="s">
        <v>4334</v>
      </c>
      <c r="G287" t="s">
        <v>15</v>
      </c>
      <c r="H287" t="s">
        <v>14</v>
      </c>
      <c r="I287" t="s">
        <v>4333</v>
      </c>
      <c r="J287" t="s">
        <v>4332</v>
      </c>
      <c r="K287" t="s">
        <v>4331</v>
      </c>
      <c r="L287" t="s">
        <v>4330</v>
      </c>
      <c r="M287" t="s">
        <v>28</v>
      </c>
      <c r="N287">
        <v>3</v>
      </c>
      <c r="O287" t="s">
        <v>4329</v>
      </c>
      <c r="P287" t="s">
        <v>4328</v>
      </c>
      <c r="Q287" t="s">
        <v>4327</v>
      </c>
      <c r="R287" s="7">
        <v>31048</v>
      </c>
      <c r="S287" s="8">
        <f t="shared" si="40"/>
        <v>1985</v>
      </c>
      <c r="T287" s="8">
        <v>1985</v>
      </c>
      <c r="U287" s="8">
        <f t="shared" si="41"/>
        <v>37</v>
      </c>
      <c r="V287" s="7">
        <v>31352</v>
      </c>
      <c r="W287" t="s">
        <v>3300</v>
      </c>
      <c r="X287" s="2">
        <v>0.65500000000000003</v>
      </c>
      <c r="Y287" s="6">
        <f t="shared" si="38"/>
        <v>1.7484850911614749E-2</v>
      </c>
      <c r="AA287">
        <v>189375</v>
      </c>
      <c r="AB287">
        <v>26051</v>
      </c>
      <c r="AC287" t="s">
        <v>3299</v>
      </c>
      <c r="AD287" t="s">
        <v>4</v>
      </c>
      <c r="AE287" t="s">
        <v>3298</v>
      </c>
      <c r="AF287">
        <v>4</v>
      </c>
      <c r="AH287" t="s">
        <v>4326</v>
      </c>
      <c r="AI287" t="s">
        <v>4325</v>
      </c>
      <c r="AJ287" t="s">
        <v>4324</v>
      </c>
      <c r="AK287" t="s">
        <v>4323</v>
      </c>
      <c r="AL287">
        <v>5</v>
      </c>
      <c r="AM287" s="5">
        <f t="shared" si="42"/>
        <v>0.13513513513513514</v>
      </c>
      <c r="AN287" s="4">
        <f t="shared" si="39"/>
        <v>2.046726772209544E-4</v>
      </c>
      <c r="AO287" s="3"/>
      <c r="AP287">
        <v>0</v>
      </c>
      <c r="AR287" t="s">
        <v>0</v>
      </c>
      <c r="AT287" s="2" t="s">
        <v>19</v>
      </c>
      <c r="AU287" s="1">
        <f t="shared" si="43"/>
        <v>1.2300797441296609</v>
      </c>
      <c r="AV287" s="1">
        <f t="shared" si="44"/>
        <v>0.88447617944178525</v>
      </c>
      <c r="AW287" s="1">
        <f t="shared" si="45"/>
        <v>0.53887261475390924</v>
      </c>
    </row>
    <row r="288" spans="1:49" x14ac:dyDescent="0.2">
      <c r="A288">
        <v>286</v>
      </c>
      <c r="B288" t="s">
        <v>4322</v>
      </c>
      <c r="C288" t="s">
        <v>4321</v>
      </c>
      <c r="F288" t="s">
        <v>4320</v>
      </c>
      <c r="G288" t="s">
        <v>15</v>
      </c>
      <c r="H288" t="s">
        <v>14</v>
      </c>
      <c r="I288" t="s">
        <v>1934</v>
      </c>
      <c r="J288">
        <v>60014097</v>
      </c>
      <c r="K288" t="s">
        <v>1695</v>
      </c>
      <c r="L288" t="s">
        <v>446</v>
      </c>
      <c r="M288" t="s">
        <v>434</v>
      </c>
      <c r="N288">
        <v>2</v>
      </c>
      <c r="O288" t="s">
        <v>1933</v>
      </c>
      <c r="P288" t="s">
        <v>1932</v>
      </c>
      <c r="Q288" t="s">
        <v>1692</v>
      </c>
      <c r="R288" s="7">
        <v>31048</v>
      </c>
      <c r="S288" s="8">
        <f t="shared" si="40"/>
        <v>1985</v>
      </c>
      <c r="T288" s="8">
        <v>1985</v>
      </c>
      <c r="U288" s="8">
        <f t="shared" si="41"/>
        <v>37</v>
      </c>
      <c r="V288" s="7" t="s">
        <v>4235</v>
      </c>
      <c r="W288" t="s">
        <v>429</v>
      </c>
      <c r="X288" s="2">
        <v>0.218</v>
      </c>
      <c r="Y288" s="6">
        <f t="shared" si="38"/>
        <v>5.8193854942473512E-3</v>
      </c>
      <c r="AA288">
        <v>3772063</v>
      </c>
      <c r="AB288">
        <v>130012</v>
      </c>
      <c r="AD288" t="s">
        <v>4</v>
      </c>
      <c r="AE288">
        <v>31</v>
      </c>
      <c r="AF288">
        <v>6</v>
      </c>
      <c r="AH288" t="s">
        <v>4319</v>
      </c>
      <c r="AI288" t="s">
        <v>4318</v>
      </c>
      <c r="AK288" t="s">
        <v>4317</v>
      </c>
      <c r="AL288">
        <v>2</v>
      </c>
      <c r="AM288" s="5">
        <f t="shared" si="42"/>
        <v>5.4054054054054057E-2</v>
      </c>
      <c r="AN288" s="4">
        <f t="shared" si="39"/>
        <v>8.1869070888381765E-5</v>
      </c>
      <c r="AO288" s="3"/>
      <c r="AP288">
        <v>0</v>
      </c>
      <c r="AR288" t="s">
        <v>0</v>
      </c>
      <c r="AT288" s="2">
        <v>2.3330000000000002</v>
      </c>
      <c r="AU288" s="1">
        <f t="shared" si="43"/>
        <v>0.40981305672396601</v>
      </c>
      <c r="AV288" s="1">
        <f t="shared" si="44"/>
        <v>0.29506272825678664</v>
      </c>
      <c r="AW288" s="1">
        <f t="shared" si="45"/>
        <v>0.18031239978960725</v>
      </c>
    </row>
    <row r="289" spans="1:49" x14ac:dyDescent="0.2">
      <c r="A289">
        <v>287</v>
      </c>
      <c r="B289" t="s">
        <v>4316</v>
      </c>
      <c r="C289" t="s">
        <v>4315</v>
      </c>
      <c r="F289" t="s">
        <v>4314</v>
      </c>
      <c r="G289" t="s">
        <v>15</v>
      </c>
      <c r="H289" t="s">
        <v>14</v>
      </c>
      <c r="I289" t="s">
        <v>4313</v>
      </c>
      <c r="J289" t="s">
        <v>4308</v>
      </c>
      <c r="K289" t="s">
        <v>4312</v>
      </c>
      <c r="L289" t="s">
        <v>4311</v>
      </c>
      <c r="M289" t="s">
        <v>1020</v>
      </c>
      <c r="N289">
        <v>2</v>
      </c>
      <c r="O289" t="s">
        <v>4310</v>
      </c>
      <c r="P289" t="s">
        <v>4309</v>
      </c>
      <c r="Q289" t="s">
        <v>4308</v>
      </c>
      <c r="R289" s="7">
        <v>31048</v>
      </c>
      <c r="S289" s="8">
        <f t="shared" si="40"/>
        <v>1985</v>
      </c>
      <c r="T289" s="8">
        <v>1985</v>
      </c>
      <c r="U289" s="8">
        <f t="shared" si="41"/>
        <v>37</v>
      </c>
      <c r="V289" s="7">
        <v>31352</v>
      </c>
      <c r="W289" t="s">
        <v>24</v>
      </c>
      <c r="X289" s="2">
        <v>1.6519999999999999</v>
      </c>
      <c r="Y289" s="6">
        <f t="shared" si="38"/>
        <v>4.409919649769093E-2</v>
      </c>
      <c r="AA289" t="s">
        <v>23</v>
      </c>
      <c r="AB289">
        <v>17337</v>
      </c>
      <c r="AC289">
        <v>15582221</v>
      </c>
      <c r="AD289" t="s">
        <v>4</v>
      </c>
      <c r="AE289">
        <v>33</v>
      </c>
      <c r="AF289">
        <v>11</v>
      </c>
      <c r="AH289" t="s">
        <v>4307</v>
      </c>
      <c r="AI289" t="s">
        <v>4306</v>
      </c>
      <c r="AK289" t="s">
        <v>4305</v>
      </c>
      <c r="AL289">
        <v>4</v>
      </c>
      <c r="AM289" s="5">
        <f t="shared" si="42"/>
        <v>0.10810810810810811</v>
      </c>
      <c r="AN289" s="4">
        <f t="shared" si="39"/>
        <v>1.6373814177676353E-4</v>
      </c>
      <c r="AO289" s="3"/>
      <c r="AP289">
        <v>0</v>
      </c>
      <c r="AR289" t="s">
        <v>0</v>
      </c>
      <c r="AT289" s="2" t="s">
        <v>19</v>
      </c>
      <c r="AU289" s="1">
        <f t="shared" si="43"/>
        <v>3.091855899091668</v>
      </c>
      <c r="AV289" s="1">
        <f t="shared" si="44"/>
        <v>2.2131467319733846</v>
      </c>
      <c r="AW289" s="1">
        <f t="shared" si="45"/>
        <v>1.3344375648551012</v>
      </c>
    </row>
    <row r="290" spans="1:49" x14ac:dyDescent="0.2">
      <c r="A290">
        <v>288</v>
      </c>
      <c r="B290" t="s">
        <v>4304</v>
      </c>
      <c r="C290" t="s">
        <v>4303</v>
      </c>
      <c r="F290" t="s">
        <v>4302</v>
      </c>
      <c r="G290" t="s">
        <v>15</v>
      </c>
      <c r="H290" t="s">
        <v>14</v>
      </c>
      <c r="I290" t="s">
        <v>4301</v>
      </c>
      <c r="J290">
        <v>60014652</v>
      </c>
      <c r="K290" t="s">
        <v>4300</v>
      </c>
      <c r="L290" t="s">
        <v>4299</v>
      </c>
      <c r="M290" t="s">
        <v>544</v>
      </c>
      <c r="N290">
        <v>3</v>
      </c>
      <c r="O290" t="s">
        <v>4298</v>
      </c>
      <c r="P290" t="s">
        <v>4297</v>
      </c>
      <c r="Q290" t="s">
        <v>4296</v>
      </c>
      <c r="R290" s="7">
        <v>31048</v>
      </c>
      <c r="S290" s="8">
        <f t="shared" si="40"/>
        <v>1985</v>
      </c>
      <c r="T290" s="8">
        <v>1985</v>
      </c>
      <c r="U290" s="8">
        <f t="shared" si="41"/>
        <v>37</v>
      </c>
      <c r="V290" s="7">
        <v>31352</v>
      </c>
      <c r="W290" t="s">
        <v>994</v>
      </c>
      <c r="X290" s="2">
        <v>1.137</v>
      </c>
      <c r="Y290" s="6">
        <f t="shared" si="38"/>
        <v>3.0351565628253384E-2</v>
      </c>
      <c r="AA290">
        <v>189251</v>
      </c>
      <c r="AB290">
        <v>17336</v>
      </c>
      <c r="AD290" t="s">
        <v>4</v>
      </c>
      <c r="AE290" t="s">
        <v>993</v>
      </c>
      <c r="AF290">
        <v>6</v>
      </c>
      <c r="AH290" t="s">
        <v>4295</v>
      </c>
      <c r="AI290" t="s">
        <v>4294</v>
      </c>
      <c r="AK290" t="s">
        <v>4293</v>
      </c>
      <c r="AL290">
        <v>8</v>
      </c>
      <c r="AM290" s="5">
        <f t="shared" si="42"/>
        <v>0.21621621621621623</v>
      </c>
      <c r="AN290" s="4">
        <f t="shared" si="39"/>
        <v>3.2747628355352706E-4</v>
      </c>
      <c r="AO290" s="3"/>
      <c r="AP290">
        <v>0</v>
      </c>
      <c r="AR290" t="s">
        <v>0</v>
      </c>
      <c r="AT290" s="2" t="s">
        <v>19</v>
      </c>
      <c r="AU290" s="1">
        <f t="shared" si="43"/>
        <v>2.1344338824843425</v>
      </c>
      <c r="AV290" s="1">
        <f t="shared" si="44"/>
        <v>1.5339520955903456</v>
      </c>
      <c r="AW290" s="1">
        <f t="shared" si="45"/>
        <v>0.93347030869634851</v>
      </c>
    </row>
    <row r="291" spans="1:49" x14ac:dyDescent="0.2">
      <c r="A291">
        <v>289</v>
      </c>
      <c r="B291" t="s">
        <v>4292</v>
      </c>
      <c r="C291" t="s">
        <v>4291</v>
      </c>
      <c r="F291" t="s">
        <v>4290</v>
      </c>
      <c r="G291" t="s">
        <v>15</v>
      </c>
      <c r="H291" t="s">
        <v>14</v>
      </c>
      <c r="I291" t="s">
        <v>2101</v>
      </c>
      <c r="J291">
        <v>60008524</v>
      </c>
      <c r="K291" t="s">
        <v>2100</v>
      </c>
      <c r="L291" t="s">
        <v>2099</v>
      </c>
      <c r="M291" t="s">
        <v>530</v>
      </c>
      <c r="N291">
        <v>2</v>
      </c>
      <c r="O291" t="s">
        <v>4289</v>
      </c>
      <c r="P291" t="s">
        <v>2097</v>
      </c>
      <c r="Q291" t="s">
        <v>2096</v>
      </c>
      <c r="R291" s="7">
        <v>31048</v>
      </c>
      <c r="S291" s="8">
        <f t="shared" si="40"/>
        <v>1985</v>
      </c>
      <c r="T291" s="8">
        <v>1985</v>
      </c>
      <c r="U291" s="8">
        <f t="shared" si="41"/>
        <v>37</v>
      </c>
      <c r="V291" s="7">
        <v>1985</v>
      </c>
      <c r="W291" t="s">
        <v>540</v>
      </c>
      <c r="X291" s="2">
        <v>0.375</v>
      </c>
      <c r="Y291" s="6">
        <f t="shared" si="38"/>
        <v>1.0010410827260351E-2</v>
      </c>
      <c r="AA291">
        <v>135194</v>
      </c>
      <c r="AB291">
        <v>24918</v>
      </c>
      <c r="AD291" t="s">
        <v>4</v>
      </c>
      <c r="AE291">
        <v>21</v>
      </c>
      <c r="AF291">
        <v>24</v>
      </c>
      <c r="AH291" t="s">
        <v>4288</v>
      </c>
      <c r="AI291" t="s">
        <v>4287</v>
      </c>
      <c r="AJ291" t="s">
        <v>2093</v>
      </c>
      <c r="AK291" t="s">
        <v>4286</v>
      </c>
      <c r="AL291">
        <v>2</v>
      </c>
      <c r="AM291" s="5">
        <f t="shared" si="42"/>
        <v>5.4054054054054057E-2</v>
      </c>
      <c r="AN291" s="4">
        <f t="shared" si="39"/>
        <v>8.1869070888381765E-5</v>
      </c>
      <c r="AO291" s="3"/>
      <c r="AP291">
        <v>0</v>
      </c>
      <c r="AR291" t="s">
        <v>0</v>
      </c>
      <c r="AT291" s="2">
        <v>1.3140000000000001</v>
      </c>
      <c r="AU291" s="1">
        <f t="shared" si="43"/>
        <v>0.70318483003487597</v>
      </c>
      <c r="AV291" s="1">
        <f t="shared" si="44"/>
        <v>0.50461399490743664</v>
      </c>
      <c r="AW291" s="1">
        <f t="shared" si="45"/>
        <v>0.30604315977999724</v>
      </c>
    </row>
    <row r="292" spans="1:49" x14ac:dyDescent="0.2">
      <c r="A292">
        <v>290</v>
      </c>
      <c r="B292" t="s">
        <v>4285</v>
      </c>
      <c r="C292" t="s">
        <v>4284</v>
      </c>
      <c r="F292" t="s">
        <v>4283</v>
      </c>
      <c r="G292" t="s">
        <v>15</v>
      </c>
      <c r="H292" t="s">
        <v>14</v>
      </c>
      <c r="I292" t="s">
        <v>4282</v>
      </c>
      <c r="J292">
        <v>60027271</v>
      </c>
      <c r="K292" t="s">
        <v>4281</v>
      </c>
      <c r="L292" t="s">
        <v>517</v>
      </c>
      <c r="M292" t="s">
        <v>122</v>
      </c>
      <c r="N292">
        <v>3</v>
      </c>
      <c r="O292" t="s">
        <v>4280</v>
      </c>
      <c r="P292" t="s">
        <v>4279</v>
      </c>
      <c r="Q292" t="s">
        <v>4278</v>
      </c>
      <c r="R292" s="7">
        <v>31048</v>
      </c>
      <c r="S292" s="8">
        <f t="shared" si="40"/>
        <v>1985</v>
      </c>
      <c r="T292" s="8">
        <v>1985</v>
      </c>
      <c r="U292" s="8">
        <f t="shared" si="41"/>
        <v>37</v>
      </c>
      <c r="V292" s="7">
        <v>1985</v>
      </c>
      <c r="W292" t="s">
        <v>540</v>
      </c>
      <c r="X292" s="2">
        <v>0.375</v>
      </c>
      <c r="Y292" s="6">
        <f t="shared" si="38"/>
        <v>1.0010410827260351E-2</v>
      </c>
      <c r="AA292">
        <v>135194</v>
      </c>
      <c r="AB292">
        <v>24918</v>
      </c>
      <c r="AD292" t="s">
        <v>4</v>
      </c>
      <c r="AE292">
        <v>21</v>
      </c>
      <c r="AF292">
        <v>24</v>
      </c>
      <c r="AH292" t="s">
        <v>4277</v>
      </c>
      <c r="AI292" t="s">
        <v>4276</v>
      </c>
      <c r="AJ292" t="s">
        <v>3052</v>
      </c>
      <c r="AK292" t="s">
        <v>4275</v>
      </c>
      <c r="AL292">
        <v>0</v>
      </c>
      <c r="AM292" s="5">
        <f t="shared" si="42"/>
        <v>0</v>
      </c>
      <c r="AN292" s="4">
        <f t="shared" si="39"/>
        <v>0</v>
      </c>
      <c r="AO292" s="3"/>
      <c r="AP292">
        <v>0</v>
      </c>
      <c r="AR292" t="s">
        <v>0</v>
      </c>
      <c r="AT292" s="2">
        <v>1.3140000000000001</v>
      </c>
      <c r="AU292" s="1">
        <f t="shared" si="43"/>
        <v>0.70072875790822453</v>
      </c>
      <c r="AV292" s="1">
        <f t="shared" si="44"/>
        <v>0.5005205413630176</v>
      </c>
      <c r="AW292" s="1">
        <f t="shared" si="45"/>
        <v>0.30031232481781051</v>
      </c>
    </row>
    <row r="293" spans="1:49" x14ac:dyDescent="0.2">
      <c r="A293">
        <v>291</v>
      </c>
      <c r="B293" t="s">
        <v>4274</v>
      </c>
      <c r="C293" t="s">
        <v>4273</v>
      </c>
      <c r="F293" t="s">
        <v>4272</v>
      </c>
      <c r="G293" t="s">
        <v>15</v>
      </c>
      <c r="H293" t="s">
        <v>14</v>
      </c>
      <c r="I293" t="s">
        <v>4271</v>
      </c>
      <c r="J293">
        <v>60014313</v>
      </c>
      <c r="K293" t="s">
        <v>480</v>
      </c>
      <c r="L293" t="s">
        <v>479</v>
      </c>
      <c r="M293" t="s">
        <v>122</v>
      </c>
      <c r="N293">
        <v>3</v>
      </c>
      <c r="O293" t="s">
        <v>4270</v>
      </c>
      <c r="P293" t="s">
        <v>4269</v>
      </c>
      <c r="Q293" t="s">
        <v>2741</v>
      </c>
      <c r="R293" s="7">
        <v>31048</v>
      </c>
      <c r="S293" s="8">
        <f t="shared" si="40"/>
        <v>1985</v>
      </c>
      <c r="T293" s="8">
        <v>1985</v>
      </c>
      <c r="U293" s="8">
        <f t="shared" si="41"/>
        <v>37</v>
      </c>
      <c r="V293" s="7">
        <v>31352</v>
      </c>
      <c r="W293" t="s">
        <v>660</v>
      </c>
      <c r="X293" s="2">
        <v>2.141</v>
      </c>
      <c r="Y293" s="6">
        <f t="shared" si="38"/>
        <v>5.7152772216438434E-2</v>
      </c>
      <c r="AA293">
        <v>1962892</v>
      </c>
      <c r="AB293">
        <v>17360</v>
      </c>
      <c r="AC293">
        <v>15580644</v>
      </c>
      <c r="AD293" t="s">
        <v>4</v>
      </c>
      <c r="AE293" t="s">
        <v>659</v>
      </c>
      <c r="AF293">
        <v>6</v>
      </c>
      <c r="AH293" t="s">
        <v>4268</v>
      </c>
      <c r="AI293" t="s">
        <v>4267</v>
      </c>
      <c r="AK293" t="s">
        <v>4266</v>
      </c>
      <c r="AL293">
        <v>0</v>
      </c>
      <c r="AM293" s="5">
        <f t="shared" si="42"/>
        <v>0</v>
      </c>
      <c r="AN293" s="4">
        <f t="shared" si="39"/>
        <v>0</v>
      </c>
      <c r="AO293" s="3"/>
      <c r="AP293">
        <v>0</v>
      </c>
      <c r="AR293" t="s">
        <v>0</v>
      </c>
      <c r="AT293" s="2" t="s">
        <v>19</v>
      </c>
      <c r="AU293" s="1">
        <f t="shared" si="43"/>
        <v>4.0006940551506904</v>
      </c>
      <c r="AV293" s="1">
        <f t="shared" si="44"/>
        <v>2.8576386108219216</v>
      </c>
      <c r="AW293" s="1">
        <f t="shared" si="45"/>
        <v>1.714583166493153</v>
      </c>
    </row>
    <row r="294" spans="1:49" x14ac:dyDescent="0.2">
      <c r="A294">
        <v>292</v>
      </c>
      <c r="B294" t="s">
        <v>4265</v>
      </c>
      <c r="C294" t="s">
        <v>4264</v>
      </c>
      <c r="F294" t="s">
        <v>4263</v>
      </c>
      <c r="G294" t="s">
        <v>15</v>
      </c>
      <c r="H294" t="s">
        <v>14</v>
      </c>
      <c r="I294" t="s">
        <v>4262</v>
      </c>
      <c r="J294" t="s">
        <v>4261</v>
      </c>
      <c r="K294" t="s">
        <v>4260</v>
      </c>
      <c r="L294" t="s">
        <v>4259</v>
      </c>
      <c r="M294" t="s">
        <v>4258</v>
      </c>
      <c r="N294">
        <v>2</v>
      </c>
      <c r="O294" t="s">
        <v>4257</v>
      </c>
      <c r="P294" t="s">
        <v>4256</v>
      </c>
      <c r="Q294" t="s">
        <v>4255</v>
      </c>
      <c r="R294" s="7">
        <v>31048</v>
      </c>
      <c r="S294" s="8">
        <f t="shared" si="40"/>
        <v>1985</v>
      </c>
      <c r="T294" s="8">
        <v>1985</v>
      </c>
      <c r="U294" s="8">
        <f t="shared" si="41"/>
        <v>37</v>
      </c>
      <c r="V294" s="7">
        <v>31352</v>
      </c>
      <c r="W294" t="s">
        <v>660</v>
      </c>
      <c r="X294" s="2">
        <v>2.141</v>
      </c>
      <c r="Y294" s="6">
        <f t="shared" si="38"/>
        <v>5.7152772216438434E-2</v>
      </c>
      <c r="AA294">
        <v>1962892</v>
      </c>
      <c r="AB294">
        <v>17360</v>
      </c>
      <c r="AC294">
        <v>15580644</v>
      </c>
      <c r="AD294" t="s">
        <v>4</v>
      </c>
      <c r="AE294" t="s">
        <v>659</v>
      </c>
      <c r="AF294">
        <v>6</v>
      </c>
      <c r="AH294" t="s">
        <v>4254</v>
      </c>
      <c r="AI294" t="s">
        <v>4253</v>
      </c>
      <c r="AK294" t="s">
        <v>4252</v>
      </c>
      <c r="AL294">
        <v>19</v>
      </c>
      <c r="AM294" s="5">
        <f t="shared" si="42"/>
        <v>0.51351351351351349</v>
      </c>
      <c r="AN294" s="4">
        <f t="shared" si="39"/>
        <v>7.7775617343962659E-4</v>
      </c>
      <c r="AO294" s="3"/>
      <c r="AP294">
        <v>0</v>
      </c>
      <c r="AR294" t="s">
        <v>0</v>
      </c>
      <c r="AT294" s="2" t="s">
        <v>19</v>
      </c>
      <c r="AU294" s="1">
        <f t="shared" si="43"/>
        <v>4.0240267403538788</v>
      </c>
      <c r="AV294" s="1">
        <f t="shared" si="44"/>
        <v>2.8965264194939033</v>
      </c>
      <c r="AW294" s="1">
        <f t="shared" si="45"/>
        <v>1.769026098633927</v>
      </c>
    </row>
    <row r="295" spans="1:49" x14ac:dyDescent="0.2">
      <c r="A295">
        <v>293</v>
      </c>
      <c r="B295" t="s">
        <v>4251</v>
      </c>
      <c r="C295" t="s">
        <v>4250</v>
      </c>
      <c r="F295" t="s">
        <v>4249</v>
      </c>
      <c r="G295" t="s">
        <v>15</v>
      </c>
      <c r="H295" t="s">
        <v>14</v>
      </c>
      <c r="I295" t="s">
        <v>4248</v>
      </c>
      <c r="J295">
        <v>60024324</v>
      </c>
      <c r="K295" t="s">
        <v>4247</v>
      </c>
      <c r="L295" t="s">
        <v>4246</v>
      </c>
      <c r="M295" t="s">
        <v>122</v>
      </c>
      <c r="N295">
        <v>1</v>
      </c>
      <c r="O295" t="s">
        <v>4245</v>
      </c>
      <c r="P295">
        <v>57212792296</v>
      </c>
      <c r="Q295">
        <v>60024324</v>
      </c>
      <c r="R295" s="7">
        <v>31048</v>
      </c>
      <c r="S295" s="8">
        <f t="shared" si="40"/>
        <v>1985</v>
      </c>
      <c r="T295" s="8">
        <v>1985</v>
      </c>
      <c r="U295" s="8">
        <f t="shared" si="41"/>
        <v>37</v>
      </c>
      <c r="V295" s="7">
        <v>31352</v>
      </c>
      <c r="W295" t="s">
        <v>4212</v>
      </c>
      <c r="X295" s="2">
        <v>1.218</v>
      </c>
      <c r="Y295" s="6">
        <f t="shared" si="38"/>
        <v>3.2513814366941618E-2</v>
      </c>
      <c r="AA295">
        <v>189448</v>
      </c>
      <c r="AB295">
        <v>15107</v>
      </c>
      <c r="AC295">
        <v>15579654</v>
      </c>
      <c r="AD295" t="s">
        <v>4</v>
      </c>
      <c r="AE295">
        <v>31</v>
      </c>
      <c r="AF295">
        <v>6</v>
      </c>
      <c r="AH295" t="s">
        <v>4244</v>
      </c>
      <c r="AI295" t="s">
        <v>4243</v>
      </c>
      <c r="AK295" t="s">
        <v>4242</v>
      </c>
      <c r="AL295">
        <v>26</v>
      </c>
      <c r="AM295" s="5">
        <f t="shared" si="42"/>
        <v>0.70270270270270274</v>
      </c>
      <c r="AN295" s="4">
        <f t="shared" si="39"/>
        <v>1.0642979215489629E-3</v>
      </c>
      <c r="AO295" s="3"/>
      <c r="AP295">
        <v>0</v>
      </c>
      <c r="AR295" t="s">
        <v>0</v>
      </c>
      <c r="AT295" s="2" t="s">
        <v>19</v>
      </c>
      <c r="AU295" s="1">
        <f t="shared" si="43"/>
        <v>2.3078959433323822</v>
      </c>
      <c r="AV295" s="1">
        <f t="shared" si="44"/>
        <v>1.6789056144245289</v>
      </c>
      <c r="AW295" s="1">
        <f t="shared" si="45"/>
        <v>1.049915285516676</v>
      </c>
    </row>
    <row r="296" spans="1:49" x14ac:dyDescent="0.2">
      <c r="A296">
        <v>294</v>
      </c>
      <c r="B296" t="s">
        <v>4241</v>
      </c>
      <c r="C296" t="s">
        <v>4240</v>
      </c>
      <c r="F296" t="s">
        <v>4239</v>
      </c>
      <c r="G296" t="s">
        <v>15</v>
      </c>
      <c r="H296" t="s">
        <v>14</v>
      </c>
      <c r="I296" t="s">
        <v>4238</v>
      </c>
      <c r="N296">
        <v>2</v>
      </c>
      <c r="O296" t="s">
        <v>4237</v>
      </c>
      <c r="P296" t="s">
        <v>4236</v>
      </c>
      <c r="Q296" t="s">
        <v>895</v>
      </c>
      <c r="R296" s="7">
        <v>31048</v>
      </c>
      <c r="S296" s="8">
        <f t="shared" si="40"/>
        <v>1985</v>
      </c>
      <c r="T296" s="8">
        <v>1985</v>
      </c>
      <c r="U296" s="8">
        <f t="shared" si="41"/>
        <v>37</v>
      </c>
      <c r="V296" s="7" t="s">
        <v>4235</v>
      </c>
      <c r="W296" t="s">
        <v>429</v>
      </c>
      <c r="X296" s="2">
        <v>0.218</v>
      </c>
      <c r="Y296" s="6">
        <f t="shared" si="38"/>
        <v>5.8193854942473512E-3</v>
      </c>
      <c r="AA296">
        <v>3772063</v>
      </c>
      <c r="AB296">
        <v>130012</v>
      </c>
      <c r="AD296" t="s">
        <v>4</v>
      </c>
      <c r="AE296">
        <v>31</v>
      </c>
      <c r="AF296">
        <v>6</v>
      </c>
      <c r="AH296" t="s">
        <v>4234</v>
      </c>
      <c r="AI296" t="s">
        <v>4233</v>
      </c>
      <c r="AK296" t="s">
        <v>4232</v>
      </c>
      <c r="AL296">
        <v>0</v>
      </c>
      <c r="AM296" s="5">
        <f t="shared" si="42"/>
        <v>0</v>
      </c>
      <c r="AN296" s="4">
        <f t="shared" si="39"/>
        <v>0</v>
      </c>
      <c r="AO296" s="3"/>
      <c r="AP296">
        <v>0</v>
      </c>
      <c r="AR296" t="s">
        <v>0</v>
      </c>
      <c r="AT296" s="2">
        <v>2.3330000000000002</v>
      </c>
      <c r="AU296" s="1">
        <f t="shared" si="43"/>
        <v>0.40735698459731456</v>
      </c>
      <c r="AV296" s="1">
        <f t="shared" si="44"/>
        <v>0.29096927471236755</v>
      </c>
      <c r="AW296" s="1">
        <f t="shared" si="45"/>
        <v>0.17458156482742054</v>
      </c>
    </row>
    <row r="297" spans="1:49" x14ac:dyDescent="0.2">
      <c r="A297">
        <v>295</v>
      </c>
      <c r="B297" t="s">
        <v>4231</v>
      </c>
      <c r="C297" t="s">
        <v>4230</v>
      </c>
      <c r="F297" t="s">
        <v>4229</v>
      </c>
      <c r="G297" t="s">
        <v>15</v>
      </c>
      <c r="H297" t="s">
        <v>14</v>
      </c>
      <c r="I297" t="s">
        <v>4228</v>
      </c>
      <c r="J297">
        <v>60007716</v>
      </c>
      <c r="K297" t="s">
        <v>699</v>
      </c>
      <c r="L297" t="s">
        <v>698</v>
      </c>
      <c r="M297" t="s">
        <v>272</v>
      </c>
      <c r="N297">
        <v>2</v>
      </c>
      <c r="O297" t="s">
        <v>4227</v>
      </c>
      <c r="P297" t="s">
        <v>4226</v>
      </c>
      <c r="Q297" t="s">
        <v>695</v>
      </c>
      <c r="R297" s="7">
        <v>31048</v>
      </c>
      <c r="S297" s="8">
        <f t="shared" si="40"/>
        <v>1985</v>
      </c>
      <c r="T297" s="8">
        <v>1985</v>
      </c>
      <c r="U297" s="8">
        <f t="shared" si="41"/>
        <v>37</v>
      </c>
      <c r="V297" s="7">
        <v>31352</v>
      </c>
      <c r="W297" t="s">
        <v>24</v>
      </c>
      <c r="X297" s="2">
        <v>1.6519999999999999</v>
      </c>
      <c r="Y297" s="6">
        <f t="shared" si="38"/>
        <v>4.409919649769093E-2</v>
      </c>
      <c r="AA297" t="s">
        <v>23</v>
      </c>
      <c r="AB297">
        <v>17337</v>
      </c>
      <c r="AC297">
        <v>15582221</v>
      </c>
      <c r="AD297" t="s">
        <v>4</v>
      </c>
      <c r="AE297">
        <v>33</v>
      </c>
      <c r="AF297">
        <v>11</v>
      </c>
      <c r="AH297" t="s">
        <v>4225</v>
      </c>
      <c r="AI297" t="s">
        <v>4224</v>
      </c>
      <c r="AK297" t="s">
        <v>4223</v>
      </c>
      <c r="AL297">
        <v>0</v>
      </c>
      <c r="AM297" s="5">
        <f t="shared" si="42"/>
        <v>0</v>
      </c>
      <c r="AN297" s="4">
        <f t="shared" si="39"/>
        <v>0</v>
      </c>
      <c r="AO297" s="3"/>
      <c r="AP297">
        <v>0</v>
      </c>
      <c r="AR297" t="s">
        <v>0</v>
      </c>
      <c r="AT297" s="2" t="s">
        <v>19</v>
      </c>
      <c r="AU297" s="1">
        <f t="shared" si="43"/>
        <v>3.0869437548383649</v>
      </c>
      <c r="AV297" s="1">
        <f t="shared" si="44"/>
        <v>2.2049598248845466</v>
      </c>
      <c r="AW297" s="1">
        <f t="shared" si="45"/>
        <v>1.3229758949307278</v>
      </c>
    </row>
    <row r="298" spans="1:49" x14ac:dyDescent="0.2">
      <c r="A298">
        <v>296</v>
      </c>
      <c r="B298" t="s">
        <v>4222</v>
      </c>
      <c r="C298" t="s">
        <v>4221</v>
      </c>
      <c r="F298" t="s">
        <v>4220</v>
      </c>
      <c r="G298" t="s">
        <v>15</v>
      </c>
      <c r="H298" t="s">
        <v>14</v>
      </c>
      <c r="I298" t="s">
        <v>4219</v>
      </c>
      <c r="J298" t="s">
        <v>4218</v>
      </c>
      <c r="K298" t="s">
        <v>4217</v>
      </c>
      <c r="L298" t="s">
        <v>4216</v>
      </c>
      <c r="M298" t="s">
        <v>28</v>
      </c>
      <c r="N298">
        <v>2</v>
      </c>
      <c r="O298" t="s">
        <v>4215</v>
      </c>
      <c r="P298" t="s">
        <v>4214</v>
      </c>
      <c r="Q298" t="s">
        <v>4213</v>
      </c>
      <c r="R298" s="7">
        <v>31048</v>
      </c>
      <c r="S298" s="8">
        <f t="shared" si="40"/>
        <v>1985</v>
      </c>
      <c r="T298" s="8">
        <v>1985</v>
      </c>
      <c r="U298" s="8">
        <f t="shared" si="41"/>
        <v>37</v>
      </c>
      <c r="V298" s="7">
        <v>31352</v>
      </c>
      <c r="W298" t="s">
        <v>4212</v>
      </c>
      <c r="X298" s="2">
        <v>1.218</v>
      </c>
      <c r="Y298" s="6">
        <f t="shared" si="38"/>
        <v>3.2513814366941618E-2</v>
      </c>
      <c r="AA298">
        <v>189448</v>
      </c>
      <c r="AB298">
        <v>15107</v>
      </c>
      <c r="AC298">
        <v>15579654</v>
      </c>
      <c r="AD298" t="s">
        <v>4</v>
      </c>
      <c r="AE298">
        <v>31</v>
      </c>
      <c r="AF298">
        <v>6</v>
      </c>
      <c r="AH298" t="s">
        <v>4211</v>
      </c>
      <c r="AI298" t="s">
        <v>4210</v>
      </c>
      <c r="AK298" t="s">
        <v>4209</v>
      </c>
      <c r="AL298">
        <v>9</v>
      </c>
      <c r="AM298" s="5">
        <f t="shared" si="42"/>
        <v>0.24324324324324326</v>
      </c>
      <c r="AN298" s="4">
        <f t="shared" si="39"/>
        <v>3.684108189977179E-4</v>
      </c>
      <c r="AO298" s="3"/>
      <c r="AP298">
        <v>0</v>
      </c>
      <c r="AR298" t="s">
        <v>0</v>
      </c>
      <c r="AT298" s="2" t="s">
        <v>19</v>
      </c>
      <c r="AU298" s="1">
        <f t="shared" si="43"/>
        <v>2.2870193302558448</v>
      </c>
      <c r="AV298" s="1">
        <f t="shared" si="44"/>
        <v>1.6441112592969667</v>
      </c>
      <c r="AW298" s="1">
        <f t="shared" si="45"/>
        <v>1.0012031883380887</v>
      </c>
    </row>
    <row r="299" spans="1:49" x14ac:dyDescent="0.2">
      <c r="A299">
        <v>297</v>
      </c>
      <c r="B299" t="s">
        <v>4208</v>
      </c>
      <c r="C299" t="s">
        <v>4207</v>
      </c>
      <c r="F299" t="s">
        <v>4206</v>
      </c>
      <c r="G299" t="s">
        <v>15</v>
      </c>
      <c r="H299" t="s">
        <v>14</v>
      </c>
      <c r="I299" t="s">
        <v>4205</v>
      </c>
      <c r="J299" t="s">
        <v>4204</v>
      </c>
      <c r="K299" t="s">
        <v>4203</v>
      </c>
      <c r="L299" t="s">
        <v>4202</v>
      </c>
      <c r="M299" t="s">
        <v>148</v>
      </c>
      <c r="N299">
        <v>5</v>
      </c>
      <c r="O299" t="s">
        <v>4201</v>
      </c>
      <c r="P299" t="s">
        <v>4200</v>
      </c>
      <c r="Q299" t="s">
        <v>4199</v>
      </c>
      <c r="R299" s="7">
        <v>31048</v>
      </c>
      <c r="S299" s="8">
        <f t="shared" si="40"/>
        <v>1985</v>
      </c>
      <c r="T299" s="8">
        <v>1985</v>
      </c>
      <c r="U299" s="8">
        <f t="shared" si="41"/>
        <v>37</v>
      </c>
      <c r="V299" s="7">
        <v>31352</v>
      </c>
      <c r="W299" t="s">
        <v>4198</v>
      </c>
      <c r="X299" s="2">
        <v>0.371</v>
      </c>
      <c r="Y299" s="6">
        <f t="shared" si="38"/>
        <v>9.9036331117695747E-3</v>
      </c>
      <c r="AA299">
        <v>214922</v>
      </c>
      <c r="AB299">
        <v>130262</v>
      </c>
      <c r="AC299">
        <v>13474065</v>
      </c>
      <c r="AD299" t="s">
        <v>4</v>
      </c>
      <c r="AE299">
        <v>24</v>
      </c>
      <c r="AF299" t="s">
        <v>4197</v>
      </c>
      <c r="AH299" t="s">
        <v>4196</v>
      </c>
      <c r="AI299" t="s">
        <v>4195</v>
      </c>
      <c r="AK299" t="s">
        <v>4194</v>
      </c>
      <c r="AL299">
        <v>0</v>
      </c>
      <c r="AM299" s="5">
        <f t="shared" si="42"/>
        <v>0</v>
      </c>
      <c r="AN299" s="4">
        <f t="shared" si="39"/>
        <v>0</v>
      </c>
      <c r="AO299" s="3"/>
      <c r="AP299">
        <v>0</v>
      </c>
      <c r="AR299" t="s">
        <v>0</v>
      </c>
      <c r="AT299" s="2">
        <v>1.48</v>
      </c>
      <c r="AU299" s="1">
        <f t="shared" si="43"/>
        <v>0.69325431782387015</v>
      </c>
      <c r="AV299" s="1">
        <f t="shared" si="44"/>
        <v>0.49518165558847871</v>
      </c>
      <c r="AW299" s="1">
        <f t="shared" si="45"/>
        <v>0.29710899335308727</v>
      </c>
    </row>
    <row r="300" spans="1:49" x14ac:dyDescent="0.2">
      <c r="A300">
        <v>298</v>
      </c>
      <c r="B300" t="s">
        <v>4193</v>
      </c>
      <c r="C300" t="s">
        <v>4192</v>
      </c>
      <c r="F300" t="s">
        <v>4191</v>
      </c>
      <c r="G300" t="s">
        <v>15</v>
      </c>
      <c r="H300" t="s">
        <v>14</v>
      </c>
      <c r="I300" t="s">
        <v>4190</v>
      </c>
      <c r="J300">
        <v>60015457</v>
      </c>
      <c r="K300" t="s">
        <v>4189</v>
      </c>
      <c r="L300" t="s">
        <v>4188</v>
      </c>
      <c r="M300" t="s">
        <v>122</v>
      </c>
      <c r="N300">
        <v>1</v>
      </c>
      <c r="O300" t="s">
        <v>4187</v>
      </c>
      <c r="P300">
        <v>35592956700</v>
      </c>
      <c r="Q300">
        <v>60015457</v>
      </c>
      <c r="R300" s="7">
        <v>31048</v>
      </c>
      <c r="S300" s="8">
        <f t="shared" si="40"/>
        <v>1985</v>
      </c>
      <c r="T300" s="8">
        <v>1985</v>
      </c>
      <c r="U300" s="8">
        <f t="shared" si="41"/>
        <v>37</v>
      </c>
      <c r="V300" s="7">
        <v>31352</v>
      </c>
      <c r="W300" t="s">
        <v>660</v>
      </c>
      <c r="X300" s="2">
        <v>2.141</v>
      </c>
      <c r="Y300" s="6">
        <f t="shared" si="38"/>
        <v>5.7152772216438434E-2</v>
      </c>
      <c r="AA300">
        <v>1962892</v>
      </c>
      <c r="AB300">
        <v>17360</v>
      </c>
      <c r="AC300">
        <v>15580644</v>
      </c>
      <c r="AD300" t="s">
        <v>4</v>
      </c>
      <c r="AE300" t="s">
        <v>659</v>
      </c>
      <c r="AF300">
        <v>6</v>
      </c>
      <c r="AH300" t="s">
        <v>4186</v>
      </c>
      <c r="AI300" t="s">
        <v>4185</v>
      </c>
      <c r="AK300" t="s">
        <v>4184</v>
      </c>
      <c r="AL300">
        <v>5</v>
      </c>
      <c r="AM300" s="5">
        <f t="shared" si="42"/>
        <v>0.13513513513513514</v>
      </c>
      <c r="AN300" s="4">
        <f t="shared" si="39"/>
        <v>2.046726772209544E-4</v>
      </c>
      <c r="AO300" s="3"/>
      <c r="AP300">
        <v>0</v>
      </c>
      <c r="AR300" t="s">
        <v>0</v>
      </c>
      <c r="AT300" s="2" t="s">
        <v>19</v>
      </c>
      <c r="AU300" s="1">
        <f t="shared" si="43"/>
        <v>4.006834235467319</v>
      </c>
      <c r="AV300" s="1">
        <f t="shared" si="44"/>
        <v>2.8678722446829696</v>
      </c>
      <c r="AW300" s="1">
        <f t="shared" si="45"/>
        <v>1.7289102538986196</v>
      </c>
    </row>
    <row r="301" spans="1:49" x14ac:dyDescent="0.2">
      <c r="A301">
        <v>299</v>
      </c>
      <c r="B301" t="s">
        <v>4183</v>
      </c>
      <c r="C301" t="s">
        <v>4182</v>
      </c>
      <c r="F301" t="s">
        <v>4181</v>
      </c>
      <c r="G301" t="s">
        <v>15</v>
      </c>
      <c r="H301" t="s">
        <v>14</v>
      </c>
      <c r="I301" t="s">
        <v>4180</v>
      </c>
      <c r="J301">
        <v>60022109</v>
      </c>
      <c r="K301" t="s">
        <v>3530</v>
      </c>
      <c r="L301" t="s">
        <v>1090</v>
      </c>
      <c r="M301" t="s">
        <v>530</v>
      </c>
      <c r="N301">
        <v>3</v>
      </c>
      <c r="O301" t="s">
        <v>4179</v>
      </c>
      <c r="P301" t="s">
        <v>4178</v>
      </c>
      <c r="Q301" t="s">
        <v>3527</v>
      </c>
      <c r="R301" s="7">
        <v>31048</v>
      </c>
      <c r="S301" s="8">
        <f t="shared" si="40"/>
        <v>1985</v>
      </c>
      <c r="T301" s="8">
        <v>1985</v>
      </c>
      <c r="U301" s="8">
        <f t="shared" si="41"/>
        <v>37</v>
      </c>
      <c r="V301" s="7">
        <v>1985</v>
      </c>
      <c r="W301" t="s">
        <v>540</v>
      </c>
      <c r="X301" s="2">
        <v>0.375</v>
      </c>
      <c r="Y301" s="6">
        <f t="shared" si="38"/>
        <v>1.0010410827260351E-2</v>
      </c>
      <c r="AA301">
        <v>135194</v>
      </c>
      <c r="AB301">
        <v>24918</v>
      </c>
      <c r="AD301" t="s">
        <v>4</v>
      </c>
      <c r="AE301">
        <v>21</v>
      </c>
      <c r="AF301">
        <v>24</v>
      </c>
      <c r="AH301" t="s">
        <v>4177</v>
      </c>
      <c r="AI301" t="s">
        <v>4176</v>
      </c>
      <c r="AJ301" t="s">
        <v>3524</v>
      </c>
      <c r="AK301" t="s">
        <v>4175</v>
      </c>
      <c r="AL301">
        <v>7</v>
      </c>
      <c r="AM301" s="5">
        <f t="shared" si="42"/>
        <v>0.1891891891891892</v>
      </c>
      <c r="AN301" s="4">
        <f t="shared" si="39"/>
        <v>2.8654174810933616E-4</v>
      </c>
      <c r="AO301" s="3"/>
      <c r="AP301">
        <v>0</v>
      </c>
      <c r="AR301" t="s">
        <v>0</v>
      </c>
      <c r="AT301" s="2">
        <v>1.3140000000000001</v>
      </c>
      <c r="AU301" s="1">
        <f t="shared" si="43"/>
        <v>0.70932501035150475</v>
      </c>
      <c r="AV301" s="1">
        <f t="shared" si="44"/>
        <v>0.51484762876848433</v>
      </c>
      <c r="AW301" s="1">
        <f t="shared" si="45"/>
        <v>0.32037024718546403</v>
      </c>
    </row>
    <row r="302" spans="1:49" x14ac:dyDescent="0.2">
      <c r="A302">
        <v>300</v>
      </c>
      <c r="B302" t="s">
        <v>4174</v>
      </c>
      <c r="C302" t="s">
        <v>4173</v>
      </c>
      <c r="F302" t="s">
        <v>4172</v>
      </c>
      <c r="G302" t="s">
        <v>15</v>
      </c>
      <c r="H302" t="s">
        <v>14</v>
      </c>
      <c r="I302" t="s">
        <v>4171</v>
      </c>
      <c r="J302">
        <v>60023345</v>
      </c>
      <c r="K302" t="s">
        <v>447</v>
      </c>
      <c r="L302" t="s">
        <v>446</v>
      </c>
      <c r="M302" t="s">
        <v>434</v>
      </c>
      <c r="N302">
        <v>2</v>
      </c>
      <c r="O302" t="s">
        <v>4170</v>
      </c>
      <c r="P302" t="s">
        <v>4169</v>
      </c>
      <c r="Q302" t="s">
        <v>443</v>
      </c>
      <c r="R302" s="7">
        <v>31048</v>
      </c>
      <c r="S302" s="8">
        <f t="shared" si="40"/>
        <v>1985</v>
      </c>
      <c r="T302" s="8">
        <v>1985</v>
      </c>
      <c r="U302" s="8">
        <f t="shared" si="41"/>
        <v>37</v>
      </c>
      <c r="V302" s="7">
        <v>31352</v>
      </c>
      <c r="W302" t="s">
        <v>660</v>
      </c>
      <c r="X302" s="2">
        <v>2.141</v>
      </c>
      <c r="Y302" s="6">
        <f t="shared" si="38"/>
        <v>5.7152772216438434E-2</v>
      </c>
      <c r="AA302">
        <v>1962892</v>
      </c>
      <c r="AB302">
        <v>17360</v>
      </c>
      <c r="AC302">
        <v>15580644</v>
      </c>
      <c r="AD302" t="s">
        <v>4</v>
      </c>
      <c r="AE302" t="s">
        <v>659</v>
      </c>
      <c r="AF302">
        <v>6</v>
      </c>
      <c r="AH302" t="s">
        <v>4168</v>
      </c>
      <c r="AI302" t="s">
        <v>4167</v>
      </c>
      <c r="AK302" t="s">
        <v>4166</v>
      </c>
      <c r="AL302">
        <v>1</v>
      </c>
      <c r="AM302" s="5">
        <f t="shared" si="42"/>
        <v>2.7027027027027029E-2</v>
      </c>
      <c r="AN302" s="4">
        <f t="shared" si="39"/>
        <v>4.0934535444190883E-5</v>
      </c>
      <c r="AO302" s="3"/>
      <c r="AP302">
        <v>0</v>
      </c>
      <c r="AR302" t="s">
        <v>0</v>
      </c>
      <c r="AT302" s="2" t="s">
        <v>19</v>
      </c>
      <c r="AU302" s="1">
        <f t="shared" si="43"/>
        <v>4.0019220912140154</v>
      </c>
      <c r="AV302" s="1">
        <f t="shared" si="44"/>
        <v>2.8596853375941311</v>
      </c>
      <c r="AW302" s="1">
        <f t="shared" si="45"/>
        <v>1.7174485839742464</v>
      </c>
    </row>
    <row r="303" spans="1:49" x14ac:dyDescent="0.2">
      <c r="A303">
        <v>301</v>
      </c>
      <c r="B303" t="s">
        <v>4165</v>
      </c>
      <c r="C303" t="s">
        <v>4164</v>
      </c>
      <c r="F303" t="s">
        <v>4163</v>
      </c>
      <c r="G303" t="s">
        <v>15</v>
      </c>
      <c r="H303" t="s">
        <v>14</v>
      </c>
      <c r="I303" t="s">
        <v>4162</v>
      </c>
      <c r="J303">
        <v>60003500</v>
      </c>
      <c r="K303" t="s">
        <v>925</v>
      </c>
      <c r="L303" t="s">
        <v>924</v>
      </c>
      <c r="M303" t="s">
        <v>122</v>
      </c>
      <c r="N303">
        <v>2</v>
      </c>
      <c r="O303" t="s">
        <v>4161</v>
      </c>
      <c r="P303" t="s">
        <v>4160</v>
      </c>
      <c r="Q303" t="s">
        <v>2550</v>
      </c>
      <c r="R303" s="7">
        <v>31048</v>
      </c>
      <c r="S303" s="8">
        <f t="shared" si="40"/>
        <v>1985</v>
      </c>
      <c r="T303" s="8">
        <v>1985</v>
      </c>
      <c r="U303" s="8">
        <f t="shared" si="41"/>
        <v>37</v>
      </c>
      <c r="V303" s="7">
        <v>31352</v>
      </c>
      <c r="W303" t="s">
        <v>24</v>
      </c>
      <c r="X303" s="2">
        <v>1.6519999999999999</v>
      </c>
      <c r="Y303" s="6">
        <f t="shared" si="38"/>
        <v>4.409919649769093E-2</v>
      </c>
      <c r="AA303" t="s">
        <v>23</v>
      </c>
      <c r="AB303">
        <v>17337</v>
      </c>
      <c r="AC303">
        <v>15582221</v>
      </c>
      <c r="AD303" t="s">
        <v>4</v>
      </c>
      <c r="AE303">
        <v>33</v>
      </c>
      <c r="AF303">
        <v>11</v>
      </c>
      <c r="AH303" t="s">
        <v>4159</v>
      </c>
      <c r="AI303" t="s">
        <v>4158</v>
      </c>
      <c r="AK303" t="s">
        <v>4157</v>
      </c>
      <c r="AL303">
        <v>13</v>
      </c>
      <c r="AM303" s="5">
        <f t="shared" si="42"/>
        <v>0.35135135135135137</v>
      </c>
      <c r="AN303" s="4">
        <f t="shared" si="39"/>
        <v>5.3214896077448143E-4</v>
      </c>
      <c r="AO303" s="3"/>
      <c r="AP303">
        <v>0</v>
      </c>
      <c r="AR303" t="s">
        <v>0</v>
      </c>
      <c r="AT303" s="2" t="s">
        <v>19</v>
      </c>
      <c r="AU303" s="1">
        <f t="shared" si="43"/>
        <v>3.1029082236615992</v>
      </c>
      <c r="AV303" s="1">
        <f t="shared" si="44"/>
        <v>2.2315672729232707</v>
      </c>
      <c r="AW303" s="1">
        <f t="shared" si="45"/>
        <v>1.3602263221849415</v>
      </c>
    </row>
    <row r="304" spans="1:49" x14ac:dyDescent="0.2">
      <c r="A304">
        <v>302</v>
      </c>
      <c r="B304" t="s">
        <v>4156</v>
      </c>
      <c r="C304" t="s">
        <v>4155</v>
      </c>
      <c r="F304" t="s">
        <v>4154</v>
      </c>
      <c r="G304" t="s">
        <v>15</v>
      </c>
      <c r="H304" t="s">
        <v>14</v>
      </c>
      <c r="I304" t="s">
        <v>4153</v>
      </c>
      <c r="J304" t="s">
        <v>4152</v>
      </c>
      <c r="K304" t="s">
        <v>4151</v>
      </c>
      <c r="L304" t="s">
        <v>4150</v>
      </c>
      <c r="M304" t="s">
        <v>61</v>
      </c>
      <c r="N304">
        <v>3</v>
      </c>
      <c r="O304" t="s">
        <v>4149</v>
      </c>
      <c r="P304" t="s">
        <v>4148</v>
      </c>
      <c r="Q304" t="s">
        <v>4147</v>
      </c>
      <c r="R304" s="7">
        <v>31048</v>
      </c>
      <c r="S304" s="8">
        <f t="shared" si="40"/>
        <v>1985</v>
      </c>
      <c r="T304" s="8">
        <v>1985</v>
      </c>
      <c r="U304" s="8">
        <f t="shared" si="41"/>
        <v>37</v>
      </c>
      <c r="V304" s="7">
        <v>31352</v>
      </c>
      <c r="W304" t="s">
        <v>660</v>
      </c>
      <c r="X304" s="2">
        <v>2.141</v>
      </c>
      <c r="Y304" s="6">
        <f t="shared" si="38"/>
        <v>5.7152772216438434E-2</v>
      </c>
      <c r="AA304">
        <v>1962892</v>
      </c>
      <c r="AB304">
        <v>17360</v>
      </c>
      <c r="AC304">
        <v>15580644</v>
      </c>
      <c r="AD304" t="s">
        <v>4</v>
      </c>
      <c r="AE304" t="s">
        <v>659</v>
      </c>
      <c r="AF304">
        <v>6</v>
      </c>
      <c r="AH304" t="s">
        <v>4146</v>
      </c>
      <c r="AI304" t="s">
        <v>4145</v>
      </c>
      <c r="AK304" t="s">
        <v>4144</v>
      </c>
      <c r="AL304">
        <v>1</v>
      </c>
      <c r="AM304" s="5">
        <f t="shared" si="42"/>
        <v>2.7027027027027029E-2</v>
      </c>
      <c r="AN304" s="4">
        <f t="shared" si="39"/>
        <v>4.0934535444190883E-5</v>
      </c>
      <c r="AO304" s="3"/>
      <c r="AP304">
        <v>0</v>
      </c>
      <c r="AR304" t="s">
        <v>0</v>
      </c>
      <c r="AT304" s="2" t="s">
        <v>19</v>
      </c>
      <c r="AU304" s="1">
        <f t="shared" si="43"/>
        <v>4.0019220912140154</v>
      </c>
      <c r="AV304" s="1">
        <f t="shared" si="44"/>
        <v>2.8596853375941311</v>
      </c>
      <c r="AW304" s="1">
        <f t="shared" si="45"/>
        <v>1.7174485839742464</v>
      </c>
    </row>
    <row r="305" spans="1:49" x14ac:dyDescent="0.2">
      <c r="A305">
        <v>303</v>
      </c>
      <c r="B305" t="s">
        <v>4143</v>
      </c>
      <c r="C305" t="s">
        <v>4142</v>
      </c>
      <c r="F305" t="s">
        <v>4141</v>
      </c>
      <c r="G305" t="s">
        <v>15</v>
      </c>
      <c r="H305" t="s">
        <v>14</v>
      </c>
      <c r="I305" t="s">
        <v>4140</v>
      </c>
      <c r="J305">
        <v>60027090</v>
      </c>
      <c r="K305" t="s">
        <v>4139</v>
      </c>
      <c r="L305" t="s">
        <v>4138</v>
      </c>
      <c r="M305" t="s">
        <v>122</v>
      </c>
      <c r="N305">
        <v>1</v>
      </c>
      <c r="O305" t="s">
        <v>4137</v>
      </c>
      <c r="P305">
        <v>57225302391</v>
      </c>
      <c r="Q305">
        <v>60027090</v>
      </c>
      <c r="R305" s="7">
        <v>31048</v>
      </c>
      <c r="S305" s="8">
        <f t="shared" si="40"/>
        <v>1985</v>
      </c>
      <c r="T305" s="8">
        <v>1985</v>
      </c>
      <c r="U305" s="8">
        <f t="shared" si="41"/>
        <v>37</v>
      </c>
      <c r="V305" s="7">
        <v>31352</v>
      </c>
      <c r="W305" t="s">
        <v>994</v>
      </c>
      <c r="X305" s="2">
        <v>1.137</v>
      </c>
      <c r="Y305" s="6">
        <f t="shared" si="38"/>
        <v>3.0351565628253384E-2</v>
      </c>
      <c r="AA305">
        <v>189251</v>
      </c>
      <c r="AB305">
        <v>17336</v>
      </c>
      <c r="AD305" t="s">
        <v>4</v>
      </c>
      <c r="AE305" t="s">
        <v>993</v>
      </c>
      <c r="AF305">
        <v>6</v>
      </c>
      <c r="AH305" t="s">
        <v>4136</v>
      </c>
      <c r="AI305" t="s">
        <v>4135</v>
      </c>
      <c r="AK305" t="s">
        <v>4134</v>
      </c>
      <c r="AL305">
        <v>1</v>
      </c>
      <c r="AM305" s="5">
        <f t="shared" si="42"/>
        <v>2.7027027027027029E-2</v>
      </c>
      <c r="AN305" s="4">
        <f t="shared" si="39"/>
        <v>4.0934535444190883E-5</v>
      </c>
      <c r="AO305" s="3"/>
      <c r="AP305">
        <v>0</v>
      </c>
      <c r="AR305" t="s">
        <v>0</v>
      </c>
      <c r="AT305" s="2" t="s">
        <v>19</v>
      </c>
      <c r="AU305" s="1">
        <f t="shared" si="43"/>
        <v>2.1258376300410622</v>
      </c>
      <c r="AV305" s="1">
        <f t="shared" si="44"/>
        <v>1.5196250081848788</v>
      </c>
      <c r="AW305" s="1">
        <f t="shared" si="45"/>
        <v>0.91341238632869493</v>
      </c>
    </row>
    <row r="306" spans="1:49" x14ac:dyDescent="0.2">
      <c r="A306">
        <v>304</v>
      </c>
      <c r="B306" t="s">
        <v>4133</v>
      </c>
      <c r="C306" t="s">
        <v>4132</v>
      </c>
      <c r="F306" t="s">
        <v>4131</v>
      </c>
      <c r="G306" t="s">
        <v>15</v>
      </c>
      <c r="H306" t="s">
        <v>14</v>
      </c>
      <c r="I306" t="s">
        <v>4130</v>
      </c>
      <c r="J306" t="s">
        <v>4125</v>
      </c>
      <c r="K306" t="s">
        <v>4129</v>
      </c>
      <c r="L306" t="s">
        <v>4128</v>
      </c>
      <c r="M306" t="s">
        <v>28</v>
      </c>
      <c r="N306">
        <v>2</v>
      </c>
      <c r="O306" t="s">
        <v>4127</v>
      </c>
      <c r="P306" t="s">
        <v>4126</v>
      </c>
      <c r="Q306" t="s">
        <v>4125</v>
      </c>
      <c r="R306" s="7">
        <v>31048</v>
      </c>
      <c r="S306" s="8">
        <f t="shared" si="40"/>
        <v>1985</v>
      </c>
      <c r="T306" s="8">
        <v>1985</v>
      </c>
      <c r="U306" s="8">
        <f t="shared" si="41"/>
        <v>37</v>
      </c>
      <c r="V306" s="7">
        <v>31352</v>
      </c>
      <c r="W306" t="s">
        <v>2193</v>
      </c>
      <c r="X306" s="2">
        <v>1.3720000000000001</v>
      </c>
      <c r="Y306" s="6">
        <f t="shared" si="38"/>
        <v>3.662475641333654E-2</v>
      </c>
      <c r="AA306">
        <v>189480</v>
      </c>
      <c r="AB306">
        <v>17366</v>
      </c>
      <c r="AC306">
        <v>15579670</v>
      </c>
      <c r="AD306" t="s">
        <v>4</v>
      </c>
      <c r="AE306">
        <v>33</v>
      </c>
      <c r="AF306">
        <v>11</v>
      </c>
      <c r="AH306" t="s">
        <v>4124</v>
      </c>
      <c r="AI306" t="s">
        <v>4123</v>
      </c>
      <c r="AK306" t="s">
        <v>4122</v>
      </c>
      <c r="AL306">
        <v>15</v>
      </c>
      <c r="AM306" s="5">
        <f t="shared" si="42"/>
        <v>0.40540540540540543</v>
      </c>
      <c r="AN306" s="4">
        <f t="shared" si="39"/>
        <v>6.1401803166286322E-4</v>
      </c>
      <c r="AO306" s="3"/>
      <c r="AP306">
        <v>0</v>
      </c>
      <c r="AR306" t="s">
        <v>0</v>
      </c>
      <c r="AT306" s="2" t="s">
        <v>19</v>
      </c>
      <c r="AU306" s="1">
        <f t="shared" si="43"/>
        <v>2.5821534898834435</v>
      </c>
      <c r="AV306" s="1">
        <f t="shared" si="44"/>
        <v>1.8619387222499699</v>
      </c>
      <c r="AW306" s="1">
        <f t="shared" si="45"/>
        <v>1.1417239546164966</v>
      </c>
    </row>
    <row r="307" spans="1:49" x14ac:dyDescent="0.2">
      <c r="A307">
        <v>305</v>
      </c>
      <c r="B307" t="s">
        <v>4121</v>
      </c>
      <c r="C307" t="s">
        <v>4120</v>
      </c>
      <c r="F307" t="s">
        <v>4119</v>
      </c>
      <c r="G307" t="s">
        <v>15</v>
      </c>
      <c r="H307" t="s">
        <v>14</v>
      </c>
      <c r="I307" t="s">
        <v>4118</v>
      </c>
      <c r="J307" t="s">
        <v>4117</v>
      </c>
      <c r="K307" t="s">
        <v>4116</v>
      </c>
      <c r="L307" t="s">
        <v>4115</v>
      </c>
      <c r="M307" t="s">
        <v>28</v>
      </c>
      <c r="N307">
        <v>2</v>
      </c>
      <c r="O307" t="s">
        <v>4114</v>
      </c>
      <c r="P307" t="s">
        <v>4113</v>
      </c>
      <c r="Q307" t="s">
        <v>4112</v>
      </c>
      <c r="R307" s="7">
        <v>31048</v>
      </c>
      <c r="S307" s="8">
        <f t="shared" si="40"/>
        <v>1985</v>
      </c>
      <c r="T307" s="8">
        <v>1985</v>
      </c>
      <c r="U307" s="8">
        <f t="shared" si="41"/>
        <v>37</v>
      </c>
      <c r="V307" s="7">
        <v>31352</v>
      </c>
      <c r="W307" t="s">
        <v>24</v>
      </c>
      <c r="X307" s="2">
        <v>1.6519999999999999</v>
      </c>
      <c r="Y307" s="6">
        <f t="shared" si="38"/>
        <v>4.409919649769093E-2</v>
      </c>
      <c r="AA307" t="s">
        <v>23</v>
      </c>
      <c r="AB307">
        <v>17337</v>
      </c>
      <c r="AC307">
        <v>15582221</v>
      </c>
      <c r="AD307" t="s">
        <v>4</v>
      </c>
      <c r="AE307">
        <v>33</v>
      </c>
      <c r="AF307">
        <v>11</v>
      </c>
      <c r="AH307" t="s">
        <v>4111</v>
      </c>
      <c r="AI307" t="s">
        <v>4110</v>
      </c>
      <c r="AK307" t="s">
        <v>4109</v>
      </c>
      <c r="AL307">
        <v>152</v>
      </c>
      <c r="AM307" s="5">
        <f t="shared" si="42"/>
        <v>4.1081081081081079</v>
      </c>
      <c r="AN307" s="4">
        <f t="shared" si="39"/>
        <v>6.2220493875170127E-3</v>
      </c>
      <c r="AO307" s="3"/>
      <c r="AP307">
        <v>0</v>
      </c>
      <c r="AR307" t="s">
        <v>0</v>
      </c>
      <c r="AT307" s="2" t="s">
        <v>19</v>
      </c>
      <c r="AU307" s="1">
        <f t="shared" si="43"/>
        <v>3.273605236463875</v>
      </c>
      <c r="AV307" s="1">
        <f t="shared" si="44"/>
        <v>2.5160622942603972</v>
      </c>
      <c r="AW307" s="1">
        <f t="shared" si="45"/>
        <v>1.7585193520569187</v>
      </c>
    </row>
    <row r="308" spans="1:49" x14ac:dyDescent="0.2">
      <c r="A308">
        <v>306</v>
      </c>
      <c r="B308" t="s">
        <v>4108</v>
      </c>
      <c r="C308" t="s">
        <v>4107</v>
      </c>
      <c r="F308" t="s">
        <v>4106</v>
      </c>
      <c r="G308" t="s">
        <v>15</v>
      </c>
      <c r="H308" t="s">
        <v>14</v>
      </c>
      <c r="I308" t="s">
        <v>2994</v>
      </c>
      <c r="J308">
        <v>60010571</v>
      </c>
      <c r="K308" t="s">
        <v>2993</v>
      </c>
      <c r="L308" t="s">
        <v>2992</v>
      </c>
      <c r="M308" t="s">
        <v>43</v>
      </c>
      <c r="N308">
        <v>2</v>
      </c>
      <c r="O308" t="s">
        <v>3876</v>
      </c>
      <c r="P308" t="s">
        <v>2990</v>
      </c>
      <c r="Q308" t="s">
        <v>2989</v>
      </c>
      <c r="R308" s="7">
        <v>31048</v>
      </c>
      <c r="S308" s="8">
        <f t="shared" si="40"/>
        <v>1985</v>
      </c>
      <c r="T308" s="8">
        <v>1985</v>
      </c>
      <c r="U308" s="8">
        <f t="shared" si="41"/>
        <v>37</v>
      </c>
      <c r="V308" s="7">
        <v>1985</v>
      </c>
      <c r="W308" s="11" t="s">
        <v>2012</v>
      </c>
      <c r="X308" s="2">
        <v>2.383</v>
      </c>
      <c r="Y308" s="6">
        <f t="shared" si="38"/>
        <v>6.3612824003630442E-2</v>
      </c>
      <c r="AA308">
        <v>1437070</v>
      </c>
      <c r="AB308">
        <v>39742</v>
      </c>
      <c r="AD308" t="s">
        <v>4</v>
      </c>
      <c r="AE308">
        <v>132</v>
      </c>
      <c r="AF308">
        <v>6</v>
      </c>
      <c r="AH308" t="s">
        <v>4105</v>
      </c>
      <c r="AI308" t="s">
        <v>4104</v>
      </c>
      <c r="AJ308" t="s">
        <v>4103</v>
      </c>
      <c r="AK308" t="s">
        <v>4102</v>
      </c>
      <c r="AL308">
        <v>57</v>
      </c>
      <c r="AM308" s="5">
        <f t="shared" si="42"/>
        <v>1.5405405405405406</v>
      </c>
      <c r="AN308" s="4">
        <f t="shared" si="39"/>
        <v>2.3332685203188799E-3</v>
      </c>
      <c r="AO308" s="3"/>
      <c r="AP308">
        <v>0</v>
      </c>
      <c r="AR308" t="s">
        <v>0</v>
      </c>
      <c r="AT308" s="2" t="s">
        <v>19</v>
      </c>
      <c r="AU308" s="1">
        <f t="shared" si="43"/>
        <v>4.5228957358636972</v>
      </c>
      <c r="AV308" s="1">
        <f t="shared" si="44"/>
        <v>3.2973046261974663</v>
      </c>
      <c r="AW308" s="1">
        <f t="shared" si="45"/>
        <v>2.071713516531235</v>
      </c>
    </row>
    <row r="309" spans="1:49" x14ac:dyDescent="0.2">
      <c r="A309">
        <v>307</v>
      </c>
      <c r="B309" t="s">
        <v>4101</v>
      </c>
      <c r="C309" t="s">
        <v>4100</v>
      </c>
      <c r="F309" t="s">
        <v>4099</v>
      </c>
      <c r="G309" t="s">
        <v>15</v>
      </c>
      <c r="H309" t="s">
        <v>14</v>
      </c>
      <c r="I309" t="s">
        <v>3850</v>
      </c>
      <c r="J309">
        <v>60000854</v>
      </c>
      <c r="K309" t="s">
        <v>457</v>
      </c>
      <c r="L309" t="s">
        <v>456</v>
      </c>
      <c r="M309" t="s">
        <v>122</v>
      </c>
      <c r="N309">
        <v>1</v>
      </c>
      <c r="O309" t="s">
        <v>3849</v>
      </c>
      <c r="P309">
        <v>7202789108</v>
      </c>
      <c r="Q309">
        <v>60000854</v>
      </c>
      <c r="R309" s="7">
        <v>31048</v>
      </c>
      <c r="S309" s="8">
        <f t="shared" si="40"/>
        <v>1985</v>
      </c>
      <c r="T309" s="8">
        <v>1985</v>
      </c>
      <c r="U309" s="8">
        <f t="shared" si="41"/>
        <v>37</v>
      </c>
      <c r="V309" s="7">
        <v>31321</v>
      </c>
      <c r="W309" t="s">
        <v>4098</v>
      </c>
      <c r="X309" s="2">
        <v>1.5980000000000001</v>
      </c>
      <c r="Y309" s="6">
        <f t="shared" si="38"/>
        <v>4.2657697338565448E-2</v>
      </c>
      <c r="AA309">
        <v>7339445</v>
      </c>
      <c r="AB309">
        <v>16305</v>
      </c>
      <c r="AD309" t="s">
        <v>4</v>
      </c>
      <c r="AE309">
        <v>111</v>
      </c>
      <c r="AF309">
        <v>10</v>
      </c>
      <c r="AH309" t="s">
        <v>4097</v>
      </c>
      <c r="AI309" t="s">
        <v>4096</v>
      </c>
      <c r="AK309" t="s">
        <v>4095</v>
      </c>
      <c r="AL309">
        <v>6</v>
      </c>
      <c r="AM309" s="5">
        <f t="shared" si="42"/>
        <v>0.16216216216216217</v>
      </c>
      <c r="AN309" s="4">
        <f t="shared" si="39"/>
        <v>2.4560721266514527E-4</v>
      </c>
      <c r="AO309" s="3"/>
      <c r="AP309">
        <v>0</v>
      </c>
      <c r="AR309" t="s">
        <v>0</v>
      </c>
      <c r="AT309" s="2" t="s">
        <v>19</v>
      </c>
      <c r="AU309" s="1">
        <f t="shared" si="43"/>
        <v>2.9934070300795352</v>
      </c>
      <c r="AV309" s="1">
        <f t="shared" si="44"/>
        <v>2.1451652275615296</v>
      </c>
      <c r="AW309" s="1">
        <f t="shared" si="45"/>
        <v>1.2969234250435235</v>
      </c>
    </row>
    <row r="310" spans="1:49" x14ac:dyDescent="0.2">
      <c r="A310">
        <v>308</v>
      </c>
      <c r="B310" t="s">
        <v>4094</v>
      </c>
      <c r="C310" t="s">
        <v>4093</v>
      </c>
      <c r="F310" t="s">
        <v>4092</v>
      </c>
      <c r="G310" t="s">
        <v>15</v>
      </c>
      <c r="H310" t="s">
        <v>14</v>
      </c>
      <c r="I310" t="s">
        <v>4091</v>
      </c>
      <c r="J310">
        <v>60002874</v>
      </c>
      <c r="K310" t="s">
        <v>4090</v>
      </c>
      <c r="L310" t="s">
        <v>435</v>
      </c>
      <c r="M310" t="s">
        <v>434</v>
      </c>
      <c r="N310">
        <v>2</v>
      </c>
      <c r="O310" t="s">
        <v>4089</v>
      </c>
      <c r="P310" t="s">
        <v>4088</v>
      </c>
      <c r="Q310" t="s">
        <v>4087</v>
      </c>
      <c r="R310" s="7">
        <v>31048</v>
      </c>
      <c r="S310" s="8">
        <f t="shared" si="40"/>
        <v>1985</v>
      </c>
      <c r="T310" s="8">
        <v>1985</v>
      </c>
      <c r="U310" s="8">
        <f t="shared" si="41"/>
        <v>37</v>
      </c>
      <c r="V310" s="7" t="s">
        <v>3954</v>
      </c>
      <c r="W310" s="11" t="s">
        <v>1366</v>
      </c>
      <c r="X310" s="2">
        <v>2.383</v>
      </c>
      <c r="Y310" s="6">
        <f t="shared" si="38"/>
        <v>6.3612824003630442E-2</v>
      </c>
      <c r="AA310">
        <v>1437097</v>
      </c>
      <c r="AB310">
        <v>101236</v>
      </c>
      <c r="AD310" t="s">
        <v>4</v>
      </c>
      <c r="AE310">
        <v>132</v>
      </c>
      <c r="AF310">
        <v>6</v>
      </c>
      <c r="AH310" t="s">
        <v>4086</v>
      </c>
      <c r="AL310">
        <v>11</v>
      </c>
      <c r="AM310" s="5">
        <f t="shared" si="42"/>
        <v>0.29729729729729731</v>
      </c>
      <c r="AN310" s="4">
        <f t="shared" si="39"/>
        <v>4.5027988988609969E-4</v>
      </c>
      <c r="AO310" s="3"/>
      <c r="AP310">
        <v>0</v>
      </c>
      <c r="AR310" t="s">
        <v>0</v>
      </c>
      <c r="AT310" s="2" t="s">
        <v>19</v>
      </c>
      <c r="AU310" s="1">
        <f t="shared" si="43"/>
        <v>4.4664060769507135</v>
      </c>
      <c r="AV310" s="1">
        <f t="shared" si="44"/>
        <v>3.2031551946758268</v>
      </c>
      <c r="AW310" s="1">
        <f t="shared" si="45"/>
        <v>1.9399043124009401</v>
      </c>
    </row>
    <row r="311" spans="1:49" x14ac:dyDescent="0.2">
      <c r="A311">
        <v>309</v>
      </c>
      <c r="B311" t="s">
        <v>4085</v>
      </c>
      <c r="C311" t="s">
        <v>4084</v>
      </c>
      <c r="F311" t="s">
        <v>4083</v>
      </c>
      <c r="G311" t="s">
        <v>15</v>
      </c>
      <c r="H311" t="s">
        <v>14</v>
      </c>
      <c r="I311" t="s">
        <v>4082</v>
      </c>
      <c r="J311">
        <v>60010818</v>
      </c>
      <c r="K311" t="s">
        <v>2212</v>
      </c>
      <c r="L311" t="s">
        <v>2211</v>
      </c>
      <c r="M311" t="s">
        <v>530</v>
      </c>
      <c r="N311">
        <v>2</v>
      </c>
      <c r="O311" t="s">
        <v>4081</v>
      </c>
      <c r="P311" t="s">
        <v>4080</v>
      </c>
      <c r="Q311" t="s">
        <v>2208</v>
      </c>
      <c r="R311" s="7">
        <v>31048</v>
      </c>
      <c r="S311" s="8">
        <f t="shared" si="40"/>
        <v>1985</v>
      </c>
      <c r="T311" s="8">
        <v>1985</v>
      </c>
      <c r="U311" s="8">
        <f t="shared" si="41"/>
        <v>37</v>
      </c>
      <c r="V311" s="7" t="s">
        <v>3954</v>
      </c>
      <c r="W311" s="11" t="s">
        <v>1366</v>
      </c>
      <c r="X311" s="2">
        <v>2.383</v>
      </c>
      <c r="Y311" s="6">
        <f t="shared" si="38"/>
        <v>6.3612824003630442E-2</v>
      </c>
      <c r="AA311">
        <v>1437097</v>
      </c>
      <c r="AB311">
        <v>101236</v>
      </c>
      <c r="AD311" t="s">
        <v>4</v>
      </c>
      <c r="AE311">
        <v>132</v>
      </c>
      <c r="AF311">
        <v>6</v>
      </c>
      <c r="AH311" t="s">
        <v>4079</v>
      </c>
      <c r="AL311">
        <v>174</v>
      </c>
      <c r="AM311" s="5">
        <f t="shared" si="42"/>
        <v>4.7027027027027026</v>
      </c>
      <c r="AN311" s="4">
        <f t="shared" si="39"/>
        <v>7.1226091672892122E-3</v>
      </c>
      <c r="AO311" s="3"/>
      <c r="AP311">
        <v>0</v>
      </c>
      <c r="AR311" t="s">
        <v>0</v>
      </c>
      <c r="AT311" s="2" t="s">
        <v>19</v>
      </c>
      <c r="AU311" s="1">
        <f t="shared" si="43"/>
        <v>4.6665759552728074</v>
      </c>
      <c r="AV311" s="1">
        <f t="shared" si="44"/>
        <v>3.5367716585459825</v>
      </c>
      <c r="AW311" s="1">
        <f t="shared" si="45"/>
        <v>2.406967361819158</v>
      </c>
    </row>
    <row r="312" spans="1:49" x14ac:dyDescent="0.2">
      <c r="A312">
        <v>310</v>
      </c>
      <c r="B312" t="s">
        <v>4078</v>
      </c>
      <c r="C312" t="s">
        <v>4077</v>
      </c>
      <c r="F312" t="s">
        <v>4076</v>
      </c>
      <c r="G312" t="s">
        <v>15</v>
      </c>
      <c r="H312" t="s">
        <v>14</v>
      </c>
      <c r="I312" t="s">
        <v>4075</v>
      </c>
      <c r="J312">
        <v>60008435</v>
      </c>
      <c r="K312" t="s">
        <v>1384</v>
      </c>
      <c r="L312" t="s">
        <v>1383</v>
      </c>
      <c r="M312" t="s">
        <v>544</v>
      </c>
      <c r="N312">
        <v>2</v>
      </c>
      <c r="O312" t="s">
        <v>4074</v>
      </c>
      <c r="P312" t="s">
        <v>4073</v>
      </c>
      <c r="Q312" t="s">
        <v>4072</v>
      </c>
      <c r="R312" s="7">
        <v>31048</v>
      </c>
      <c r="S312" s="8">
        <f t="shared" si="40"/>
        <v>1985</v>
      </c>
      <c r="T312" s="8">
        <v>1985</v>
      </c>
      <c r="U312" s="8">
        <f t="shared" si="41"/>
        <v>37</v>
      </c>
      <c r="V312" s="7">
        <v>1985</v>
      </c>
      <c r="W312" t="s">
        <v>590</v>
      </c>
      <c r="X312" s="2">
        <v>0.111</v>
      </c>
      <c r="Y312" s="6">
        <f t="shared" si="38"/>
        <v>2.9630816048690639E-3</v>
      </c>
      <c r="AA312">
        <v>87566621</v>
      </c>
      <c r="AB312">
        <v>24890</v>
      </c>
      <c r="AC312">
        <v>15206424</v>
      </c>
      <c r="AD312" t="s">
        <v>4</v>
      </c>
      <c r="AE312">
        <v>68</v>
      </c>
      <c r="AF312">
        <v>10</v>
      </c>
      <c r="AH312" t="s">
        <v>4071</v>
      </c>
      <c r="AI312" t="s">
        <v>4070</v>
      </c>
      <c r="AK312" t="s">
        <v>4069</v>
      </c>
      <c r="AL312">
        <v>2</v>
      </c>
      <c r="AM312" s="5">
        <f t="shared" si="42"/>
        <v>5.4054054054054057E-2</v>
      </c>
      <c r="AN312" s="4">
        <f t="shared" si="39"/>
        <v>8.1869070888381765E-5</v>
      </c>
      <c r="AO312" s="3"/>
      <c r="AP312">
        <v>0</v>
      </c>
      <c r="AR312" t="s">
        <v>0</v>
      </c>
      <c r="AT312" s="2" t="s">
        <v>19</v>
      </c>
      <c r="AU312" s="1">
        <f t="shared" si="43"/>
        <v>0.20987178446748592</v>
      </c>
      <c r="AV312" s="1">
        <f t="shared" si="44"/>
        <v>0.15224753378787229</v>
      </c>
      <c r="AW312" s="1">
        <f t="shared" si="45"/>
        <v>9.4623283108258627E-2</v>
      </c>
    </row>
    <row r="313" spans="1:49" x14ac:dyDescent="0.2">
      <c r="A313">
        <v>311</v>
      </c>
      <c r="B313" t="s">
        <v>4068</v>
      </c>
      <c r="C313" t="s">
        <v>4067</v>
      </c>
      <c r="F313" t="s">
        <v>4066</v>
      </c>
      <c r="G313" t="s">
        <v>15</v>
      </c>
      <c r="H313" t="s">
        <v>14</v>
      </c>
      <c r="I313" t="s">
        <v>4065</v>
      </c>
      <c r="J313">
        <v>60025778</v>
      </c>
      <c r="K313" t="s">
        <v>2420</v>
      </c>
      <c r="L313" t="s">
        <v>2419</v>
      </c>
      <c r="M313" t="s">
        <v>122</v>
      </c>
      <c r="N313">
        <v>2</v>
      </c>
      <c r="O313" t="s">
        <v>4064</v>
      </c>
      <c r="P313" t="s">
        <v>4063</v>
      </c>
      <c r="Q313" t="s">
        <v>4062</v>
      </c>
      <c r="R313" s="7">
        <v>31048</v>
      </c>
      <c r="S313" s="8">
        <f t="shared" si="40"/>
        <v>1985</v>
      </c>
      <c r="T313" s="8">
        <v>1985</v>
      </c>
      <c r="U313" s="8">
        <f t="shared" si="41"/>
        <v>37</v>
      </c>
      <c r="V313" s="7">
        <v>1985</v>
      </c>
      <c r="W313" t="s">
        <v>540</v>
      </c>
      <c r="X313" s="2">
        <v>0.375</v>
      </c>
      <c r="Y313" s="6">
        <f t="shared" si="38"/>
        <v>1.0010410827260351E-2</v>
      </c>
      <c r="AA313">
        <v>135194</v>
      </c>
      <c r="AB313">
        <v>24918</v>
      </c>
      <c r="AD313" t="s">
        <v>4</v>
      </c>
      <c r="AE313">
        <v>21</v>
      </c>
      <c r="AF313">
        <v>22</v>
      </c>
      <c r="AH313" t="s">
        <v>4061</v>
      </c>
      <c r="AI313" t="s">
        <v>4060</v>
      </c>
      <c r="AJ313" t="s">
        <v>3052</v>
      </c>
      <c r="AK313" t="s">
        <v>4059</v>
      </c>
      <c r="AL313">
        <v>10</v>
      </c>
      <c r="AM313" s="5">
        <f t="shared" si="42"/>
        <v>0.27027027027027029</v>
      </c>
      <c r="AN313" s="4">
        <f t="shared" si="39"/>
        <v>4.093453544419088E-4</v>
      </c>
      <c r="AO313" s="3"/>
      <c r="AP313">
        <v>0</v>
      </c>
      <c r="AR313" t="s">
        <v>0</v>
      </c>
      <c r="AT313" s="2">
        <v>1.3140000000000001</v>
      </c>
      <c r="AU313" s="1">
        <f t="shared" si="43"/>
        <v>0.71300911854148186</v>
      </c>
      <c r="AV313" s="1">
        <f t="shared" si="44"/>
        <v>0.520987809085113</v>
      </c>
      <c r="AW313" s="1">
        <f t="shared" si="45"/>
        <v>0.32896649962874414</v>
      </c>
    </row>
    <row r="314" spans="1:49" x14ac:dyDescent="0.2">
      <c r="A314">
        <v>312</v>
      </c>
      <c r="B314" t="s">
        <v>4058</v>
      </c>
      <c r="C314" t="s">
        <v>4057</v>
      </c>
      <c r="F314" t="s">
        <v>4056</v>
      </c>
      <c r="G314" t="s">
        <v>15</v>
      </c>
      <c r="H314" t="s">
        <v>14</v>
      </c>
      <c r="I314" t="s">
        <v>4055</v>
      </c>
      <c r="J314">
        <v>60013506</v>
      </c>
      <c r="K314" t="s">
        <v>4054</v>
      </c>
      <c r="L314" t="s">
        <v>4053</v>
      </c>
      <c r="M314" t="s">
        <v>76</v>
      </c>
      <c r="N314">
        <v>2</v>
      </c>
      <c r="O314" t="s">
        <v>4052</v>
      </c>
      <c r="P314" t="s">
        <v>4051</v>
      </c>
      <c r="Q314" t="s">
        <v>4050</v>
      </c>
      <c r="R314" s="7">
        <v>31048</v>
      </c>
      <c r="S314" s="8">
        <f t="shared" si="40"/>
        <v>1985</v>
      </c>
      <c r="T314" s="8">
        <v>1985</v>
      </c>
      <c r="U314" s="8">
        <f t="shared" si="41"/>
        <v>37</v>
      </c>
      <c r="V314" s="7" t="s">
        <v>3954</v>
      </c>
      <c r="W314" s="11" t="s">
        <v>1366</v>
      </c>
      <c r="X314" s="2">
        <v>2.383</v>
      </c>
      <c r="Y314" s="6">
        <f t="shared" si="38"/>
        <v>6.3612824003630442E-2</v>
      </c>
      <c r="AA314">
        <v>1437097</v>
      </c>
      <c r="AB314">
        <v>101236</v>
      </c>
      <c r="AD314" t="s">
        <v>4</v>
      </c>
      <c r="AE314">
        <v>132</v>
      </c>
      <c r="AF314">
        <v>6</v>
      </c>
      <c r="AH314" t="s">
        <v>4049</v>
      </c>
      <c r="AL314">
        <v>20</v>
      </c>
      <c r="AM314" s="5">
        <f t="shared" si="42"/>
        <v>0.54054054054054057</v>
      </c>
      <c r="AN314" s="4">
        <f t="shared" si="39"/>
        <v>8.186907088838176E-4</v>
      </c>
      <c r="AO314" s="3"/>
      <c r="AP314">
        <v>0</v>
      </c>
      <c r="AR314" t="s">
        <v>0</v>
      </c>
      <c r="AT314" s="2" t="s">
        <v>19</v>
      </c>
      <c r="AU314" s="1">
        <f t="shared" si="43"/>
        <v>4.4774584015206456</v>
      </c>
      <c r="AV314" s="1">
        <f t="shared" si="44"/>
        <v>3.2215757356257133</v>
      </c>
      <c r="AW314" s="1">
        <f t="shared" si="45"/>
        <v>1.9656930697307804</v>
      </c>
    </row>
    <row r="315" spans="1:49" x14ac:dyDescent="0.2">
      <c r="A315">
        <v>313</v>
      </c>
      <c r="B315" t="s">
        <v>4048</v>
      </c>
      <c r="C315" t="s">
        <v>4047</v>
      </c>
      <c r="F315" t="s">
        <v>4046</v>
      </c>
      <c r="G315" t="s">
        <v>15</v>
      </c>
      <c r="H315" t="s">
        <v>14</v>
      </c>
      <c r="I315" t="s">
        <v>4045</v>
      </c>
      <c r="J315">
        <v>60027844</v>
      </c>
      <c r="K315" t="s">
        <v>2797</v>
      </c>
      <c r="L315" t="s">
        <v>2796</v>
      </c>
      <c r="M315" t="s">
        <v>2795</v>
      </c>
      <c r="N315">
        <v>3</v>
      </c>
      <c r="O315" t="s">
        <v>4044</v>
      </c>
      <c r="P315" t="s">
        <v>4043</v>
      </c>
      <c r="Q315" t="s">
        <v>4042</v>
      </c>
      <c r="R315" s="7">
        <v>31048</v>
      </c>
      <c r="S315" s="8">
        <f t="shared" si="40"/>
        <v>1985</v>
      </c>
      <c r="T315" s="8">
        <v>1985</v>
      </c>
      <c r="U315" s="8">
        <f t="shared" si="41"/>
        <v>37</v>
      </c>
      <c r="V315" s="7">
        <v>31321</v>
      </c>
      <c r="W315" t="s">
        <v>1300</v>
      </c>
      <c r="X315" s="2">
        <v>0.251</v>
      </c>
      <c r="Y315" s="6">
        <f t="shared" si="38"/>
        <v>6.7003016470462617E-3</v>
      </c>
      <c r="AA315">
        <v>207217</v>
      </c>
      <c r="AB315">
        <v>26145</v>
      </c>
      <c r="AC315">
        <v>13623060</v>
      </c>
      <c r="AD315" t="s">
        <v>4</v>
      </c>
      <c r="AE315">
        <v>59</v>
      </c>
      <c r="AF315">
        <v>4</v>
      </c>
      <c r="AH315" t="s">
        <v>4041</v>
      </c>
      <c r="AI315" t="s">
        <v>4040</v>
      </c>
      <c r="AK315" t="s">
        <v>4039</v>
      </c>
      <c r="AL315">
        <v>3</v>
      </c>
      <c r="AM315" s="5">
        <f t="shared" si="42"/>
        <v>8.1081081081081086E-2</v>
      </c>
      <c r="AN315" s="4">
        <f t="shared" si="39"/>
        <v>1.2280360633257263E-4</v>
      </c>
      <c r="AO315" s="3"/>
      <c r="AP315">
        <v>0</v>
      </c>
      <c r="AR315" t="s">
        <v>0</v>
      </c>
      <c r="AT315" s="2">
        <v>1.3360000000000001</v>
      </c>
      <c r="AU315" s="1">
        <f t="shared" si="43"/>
        <v>0.47270522348321542</v>
      </c>
      <c r="AV315" s="1">
        <f t="shared" si="44"/>
        <v>0.34115526266894175</v>
      </c>
      <c r="AW315" s="1">
        <f t="shared" si="45"/>
        <v>0.20960530185466791</v>
      </c>
    </row>
    <row r="316" spans="1:49" x14ac:dyDescent="0.2">
      <c r="A316">
        <v>314</v>
      </c>
      <c r="B316" t="s">
        <v>4038</v>
      </c>
      <c r="C316" t="s">
        <v>4037</v>
      </c>
      <c r="F316" t="s">
        <v>4036</v>
      </c>
      <c r="G316" t="s">
        <v>15</v>
      </c>
      <c r="H316" t="s">
        <v>14</v>
      </c>
      <c r="I316" t="s">
        <v>4035</v>
      </c>
      <c r="J316">
        <v>60009697</v>
      </c>
      <c r="K316" t="s">
        <v>2663</v>
      </c>
      <c r="L316" t="s">
        <v>2662</v>
      </c>
      <c r="M316" t="s">
        <v>76</v>
      </c>
      <c r="N316">
        <v>2</v>
      </c>
      <c r="O316" t="s">
        <v>4034</v>
      </c>
      <c r="P316" t="s">
        <v>4033</v>
      </c>
      <c r="Q316" t="s">
        <v>2659</v>
      </c>
      <c r="R316" s="7">
        <v>31048</v>
      </c>
      <c r="S316" s="8">
        <f t="shared" si="40"/>
        <v>1985</v>
      </c>
      <c r="T316" s="8">
        <v>1985</v>
      </c>
      <c r="U316" s="8">
        <f t="shared" si="41"/>
        <v>37</v>
      </c>
      <c r="V316" s="7" t="s">
        <v>3954</v>
      </c>
      <c r="W316" s="11" t="s">
        <v>1366</v>
      </c>
      <c r="X316" s="2">
        <v>2.383</v>
      </c>
      <c r="Y316" s="6">
        <f t="shared" si="38"/>
        <v>6.3612824003630442E-2</v>
      </c>
      <c r="AA316">
        <v>1437097</v>
      </c>
      <c r="AB316">
        <v>101236</v>
      </c>
      <c r="AD316" t="s">
        <v>4</v>
      </c>
      <c r="AE316">
        <v>132</v>
      </c>
      <c r="AF316">
        <v>6</v>
      </c>
      <c r="AH316" t="s">
        <v>2131</v>
      </c>
      <c r="AL316">
        <v>3</v>
      </c>
      <c r="AM316" s="5">
        <f t="shared" si="42"/>
        <v>8.1081081081081086E-2</v>
      </c>
      <c r="AN316" s="4">
        <f t="shared" si="39"/>
        <v>1.2280360633257263E-4</v>
      </c>
      <c r="AO316" s="3"/>
      <c r="AP316">
        <v>0</v>
      </c>
      <c r="AR316" t="s">
        <v>0</v>
      </c>
      <c r="AT316" s="2" t="s">
        <v>19</v>
      </c>
      <c r="AU316" s="1">
        <f t="shared" si="43"/>
        <v>4.4565817884441081</v>
      </c>
      <c r="AV316" s="1">
        <f t="shared" si="44"/>
        <v>3.1867813804981506</v>
      </c>
      <c r="AW316" s="1">
        <f t="shared" si="45"/>
        <v>1.9169809725521934</v>
      </c>
    </row>
    <row r="317" spans="1:49" x14ac:dyDescent="0.2">
      <c r="A317">
        <v>315</v>
      </c>
      <c r="B317" t="s">
        <v>4032</v>
      </c>
      <c r="C317" t="s">
        <v>4031</v>
      </c>
      <c r="F317" t="s">
        <v>4030</v>
      </c>
      <c r="G317" t="s">
        <v>15</v>
      </c>
      <c r="H317" t="s">
        <v>14</v>
      </c>
      <c r="I317" t="s">
        <v>4029</v>
      </c>
      <c r="J317">
        <v>100314754</v>
      </c>
      <c r="K317" t="s">
        <v>4028</v>
      </c>
      <c r="L317" t="s">
        <v>4027</v>
      </c>
      <c r="M317" t="s">
        <v>122</v>
      </c>
      <c r="N317">
        <v>1</v>
      </c>
      <c r="O317" t="s">
        <v>4026</v>
      </c>
      <c r="P317">
        <v>7005597820</v>
      </c>
      <c r="Q317">
        <v>100314754</v>
      </c>
      <c r="R317" s="7">
        <v>31048</v>
      </c>
      <c r="S317" s="8">
        <f t="shared" si="40"/>
        <v>1985</v>
      </c>
      <c r="T317" s="8">
        <v>1985</v>
      </c>
      <c r="U317" s="8">
        <f t="shared" si="41"/>
        <v>37</v>
      </c>
      <c r="V317" s="7">
        <v>31321</v>
      </c>
      <c r="W317" t="s">
        <v>2231</v>
      </c>
      <c r="X317" s="2">
        <v>1.3460000000000001</v>
      </c>
      <c r="Y317" s="6">
        <f t="shared" si="38"/>
        <v>3.593070126264649E-2</v>
      </c>
      <c r="AA317">
        <v>7338724</v>
      </c>
      <c r="AB317">
        <v>12178</v>
      </c>
      <c r="AC317">
        <v>15582213</v>
      </c>
      <c r="AD317" t="s">
        <v>4</v>
      </c>
      <c r="AE317">
        <v>3</v>
      </c>
      <c r="AF317">
        <v>5</v>
      </c>
      <c r="AH317" t="s">
        <v>4025</v>
      </c>
      <c r="AI317" t="s">
        <v>4024</v>
      </c>
      <c r="AK317" t="s">
        <v>4023</v>
      </c>
      <c r="AL317">
        <v>55</v>
      </c>
      <c r="AM317" s="5">
        <f t="shared" si="42"/>
        <v>1.4864864864864864</v>
      </c>
      <c r="AN317" s="4">
        <f t="shared" si="39"/>
        <v>2.2513994494304983E-3</v>
      </c>
      <c r="AO317" s="3"/>
      <c r="AP317">
        <v>0</v>
      </c>
      <c r="AR317" t="s">
        <v>0</v>
      </c>
      <c r="AT317" s="2">
        <v>4.1420000000000003</v>
      </c>
      <c r="AU317" s="1">
        <f t="shared" si="43"/>
        <v>2.5826910718681693</v>
      </c>
      <c r="AV317" s="1">
        <f t="shared" si="44"/>
        <v>1.9091050356038495</v>
      </c>
      <c r="AW317" s="1">
        <f t="shared" si="45"/>
        <v>1.2355189993395295</v>
      </c>
    </row>
    <row r="318" spans="1:49" x14ac:dyDescent="0.2">
      <c r="A318">
        <v>316</v>
      </c>
      <c r="B318" t="s">
        <v>4022</v>
      </c>
      <c r="C318" t="s">
        <v>4021</v>
      </c>
      <c r="F318" t="s">
        <v>4020</v>
      </c>
      <c r="G318" t="s">
        <v>15</v>
      </c>
      <c r="H318" t="s">
        <v>14</v>
      </c>
      <c r="I318" t="s">
        <v>4019</v>
      </c>
      <c r="J318">
        <v>60009697</v>
      </c>
      <c r="K318" t="s">
        <v>2663</v>
      </c>
      <c r="L318" t="s">
        <v>2662</v>
      </c>
      <c r="M318" t="s">
        <v>76</v>
      </c>
      <c r="N318">
        <v>2</v>
      </c>
      <c r="O318" t="s">
        <v>4018</v>
      </c>
      <c r="P318" t="s">
        <v>4017</v>
      </c>
      <c r="Q318" t="s">
        <v>2659</v>
      </c>
      <c r="R318" s="7">
        <v>31048</v>
      </c>
      <c r="S318" s="8">
        <f t="shared" si="40"/>
        <v>1985</v>
      </c>
      <c r="T318" s="8">
        <v>1985</v>
      </c>
      <c r="U318" s="8">
        <f t="shared" si="41"/>
        <v>37</v>
      </c>
      <c r="V318" s="7" t="s">
        <v>3954</v>
      </c>
      <c r="W318" t="s">
        <v>1941</v>
      </c>
      <c r="X318" s="2" t="s">
        <v>19</v>
      </c>
      <c r="Y318" s="6" t="e">
        <f t="shared" si="38"/>
        <v>#VALUE!</v>
      </c>
      <c r="AA318">
        <v>84204</v>
      </c>
      <c r="AB318">
        <v>27420</v>
      </c>
      <c r="AD318" t="s">
        <v>4</v>
      </c>
      <c r="AE318">
        <v>63</v>
      </c>
      <c r="AF318">
        <v>10</v>
      </c>
      <c r="AH318" t="s">
        <v>4016</v>
      </c>
      <c r="AI318" t="s">
        <v>4015</v>
      </c>
      <c r="AK318" t="s">
        <v>4014</v>
      </c>
      <c r="AL318">
        <v>2</v>
      </c>
      <c r="AM318" s="5">
        <f t="shared" si="42"/>
        <v>5.4054054054054057E-2</v>
      </c>
      <c r="AN318" s="4">
        <f t="shared" si="39"/>
        <v>8.1869070888381765E-5</v>
      </c>
      <c r="AO318" s="3"/>
      <c r="AP318">
        <v>0</v>
      </c>
      <c r="AR318" t="s">
        <v>0</v>
      </c>
      <c r="AT318" s="2">
        <v>1.24</v>
      </c>
      <c r="AU318" s="1" t="e">
        <f t="shared" si="43"/>
        <v>#VALUE!</v>
      </c>
      <c r="AV318" s="1" t="e">
        <f t="shared" si="44"/>
        <v>#VALUE!</v>
      </c>
      <c r="AW318" s="1" t="e">
        <f t="shared" si="45"/>
        <v>#VALUE!</v>
      </c>
    </row>
    <row r="319" spans="1:49" x14ac:dyDescent="0.2">
      <c r="A319">
        <v>317</v>
      </c>
      <c r="B319" t="s">
        <v>4013</v>
      </c>
      <c r="C319" t="s">
        <v>4012</v>
      </c>
      <c r="E319">
        <v>4054103</v>
      </c>
      <c r="F319" t="s">
        <v>4011</v>
      </c>
      <c r="G319" t="s">
        <v>15</v>
      </c>
      <c r="H319" t="s">
        <v>14</v>
      </c>
      <c r="I319" t="s">
        <v>4010</v>
      </c>
      <c r="N319">
        <v>7</v>
      </c>
      <c r="O319" t="s">
        <v>4009</v>
      </c>
      <c r="P319" t="s">
        <v>4008</v>
      </c>
      <c r="Q319" t="s">
        <v>4007</v>
      </c>
      <c r="R319" s="7">
        <v>31048</v>
      </c>
      <c r="S319" s="8">
        <f t="shared" si="40"/>
        <v>1985</v>
      </c>
      <c r="T319" s="8">
        <v>1985</v>
      </c>
      <c r="U319" s="8">
        <f t="shared" si="41"/>
        <v>37</v>
      </c>
      <c r="V319" s="7">
        <v>31321</v>
      </c>
      <c r="W319" t="s">
        <v>4006</v>
      </c>
      <c r="X319" s="2" t="s">
        <v>19</v>
      </c>
      <c r="Y319" s="6" t="e">
        <f t="shared" si="38"/>
        <v>#VALUE!</v>
      </c>
      <c r="AA319">
        <v>2614189</v>
      </c>
      <c r="AB319">
        <v>17435</v>
      </c>
      <c r="AD319" t="s">
        <v>4</v>
      </c>
      <c r="AE319">
        <v>4</v>
      </c>
      <c r="AF319">
        <v>10</v>
      </c>
      <c r="AH319" t="s">
        <v>4005</v>
      </c>
      <c r="AI319" t="s">
        <v>4004</v>
      </c>
      <c r="AK319" t="s">
        <v>4003</v>
      </c>
      <c r="AL319">
        <v>67</v>
      </c>
      <c r="AM319" s="5">
        <f t="shared" si="42"/>
        <v>1.8108108108108107</v>
      </c>
      <c r="AN319" s="4">
        <f t="shared" si="39"/>
        <v>2.7426138747607886E-3</v>
      </c>
      <c r="AO319" s="3"/>
      <c r="AP319">
        <v>0</v>
      </c>
      <c r="AR319" t="s">
        <v>0</v>
      </c>
      <c r="AT319" s="2" t="s">
        <v>19</v>
      </c>
      <c r="AU319" s="1" t="e">
        <f t="shared" si="43"/>
        <v>#VALUE!</v>
      </c>
      <c r="AV319" s="1" t="e">
        <f t="shared" si="44"/>
        <v>#VALUE!</v>
      </c>
      <c r="AW319" s="1" t="e">
        <f t="shared" si="45"/>
        <v>#VALUE!</v>
      </c>
    </row>
    <row r="320" spans="1:49" x14ac:dyDescent="0.2">
      <c r="A320">
        <v>318</v>
      </c>
      <c r="B320" t="s">
        <v>4002</v>
      </c>
      <c r="C320" t="s">
        <v>4001</v>
      </c>
      <c r="F320" t="s">
        <v>4000</v>
      </c>
      <c r="G320" t="s">
        <v>15</v>
      </c>
      <c r="H320" t="s">
        <v>14</v>
      </c>
      <c r="I320" t="s">
        <v>3999</v>
      </c>
      <c r="J320" t="s">
        <v>3998</v>
      </c>
      <c r="K320" t="s">
        <v>3997</v>
      </c>
      <c r="L320" t="s">
        <v>3996</v>
      </c>
      <c r="M320" t="s">
        <v>3995</v>
      </c>
      <c r="N320">
        <v>1</v>
      </c>
      <c r="O320" t="s">
        <v>3994</v>
      </c>
      <c r="P320">
        <v>6603704472</v>
      </c>
      <c r="Q320" t="s">
        <v>3993</v>
      </c>
      <c r="R320" s="7">
        <v>31048</v>
      </c>
      <c r="S320" s="8">
        <f t="shared" si="40"/>
        <v>1985</v>
      </c>
      <c r="T320" s="8">
        <v>1985</v>
      </c>
      <c r="U320" s="8">
        <f t="shared" si="41"/>
        <v>37</v>
      </c>
      <c r="V320" s="7">
        <v>31321</v>
      </c>
      <c r="W320" t="s">
        <v>3992</v>
      </c>
      <c r="X320" s="2">
        <v>0.77200000000000002</v>
      </c>
      <c r="Y320" s="6">
        <f t="shared" si="38"/>
        <v>2.0608099089719976E-2</v>
      </c>
      <c r="AA320">
        <v>223778</v>
      </c>
      <c r="AB320">
        <v>28572</v>
      </c>
      <c r="AC320">
        <v>14697807</v>
      </c>
      <c r="AD320" t="s">
        <v>4</v>
      </c>
      <c r="AE320">
        <v>34</v>
      </c>
      <c r="AF320">
        <v>2</v>
      </c>
      <c r="AH320" t="s">
        <v>3991</v>
      </c>
      <c r="AI320" t="s">
        <v>3990</v>
      </c>
      <c r="AK320" t="s">
        <v>3989</v>
      </c>
      <c r="AL320">
        <v>11</v>
      </c>
      <c r="AM320" s="5">
        <f t="shared" si="42"/>
        <v>0.29729729729729731</v>
      </c>
      <c r="AN320" s="4">
        <f t="shared" si="39"/>
        <v>4.5027988988609969E-4</v>
      </c>
      <c r="AO320" s="3"/>
      <c r="AP320">
        <v>0</v>
      </c>
      <c r="AR320" t="s">
        <v>0</v>
      </c>
      <c r="AT320" s="2">
        <v>2.0139999999999998</v>
      </c>
      <c r="AU320" s="1">
        <f t="shared" si="43"/>
        <v>1.4560753329769811</v>
      </c>
      <c r="AV320" s="1">
        <f t="shared" si="44"/>
        <v>1.0529189489803037</v>
      </c>
      <c r="AW320" s="1">
        <f t="shared" si="45"/>
        <v>0.64976256498362617</v>
      </c>
    </row>
    <row r="321" spans="1:49" x14ac:dyDescent="0.2">
      <c r="A321">
        <v>319</v>
      </c>
      <c r="B321" t="s">
        <v>3988</v>
      </c>
      <c r="C321" t="s">
        <v>3987</v>
      </c>
      <c r="F321" t="s">
        <v>3986</v>
      </c>
      <c r="G321" t="s">
        <v>15</v>
      </c>
      <c r="H321" t="s">
        <v>14</v>
      </c>
      <c r="I321" t="s">
        <v>1979</v>
      </c>
      <c r="J321" t="s">
        <v>3985</v>
      </c>
      <c r="K321" t="s">
        <v>3984</v>
      </c>
      <c r="L321" t="s">
        <v>1670</v>
      </c>
      <c r="M321" t="s">
        <v>148</v>
      </c>
      <c r="N321">
        <v>3</v>
      </c>
      <c r="O321" t="s">
        <v>3983</v>
      </c>
      <c r="P321" t="s">
        <v>3982</v>
      </c>
      <c r="Q321" t="s">
        <v>3981</v>
      </c>
      <c r="R321" s="7">
        <v>31048</v>
      </c>
      <c r="S321" s="8">
        <f t="shared" si="40"/>
        <v>1985</v>
      </c>
      <c r="T321" s="8">
        <v>1985</v>
      </c>
      <c r="U321" s="8">
        <f t="shared" si="41"/>
        <v>37</v>
      </c>
      <c r="V321" s="7">
        <v>31321</v>
      </c>
      <c r="W321" t="s">
        <v>24</v>
      </c>
      <c r="X321" s="2">
        <v>1.6519999999999999</v>
      </c>
      <c r="Y321" s="6">
        <f t="shared" si="38"/>
        <v>4.409919649769093E-2</v>
      </c>
      <c r="AA321" t="s">
        <v>23</v>
      </c>
      <c r="AB321">
        <v>17337</v>
      </c>
      <c r="AC321">
        <v>15582221</v>
      </c>
      <c r="AD321" t="s">
        <v>4</v>
      </c>
      <c r="AE321">
        <v>33</v>
      </c>
      <c r="AF321">
        <v>10</v>
      </c>
      <c r="AH321" t="s">
        <v>3980</v>
      </c>
      <c r="AI321" t="s">
        <v>3979</v>
      </c>
      <c r="AK321" t="s">
        <v>3978</v>
      </c>
      <c r="AL321">
        <v>7</v>
      </c>
      <c r="AM321" s="5">
        <f t="shared" si="42"/>
        <v>0.1891891891891892</v>
      </c>
      <c r="AN321" s="4">
        <f t="shared" si="39"/>
        <v>2.8654174810933616E-4</v>
      </c>
      <c r="AO321" s="3"/>
      <c r="AP321">
        <v>0</v>
      </c>
      <c r="AR321" t="s">
        <v>0</v>
      </c>
      <c r="AT321" s="2" t="s">
        <v>19</v>
      </c>
      <c r="AU321" s="1">
        <f t="shared" si="43"/>
        <v>3.0955400072816452</v>
      </c>
      <c r="AV321" s="1">
        <f t="shared" si="44"/>
        <v>2.2192869122900132</v>
      </c>
      <c r="AW321" s="1">
        <f t="shared" si="45"/>
        <v>1.3430338172983813</v>
      </c>
    </row>
    <row r="322" spans="1:49" x14ac:dyDescent="0.2">
      <c r="A322">
        <v>320</v>
      </c>
      <c r="B322" t="s">
        <v>3977</v>
      </c>
      <c r="C322" t="s">
        <v>3976</v>
      </c>
      <c r="F322" t="s">
        <v>3975</v>
      </c>
      <c r="G322" t="s">
        <v>15</v>
      </c>
      <c r="H322" t="s">
        <v>14</v>
      </c>
      <c r="I322" t="s">
        <v>481</v>
      </c>
      <c r="J322">
        <v>60014313</v>
      </c>
      <c r="K322" t="s">
        <v>480</v>
      </c>
      <c r="L322" t="s">
        <v>479</v>
      </c>
      <c r="M322" t="s">
        <v>122</v>
      </c>
      <c r="N322">
        <v>1</v>
      </c>
      <c r="O322" t="s">
        <v>2390</v>
      </c>
      <c r="P322">
        <v>7006061921</v>
      </c>
      <c r="Q322">
        <v>60014313</v>
      </c>
      <c r="R322" s="7">
        <v>31048</v>
      </c>
      <c r="S322" s="8">
        <f t="shared" si="40"/>
        <v>1985</v>
      </c>
      <c r="T322" s="8">
        <v>1985</v>
      </c>
      <c r="U322" s="8">
        <f t="shared" si="41"/>
        <v>37</v>
      </c>
      <c r="V322" s="7">
        <v>31321</v>
      </c>
      <c r="W322" t="s">
        <v>24</v>
      </c>
      <c r="X322" s="2">
        <v>1.6519999999999999</v>
      </c>
      <c r="Y322" s="6">
        <f t="shared" ref="Y322:Y385" si="46">(X322-$Z$4)/($Z$3-$Z$4)</f>
        <v>4.409919649769093E-2</v>
      </c>
      <c r="AA322" t="s">
        <v>23</v>
      </c>
      <c r="AB322">
        <v>17337</v>
      </c>
      <c r="AC322">
        <v>15582221</v>
      </c>
      <c r="AD322" t="s">
        <v>4</v>
      </c>
      <c r="AE322">
        <v>33</v>
      </c>
      <c r="AF322">
        <v>10</v>
      </c>
      <c r="AH322" t="s">
        <v>3974</v>
      </c>
      <c r="AI322" t="s">
        <v>3973</v>
      </c>
      <c r="AK322" t="s">
        <v>3972</v>
      </c>
      <c r="AL322">
        <v>91</v>
      </c>
      <c r="AM322" s="5">
        <f t="shared" si="42"/>
        <v>2.4594594594594597</v>
      </c>
      <c r="AN322" s="4">
        <f t="shared" ref="AN322:AN385" si="47">(AM322-$AO$4)/($AO$3-$AO$4)</f>
        <v>3.7250427254213701E-3</v>
      </c>
      <c r="AO322" s="3"/>
      <c r="AP322">
        <v>0</v>
      </c>
      <c r="AR322" t="s">
        <v>0</v>
      </c>
      <c r="AT322" s="2" t="s">
        <v>19</v>
      </c>
      <c r="AU322" s="1">
        <f t="shared" si="43"/>
        <v>3.1986950366010061</v>
      </c>
      <c r="AV322" s="1">
        <f t="shared" si="44"/>
        <v>2.3912119611556149</v>
      </c>
      <c r="AW322" s="1">
        <f t="shared" si="45"/>
        <v>1.5837288857102239</v>
      </c>
    </row>
    <row r="323" spans="1:49" x14ac:dyDescent="0.2">
      <c r="A323">
        <v>321</v>
      </c>
      <c r="B323" t="s">
        <v>3971</v>
      </c>
      <c r="C323" t="s">
        <v>3970</v>
      </c>
      <c r="F323" t="s">
        <v>3969</v>
      </c>
      <c r="G323" t="s">
        <v>15</v>
      </c>
      <c r="H323" t="s">
        <v>14</v>
      </c>
      <c r="I323" t="s">
        <v>3968</v>
      </c>
      <c r="J323">
        <v>60011273</v>
      </c>
      <c r="K323" t="s">
        <v>1872</v>
      </c>
      <c r="L323" t="s">
        <v>1871</v>
      </c>
      <c r="M323" t="s">
        <v>122</v>
      </c>
      <c r="N323">
        <v>1</v>
      </c>
      <c r="O323" t="s">
        <v>3967</v>
      </c>
      <c r="P323">
        <v>6603482363</v>
      </c>
      <c r="Q323">
        <v>60011273</v>
      </c>
      <c r="R323" s="7">
        <v>31048</v>
      </c>
      <c r="S323" s="8">
        <f t="shared" si="40"/>
        <v>1985</v>
      </c>
      <c r="T323" s="8">
        <v>1985</v>
      </c>
      <c r="U323" s="8">
        <f t="shared" si="41"/>
        <v>37</v>
      </c>
      <c r="V323" s="7">
        <v>31321</v>
      </c>
      <c r="W323" t="s">
        <v>3361</v>
      </c>
      <c r="X323" s="2">
        <v>0.46</v>
      </c>
      <c r="Y323" s="6">
        <f t="shared" si="46"/>
        <v>1.2279437281439364E-2</v>
      </c>
      <c r="AA323">
        <v>933813</v>
      </c>
      <c r="AB323">
        <v>28031</v>
      </c>
      <c r="AC323">
        <v>19399375</v>
      </c>
      <c r="AD323" t="s">
        <v>4</v>
      </c>
      <c r="AE323">
        <v>13</v>
      </c>
      <c r="AF323">
        <v>5</v>
      </c>
      <c r="AH323" t="s">
        <v>3966</v>
      </c>
      <c r="AI323" t="s">
        <v>3965</v>
      </c>
      <c r="AK323" t="s">
        <v>3964</v>
      </c>
      <c r="AL323">
        <v>0</v>
      </c>
      <c r="AM323" s="5">
        <f t="shared" si="42"/>
        <v>0</v>
      </c>
      <c r="AN323" s="4">
        <f t="shared" si="47"/>
        <v>0</v>
      </c>
      <c r="AO323" s="3"/>
      <c r="AP323">
        <v>0</v>
      </c>
      <c r="AR323" t="s">
        <v>0</v>
      </c>
      <c r="AT323" s="2">
        <v>1.222</v>
      </c>
      <c r="AU323" s="1">
        <f t="shared" si="43"/>
        <v>0.85956060970075532</v>
      </c>
      <c r="AV323" s="1">
        <f t="shared" si="44"/>
        <v>0.61397186407196824</v>
      </c>
      <c r="AW323" s="1">
        <f t="shared" si="45"/>
        <v>0.36838311844318089</v>
      </c>
    </row>
    <row r="324" spans="1:49" x14ac:dyDescent="0.2">
      <c r="A324">
        <v>322</v>
      </c>
      <c r="B324" t="s">
        <v>3963</v>
      </c>
      <c r="C324" t="s">
        <v>3962</v>
      </c>
      <c r="F324" t="s">
        <v>3961</v>
      </c>
      <c r="G324" t="s">
        <v>15</v>
      </c>
      <c r="H324" t="s">
        <v>14</v>
      </c>
      <c r="I324" t="s">
        <v>3960</v>
      </c>
      <c r="J324">
        <v>60026175</v>
      </c>
      <c r="K324" t="s">
        <v>3959</v>
      </c>
      <c r="L324" t="s">
        <v>3958</v>
      </c>
      <c r="M324" t="s">
        <v>122</v>
      </c>
      <c r="N324">
        <v>2</v>
      </c>
      <c r="O324" t="s">
        <v>3957</v>
      </c>
      <c r="P324" t="s">
        <v>3956</v>
      </c>
      <c r="Q324" t="s">
        <v>3955</v>
      </c>
      <c r="R324" s="7">
        <v>31048</v>
      </c>
      <c r="S324" s="8">
        <f t="shared" si="40"/>
        <v>1985</v>
      </c>
      <c r="T324" s="8">
        <v>1985</v>
      </c>
      <c r="U324" s="8">
        <f t="shared" si="41"/>
        <v>37</v>
      </c>
      <c r="V324" s="7" t="s">
        <v>3954</v>
      </c>
      <c r="W324" t="s">
        <v>3953</v>
      </c>
      <c r="X324" s="2">
        <v>0.22600000000000001</v>
      </c>
      <c r="Y324" s="6">
        <f t="shared" si="46"/>
        <v>6.0329409252289053E-3</v>
      </c>
      <c r="AA324">
        <v>2786648</v>
      </c>
      <c r="AB324">
        <v>17299</v>
      </c>
      <c r="AD324" t="s">
        <v>4</v>
      </c>
      <c r="AE324">
        <v>4</v>
      </c>
      <c r="AF324">
        <v>3</v>
      </c>
      <c r="AH324" s="9">
        <v>44540</v>
      </c>
      <c r="AI324" t="s">
        <v>3952</v>
      </c>
      <c r="AK324" t="s">
        <v>3951</v>
      </c>
      <c r="AL324">
        <v>0</v>
      </c>
      <c r="AM324" s="5">
        <f t="shared" si="42"/>
        <v>0</v>
      </c>
      <c r="AN324" s="4">
        <f t="shared" si="47"/>
        <v>0</v>
      </c>
      <c r="AO324" s="3"/>
      <c r="AP324">
        <v>0</v>
      </c>
      <c r="AR324" t="s">
        <v>0</v>
      </c>
      <c r="AT324" s="2" t="s">
        <v>19</v>
      </c>
      <c r="AU324" s="1">
        <f t="shared" si="43"/>
        <v>0.42230586476602339</v>
      </c>
      <c r="AV324" s="1">
        <f t="shared" si="44"/>
        <v>0.30164704626144528</v>
      </c>
      <c r="AW324" s="1">
        <f t="shared" si="45"/>
        <v>0.18098822775686715</v>
      </c>
    </row>
    <row r="325" spans="1:49" x14ac:dyDescent="0.2">
      <c r="A325">
        <v>323</v>
      </c>
      <c r="B325" t="s">
        <v>3950</v>
      </c>
      <c r="C325" t="s">
        <v>3949</v>
      </c>
      <c r="F325" t="s">
        <v>3948</v>
      </c>
      <c r="G325" t="s">
        <v>15</v>
      </c>
      <c r="H325" t="s">
        <v>14</v>
      </c>
      <c r="I325" t="s">
        <v>2166</v>
      </c>
      <c r="J325">
        <v>60022195</v>
      </c>
      <c r="K325" t="s">
        <v>1852</v>
      </c>
      <c r="L325" t="s">
        <v>358</v>
      </c>
      <c r="M325" t="s">
        <v>122</v>
      </c>
      <c r="N325">
        <v>1</v>
      </c>
      <c r="O325" t="s">
        <v>2165</v>
      </c>
      <c r="P325">
        <v>7005553277</v>
      </c>
      <c r="Q325">
        <v>60022195</v>
      </c>
      <c r="R325" s="7">
        <v>31048</v>
      </c>
      <c r="S325" s="8">
        <f t="shared" si="40"/>
        <v>1985</v>
      </c>
      <c r="T325" s="8">
        <v>1985</v>
      </c>
      <c r="U325" s="8">
        <f t="shared" si="41"/>
        <v>37</v>
      </c>
      <c r="V325" s="7">
        <v>31321</v>
      </c>
      <c r="W325" t="s">
        <v>24</v>
      </c>
      <c r="X325" s="2">
        <v>1.6519999999999999</v>
      </c>
      <c r="Y325" s="6">
        <f t="shared" si="46"/>
        <v>4.409919649769093E-2</v>
      </c>
      <c r="AA325" t="s">
        <v>23</v>
      </c>
      <c r="AB325">
        <v>17337</v>
      </c>
      <c r="AC325">
        <v>15582221</v>
      </c>
      <c r="AD325" t="s">
        <v>4</v>
      </c>
      <c r="AE325">
        <v>33</v>
      </c>
      <c r="AF325">
        <v>10</v>
      </c>
      <c r="AH325" t="s">
        <v>3947</v>
      </c>
      <c r="AI325" t="s">
        <v>3946</v>
      </c>
      <c r="AK325" t="s">
        <v>3945</v>
      </c>
      <c r="AL325">
        <v>13</v>
      </c>
      <c r="AM325" s="5">
        <f t="shared" si="42"/>
        <v>0.35135135135135137</v>
      </c>
      <c r="AN325" s="4">
        <f t="shared" si="47"/>
        <v>5.3214896077448143E-4</v>
      </c>
      <c r="AO325" s="3"/>
      <c r="AP325">
        <v>0</v>
      </c>
      <c r="AR325" t="s">
        <v>0</v>
      </c>
      <c r="AT325" s="2" t="s">
        <v>19</v>
      </c>
      <c r="AU325" s="1">
        <f t="shared" si="43"/>
        <v>3.1029082236615992</v>
      </c>
      <c r="AV325" s="1">
        <f t="shared" si="44"/>
        <v>2.2315672729232707</v>
      </c>
      <c r="AW325" s="1">
        <f t="shared" si="45"/>
        <v>1.3602263221849415</v>
      </c>
    </row>
    <row r="326" spans="1:49" x14ac:dyDescent="0.2">
      <c r="A326">
        <v>324</v>
      </c>
      <c r="B326" t="s">
        <v>3944</v>
      </c>
      <c r="C326" t="s">
        <v>3943</v>
      </c>
      <c r="F326" t="s">
        <v>3942</v>
      </c>
      <c r="G326" t="s">
        <v>15</v>
      </c>
      <c r="H326" t="s">
        <v>14</v>
      </c>
      <c r="I326" t="s">
        <v>3941</v>
      </c>
      <c r="J326" t="s">
        <v>3936</v>
      </c>
      <c r="K326" t="s">
        <v>3940</v>
      </c>
      <c r="L326" t="s">
        <v>3939</v>
      </c>
      <c r="M326" t="s">
        <v>1056</v>
      </c>
      <c r="N326">
        <v>3</v>
      </c>
      <c r="O326" t="s">
        <v>3938</v>
      </c>
      <c r="P326" t="s">
        <v>3937</v>
      </c>
      <c r="Q326" t="s">
        <v>3936</v>
      </c>
      <c r="R326" s="7">
        <v>31048</v>
      </c>
      <c r="S326" s="8">
        <f t="shared" ref="S326:S389" si="48">YEAR(R326)</f>
        <v>1985</v>
      </c>
      <c r="T326" s="8">
        <v>1985</v>
      </c>
      <c r="U326" s="8">
        <f t="shared" ref="U326:U389" si="49">2022-T326</f>
        <v>37</v>
      </c>
      <c r="V326" s="7">
        <v>31321</v>
      </c>
      <c r="W326" t="s">
        <v>24</v>
      </c>
      <c r="X326" s="2">
        <v>1.6519999999999999</v>
      </c>
      <c r="Y326" s="6">
        <f t="shared" si="46"/>
        <v>4.409919649769093E-2</v>
      </c>
      <c r="AA326" t="s">
        <v>23</v>
      </c>
      <c r="AB326">
        <v>17337</v>
      </c>
      <c r="AC326">
        <v>15582221</v>
      </c>
      <c r="AD326" t="s">
        <v>4</v>
      </c>
      <c r="AE326">
        <v>33</v>
      </c>
      <c r="AF326">
        <v>10</v>
      </c>
      <c r="AH326" t="s">
        <v>3935</v>
      </c>
      <c r="AI326" t="s">
        <v>3934</v>
      </c>
      <c r="AK326" t="s">
        <v>3933</v>
      </c>
      <c r="AL326">
        <v>2</v>
      </c>
      <c r="AM326" s="5">
        <f t="shared" ref="AM326:AM389" si="50">AL326/U326</f>
        <v>5.4054054054054057E-2</v>
      </c>
      <c r="AN326" s="4">
        <f t="shared" si="47"/>
        <v>8.1869070888381765E-5</v>
      </c>
      <c r="AO326" s="3"/>
      <c r="AP326">
        <v>0</v>
      </c>
      <c r="AR326" t="s">
        <v>0</v>
      </c>
      <c r="AT326" s="2" t="s">
        <v>19</v>
      </c>
      <c r="AU326" s="1">
        <f t="shared" ref="AU326:AU389" si="51">(Y326*0.7+AN326*0.3)*100</f>
        <v>3.0893998269650167</v>
      </c>
      <c r="AV326" s="1">
        <f t="shared" ref="AV326:AV389" si="52">(Y326*0.5+AN326*0.5)*100</f>
        <v>2.2090532784289656</v>
      </c>
      <c r="AW326" s="1">
        <f t="shared" ref="AW326:AW389" si="53">(Y326*0.3+AN326*0.7)*100</f>
        <v>1.3287067298929145</v>
      </c>
    </row>
    <row r="327" spans="1:49" x14ac:dyDescent="0.2">
      <c r="A327">
        <v>325</v>
      </c>
      <c r="B327" t="s">
        <v>3932</v>
      </c>
      <c r="C327" t="s">
        <v>3931</v>
      </c>
      <c r="F327" t="s">
        <v>3930</v>
      </c>
      <c r="G327" t="s">
        <v>15</v>
      </c>
      <c r="H327" t="s">
        <v>14</v>
      </c>
      <c r="I327" t="s">
        <v>3929</v>
      </c>
      <c r="J327">
        <v>60092996</v>
      </c>
      <c r="K327" t="s">
        <v>3928</v>
      </c>
      <c r="L327" t="s">
        <v>3927</v>
      </c>
      <c r="M327" t="s">
        <v>122</v>
      </c>
      <c r="N327">
        <v>1</v>
      </c>
      <c r="O327" t="s">
        <v>3926</v>
      </c>
      <c r="P327">
        <v>6701534994</v>
      </c>
      <c r="Q327">
        <v>60092996</v>
      </c>
      <c r="R327" s="7">
        <v>31048</v>
      </c>
      <c r="S327" s="8">
        <f t="shared" si="48"/>
        <v>1985</v>
      </c>
      <c r="T327" s="8">
        <v>1985</v>
      </c>
      <c r="U327" s="8">
        <f t="shared" si="49"/>
        <v>37</v>
      </c>
      <c r="V327" s="7">
        <v>31321</v>
      </c>
      <c r="W327" t="s">
        <v>24</v>
      </c>
      <c r="X327" s="2">
        <v>1.6519999999999999</v>
      </c>
      <c r="Y327" s="6">
        <f t="shared" si="46"/>
        <v>4.409919649769093E-2</v>
      </c>
      <c r="AA327" t="s">
        <v>23</v>
      </c>
      <c r="AB327">
        <v>17337</v>
      </c>
      <c r="AC327">
        <v>15582221</v>
      </c>
      <c r="AD327" t="s">
        <v>4</v>
      </c>
      <c r="AE327">
        <v>33</v>
      </c>
      <c r="AF327">
        <v>10</v>
      </c>
      <c r="AH327" t="s">
        <v>3925</v>
      </c>
      <c r="AI327" t="s">
        <v>3924</v>
      </c>
      <c r="AK327" t="s">
        <v>3923</v>
      </c>
      <c r="AL327">
        <v>17</v>
      </c>
      <c r="AM327" s="5">
        <f t="shared" si="50"/>
        <v>0.45945945945945948</v>
      </c>
      <c r="AN327" s="4">
        <f t="shared" si="47"/>
        <v>6.9588710255124491E-4</v>
      </c>
      <c r="AO327" s="3"/>
      <c r="AP327">
        <v>0</v>
      </c>
      <c r="AR327" t="s">
        <v>0</v>
      </c>
      <c r="AT327" s="2" t="s">
        <v>19</v>
      </c>
      <c r="AU327" s="1">
        <f t="shared" si="51"/>
        <v>3.1078203679149023</v>
      </c>
      <c r="AV327" s="1">
        <f t="shared" si="52"/>
        <v>2.2397541800121088</v>
      </c>
      <c r="AW327" s="1">
        <f t="shared" si="53"/>
        <v>1.371687992109315</v>
      </c>
    </row>
    <row r="328" spans="1:49" x14ac:dyDescent="0.2">
      <c r="A328">
        <v>326</v>
      </c>
      <c r="B328" t="s">
        <v>3922</v>
      </c>
      <c r="C328" t="s">
        <v>3921</v>
      </c>
      <c r="F328" t="s">
        <v>3920</v>
      </c>
      <c r="G328" t="s">
        <v>15</v>
      </c>
      <c r="H328" t="s">
        <v>14</v>
      </c>
      <c r="I328" t="s">
        <v>3919</v>
      </c>
      <c r="J328">
        <v>60029470</v>
      </c>
      <c r="K328" t="s">
        <v>3918</v>
      </c>
      <c r="L328" t="s">
        <v>1645</v>
      </c>
      <c r="M328" t="s">
        <v>43</v>
      </c>
      <c r="N328">
        <v>1</v>
      </c>
      <c r="O328" t="s">
        <v>3917</v>
      </c>
      <c r="P328">
        <v>7202832083</v>
      </c>
      <c r="Q328">
        <v>60029470</v>
      </c>
      <c r="R328" s="7">
        <v>31048</v>
      </c>
      <c r="S328" s="8">
        <f t="shared" si="48"/>
        <v>1985</v>
      </c>
      <c r="T328" s="8">
        <v>1985</v>
      </c>
      <c r="U328" s="8">
        <f t="shared" si="49"/>
        <v>37</v>
      </c>
      <c r="V328" s="7">
        <v>31321</v>
      </c>
      <c r="W328" t="s">
        <v>24</v>
      </c>
      <c r="X328" s="2">
        <v>1.6519999999999999</v>
      </c>
      <c r="Y328" s="6">
        <f t="shared" si="46"/>
        <v>4.409919649769093E-2</v>
      </c>
      <c r="AA328" t="s">
        <v>23</v>
      </c>
      <c r="AB328">
        <v>17337</v>
      </c>
      <c r="AC328">
        <v>15582221</v>
      </c>
      <c r="AD328" t="s">
        <v>4</v>
      </c>
      <c r="AE328">
        <v>33</v>
      </c>
      <c r="AF328">
        <v>10</v>
      </c>
      <c r="AH328" t="s">
        <v>3916</v>
      </c>
      <c r="AI328" t="s">
        <v>3915</v>
      </c>
      <c r="AK328" t="s">
        <v>3914</v>
      </c>
      <c r="AL328">
        <v>24</v>
      </c>
      <c r="AM328" s="5">
        <f t="shared" si="50"/>
        <v>0.64864864864864868</v>
      </c>
      <c r="AN328" s="4">
        <f t="shared" si="47"/>
        <v>9.8242885066058107E-4</v>
      </c>
      <c r="AO328" s="3"/>
      <c r="AP328">
        <v>0</v>
      </c>
      <c r="AR328" t="s">
        <v>0</v>
      </c>
      <c r="AT328" s="2" t="s">
        <v>19</v>
      </c>
      <c r="AU328" s="1">
        <f t="shared" si="51"/>
        <v>3.1164166203581827</v>
      </c>
      <c r="AV328" s="1">
        <f t="shared" si="52"/>
        <v>2.2540812674175759</v>
      </c>
      <c r="AW328" s="1">
        <f t="shared" si="53"/>
        <v>1.3917459144769684</v>
      </c>
    </row>
    <row r="329" spans="1:49" x14ac:dyDescent="0.2">
      <c r="A329">
        <v>327</v>
      </c>
      <c r="B329" t="s">
        <v>3913</v>
      </c>
      <c r="C329" t="s">
        <v>3912</v>
      </c>
      <c r="F329" t="s">
        <v>3911</v>
      </c>
      <c r="G329" t="s">
        <v>15</v>
      </c>
      <c r="H329" t="s">
        <v>14</v>
      </c>
      <c r="I329" t="s">
        <v>2166</v>
      </c>
      <c r="J329">
        <v>60022195</v>
      </c>
      <c r="K329" t="s">
        <v>1852</v>
      </c>
      <c r="L329" t="s">
        <v>358</v>
      </c>
      <c r="M329" t="s">
        <v>122</v>
      </c>
      <c r="N329">
        <v>1</v>
      </c>
      <c r="O329" t="s">
        <v>2165</v>
      </c>
      <c r="P329">
        <v>7005553277</v>
      </c>
      <c r="Q329">
        <v>60022195</v>
      </c>
      <c r="R329" s="7">
        <v>31048</v>
      </c>
      <c r="S329" s="8">
        <f t="shared" si="48"/>
        <v>1985</v>
      </c>
      <c r="T329" s="8">
        <v>1985</v>
      </c>
      <c r="U329" s="8">
        <f t="shared" si="49"/>
        <v>37</v>
      </c>
      <c r="V329" s="7">
        <v>31321</v>
      </c>
      <c r="W329" t="s">
        <v>24</v>
      </c>
      <c r="X329" s="2">
        <v>1.6519999999999999</v>
      </c>
      <c r="Y329" s="6">
        <f t="shared" si="46"/>
        <v>4.409919649769093E-2</v>
      </c>
      <c r="AA329" t="s">
        <v>23</v>
      </c>
      <c r="AB329">
        <v>17337</v>
      </c>
      <c r="AC329">
        <v>15582221</v>
      </c>
      <c r="AD329" t="s">
        <v>4</v>
      </c>
      <c r="AE329">
        <v>33</v>
      </c>
      <c r="AF329">
        <v>10</v>
      </c>
      <c r="AH329" t="s">
        <v>3910</v>
      </c>
      <c r="AI329" t="s">
        <v>3909</v>
      </c>
      <c r="AK329" t="s">
        <v>3908</v>
      </c>
      <c r="AL329">
        <v>7</v>
      </c>
      <c r="AM329" s="5">
        <f t="shared" si="50"/>
        <v>0.1891891891891892</v>
      </c>
      <c r="AN329" s="4">
        <f t="shared" si="47"/>
        <v>2.8654174810933616E-4</v>
      </c>
      <c r="AO329" s="3"/>
      <c r="AP329">
        <v>0</v>
      </c>
      <c r="AR329" t="s">
        <v>0</v>
      </c>
      <c r="AT329" s="2" t="s">
        <v>19</v>
      </c>
      <c r="AU329" s="1">
        <f t="shared" si="51"/>
        <v>3.0955400072816452</v>
      </c>
      <c r="AV329" s="1">
        <f t="shared" si="52"/>
        <v>2.2192869122900132</v>
      </c>
      <c r="AW329" s="1">
        <f t="shared" si="53"/>
        <v>1.3430338172983813</v>
      </c>
    </row>
    <row r="330" spans="1:49" x14ac:dyDescent="0.2">
      <c r="A330">
        <v>328</v>
      </c>
      <c r="B330" t="s">
        <v>3907</v>
      </c>
      <c r="C330" t="s">
        <v>3906</v>
      </c>
      <c r="F330" t="s">
        <v>3905</v>
      </c>
      <c r="G330" t="s">
        <v>15</v>
      </c>
      <c r="H330" t="s">
        <v>14</v>
      </c>
      <c r="I330" t="s">
        <v>3904</v>
      </c>
      <c r="J330" t="s">
        <v>3903</v>
      </c>
      <c r="K330" t="s">
        <v>3902</v>
      </c>
      <c r="L330" t="s">
        <v>3901</v>
      </c>
      <c r="M330" t="s">
        <v>3900</v>
      </c>
      <c r="N330">
        <v>4</v>
      </c>
      <c r="O330" t="s">
        <v>3899</v>
      </c>
      <c r="P330" t="s">
        <v>3898</v>
      </c>
      <c r="Q330" t="s">
        <v>3897</v>
      </c>
      <c r="R330" s="7">
        <v>31048</v>
      </c>
      <c r="S330" s="8">
        <f t="shared" si="48"/>
        <v>1985</v>
      </c>
      <c r="T330" s="8">
        <v>1985</v>
      </c>
      <c r="U330" s="8">
        <f t="shared" si="49"/>
        <v>37</v>
      </c>
      <c r="V330" s="7">
        <v>31321</v>
      </c>
      <c r="W330" t="s">
        <v>3745</v>
      </c>
      <c r="X330" s="2">
        <v>2.383</v>
      </c>
      <c r="Y330" s="6">
        <f t="shared" si="46"/>
        <v>6.3612824003630442E-2</v>
      </c>
      <c r="AA330">
        <v>189219</v>
      </c>
      <c r="AB330">
        <v>17915</v>
      </c>
      <c r="AC330">
        <v>15582256</v>
      </c>
      <c r="AD330" t="s">
        <v>4</v>
      </c>
      <c r="AE330">
        <v>73</v>
      </c>
      <c r="AF330">
        <v>10</v>
      </c>
      <c r="AH330" t="s">
        <v>3896</v>
      </c>
      <c r="AI330" t="s">
        <v>3895</v>
      </c>
      <c r="AK330" t="s">
        <v>3894</v>
      </c>
      <c r="AL330">
        <v>145</v>
      </c>
      <c r="AM330" s="5">
        <f t="shared" si="50"/>
        <v>3.9189189189189189</v>
      </c>
      <c r="AN330" s="4">
        <f t="shared" si="47"/>
        <v>5.9355076394076774E-3</v>
      </c>
      <c r="AO330" s="3"/>
      <c r="AP330">
        <v>0</v>
      </c>
      <c r="AR330" t="s">
        <v>0</v>
      </c>
      <c r="AT330" s="2">
        <v>10.961</v>
      </c>
      <c r="AU330" s="1">
        <f t="shared" si="51"/>
        <v>4.6309629094363611</v>
      </c>
      <c r="AV330" s="1">
        <f t="shared" si="52"/>
        <v>3.4774165821519056</v>
      </c>
      <c r="AW330" s="1">
        <f t="shared" si="53"/>
        <v>2.3238702548674506</v>
      </c>
    </row>
    <row r="331" spans="1:49" x14ac:dyDescent="0.2">
      <c r="A331">
        <v>329</v>
      </c>
      <c r="B331" t="s">
        <v>3893</v>
      </c>
      <c r="C331" t="s">
        <v>3892</v>
      </c>
      <c r="F331" t="s">
        <v>3891</v>
      </c>
      <c r="G331" t="s">
        <v>15</v>
      </c>
      <c r="H331" t="s">
        <v>14</v>
      </c>
      <c r="I331" t="s">
        <v>3890</v>
      </c>
      <c r="J331">
        <v>60018829</v>
      </c>
      <c r="K331" t="s">
        <v>1183</v>
      </c>
      <c r="L331" t="s">
        <v>1182</v>
      </c>
      <c r="M331" t="s">
        <v>530</v>
      </c>
      <c r="N331">
        <v>1</v>
      </c>
      <c r="O331" t="s">
        <v>3889</v>
      </c>
      <c r="P331">
        <v>7203023565</v>
      </c>
      <c r="Q331">
        <v>60018829</v>
      </c>
      <c r="R331" s="7">
        <v>31048</v>
      </c>
      <c r="S331" s="8">
        <f t="shared" si="48"/>
        <v>1985</v>
      </c>
      <c r="T331" s="8">
        <v>1985</v>
      </c>
      <c r="U331" s="8">
        <f t="shared" si="49"/>
        <v>37</v>
      </c>
      <c r="V331" s="7">
        <v>31321</v>
      </c>
      <c r="W331" t="s">
        <v>24</v>
      </c>
      <c r="X331" s="2">
        <v>1.6519999999999999</v>
      </c>
      <c r="Y331" s="6">
        <f t="shared" si="46"/>
        <v>4.409919649769093E-2</v>
      </c>
      <c r="AA331" t="s">
        <v>23</v>
      </c>
      <c r="AB331">
        <v>17337</v>
      </c>
      <c r="AC331">
        <v>15582221</v>
      </c>
      <c r="AD331" t="s">
        <v>4</v>
      </c>
      <c r="AE331">
        <v>33</v>
      </c>
      <c r="AF331">
        <v>10</v>
      </c>
      <c r="AH331" t="s">
        <v>3888</v>
      </c>
      <c r="AI331" t="s">
        <v>3887</v>
      </c>
      <c r="AK331" t="s">
        <v>3886</v>
      </c>
      <c r="AL331">
        <v>41</v>
      </c>
      <c r="AM331" s="5">
        <f t="shared" si="50"/>
        <v>1.1081081081081081</v>
      </c>
      <c r="AN331" s="4">
        <f t="shared" si="47"/>
        <v>1.678315953211826E-3</v>
      </c>
      <c r="AO331" s="3"/>
      <c r="AP331">
        <v>0</v>
      </c>
      <c r="AR331" t="s">
        <v>0</v>
      </c>
      <c r="AT331" s="2" t="s">
        <v>19</v>
      </c>
      <c r="AU331" s="1">
        <f t="shared" si="51"/>
        <v>3.1372932334347197</v>
      </c>
      <c r="AV331" s="1">
        <f t="shared" si="52"/>
        <v>2.2888756225451381</v>
      </c>
      <c r="AW331" s="1">
        <f t="shared" si="53"/>
        <v>1.4404580116555556</v>
      </c>
    </row>
    <row r="332" spans="1:49" x14ac:dyDescent="0.2">
      <c r="A332">
        <v>330</v>
      </c>
      <c r="B332" t="s">
        <v>3885</v>
      </c>
      <c r="C332" t="s">
        <v>3884</v>
      </c>
      <c r="F332" t="s">
        <v>3883</v>
      </c>
      <c r="G332" t="s">
        <v>15</v>
      </c>
      <c r="H332" t="s">
        <v>14</v>
      </c>
      <c r="I332" t="s">
        <v>2133</v>
      </c>
      <c r="J332">
        <v>60004750</v>
      </c>
      <c r="K332" t="s">
        <v>1957</v>
      </c>
      <c r="L332" t="s">
        <v>1956</v>
      </c>
      <c r="M332" t="s">
        <v>434</v>
      </c>
      <c r="N332">
        <v>2</v>
      </c>
      <c r="O332" t="s">
        <v>2132</v>
      </c>
      <c r="P332" t="s">
        <v>1954</v>
      </c>
      <c r="Q332" t="s">
        <v>3810</v>
      </c>
      <c r="R332" s="7">
        <v>31048</v>
      </c>
      <c r="S332" s="8">
        <f t="shared" si="48"/>
        <v>1985</v>
      </c>
      <c r="T332" s="8">
        <v>1985</v>
      </c>
      <c r="U332" s="8">
        <f t="shared" si="49"/>
        <v>37</v>
      </c>
      <c r="V332" s="7">
        <v>31321</v>
      </c>
      <c r="W332" t="s">
        <v>24</v>
      </c>
      <c r="X332" s="2">
        <v>1.6519999999999999</v>
      </c>
      <c r="Y332" s="6">
        <f t="shared" si="46"/>
        <v>4.409919649769093E-2</v>
      </c>
      <c r="AA332" t="s">
        <v>23</v>
      </c>
      <c r="AB332">
        <v>17337</v>
      </c>
      <c r="AC332">
        <v>15582221</v>
      </c>
      <c r="AD332" t="s">
        <v>4</v>
      </c>
      <c r="AE332">
        <v>33</v>
      </c>
      <c r="AF332">
        <v>10</v>
      </c>
      <c r="AH332" t="s">
        <v>3882</v>
      </c>
      <c r="AI332" t="s">
        <v>3881</v>
      </c>
      <c r="AK332" t="s">
        <v>3880</v>
      </c>
      <c r="AL332">
        <v>26</v>
      </c>
      <c r="AM332" s="5">
        <f t="shared" si="50"/>
        <v>0.70270270270270274</v>
      </c>
      <c r="AN332" s="4">
        <f t="shared" si="47"/>
        <v>1.0642979215489629E-3</v>
      </c>
      <c r="AO332" s="3"/>
      <c r="AP332">
        <v>0</v>
      </c>
      <c r="AR332" t="s">
        <v>0</v>
      </c>
      <c r="AT332" s="2" t="s">
        <v>19</v>
      </c>
      <c r="AU332" s="1">
        <f t="shared" si="51"/>
        <v>3.118872692484834</v>
      </c>
      <c r="AV332" s="1">
        <f t="shared" si="52"/>
        <v>2.2581747209619945</v>
      </c>
      <c r="AW332" s="1">
        <f t="shared" si="53"/>
        <v>1.3974767494391553</v>
      </c>
    </row>
    <row r="333" spans="1:49" x14ac:dyDescent="0.2">
      <c r="A333">
        <v>331</v>
      </c>
      <c r="B333" t="s">
        <v>3879</v>
      </c>
      <c r="C333" t="s">
        <v>3878</v>
      </c>
      <c r="F333" t="s">
        <v>3877</v>
      </c>
      <c r="G333" t="s">
        <v>15</v>
      </c>
      <c r="H333" t="s">
        <v>14</v>
      </c>
      <c r="I333" t="s">
        <v>2994</v>
      </c>
      <c r="J333">
        <v>60010571</v>
      </c>
      <c r="K333" t="s">
        <v>2993</v>
      </c>
      <c r="L333" t="s">
        <v>2992</v>
      </c>
      <c r="M333" t="s">
        <v>43</v>
      </c>
      <c r="N333">
        <v>2</v>
      </c>
      <c r="O333" t="s">
        <v>3876</v>
      </c>
      <c r="P333" t="s">
        <v>2990</v>
      </c>
      <c r="Q333" t="s">
        <v>2989</v>
      </c>
      <c r="R333" s="7">
        <v>31048</v>
      </c>
      <c r="S333" s="8">
        <f t="shared" si="48"/>
        <v>1985</v>
      </c>
      <c r="T333" s="8">
        <v>1985</v>
      </c>
      <c r="U333" s="8">
        <f t="shared" si="49"/>
        <v>37</v>
      </c>
      <c r="V333" s="7">
        <v>31321</v>
      </c>
      <c r="W333" t="s">
        <v>2761</v>
      </c>
      <c r="X333" s="2">
        <v>1.6379999999999999</v>
      </c>
      <c r="Y333" s="6">
        <f t="shared" si="46"/>
        <v>4.3725474493473214E-2</v>
      </c>
      <c r="AA333">
        <v>963518</v>
      </c>
      <c r="AB333">
        <v>31560</v>
      </c>
      <c r="AD333" t="s">
        <v>4</v>
      </c>
      <c r="AE333">
        <v>33</v>
      </c>
      <c r="AF333">
        <v>5</v>
      </c>
      <c r="AH333" t="s">
        <v>3875</v>
      </c>
      <c r="AI333" t="s">
        <v>3874</v>
      </c>
      <c r="AK333" t="s">
        <v>3873</v>
      </c>
      <c r="AL333">
        <v>2</v>
      </c>
      <c r="AM333" s="5">
        <f t="shared" si="50"/>
        <v>5.4054054054054057E-2</v>
      </c>
      <c r="AN333" s="4">
        <f t="shared" si="47"/>
        <v>8.1869070888381765E-5</v>
      </c>
      <c r="AO333" s="3"/>
      <c r="AP333">
        <v>0</v>
      </c>
      <c r="AR333" t="s">
        <v>0</v>
      </c>
      <c r="AT333" s="2" t="s">
        <v>19</v>
      </c>
      <c r="AU333" s="1">
        <f t="shared" si="51"/>
        <v>3.0632392866697762</v>
      </c>
      <c r="AV333" s="1">
        <f t="shared" si="52"/>
        <v>2.19036717821808</v>
      </c>
      <c r="AW333" s="1">
        <f t="shared" si="53"/>
        <v>1.317495069766383</v>
      </c>
    </row>
    <row r="334" spans="1:49" x14ac:dyDescent="0.2">
      <c r="A334">
        <v>332</v>
      </c>
      <c r="B334" t="s">
        <v>3872</v>
      </c>
      <c r="C334" t="s">
        <v>3871</v>
      </c>
      <c r="F334" t="s">
        <v>3870</v>
      </c>
      <c r="G334" t="s">
        <v>15</v>
      </c>
      <c r="H334" t="s">
        <v>14</v>
      </c>
      <c r="I334" t="s">
        <v>3869</v>
      </c>
      <c r="J334">
        <v>60010294</v>
      </c>
      <c r="K334" t="s">
        <v>2247</v>
      </c>
      <c r="L334" t="s">
        <v>2246</v>
      </c>
      <c r="M334" t="s">
        <v>2245</v>
      </c>
      <c r="N334">
        <v>2</v>
      </c>
      <c r="O334" t="s">
        <v>3868</v>
      </c>
      <c r="P334" t="s">
        <v>3867</v>
      </c>
      <c r="Q334" t="s">
        <v>3866</v>
      </c>
      <c r="R334" s="7">
        <v>31048</v>
      </c>
      <c r="S334" s="8">
        <f t="shared" si="48"/>
        <v>1985</v>
      </c>
      <c r="T334" s="8">
        <v>1985</v>
      </c>
      <c r="U334" s="8">
        <f t="shared" si="49"/>
        <v>37</v>
      </c>
      <c r="V334" s="7">
        <v>31321</v>
      </c>
      <c r="W334" t="s">
        <v>24</v>
      </c>
      <c r="X334" s="2">
        <v>1.6519999999999999</v>
      </c>
      <c r="Y334" s="6">
        <f t="shared" si="46"/>
        <v>4.409919649769093E-2</v>
      </c>
      <c r="AA334" t="s">
        <v>23</v>
      </c>
      <c r="AB334">
        <v>17337</v>
      </c>
      <c r="AC334">
        <v>15582221</v>
      </c>
      <c r="AD334" t="s">
        <v>4</v>
      </c>
      <c r="AE334">
        <v>33</v>
      </c>
      <c r="AF334">
        <v>10</v>
      </c>
      <c r="AH334" t="s">
        <v>3865</v>
      </c>
      <c r="AI334" t="s">
        <v>3864</v>
      </c>
      <c r="AK334" t="s">
        <v>3863</v>
      </c>
      <c r="AL334">
        <v>7</v>
      </c>
      <c r="AM334" s="5">
        <f t="shared" si="50"/>
        <v>0.1891891891891892</v>
      </c>
      <c r="AN334" s="4">
        <f t="shared" si="47"/>
        <v>2.8654174810933616E-4</v>
      </c>
      <c r="AO334" s="3"/>
      <c r="AP334">
        <v>0</v>
      </c>
      <c r="AR334" t="s">
        <v>0</v>
      </c>
      <c r="AT334" s="2" t="s">
        <v>19</v>
      </c>
      <c r="AU334" s="1">
        <f t="shared" si="51"/>
        <v>3.0955400072816452</v>
      </c>
      <c r="AV334" s="1">
        <f t="shared" si="52"/>
        <v>2.2192869122900132</v>
      </c>
      <c r="AW334" s="1">
        <f t="shared" si="53"/>
        <v>1.3430338172983813</v>
      </c>
    </row>
    <row r="335" spans="1:49" x14ac:dyDescent="0.2">
      <c r="A335">
        <v>333</v>
      </c>
      <c r="B335" t="s">
        <v>3862</v>
      </c>
      <c r="C335" t="s">
        <v>3861</v>
      </c>
      <c r="F335" t="s">
        <v>3860</v>
      </c>
      <c r="G335" t="s">
        <v>15</v>
      </c>
      <c r="H335" t="s">
        <v>14</v>
      </c>
      <c r="I335" t="s">
        <v>3859</v>
      </c>
      <c r="N335">
        <v>3</v>
      </c>
      <c r="O335" t="s">
        <v>3858</v>
      </c>
      <c r="P335" t="s">
        <v>3857</v>
      </c>
      <c r="Q335" t="s">
        <v>377</v>
      </c>
      <c r="R335" s="7">
        <v>31048</v>
      </c>
      <c r="S335" s="8">
        <f t="shared" si="48"/>
        <v>1985</v>
      </c>
      <c r="T335" s="8">
        <v>1985</v>
      </c>
      <c r="U335" s="8">
        <f t="shared" si="49"/>
        <v>37</v>
      </c>
      <c r="V335" s="7" t="s">
        <v>3791</v>
      </c>
      <c r="W335" t="s">
        <v>367</v>
      </c>
      <c r="X335" s="2">
        <v>0.371</v>
      </c>
      <c r="Y335" s="6">
        <f t="shared" si="46"/>
        <v>9.9036331117695747E-3</v>
      </c>
      <c r="AA335">
        <v>486604</v>
      </c>
      <c r="AB335">
        <v>28580</v>
      </c>
      <c r="AC335" t="s">
        <v>366</v>
      </c>
      <c r="AD335" t="s">
        <v>4</v>
      </c>
      <c r="AE335">
        <v>20</v>
      </c>
      <c r="AF335">
        <v>5</v>
      </c>
      <c r="AH335" t="s">
        <v>3856</v>
      </c>
      <c r="AI335" t="s">
        <v>3855</v>
      </c>
      <c r="AK335" t="s">
        <v>3854</v>
      </c>
      <c r="AL335">
        <v>0</v>
      </c>
      <c r="AM335" s="5">
        <f t="shared" si="50"/>
        <v>0</v>
      </c>
      <c r="AN335" s="4">
        <f t="shared" si="47"/>
        <v>0</v>
      </c>
      <c r="AO335" s="3"/>
      <c r="AP335">
        <v>0</v>
      </c>
      <c r="AR335" t="s">
        <v>0</v>
      </c>
      <c r="AT335" s="2">
        <v>1.431</v>
      </c>
      <c r="AU335" s="1">
        <f t="shared" si="51"/>
        <v>0.69325431782387015</v>
      </c>
      <c r="AV335" s="1">
        <f t="shared" si="52"/>
        <v>0.49518165558847871</v>
      </c>
      <c r="AW335" s="1">
        <f t="shared" si="53"/>
        <v>0.29710899335308727</v>
      </c>
    </row>
    <row r="336" spans="1:49" x14ac:dyDescent="0.2">
      <c r="A336">
        <v>334</v>
      </c>
      <c r="B336" t="s">
        <v>3853</v>
      </c>
      <c r="C336" t="s">
        <v>3852</v>
      </c>
      <c r="F336" t="s">
        <v>3851</v>
      </c>
      <c r="G336" t="s">
        <v>15</v>
      </c>
      <c r="H336" t="s">
        <v>14</v>
      </c>
      <c r="I336" t="s">
        <v>3850</v>
      </c>
      <c r="J336">
        <v>60000854</v>
      </c>
      <c r="K336" t="s">
        <v>457</v>
      </c>
      <c r="L336" t="s">
        <v>456</v>
      </c>
      <c r="M336" t="s">
        <v>122</v>
      </c>
      <c r="N336">
        <v>1</v>
      </c>
      <c r="O336" t="s">
        <v>3849</v>
      </c>
      <c r="P336">
        <v>7202789108</v>
      </c>
      <c r="Q336">
        <v>60000854</v>
      </c>
      <c r="R336" s="7">
        <v>31048</v>
      </c>
      <c r="S336" s="8">
        <f t="shared" si="48"/>
        <v>1985</v>
      </c>
      <c r="T336" s="8">
        <v>1985</v>
      </c>
      <c r="U336" s="8">
        <f t="shared" si="49"/>
        <v>37</v>
      </c>
      <c r="V336" s="7">
        <v>31291</v>
      </c>
      <c r="W336" t="s">
        <v>465</v>
      </c>
      <c r="X336" s="2">
        <v>0.75800000000000001</v>
      </c>
      <c r="Y336" s="6">
        <f t="shared" si="46"/>
        <v>2.0234377085502256E-2</v>
      </c>
      <c r="AA336">
        <v>224650</v>
      </c>
      <c r="AB336">
        <v>29589</v>
      </c>
      <c r="AD336" t="s">
        <v>4</v>
      </c>
      <c r="AE336">
        <v>22</v>
      </c>
      <c r="AF336">
        <v>5</v>
      </c>
      <c r="AH336" t="s">
        <v>3848</v>
      </c>
      <c r="AI336" t="s">
        <v>3847</v>
      </c>
      <c r="AK336" t="s">
        <v>3846</v>
      </c>
      <c r="AL336">
        <v>27</v>
      </c>
      <c r="AM336" s="5">
        <f t="shared" si="50"/>
        <v>0.72972972972972971</v>
      </c>
      <c r="AN336" s="4">
        <f t="shared" si="47"/>
        <v>1.1052324569931537E-3</v>
      </c>
      <c r="AO336" s="3"/>
      <c r="AP336">
        <v>0</v>
      </c>
      <c r="AR336" t="s">
        <v>0</v>
      </c>
      <c r="AT336" s="2">
        <v>1.282</v>
      </c>
      <c r="AU336" s="1">
        <f t="shared" si="51"/>
        <v>1.4495633696949524</v>
      </c>
      <c r="AV336" s="1">
        <f t="shared" si="52"/>
        <v>1.0669804771247704</v>
      </c>
      <c r="AW336" s="1">
        <f t="shared" si="53"/>
        <v>0.68439758455458832</v>
      </c>
    </row>
    <row r="337" spans="1:49" x14ac:dyDescent="0.2">
      <c r="A337">
        <v>335</v>
      </c>
      <c r="B337" t="s">
        <v>3845</v>
      </c>
      <c r="C337" t="s">
        <v>3844</v>
      </c>
      <c r="F337" t="s">
        <v>3843</v>
      </c>
      <c r="G337" t="s">
        <v>15</v>
      </c>
      <c r="H337" t="s">
        <v>14</v>
      </c>
      <c r="I337" t="s">
        <v>3842</v>
      </c>
      <c r="J337">
        <v>60003480</v>
      </c>
      <c r="K337" t="s">
        <v>3046</v>
      </c>
      <c r="L337" t="s">
        <v>3045</v>
      </c>
      <c r="M337" t="s">
        <v>43</v>
      </c>
      <c r="N337">
        <v>1</v>
      </c>
      <c r="O337" t="s">
        <v>3841</v>
      </c>
      <c r="P337">
        <v>6603911266</v>
      </c>
      <c r="Q337">
        <v>60003480</v>
      </c>
      <c r="R337" s="7">
        <v>31048</v>
      </c>
      <c r="S337" s="8">
        <f t="shared" si="48"/>
        <v>1985</v>
      </c>
      <c r="T337" s="8">
        <v>1985</v>
      </c>
      <c r="U337" s="8">
        <f t="shared" si="49"/>
        <v>37</v>
      </c>
      <c r="V337" s="7">
        <v>1985</v>
      </c>
      <c r="W337" t="s">
        <v>540</v>
      </c>
      <c r="X337" s="2">
        <v>0.375</v>
      </c>
      <c r="Y337" s="6">
        <f t="shared" si="46"/>
        <v>1.0010410827260351E-2</v>
      </c>
      <c r="AA337">
        <v>135194</v>
      </c>
      <c r="AB337">
        <v>24918</v>
      </c>
      <c r="AD337" t="s">
        <v>4</v>
      </c>
      <c r="AE337">
        <v>21</v>
      </c>
      <c r="AF337">
        <v>19</v>
      </c>
      <c r="AH337" t="s">
        <v>3840</v>
      </c>
      <c r="AI337" t="s">
        <v>3839</v>
      </c>
      <c r="AJ337" t="s">
        <v>3838</v>
      </c>
      <c r="AK337" t="s">
        <v>3837</v>
      </c>
      <c r="AL337">
        <v>0</v>
      </c>
      <c r="AM337" s="5">
        <f t="shared" si="50"/>
        <v>0</v>
      </c>
      <c r="AN337" s="4">
        <f t="shared" si="47"/>
        <v>0</v>
      </c>
      <c r="AO337" s="3"/>
      <c r="AP337">
        <v>0</v>
      </c>
      <c r="AR337" t="s">
        <v>0</v>
      </c>
      <c r="AT337" s="2">
        <v>1.3140000000000001</v>
      </c>
      <c r="AU337" s="1">
        <f t="shared" si="51"/>
        <v>0.70072875790822453</v>
      </c>
      <c r="AV337" s="1">
        <f t="shared" si="52"/>
        <v>0.5005205413630176</v>
      </c>
      <c r="AW337" s="1">
        <f t="shared" si="53"/>
        <v>0.30031232481781051</v>
      </c>
    </row>
    <row r="338" spans="1:49" x14ac:dyDescent="0.2">
      <c r="A338">
        <v>336</v>
      </c>
      <c r="B338" t="s">
        <v>3836</v>
      </c>
      <c r="C338" t="s">
        <v>3835</v>
      </c>
      <c r="F338" t="s">
        <v>3834</v>
      </c>
      <c r="G338" t="s">
        <v>15</v>
      </c>
      <c r="H338" t="s">
        <v>14</v>
      </c>
      <c r="I338" t="s">
        <v>3833</v>
      </c>
      <c r="J338">
        <v>60030553</v>
      </c>
      <c r="K338" t="s">
        <v>3832</v>
      </c>
      <c r="L338" t="s">
        <v>3831</v>
      </c>
      <c r="M338" t="s">
        <v>272</v>
      </c>
      <c r="N338">
        <v>4</v>
      </c>
      <c r="O338" t="s">
        <v>3830</v>
      </c>
      <c r="P338" t="s">
        <v>3829</v>
      </c>
      <c r="Q338" t="s">
        <v>3828</v>
      </c>
      <c r="R338" s="7">
        <v>31048</v>
      </c>
      <c r="S338" s="8">
        <f t="shared" si="48"/>
        <v>1985</v>
      </c>
      <c r="T338" s="8">
        <v>1985</v>
      </c>
      <c r="U338" s="8">
        <f t="shared" si="49"/>
        <v>37</v>
      </c>
      <c r="V338" s="7">
        <v>1985</v>
      </c>
      <c r="W338" t="s">
        <v>540</v>
      </c>
      <c r="X338" s="2">
        <v>0.375</v>
      </c>
      <c r="Y338" s="6">
        <f t="shared" si="46"/>
        <v>1.0010410827260351E-2</v>
      </c>
      <c r="AA338">
        <v>135194</v>
      </c>
      <c r="AB338">
        <v>24918</v>
      </c>
      <c r="AD338" t="s">
        <v>4</v>
      </c>
      <c r="AE338">
        <v>21</v>
      </c>
      <c r="AF338">
        <v>20</v>
      </c>
      <c r="AH338" t="s">
        <v>3827</v>
      </c>
      <c r="AI338" t="s">
        <v>3826</v>
      </c>
      <c r="AJ338" t="s">
        <v>3513</v>
      </c>
      <c r="AK338" t="s">
        <v>3825</v>
      </c>
      <c r="AL338">
        <v>0</v>
      </c>
      <c r="AM338" s="5">
        <f t="shared" si="50"/>
        <v>0</v>
      </c>
      <c r="AN338" s="4">
        <f t="shared" si="47"/>
        <v>0</v>
      </c>
      <c r="AO338" s="3"/>
      <c r="AP338">
        <v>0</v>
      </c>
      <c r="AR338" t="s">
        <v>0</v>
      </c>
      <c r="AT338" s="2">
        <v>1.3140000000000001</v>
      </c>
      <c r="AU338" s="1">
        <f t="shared" si="51"/>
        <v>0.70072875790822453</v>
      </c>
      <c r="AV338" s="1">
        <f t="shared" si="52"/>
        <v>0.5005205413630176</v>
      </c>
      <c r="AW338" s="1">
        <f t="shared" si="53"/>
        <v>0.30031232481781051</v>
      </c>
    </row>
    <row r="339" spans="1:49" x14ac:dyDescent="0.2">
      <c r="A339">
        <v>337</v>
      </c>
      <c r="B339" t="s">
        <v>3824</v>
      </c>
      <c r="C339" t="s">
        <v>3823</v>
      </c>
      <c r="F339" t="s">
        <v>3822</v>
      </c>
      <c r="G339" t="s">
        <v>15</v>
      </c>
      <c r="H339" t="s">
        <v>14</v>
      </c>
      <c r="I339" t="s">
        <v>3821</v>
      </c>
      <c r="N339">
        <v>1</v>
      </c>
      <c r="O339" t="s">
        <v>3820</v>
      </c>
      <c r="P339">
        <v>57197413373</v>
      </c>
      <c r="R339" s="7">
        <v>31048</v>
      </c>
      <c r="S339" s="8">
        <f t="shared" si="48"/>
        <v>1985</v>
      </c>
      <c r="T339" s="8">
        <v>1985</v>
      </c>
      <c r="U339" s="8">
        <f t="shared" si="49"/>
        <v>37</v>
      </c>
      <c r="V339" s="7">
        <v>31291</v>
      </c>
      <c r="W339" t="s">
        <v>2582</v>
      </c>
      <c r="X339" s="2" t="s">
        <v>19</v>
      </c>
      <c r="Y339" s="6" t="e">
        <f t="shared" si="46"/>
        <v>#VALUE!</v>
      </c>
      <c r="AA339">
        <v>87562324</v>
      </c>
      <c r="AB339">
        <v>20786</v>
      </c>
      <c r="AC339">
        <v>15387305</v>
      </c>
      <c r="AD339" t="s">
        <v>4</v>
      </c>
      <c r="AE339">
        <v>64</v>
      </c>
      <c r="AF339">
        <v>7</v>
      </c>
      <c r="AH339" t="s">
        <v>3819</v>
      </c>
      <c r="AI339" t="s">
        <v>3818</v>
      </c>
      <c r="AK339" t="s">
        <v>3817</v>
      </c>
      <c r="AL339">
        <v>0</v>
      </c>
      <c r="AM339" s="5">
        <f t="shared" si="50"/>
        <v>0</v>
      </c>
      <c r="AN339" s="4">
        <f t="shared" si="47"/>
        <v>0</v>
      </c>
      <c r="AO339" s="3"/>
      <c r="AP339">
        <v>0</v>
      </c>
      <c r="AR339" t="s">
        <v>0</v>
      </c>
      <c r="AT339" s="2" t="s">
        <v>19</v>
      </c>
      <c r="AU339" s="1" t="e">
        <f t="shared" si="51"/>
        <v>#VALUE!</v>
      </c>
      <c r="AV339" s="1" t="e">
        <f t="shared" si="52"/>
        <v>#VALUE!</v>
      </c>
      <c r="AW339" s="1" t="e">
        <f t="shared" si="53"/>
        <v>#VALUE!</v>
      </c>
    </row>
    <row r="340" spans="1:49" x14ac:dyDescent="0.2">
      <c r="A340">
        <v>338</v>
      </c>
      <c r="B340" t="s">
        <v>3816</v>
      </c>
      <c r="C340" t="s">
        <v>3815</v>
      </c>
      <c r="F340" t="s">
        <v>3814</v>
      </c>
      <c r="G340" t="s">
        <v>15</v>
      </c>
      <c r="H340" t="s">
        <v>14</v>
      </c>
      <c r="I340" t="s">
        <v>3813</v>
      </c>
      <c r="J340">
        <v>60004750</v>
      </c>
      <c r="K340" t="s">
        <v>1957</v>
      </c>
      <c r="L340" t="s">
        <v>1956</v>
      </c>
      <c r="M340" t="s">
        <v>434</v>
      </c>
      <c r="N340">
        <v>2</v>
      </c>
      <c r="O340" t="s">
        <v>3812</v>
      </c>
      <c r="P340" t="s">
        <v>3811</v>
      </c>
      <c r="Q340" t="s">
        <v>3810</v>
      </c>
      <c r="R340" s="7">
        <v>31048</v>
      </c>
      <c r="S340" s="8">
        <f t="shared" si="48"/>
        <v>1985</v>
      </c>
      <c r="T340" s="8">
        <v>1985</v>
      </c>
      <c r="U340" s="8">
        <f t="shared" si="49"/>
        <v>37</v>
      </c>
      <c r="V340" s="7">
        <v>1985</v>
      </c>
      <c r="W340" t="s">
        <v>540</v>
      </c>
      <c r="X340" s="2">
        <v>0.375</v>
      </c>
      <c r="Y340" s="6">
        <f t="shared" si="46"/>
        <v>1.0010410827260351E-2</v>
      </c>
      <c r="AA340">
        <v>135194</v>
      </c>
      <c r="AB340">
        <v>24918</v>
      </c>
      <c r="AD340" t="s">
        <v>4</v>
      </c>
      <c r="AE340">
        <v>21</v>
      </c>
      <c r="AF340">
        <v>19</v>
      </c>
      <c r="AH340" t="s">
        <v>3809</v>
      </c>
      <c r="AI340" t="s">
        <v>3808</v>
      </c>
      <c r="AJ340" t="s">
        <v>3513</v>
      </c>
      <c r="AK340" t="s">
        <v>3807</v>
      </c>
      <c r="AL340">
        <v>64</v>
      </c>
      <c r="AM340" s="5">
        <f t="shared" si="50"/>
        <v>1.7297297297297298</v>
      </c>
      <c r="AN340" s="4">
        <f t="shared" si="47"/>
        <v>2.6198102684282165E-3</v>
      </c>
      <c r="AO340" s="3"/>
      <c r="AP340">
        <v>0</v>
      </c>
      <c r="AR340" t="s">
        <v>0</v>
      </c>
      <c r="AT340" s="2">
        <v>1.3140000000000001</v>
      </c>
      <c r="AU340" s="1">
        <f t="shared" si="51"/>
        <v>0.77932306596107104</v>
      </c>
      <c r="AV340" s="1">
        <f t="shared" si="52"/>
        <v>0.63151105478442848</v>
      </c>
      <c r="AW340" s="1">
        <f t="shared" si="53"/>
        <v>0.48369904360778565</v>
      </c>
    </row>
    <row r="341" spans="1:49" x14ac:dyDescent="0.2">
      <c r="A341">
        <v>339</v>
      </c>
      <c r="B341" t="s">
        <v>3806</v>
      </c>
      <c r="C341" t="s">
        <v>3805</v>
      </c>
      <c r="F341" t="s">
        <v>3804</v>
      </c>
      <c r="G341" t="s">
        <v>15</v>
      </c>
      <c r="H341" t="s">
        <v>14</v>
      </c>
      <c r="I341" t="s">
        <v>1685</v>
      </c>
      <c r="N341">
        <v>2</v>
      </c>
      <c r="O341" t="s">
        <v>3803</v>
      </c>
      <c r="P341" t="s">
        <v>3802</v>
      </c>
      <c r="Q341" t="s">
        <v>895</v>
      </c>
      <c r="R341" s="7">
        <v>31048</v>
      </c>
      <c r="S341" s="8">
        <f t="shared" si="48"/>
        <v>1985</v>
      </c>
      <c r="T341" s="8">
        <v>1985</v>
      </c>
      <c r="U341" s="8">
        <f t="shared" si="49"/>
        <v>37</v>
      </c>
      <c r="V341" s="7" t="s">
        <v>3791</v>
      </c>
      <c r="W341" t="s">
        <v>367</v>
      </c>
      <c r="X341" s="2">
        <v>0.371</v>
      </c>
      <c r="Y341" s="6">
        <f t="shared" si="46"/>
        <v>9.9036331117695747E-3</v>
      </c>
      <c r="AA341">
        <v>486604</v>
      </c>
      <c r="AB341">
        <v>28580</v>
      </c>
      <c r="AC341" t="s">
        <v>366</v>
      </c>
      <c r="AD341" t="s">
        <v>4</v>
      </c>
      <c r="AE341">
        <v>20</v>
      </c>
      <c r="AF341">
        <v>5</v>
      </c>
      <c r="AH341" t="s">
        <v>3801</v>
      </c>
      <c r="AI341" t="s">
        <v>3800</v>
      </c>
      <c r="AK341" t="s">
        <v>3799</v>
      </c>
      <c r="AL341">
        <v>1</v>
      </c>
      <c r="AM341" s="5">
        <f t="shared" si="50"/>
        <v>2.7027027027027029E-2</v>
      </c>
      <c r="AN341" s="4">
        <f t="shared" si="47"/>
        <v>4.0934535444190883E-5</v>
      </c>
      <c r="AO341" s="3"/>
      <c r="AP341">
        <v>0</v>
      </c>
      <c r="AR341" t="s">
        <v>0</v>
      </c>
      <c r="AT341" s="2">
        <v>1.431</v>
      </c>
      <c r="AU341" s="1">
        <f t="shared" si="51"/>
        <v>0.69448235388719592</v>
      </c>
      <c r="AV341" s="1">
        <f t="shared" si="52"/>
        <v>0.49722838236068823</v>
      </c>
      <c r="AW341" s="1">
        <f t="shared" si="53"/>
        <v>0.29997441083418058</v>
      </c>
    </row>
    <row r="342" spans="1:49" x14ac:dyDescent="0.2">
      <c r="A342">
        <v>340</v>
      </c>
      <c r="B342" t="s">
        <v>3798</v>
      </c>
      <c r="C342" t="s">
        <v>3797</v>
      </c>
      <c r="F342" t="s">
        <v>3796</v>
      </c>
      <c r="G342" t="s">
        <v>15</v>
      </c>
      <c r="H342" t="s">
        <v>14</v>
      </c>
      <c r="I342" t="s">
        <v>3795</v>
      </c>
      <c r="N342">
        <v>5</v>
      </c>
      <c r="O342" t="s">
        <v>3794</v>
      </c>
      <c r="P342" t="s">
        <v>3793</v>
      </c>
      <c r="Q342" t="s">
        <v>3792</v>
      </c>
      <c r="R342" s="7">
        <v>31048</v>
      </c>
      <c r="S342" s="8">
        <f t="shared" si="48"/>
        <v>1985</v>
      </c>
      <c r="T342" s="8">
        <v>1985</v>
      </c>
      <c r="U342" s="8">
        <f t="shared" si="49"/>
        <v>37</v>
      </c>
      <c r="V342" s="7" t="s">
        <v>3791</v>
      </c>
      <c r="W342" t="s">
        <v>367</v>
      </c>
      <c r="X342" s="2">
        <v>0.371</v>
      </c>
      <c r="Y342" s="6">
        <f t="shared" si="46"/>
        <v>9.9036331117695747E-3</v>
      </c>
      <c r="AA342">
        <v>486604</v>
      </c>
      <c r="AB342">
        <v>28580</v>
      </c>
      <c r="AC342" t="s">
        <v>366</v>
      </c>
      <c r="AD342" t="s">
        <v>4</v>
      </c>
      <c r="AE342">
        <v>20</v>
      </c>
      <c r="AF342">
        <v>5</v>
      </c>
      <c r="AH342" t="s">
        <v>3790</v>
      </c>
      <c r="AI342" t="s">
        <v>3789</v>
      </c>
      <c r="AK342" t="s">
        <v>3788</v>
      </c>
      <c r="AL342">
        <v>30</v>
      </c>
      <c r="AM342" s="5">
        <f t="shared" si="50"/>
        <v>0.81081081081081086</v>
      </c>
      <c r="AN342" s="4">
        <f t="shared" si="47"/>
        <v>1.2280360633257264E-3</v>
      </c>
      <c r="AO342" s="3"/>
      <c r="AP342">
        <v>0</v>
      </c>
      <c r="AR342" t="s">
        <v>0</v>
      </c>
      <c r="AT342" s="2">
        <v>1.431</v>
      </c>
      <c r="AU342" s="1">
        <f t="shared" si="51"/>
        <v>0.73009539972364201</v>
      </c>
      <c r="AV342" s="1">
        <f t="shared" si="52"/>
        <v>0.55658345875476511</v>
      </c>
      <c r="AW342" s="1">
        <f t="shared" si="53"/>
        <v>0.3830715177858881</v>
      </c>
    </row>
    <row r="343" spans="1:49" x14ac:dyDescent="0.2">
      <c r="A343">
        <v>341</v>
      </c>
      <c r="B343" t="s">
        <v>3787</v>
      </c>
      <c r="C343" t="s">
        <v>3786</v>
      </c>
      <c r="F343" t="s">
        <v>3785</v>
      </c>
      <c r="G343" t="s">
        <v>15</v>
      </c>
      <c r="H343" t="s">
        <v>14</v>
      </c>
      <c r="I343" t="s">
        <v>3784</v>
      </c>
      <c r="J343" t="s">
        <v>3783</v>
      </c>
      <c r="K343" t="s">
        <v>3782</v>
      </c>
      <c r="L343" t="s">
        <v>3781</v>
      </c>
      <c r="M343" t="s">
        <v>28</v>
      </c>
      <c r="N343">
        <v>3</v>
      </c>
      <c r="O343" t="s">
        <v>3780</v>
      </c>
      <c r="P343" t="s">
        <v>3779</v>
      </c>
      <c r="Q343" t="s">
        <v>3778</v>
      </c>
      <c r="R343" s="7">
        <v>31048</v>
      </c>
      <c r="S343" s="8">
        <f t="shared" si="48"/>
        <v>1985</v>
      </c>
      <c r="T343" s="8">
        <v>1985</v>
      </c>
      <c r="U343" s="8">
        <f t="shared" si="49"/>
        <v>37</v>
      </c>
      <c r="V343" s="7">
        <v>1985</v>
      </c>
      <c r="W343" t="s">
        <v>540</v>
      </c>
      <c r="X343" s="2">
        <v>0.375</v>
      </c>
      <c r="Y343" s="6">
        <f t="shared" si="46"/>
        <v>1.0010410827260351E-2</v>
      </c>
      <c r="AA343">
        <v>135194</v>
      </c>
      <c r="AB343">
        <v>24918</v>
      </c>
      <c r="AD343" t="s">
        <v>4</v>
      </c>
      <c r="AE343">
        <v>21</v>
      </c>
      <c r="AF343">
        <v>20</v>
      </c>
      <c r="AH343" t="s">
        <v>3777</v>
      </c>
      <c r="AI343" t="s">
        <v>3776</v>
      </c>
      <c r="AJ343" t="s">
        <v>3513</v>
      </c>
      <c r="AK343" t="s">
        <v>3775</v>
      </c>
      <c r="AL343">
        <v>81</v>
      </c>
      <c r="AM343" s="5">
        <f t="shared" si="50"/>
        <v>2.189189189189189</v>
      </c>
      <c r="AN343" s="4">
        <f t="shared" si="47"/>
        <v>3.315697370979461E-3</v>
      </c>
      <c r="AO343" s="3"/>
      <c r="AP343">
        <v>0</v>
      </c>
      <c r="AR343" t="s">
        <v>0</v>
      </c>
      <c r="AT343" s="2">
        <v>1.3140000000000001</v>
      </c>
      <c r="AU343" s="1">
        <f t="shared" si="51"/>
        <v>0.80019967903760847</v>
      </c>
      <c r="AV343" s="1">
        <f t="shared" si="52"/>
        <v>0.66630540991199061</v>
      </c>
      <c r="AW343" s="1">
        <f t="shared" si="53"/>
        <v>0.53241114078637275</v>
      </c>
    </row>
    <row r="344" spans="1:49" x14ac:dyDescent="0.2">
      <c r="A344">
        <v>342</v>
      </c>
      <c r="B344" t="s">
        <v>3774</v>
      </c>
      <c r="C344" t="s">
        <v>3773</v>
      </c>
      <c r="F344" t="s">
        <v>3772</v>
      </c>
      <c r="G344" t="s">
        <v>15</v>
      </c>
      <c r="H344" t="s">
        <v>14</v>
      </c>
      <c r="I344" t="s">
        <v>3771</v>
      </c>
      <c r="N344">
        <v>1</v>
      </c>
      <c r="O344" t="s">
        <v>3770</v>
      </c>
      <c r="P344">
        <v>7101605476</v>
      </c>
      <c r="R344" s="7">
        <v>31048</v>
      </c>
      <c r="S344" s="8">
        <f t="shared" si="48"/>
        <v>1985</v>
      </c>
      <c r="T344" s="8">
        <v>1985</v>
      </c>
      <c r="U344" s="8">
        <f t="shared" si="49"/>
        <v>37</v>
      </c>
      <c r="V344" s="7">
        <v>1985</v>
      </c>
      <c r="W344" t="s">
        <v>540</v>
      </c>
      <c r="X344" s="2">
        <v>0.375</v>
      </c>
      <c r="Y344" s="6">
        <f t="shared" si="46"/>
        <v>1.0010410827260351E-2</v>
      </c>
      <c r="AA344">
        <v>135194</v>
      </c>
      <c r="AB344">
        <v>24918</v>
      </c>
      <c r="AD344" t="s">
        <v>4</v>
      </c>
      <c r="AE344">
        <v>21</v>
      </c>
      <c r="AF344">
        <v>19</v>
      </c>
      <c r="AH344" t="s">
        <v>3769</v>
      </c>
      <c r="AI344" t="s">
        <v>3768</v>
      </c>
      <c r="AJ344" t="s">
        <v>3767</v>
      </c>
      <c r="AK344" t="s">
        <v>3766</v>
      </c>
      <c r="AL344">
        <v>40</v>
      </c>
      <c r="AM344" s="5">
        <f t="shared" si="50"/>
        <v>1.0810810810810811</v>
      </c>
      <c r="AN344" s="4">
        <f t="shared" si="47"/>
        <v>1.6373814177676352E-3</v>
      </c>
      <c r="AO344" s="3"/>
      <c r="AP344">
        <v>0</v>
      </c>
      <c r="AR344" t="s">
        <v>0</v>
      </c>
      <c r="AT344" s="2">
        <v>1.3140000000000001</v>
      </c>
      <c r="AU344" s="1">
        <f t="shared" si="51"/>
        <v>0.74985020044125361</v>
      </c>
      <c r="AV344" s="1">
        <f t="shared" si="52"/>
        <v>0.58238961225139929</v>
      </c>
      <c r="AW344" s="1">
        <f t="shared" si="53"/>
        <v>0.41492902406154492</v>
      </c>
    </row>
    <row r="345" spans="1:49" x14ac:dyDescent="0.2">
      <c r="A345">
        <v>343</v>
      </c>
      <c r="B345" t="s">
        <v>3765</v>
      </c>
      <c r="C345" t="s">
        <v>3764</v>
      </c>
      <c r="F345" t="s">
        <v>3763</v>
      </c>
      <c r="G345" t="s">
        <v>15</v>
      </c>
      <c r="H345" t="s">
        <v>14</v>
      </c>
      <c r="I345" t="s">
        <v>3762</v>
      </c>
      <c r="J345">
        <v>60000745</v>
      </c>
      <c r="K345" t="s">
        <v>2144</v>
      </c>
      <c r="L345" t="s">
        <v>2143</v>
      </c>
      <c r="M345" t="s">
        <v>122</v>
      </c>
      <c r="N345">
        <v>2</v>
      </c>
      <c r="O345" t="s">
        <v>3761</v>
      </c>
      <c r="P345" t="s">
        <v>3760</v>
      </c>
      <c r="Q345" t="s">
        <v>2140</v>
      </c>
      <c r="R345" s="7">
        <v>31048</v>
      </c>
      <c r="S345" s="8">
        <f t="shared" si="48"/>
        <v>1985</v>
      </c>
      <c r="T345" s="8">
        <v>1985</v>
      </c>
      <c r="U345" s="8">
        <f t="shared" si="49"/>
        <v>37</v>
      </c>
      <c r="V345" s="7">
        <v>31291</v>
      </c>
      <c r="W345" t="s">
        <v>24</v>
      </c>
      <c r="X345" s="2">
        <v>1.6519999999999999</v>
      </c>
      <c r="Y345" s="6">
        <f t="shared" si="46"/>
        <v>4.409919649769093E-2</v>
      </c>
      <c r="AA345" t="s">
        <v>23</v>
      </c>
      <c r="AB345">
        <v>17337</v>
      </c>
      <c r="AC345">
        <v>15582221</v>
      </c>
      <c r="AD345" t="s">
        <v>4</v>
      </c>
      <c r="AE345">
        <v>33</v>
      </c>
      <c r="AF345">
        <v>9</v>
      </c>
      <c r="AH345" t="s">
        <v>3759</v>
      </c>
      <c r="AI345" t="s">
        <v>3758</v>
      </c>
      <c r="AK345" t="s">
        <v>3757</v>
      </c>
      <c r="AL345">
        <v>78</v>
      </c>
      <c r="AM345" s="5">
        <f t="shared" si="50"/>
        <v>2.1081081081081079</v>
      </c>
      <c r="AN345" s="4">
        <f t="shared" si="47"/>
        <v>3.1928937646468879E-3</v>
      </c>
      <c r="AO345" s="3"/>
      <c r="AP345">
        <v>0</v>
      </c>
      <c r="AR345" t="s">
        <v>0</v>
      </c>
      <c r="AT345" s="2" t="s">
        <v>19</v>
      </c>
      <c r="AU345" s="1">
        <f t="shared" si="51"/>
        <v>3.1827305677777717</v>
      </c>
      <c r="AV345" s="1">
        <f t="shared" si="52"/>
        <v>2.3646045131168911</v>
      </c>
      <c r="AW345" s="1">
        <f t="shared" si="53"/>
        <v>1.5464784584560101</v>
      </c>
    </row>
    <row r="346" spans="1:49" x14ac:dyDescent="0.2">
      <c r="A346">
        <v>344</v>
      </c>
      <c r="B346" t="s">
        <v>3756</v>
      </c>
      <c r="C346" t="s">
        <v>3755</v>
      </c>
      <c r="F346" t="s">
        <v>3754</v>
      </c>
      <c r="G346" t="s">
        <v>15</v>
      </c>
      <c r="H346" t="s">
        <v>14</v>
      </c>
      <c r="I346" t="s">
        <v>3753</v>
      </c>
      <c r="J346" t="s">
        <v>3752</v>
      </c>
      <c r="K346" t="s">
        <v>3751</v>
      </c>
      <c r="L346" t="s">
        <v>3750</v>
      </c>
      <c r="M346" t="s">
        <v>3749</v>
      </c>
      <c r="N346">
        <v>2</v>
      </c>
      <c r="O346" t="s">
        <v>3748</v>
      </c>
      <c r="P346" t="s">
        <v>3747</v>
      </c>
      <c r="Q346" t="s">
        <v>3746</v>
      </c>
      <c r="R346" s="7">
        <v>31048</v>
      </c>
      <c r="S346" s="8">
        <f t="shared" si="48"/>
        <v>1985</v>
      </c>
      <c r="T346" s="8">
        <v>1985</v>
      </c>
      <c r="U346" s="8">
        <f t="shared" si="49"/>
        <v>37</v>
      </c>
      <c r="V346" s="7">
        <v>31291</v>
      </c>
      <c r="W346" t="s">
        <v>3745</v>
      </c>
      <c r="X346" s="2">
        <v>2.383</v>
      </c>
      <c r="Y346" s="6">
        <f t="shared" si="46"/>
        <v>6.3612824003630442E-2</v>
      </c>
      <c r="AA346">
        <v>189219</v>
      </c>
      <c r="AB346">
        <v>17915</v>
      </c>
      <c r="AC346">
        <v>15582256</v>
      </c>
      <c r="AD346" t="s">
        <v>4</v>
      </c>
      <c r="AE346">
        <v>73</v>
      </c>
      <c r="AF346">
        <v>9</v>
      </c>
      <c r="AH346" t="s">
        <v>3744</v>
      </c>
      <c r="AI346" t="s">
        <v>3743</v>
      </c>
      <c r="AK346" t="s">
        <v>3742</v>
      </c>
      <c r="AL346">
        <v>0</v>
      </c>
      <c r="AM346" s="5">
        <f t="shared" si="50"/>
        <v>0</v>
      </c>
      <c r="AN346" s="4">
        <f t="shared" si="47"/>
        <v>0</v>
      </c>
      <c r="AO346" s="3"/>
      <c r="AP346">
        <v>0</v>
      </c>
      <c r="AR346" t="s">
        <v>0</v>
      </c>
      <c r="AT346" s="2">
        <v>10.961</v>
      </c>
      <c r="AU346" s="1">
        <f t="shared" si="51"/>
        <v>4.4528976802541305</v>
      </c>
      <c r="AV346" s="1">
        <f t="shared" si="52"/>
        <v>3.1806412001815221</v>
      </c>
      <c r="AW346" s="1">
        <f t="shared" si="53"/>
        <v>1.9083847201089132</v>
      </c>
    </row>
    <row r="347" spans="1:49" x14ac:dyDescent="0.2">
      <c r="A347">
        <v>345</v>
      </c>
      <c r="B347" t="s">
        <v>3741</v>
      </c>
      <c r="C347" t="s">
        <v>3740</v>
      </c>
      <c r="F347" t="s">
        <v>3739</v>
      </c>
      <c r="G347" t="s">
        <v>15</v>
      </c>
      <c r="H347" t="s">
        <v>14</v>
      </c>
      <c r="I347" t="s">
        <v>3738</v>
      </c>
      <c r="J347">
        <v>60108318</v>
      </c>
      <c r="K347" t="s">
        <v>3289</v>
      </c>
      <c r="L347" t="s">
        <v>3288</v>
      </c>
      <c r="M347" t="s">
        <v>122</v>
      </c>
      <c r="N347">
        <v>2</v>
      </c>
      <c r="O347" t="s">
        <v>3737</v>
      </c>
      <c r="P347" t="s">
        <v>3736</v>
      </c>
      <c r="Q347" t="s">
        <v>3285</v>
      </c>
      <c r="R347" s="7">
        <v>31048</v>
      </c>
      <c r="S347" s="8">
        <f t="shared" si="48"/>
        <v>1985</v>
      </c>
      <c r="T347" s="8">
        <v>1985</v>
      </c>
      <c r="U347" s="8">
        <f t="shared" si="49"/>
        <v>37</v>
      </c>
      <c r="V347" s="7">
        <v>31291</v>
      </c>
      <c r="W347" t="s">
        <v>24</v>
      </c>
      <c r="X347" s="2">
        <v>1.6519999999999999</v>
      </c>
      <c r="Y347" s="6">
        <f t="shared" si="46"/>
        <v>4.409919649769093E-2</v>
      </c>
      <c r="AA347" t="s">
        <v>23</v>
      </c>
      <c r="AB347">
        <v>17337</v>
      </c>
      <c r="AC347">
        <v>15582221</v>
      </c>
      <c r="AD347" t="s">
        <v>4</v>
      </c>
      <c r="AE347">
        <v>33</v>
      </c>
      <c r="AF347">
        <v>9</v>
      </c>
      <c r="AH347" t="s">
        <v>3735</v>
      </c>
      <c r="AI347" t="s">
        <v>3734</v>
      </c>
      <c r="AK347" t="s">
        <v>3733</v>
      </c>
      <c r="AL347">
        <v>60</v>
      </c>
      <c r="AM347" s="5">
        <f t="shared" si="50"/>
        <v>1.6216216216216217</v>
      </c>
      <c r="AN347" s="4">
        <f t="shared" si="47"/>
        <v>2.4560721266514529E-3</v>
      </c>
      <c r="AO347" s="3"/>
      <c r="AP347">
        <v>0</v>
      </c>
      <c r="AR347" t="s">
        <v>0</v>
      </c>
      <c r="AT347" s="2" t="s">
        <v>19</v>
      </c>
      <c r="AU347" s="1">
        <f t="shared" si="51"/>
        <v>3.1606259186379084</v>
      </c>
      <c r="AV347" s="1">
        <f t="shared" si="52"/>
        <v>2.3277634312171189</v>
      </c>
      <c r="AW347" s="1">
        <f t="shared" si="53"/>
        <v>1.4949009437963294</v>
      </c>
    </row>
    <row r="348" spans="1:49" x14ac:dyDescent="0.2">
      <c r="A348">
        <v>346</v>
      </c>
      <c r="B348" t="s">
        <v>3732</v>
      </c>
      <c r="C348" t="s">
        <v>3731</v>
      </c>
      <c r="F348" t="s">
        <v>3730</v>
      </c>
      <c r="G348" t="s">
        <v>15</v>
      </c>
      <c r="H348" t="s">
        <v>14</v>
      </c>
      <c r="I348" t="s">
        <v>3729</v>
      </c>
      <c r="J348">
        <v>60019634</v>
      </c>
      <c r="K348" t="s">
        <v>3728</v>
      </c>
      <c r="L348" t="s">
        <v>3727</v>
      </c>
      <c r="M348" t="s">
        <v>122</v>
      </c>
      <c r="N348">
        <v>1</v>
      </c>
      <c r="O348" t="s">
        <v>3726</v>
      </c>
      <c r="P348">
        <v>56902723500</v>
      </c>
      <c r="Q348">
        <v>60019634</v>
      </c>
      <c r="R348" s="7">
        <v>31048</v>
      </c>
      <c r="S348" s="8">
        <f t="shared" si="48"/>
        <v>1985</v>
      </c>
      <c r="T348" s="8">
        <v>1985</v>
      </c>
      <c r="U348" s="8">
        <f t="shared" si="49"/>
        <v>37</v>
      </c>
      <c r="V348" s="7" t="s">
        <v>3667</v>
      </c>
      <c r="W348" t="s">
        <v>513</v>
      </c>
      <c r="X348" s="2">
        <v>2.9860000000000002</v>
      </c>
      <c r="Y348" s="6">
        <f t="shared" si="46"/>
        <v>7.9709564613865094E-2</v>
      </c>
      <c r="AA348">
        <v>7338716</v>
      </c>
      <c r="AB348">
        <v>18902</v>
      </c>
      <c r="AD348" t="s">
        <v>4</v>
      </c>
      <c r="AE348" t="s">
        <v>3666</v>
      </c>
      <c r="AF348">
        <v>5</v>
      </c>
      <c r="AH348" t="s">
        <v>3725</v>
      </c>
      <c r="AI348" t="s">
        <v>3724</v>
      </c>
      <c r="AK348" t="s">
        <v>3723</v>
      </c>
      <c r="AL348">
        <v>29</v>
      </c>
      <c r="AM348" s="5">
        <f t="shared" si="50"/>
        <v>0.78378378378378377</v>
      </c>
      <c r="AN348" s="4">
        <f t="shared" si="47"/>
        <v>1.1871015278815354E-3</v>
      </c>
      <c r="AO348" s="3"/>
      <c r="AP348">
        <v>0</v>
      </c>
      <c r="AR348" t="s">
        <v>0</v>
      </c>
      <c r="AT348" s="2" t="s">
        <v>19</v>
      </c>
      <c r="AU348" s="1">
        <f t="shared" si="51"/>
        <v>5.6152825688070021</v>
      </c>
      <c r="AV348" s="1">
        <f t="shared" si="52"/>
        <v>4.0448333070873321</v>
      </c>
      <c r="AW348" s="1">
        <f t="shared" si="53"/>
        <v>2.4743840453676604</v>
      </c>
    </row>
    <row r="349" spans="1:49" x14ac:dyDescent="0.2">
      <c r="A349">
        <v>347</v>
      </c>
      <c r="B349" t="s">
        <v>3722</v>
      </c>
      <c r="C349" t="s">
        <v>3721</v>
      </c>
      <c r="F349" t="s">
        <v>3720</v>
      </c>
      <c r="G349" t="s">
        <v>15</v>
      </c>
      <c r="H349" t="s">
        <v>14</v>
      </c>
      <c r="I349" t="s">
        <v>3719</v>
      </c>
      <c r="N349">
        <v>1</v>
      </c>
      <c r="O349" t="s">
        <v>3718</v>
      </c>
      <c r="P349">
        <v>6602950530</v>
      </c>
      <c r="R349" s="7">
        <v>31048</v>
      </c>
      <c r="S349" s="8">
        <f t="shared" si="48"/>
        <v>1985</v>
      </c>
      <c r="T349" s="8">
        <v>1985</v>
      </c>
      <c r="U349" s="8">
        <f t="shared" si="49"/>
        <v>37</v>
      </c>
      <c r="V349" s="7">
        <v>31291</v>
      </c>
      <c r="W349" t="s">
        <v>24</v>
      </c>
      <c r="X349" s="2">
        <v>1.6519999999999999</v>
      </c>
      <c r="Y349" s="6">
        <f t="shared" si="46"/>
        <v>4.409919649769093E-2</v>
      </c>
      <c r="AA349" t="s">
        <v>23</v>
      </c>
      <c r="AB349">
        <v>17337</v>
      </c>
      <c r="AC349">
        <v>15582221</v>
      </c>
      <c r="AD349" t="s">
        <v>4</v>
      </c>
      <c r="AE349">
        <v>33</v>
      </c>
      <c r="AF349">
        <v>9</v>
      </c>
      <c r="AH349" t="s">
        <v>3717</v>
      </c>
      <c r="AI349" t="s">
        <v>3716</v>
      </c>
      <c r="AK349" t="s">
        <v>3715</v>
      </c>
      <c r="AL349">
        <v>1</v>
      </c>
      <c r="AM349" s="5">
        <f t="shared" si="50"/>
        <v>2.7027027027027029E-2</v>
      </c>
      <c r="AN349" s="4">
        <f t="shared" si="47"/>
        <v>4.0934535444190883E-5</v>
      </c>
      <c r="AO349" s="3"/>
      <c r="AP349">
        <v>0</v>
      </c>
      <c r="AR349" t="s">
        <v>0</v>
      </c>
      <c r="AT349" s="2" t="s">
        <v>19</v>
      </c>
      <c r="AU349" s="1">
        <f t="shared" si="51"/>
        <v>3.0881717909016908</v>
      </c>
      <c r="AV349" s="1">
        <f t="shared" si="52"/>
        <v>2.2070065516567561</v>
      </c>
      <c r="AW349" s="1">
        <f t="shared" si="53"/>
        <v>1.3258413124118213</v>
      </c>
    </row>
    <row r="350" spans="1:49" x14ac:dyDescent="0.2">
      <c r="A350">
        <v>348</v>
      </c>
      <c r="B350" t="s">
        <v>3714</v>
      </c>
      <c r="C350" t="s">
        <v>3713</v>
      </c>
      <c r="F350" t="s">
        <v>3712</v>
      </c>
      <c r="G350" t="s">
        <v>15</v>
      </c>
      <c r="H350" t="s">
        <v>14</v>
      </c>
      <c r="I350" t="s">
        <v>3711</v>
      </c>
      <c r="J350">
        <v>60005304</v>
      </c>
      <c r="K350" t="s">
        <v>3710</v>
      </c>
      <c r="L350" t="s">
        <v>3275</v>
      </c>
      <c r="M350" t="s">
        <v>122</v>
      </c>
      <c r="N350">
        <v>1</v>
      </c>
      <c r="O350" t="s">
        <v>3709</v>
      </c>
      <c r="P350">
        <v>6602621821</v>
      </c>
      <c r="Q350">
        <v>60005304</v>
      </c>
      <c r="R350" s="7">
        <v>31048</v>
      </c>
      <c r="S350" s="8">
        <f t="shared" si="48"/>
        <v>1985</v>
      </c>
      <c r="T350" s="8">
        <v>1985</v>
      </c>
      <c r="U350" s="8">
        <f t="shared" si="49"/>
        <v>37</v>
      </c>
      <c r="V350" s="7">
        <v>31291</v>
      </c>
      <c r="W350" t="s">
        <v>24</v>
      </c>
      <c r="X350" s="2">
        <v>1.6519999999999999</v>
      </c>
      <c r="Y350" s="6">
        <f t="shared" si="46"/>
        <v>4.409919649769093E-2</v>
      </c>
      <c r="AA350" t="s">
        <v>23</v>
      </c>
      <c r="AB350">
        <v>17337</v>
      </c>
      <c r="AC350">
        <v>15582221</v>
      </c>
      <c r="AD350" t="s">
        <v>4</v>
      </c>
      <c r="AE350">
        <v>33</v>
      </c>
      <c r="AF350">
        <v>9</v>
      </c>
      <c r="AH350" t="s">
        <v>3708</v>
      </c>
      <c r="AI350" t="s">
        <v>3707</v>
      </c>
      <c r="AK350" t="s">
        <v>3706</v>
      </c>
      <c r="AL350">
        <v>25</v>
      </c>
      <c r="AM350" s="5">
        <f t="shared" si="50"/>
        <v>0.67567567567567566</v>
      </c>
      <c r="AN350" s="4">
        <f t="shared" si="47"/>
        <v>1.0233633861047719E-3</v>
      </c>
      <c r="AO350" s="3"/>
      <c r="AP350">
        <v>0</v>
      </c>
      <c r="AR350" t="s">
        <v>0</v>
      </c>
      <c r="AT350" s="2" t="s">
        <v>19</v>
      </c>
      <c r="AU350" s="1">
        <f t="shared" si="51"/>
        <v>3.1176446564215081</v>
      </c>
      <c r="AV350" s="1">
        <f t="shared" si="52"/>
        <v>2.2561279941897849</v>
      </c>
      <c r="AW350" s="1">
        <f t="shared" si="53"/>
        <v>1.3946113319580618</v>
      </c>
    </row>
    <row r="351" spans="1:49" x14ac:dyDescent="0.2">
      <c r="A351">
        <v>349</v>
      </c>
      <c r="B351" t="s">
        <v>3705</v>
      </c>
      <c r="C351" t="s">
        <v>3704</v>
      </c>
      <c r="F351" t="s">
        <v>3703</v>
      </c>
      <c r="G351" t="s">
        <v>15</v>
      </c>
      <c r="H351" t="s">
        <v>14</v>
      </c>
      <c r="I351" t="s">
        <v>3702</v>
      </c>
      <c r="J351">
        <v>60026415</v>
      </c>
      <c r="K351" t="s">
        <v>3701</v>
      </c>
      <c r="L351" t="s">
        <v>3700</v>
      </c>
      <c r="M351" t="s">
        <v>122</v>
      </c>
      <c r="N351">
        <v>3</v>
      </c>
      <c r="O351" t="s">
        <v>3699</v>
      </c>
      <c r="P351" t="s">
        <v>3698</v>
      </c>
      <c r="Q351" t="s">
        <v>3697</v>
      </c>
      <c r="R351" s="7">
        <v>31048</v>
      </c>
      <c r="S351" s="8">
        <f t="shared" si="48"/>
        <v>1985</v>
      </c>
      <c r="T351" s="8">
        <v>1985</v>
      </c>
      <c r="U351" s="8">
        <f t="shared" si="49"/>
        <v>37</v>
      </c>
      <c r="V351" s="7">
        <v>31291</v>
      </c>
      <c r="W351" t="s">
        <v>24</v>
      </c>
      <c r="X351" s="2">
        <v>1.6519999999999999</v>
      </c>
      <c r="Y351" s="6">
        <f t="shared" si="46"/>
        <v>4.409919649769093E-2</v>
      </c>
      <c r="AA351" t="s">
        <v>23</v>
      </c>
      <c r="AB351">
        <v>17337</v>
      </c>
      <c r="AC351">
        <v>15582221</v>
      </c>
      <c r="AD351" t="s">
        <v>4</v>
      </c>
      <c r="AE351">
        <v>33</v>
      </c>
      <c r="AF351">
        <v>9</v>
      </c>
      <c r="AH351" t="s">
        <v>3696</v>
      </c>
      <c r="AI351" t="s">
        <v>3695</v>
      </c>
      <c r="AK351" t="s">
        <v>3694</v>
      </c>
      <c r="AL351">
        <v>12</v>
      </c>
      <c r="AM351" s="5">
        <f t="shared" si="50"/>
        <v>0.32432432432432434</v>
      </c>
      <c r="AN351" s="4">
        <f t="shared" si="47"/>
        <v>4.9121442533029054E-4</v>
      </c>
      <c r="AO351" s="3"/>
      <c r="AP351">
        <v>0</v>
      </c>
      <c r="AR351" t="s">
        <v>0</v>
      </c>
      <c r="AT351" s="2" t="s">
        <v>19</v>
      </c>
      <c r="AU351" s="1">
        <f t="shared" si="51"/>
        <v>3.1016801875982738</v>
      </c>
      <c r="AV351" s="1">
        <f t="shared" si="52"/>
        <v>2.2295205461510608</v>
      </c>
      <c r="AW351" s="1">
        <f t="shared" si="53"/>
        <v>1.3573609047038482</v>
      </c>
    </row>
    <row r="352" spans="1:49" x14ac:dyDescent="0.2">
      <c r="A352">
        <v>350</v>
      </c>
      <c r="B352" t="s">
        <v>3693</v>
      </c>
      <c r="C352" t="s">
        <v>3692</v>
      </c>
      <c r="F352" t="s">
        <v>3691</v>
      </c>
      <c r="G352" t="s">
        <v>15</v>
      </c>
      <c r="H352" t="s">
        <v>14</v>
      </c>
      <c r="I352" t="s">
        <v>3690</v>
      </c>
      <c r="J352">
        <v>60027550</v>
      </c>
      <c r="K352" t="s">
        <v>1371</v>
      </c>
      <c r="L352" t="s">
        <v>1006</v>
      </c>
      <c r="M352" t="s">
        <v>122</v>
      </c>
      <c r="N352">
        <v>2</v>
      </c>
      <c r="O352" t="s">
        <v>3689</v>
      </c>
      <c r="P352" t="s">
        <v>3688</v>
      </c>
      <c r="Q352" t="s">
        <v>3687</v>
      </c>
      <c r="R352" s="7">
        <v>31048</v>
      </c>
      <c r="S352" s="8">
        <f t="shared" si="48"/>
        <v>1985</v>
      </c>
      <c r="T352" s="8">
        <v>1985</v>
      </c>
      <c r="U352" s="8">
        <f t="shared" si="49"/>
        <v>37</v>
      </c>
      <c r="V352" s="7">
        <v>31291</v>
      </c>
      <c r="W352" t="s">
        <v>24</v>
      </c>
      <c r="X352" s="2">
        <v>1.6519999999999999</v>
      </c>
      <c r="Y352" s="6">
        <f t="shared" si="46"/>
        <v>4.409919649769093E-2</v>
      </c>
      <c r="AA352" t="s">
        <v>23</v>
      </c>
      <c r="AB352">
        <v>17337</v>
      </c>
      <c r="AC352">
        <v>15582221</v>
      </c>
      <c r="AD352" t="s">
        <v>4</v>
      </c>
      <c r="AE352">
        <v>33</v>
      </c>
      <c r="AF352">
        <v>9</v>
      </c>
      <c r="AH352" t="s">
        <v>3686</v>
      </c>
      <c r="AI352" t="s">
        <v>3685</v>
      </c>
      <c r="AK352" t="s">
        <v>3684</v>
      </c>
      <c r="AL352">
        <v>506</v>
      </c>
      <c r="AM352" s="5">
        <f t="shared" si="50"/>
        <v>13.675675675675675</v>
      </c>
      <c r="AN352" s="4">
        <f t="shared" si="47"/>
        <v>2.0712874934760584E-2</v>
      </c>
      <c r="AO352" s="3"/>
      <c r="AP352">
        <v>0</v>
      </c>
      <c r="AR352" t="s">
        <v>0</v>
      </c>
      <c r="AT352" s="2" t="s">
        <v>19</v>
      </c>
      <c r="AU352" s="1">
        <f t="shared" si="51"/>
        <v>3.7083300028811825</v>
      </c>
      <c r="AV352" s="1">
        <f t="shared" si="52"/>
        <v>3.2406035716225761</v>
      </c>
      <c r="AW352" s="1">
        <f t="shared" si="53"/>
        <v>2.7728771403639683</v>
      </c>
    </row>
    <row r="353" spans="1:49" x14ac:dyDescent="0.2">
      <c r="A353">
        <v>351</v>
      </c>
      <c r="B353" t="s">
        <v>3683</v>
      </c>
      <c r="C353" t="s">
        <v>3682</v>
      </c>
      <c r="F353" t="s">
        <v>3681</v>
      </c>
      <c r="G353" t="s">
        <v>15</v>
      </c>
      <c r="H353" t="s">
        <v>14</v>
      </c>
      <c r="I353" t="s">
        <v>3680</v>
      </c>
      <c r="J353">
        <v>60030821</v>
      </c>
      <c r="K353" t="s">
        <v>1588</v>
      </c>
      <c r="L353" t="s">
        <v>1587</v>
      </c>
      <c r="M353" t="s">
        <v>122</v>
      </c>
      <c r="N353">
        <v>1</v>
      </c>
      <c r="O353" t="s">
        <v>3679</v>
      </c>
      <c r="P353">
        <v>7103019064</v>
      </c>
      <c r="Q353">
        <v>60030821</v>
      </c>
      <c r="R353" s="7">
        <v>31048</v>
      </c>
      <c r="S353" s="8">
        <f t="shared" si="48"/>
        <v>1985</v>
      </c>
      <c r="T353" s="8">
        <v>1985</v>
      </c>
      <c r="U353" s="8">
        <f t="shared" si="49"/>
        <v>37</v>
      </c>
      <c r="V353" s="7">
        <v>31291</v>
      </c>
      <c r="W353" t="s">
        <v>24</v>
      </c>
      <c r="X353" s="2">
        <v>1.6519999999999999</v>
      </c>
      <c r="Y353" s="6">
        <f t="shared" si="46"/>
        <v>4.409919649769093E-2</v>
      </c>
      <c r="AA353" t="s">
        <v>23</v>
      </c>
      <c r="AB353">
        <v>17337</v>
      </c>
      <c r="AC353">
        <v>15582221</v>
      </c>
      <c r="AD353" t="s">
        <v>4</v>
      </c>
      <c r="AE353">
        <v>33</v>
      </c>
      <c r="AF353">
        <v>9</v>
      </c>
      <c r="AH353" t="s">
        <v>3678</v>
      </c>
      <c r="AI353" t="s">
        <v>3677</v>
      </c>
      <c r="AK353" t="s">
        <v>3676</v>
      </c>
      <c r="AL353">
        <v>12</v>
      </c>
      <c r="AM353" s="5">
        <f t="shared" si="50"/>
        <v>0.32432432432432434</v>
      </c>
      <c r="AN353" s="4">
        <f t="shared" si="47"/>
        <v>4.9121442533029054E-4</v>
      </c>
      <c r="AO353" s="3"/>
      <c r="AP353">
        <v>0</v>
      </c>
      <c r="AR353" t="s">
        <v>0</v>
      </c>
      <c r="AT353" s="2" t="s">
        <v>19</v>
      </c>
      <c r="AU353" s="1">
        <f t="shared" si="51"/>
        <v>3.1016801875982738</v>
      </c>
      <c r="AV353" s="1">
        <f t="shared" si="52"/>
        <v>2.2295205461510608</v>
      </c>
      <c r="AW353" s="1">
        <f t="shared" si="53"/>
        <v>1.3573609047038482</v>
      </c>
    </row>
    <row r="354" spans="1:49" x14ac:dyDescent="0.2">
      <c r="A354">
        <v>352</v>
      </c>
      <c r="B354" t="s">
        <v>3675</v>
      </c>
      <c r="C354" t="s">
        <v>3674</v>
      </c>
      <c r="F354" t="s">
        <v>3673</v>
      </c>
      <c r="G354" t="s">
        <v>15</v>
      </c>
      <c r="H354" t="s">
        <v>14</v>
      </c>
      <c r="I354" t="s">
        <v>3672</v>
      </c>
      <c r="J354">
        <v>60003088</v>
      </c>
      <c r="K354" t="s">
        <v>3671</v>
      </c>
      <c r="L354" t="s">
        <v>517</v>
      </c>
      <c r="M354" t="s">
        <v>122</v>
      </c>
      <c r="N354">
        <v>3</v>
      </c>
      <c r="O354" t="s">
        <v>3670</v>
      </c>
      <c r="P354" t="s">
        <v>3669</v>
      </c>
      <c r="Q354" t="s">
        <v>3668</v>
      </c>
      <c r="R354" s="7">
        <v>31048</v>
      </c>
      <c r="S354" s="8">
        <f t="shared" si="48"/>
        <v>1985</v>
      </c>
      <c r="T354" s="8">
        <v>1985</v>
      </c>
      <c r="U354" s="8">
        <f t="shared" si="49"/>
        <v>37</v>
      </c>
      <c r="V354" s="7" t="s">
        <v>3667</v>
      </c>
      <c r="W354" t="s">
        <v>513</v>
      </c>
      <c r="X354" s="2">
        <v>2.9860000000000002</v>
      </c>
      <c r="Y354" s="6">
        <f t="shared" si="46"/>
        <v>7.9709564613865094E-2</v>
      </c>
      <c r="AA354">
        <v>7338716</v>
      </c>
      <c r="AB354">
        <v>18902</v>
      </c>
      <c r="AD354" t="s">
        <v>4</v>
      </c>
      <c r="AE354" t="s">
        <v>3666</v>
      </c>
      <c r="AF354">
        <v>5</v>
      </c>
      <c r="AH354" t="s">
        <v>3665</v>
      </c>
      <c r="AI354" t="s">
        <v>3664</v>
      </c>
      <c r="AK354" t="s">
        <v>3663</v>
      </c>
      <c r="AL354">
        <v>4</v>
      </c>
      <c r="AM354" s="5">
        <f t="shared" si="50"/>
        <v>0.10810810810810811</v>
      </c>
      <c r="AN354" s="4">
        <f t="shared" si="47"/>
        <v>1.6373814177676353E-4</v>
      </c>
      <c r="AO354" s="3"/>
      <c r="AP354">
        <v>0</v>
      </c>
      <c r="AR354" t="s">
        <v>0</v>
      </c>
      <c r="AT354" s="2" t="s">
        <v>19</v>
      </c>
      <c r="AU354" s="1">
        <f t="shared" si="51"/>
        <v>5.5845816672238593</v>
      </c>
      <c r="AV354" s="1">
        <f t="shared" si="52"/>
        <v>3.9936651377820933</v>
      </c>
      <c r="AW354" s="1">
        <f t="shared" si="53"/>
        <v>2.402748608340326</v>
      </c>
    </row>
    <row r="355" spans="1:49" x14ac:dyDescent="0.2">
      <c r="A355">
        <v>353</v>
      </c>
      <c r="B355" t="s">
        <v>3662</v>
      </c>
      <c r="C355" t="s">
        <v>3661</v>
      </c>
      <c r="F355" t="s">
        <v>3660</v>
      </c>
      <c r="G355" t="s">
        <v>15</v>
      </c>
      <c r="H355" t="s">
        <v>14</v>
      </c>
      <c r="I355" t="s">
        <v>3659</v>
      </c>
      <c r="J355" t="s">
        <v>3654</v>
      </c>
      <c r="K355" t="s">
        <v>3658</v>
      </c>
      <c r="L355" t="s">
        <v>3657</v>
      </c>
      <c r="M355" t="s">
        <v>2015</v>
      </c>
      <c r="N355">
        <v>2</v>
      </c>
      <c r="O355" t="s">
        <v>3656</v>
      </c>
      <c r="P355" t="s">
        <v>3655</v>
      </c>
      <c r="Q355" t="s">
        <v>3654</v>
      </c>
      <c r="R355" s="7">
        <v>31048</v>
      </c>
      <c r="S355" s="8">
        <f t="shared" si="48"/>
        <v>1985</v>
      </c>
      <c r="T355" s="8">
        <v>1985</v>
      </c>
      <c r="U355" s="8">
        <f t="shared" si="49"/>
        <v>37</v>
      </c>
      <c r="V355" s="7">
        <v>31291</v>
      </c>
      <c r="W355" t="s">
        <v>3653</v>
      </c>
      <c r="X355" s="2" t="s">
        <v>19</v>
      </c>
      <c r="Y355" s="6" t="e">
        <f t="shared" si="46"/>
        <v>#VALUE!</v>
      </c>
      <c r="AA355">
        <v>8824967</v>
      </c>
      <c r="AB355">
        <v>66186</v>
      </c>
      <c r="AD355" t="s">
        <v>4</v>
      </c>
      <c r="AE355">
        <v>1</v>
      </c>
      <c r="AF355">
        <v>3</v>
      </c>
      <c r="AH355" t="s">
        <v>3652</v>
      </c>
      <c r="AI355" t="s">
        <v>3651</v>
      </c>
      <c r="AK355" t="s">
        <v>3650</v>
      </c>
      <c r="AL355">
        <v>4</v>
      </c>
      <c r="AM355" s="5">
        <f t="shared" si="50"/>
        <v>0.10810810810810811</v>
      </c>
      <c r="AN355" s="4">
        <f t="shared" si="47"/>
        <v>1.6373814177676353E-4</v>
      </c>
      <c r="AO355" s="3"/>
      <c r="AP355">
        <v>0</v>
      </c>
      <c r="AR355" t="s">
        <v>0</v>
      </c>
      <c r="AT355" s="2" t="s">
        <v>19</v>
      </c>
      <c r="AU355" s="1" t="e">
        <f t="shared" si="51"/>
        <v>#VALUE!</v>
      </c>
      <c r="AV355" s="1" t="e">
        <f t="shared" si="52"/>
        <v>#VALUE!</v>
      </c>
      <c r="AW355" s="1" t="e">
        <f t="shared" si="53"/>
        <v>#VALUE!</v>
      </c>
    </row>
    <row r="356" spans="1:49" x14ac:dyDescent="0.2">
      <c r="A356">
        <v>354</v>
      </c>
      <c r="B356" t="s">
        <v>3649</v>
      </c>
      <c r="C356" t="s">
        <v>3648</v>
      </c>
      <c r="F356" t="s">
        <v>3647</v>
      </c>
      <c r="G356" t="s">
        <v>15</v>
      </c>
      <c r="H356" t="s">
        <v>14</v>
      </c>
      <c r="I356" t="s">
        <v>3646</v>
      </c>
      <c r="J356">
        <v>60007716</v>
      </c>
      <c r="K356" t="s">
        <v>699</v>
      </c>
      <c r="L356" t="s">
        <v>698</v>
      </c>
      <c r="M356" t="s">
        <v>272</v>
      </c>
      <c r="N356">
        <v>1</v>
      </c>
      <c r="O356" t="s">
        <v>3645</v>
      </c>
      <c r="P356">
        <v>7005258209</v>
      </c>
      <c r="Q356">
        <v>60007716</v>
      </c>
      <c r="R356" s="7">
        <v>31048</v>
      </c>
      <c r="S356" s="8">
        <f t="shared" si="48"/>
        <v>1985</v>
      </c>
      <c r="T356" s="8">
        <v>1985</v>
      </c>
      <c r="U356" s="8">
        <f t="shared" si="49"/>
        <v>37</v>
      </c>
      <c r="V356" s="7">
        <v>31291</v>
      </c>
      <c r="W356" t="s">
        <v>24</v>
      </c>
      <c r="X356" s="2">
        <v>1.6519999999999999</v>
      </c>
      <c r="Y356" s="6">
        <f t="shared" si="46"/>
        <v>4.409919649769093E-2</v>
      </c>
      <c r="AA356" t="s">
        <v>23</v>
      </c>
      <c r="AB356">
        <v>17337</v>
      </c>
      <c r="AC356">
        <v>15582221</v>
      </c>
      <c r="AD356" t="s">
        <v>4</v>
      </c>
      <c r="AE356">
        <v>33</v>
      </c>
      <c r="AF356">
        <v>9</v>
      </c>
      <c r="AH356" t="s">
        <v>3644</v>
      </c>
      <c r="AI356" t="s">
        <v>3643</v>
      </c>
      <c r="AK356" t="s">
        <v>3642</v>
      </c>
      <c r="AL356">
        <v>52</v>
      </c>
      <c r="AM356" s="5">
        <f t="shared" si="50"/>
        <v>1.4054054054054055</v>
      </c>
      <c r="AN356" s="4">
        <f t="shared" si="47"/>
        <v>2.1285958430979257E-3</v>
      </c>
      <c r="AO356" s="3"/>
      <c r="AP356">
        <v>0</v>
      </c>
      <c r="AR356" t="s">
        <v>0</v>
      </c>
      <c r="AT356" s="2" t="s">
        <v>19</v>
      </c>
      <c r="AU356" s="1">
        <f t="shared" si="51"/>
        <v>3.1508016301313031</v>
      </c>
      <c r="AV356" s="1">
        <f t="shared" si="52"/>
        <v>2.3113896170394428</v>
      </c>
      <c r="AW356" s="1">
        <f t="shared" si="53"/>
        <v>1.4719776039475825</v>
      </c>
    </row>
    <row r="357" spans="1:49" x14ac:dyDescent="0.2">
      <c r="A357">
        <v>355</v>
      </c>
      <c r="B357" t="s">
        <v>3641</v>
      </c>
      <c r="C357" t="s">
        <v>3640</v>
      </c>
      <c r="F357" t="s">
        <v>3639</v>
      </c>
      <c r="G357" t="s">
        <v>15</v>
      </c>
      <c r="H357" t="s">
        <v>14</v>
      </c>
      <c r="I357" t="s">
        <v>3638</v>
      </c>
      <c r="J357" t="s">
        <v>3637</v>
      </c>
      <c r="K357" t="s">
        <v>3636</v>
      </c>
      <c r="L357" t="s">
        <v>2065</v>
      </c>
      <c r="M357" t="s">
        <v>148</v>
      </c>
      <c r="N357">
        <v>2</v>
      </c>
      <c r="O357" t="s">
        <v>3635</v>
      </c>
      <c r="P357" t="s">
        <v>3634</v>
      </c>
      <c r="Q357" t="s">
        <v>3633</v>
      </c>
      <c r="R357" s="7">
        <v>31048</v>
      </c>
      <c r="S357" s="8">
        <f t="shared" si="48"/>
        <v>1985</v>
      </c>
      <c r="T357" s="8">
        <v>1985</v>
      </c>
      <c r="U357" s="8">
        <f t="shared" si="49"/>
        <v>37</v>
      </c>
      <c r="V357" s="7">
        <v>31291</v>
      </c>
      <c r="W357" t="s">
        <v>24</v>
      </c>
      <c r="X357" s="2">
        <v>1.6519999999999999</v>
      </c>
      <c r="Y357" s="6">
        <f t="shared" si="46"/>
        <v>4.409919649769093E-2</v>
      </c>
      <c r="AA357" t="s">
        <v>23</v>
      </c>
      <c r="AB357">
        <v>17337</v>
      </c>
      <c r="AC357">
        <v>15582221</v>
      </c>
      <c r="AD357" t="s">
        <v>4</v>
      </c>
      <c r="AE357">
        <v>33</v>
      </c>
      <c r="AF357">
        <v>9</v>
      </c>
      <c r="AH357" t="s">
        <v>3632</v>
      </c>
      <c r="AI357" t="s">
        <v>3631</v>
      </c>
      <c r="AK357" t="s">
        <v>3630</v>
      </c>
      <c r="AL357">
        <v>2</v>
      </c>
      <c r="AM357" s="5">
        <f t="shared" si="50"/>
        <v>5.4054054054054057E-2</v>
      </c>
      <c r="AN357" s="4">
        <f t="shared" si="47"/>
        <v>8.1869070888381765E-5</v>
      </c>
      <c r="AO357" s="3"/>
      <c r="AP357">
        <v>0</v>
      </c>
      <c r="AR357" t="s">
        <v>0</v>
      </c>
      <c r="AT357" s="2" t="s">
        <v>19</v>
      </c>
      <c r="AU357" s="1">
        <f t="shared" si="51"/>
        <v>3.0893998269650167</v>
      </c>
      <c r="AV357" s="1">
        <f t="shared" si="52"/>
        <v>2.2090532784289656</v>
      </c>
      <c r="AW357" s="1">
        <f t="shared" si="53"/>
        <v>1.3287067298929145</v>
      </c>
    </row>
    <row r="358" spans="1:49" x14ac:dyDescent="0.2">
      <c r="A358">
        <v>356</v>
      </c>
      <c r="B358" t="s">
        <v>3629</v>
      </c>
      <c r="C358" t="s">
        <v>3628</v>
      </c>
      <c r="F358" t="s">
        <v>3627</v>
      </c>
      <c r="G358" t="s">
        <v>15</v>
      </c>
      <c r="H358" t="s">
        <v>14</v>
      </c>
      <c r="I358" t="s">
        <v>3626</v>
      </c>
      <c r="J358" t="s">
        <v>3625</v>
      </c>
      <c r="K358" t="s">
        <v>3624</v>
      </c>
      <c r="L358" t="s">
        <v>3623</v>
      </c>
      <c r="M358" t="s">
        <v>3622</v>
      </c>
      <c r="N358">
        <v>2</v>
      </c>
      <c r="O358" t="s">
        <v>3621</v>
      </c>
      <c r="P358" t="s">
        <v>3620</v>
      </c>
      <c r="Q358" t="s">
        <v>3619</v>
      </c>
      <c r="R358" s="7">
        <v>31048</v>
      </c>
      <c r="S358" s="8">
        <f t="shared" si="48"/>
        <v>1985</v>
      </c>
      <c r="T358" s="8">
        <v>1985</v>
      </c>
      <c r="U358" s="8">
        <f t="shared" si="49"/>
        <v>37</v>
      </c>
      <c r="V358" s="7">
        <v>31291</v>
      </c>
      <c r="W358" t="s">
        <v>24</v>
      </c>
      <c r="X358" s="2">
        <v>1.6519999999999999</v>
      </c>
      <c r="Y358" s="6">
        <f t="shared" si="46"/>
        <v>4.409919649769093E-2</v>
      </c>
      <c r="AA358" t="s">
        <v>23</v>
      </c>
      <c r="AB358">
        <v>17337</v>
      </c>
      <c r="AC358">
        <v>15582221</v>
      </c>
      <c r="AD358" t="s">
        <v>4</v>
      </c>
      <c r="AE358">
        <v>33</v>
      </c>
      <c r="AF358">
        <v>9</v>
      </c>
      <c r="AH358" t="s">
        <v>3618</v>
      </c>
      <c r="AI358" t="s">
        <v>3617</v>
      </c>
      <c r="AK358" t="s">
        <v>3616</v>
      </c>
      <c r="AL358">
        <v>32</v>
      </c>
      <c r="AM358" s="5">
        <f t="shared" si="50"/>
        <v>0.86486486486486491</v>
      </c>
      <c r="AN358" s="4">
        <f t="shared" si="47"/>
        <v>1.3099051342141082E-3</v>
      </c>
      <c r="AO358" s="3"/>
      <c r="AP358">
        <v>0</v>
      </c>
      <c r="AR358" t="s">
        <v>0</v>
      </c>
      <c r="AT358" s="2" t="s">
        <v>19</v>
      </c>
      <c r="AU358" s="1">
        <f t="shared" si="51"/>
        <v>3.1262409088647884</v>
      </c>
      <c r="AV358" s="1">
        <f t="shared" si="52"/>
        <v>2.2704550815952516</v>
      </c>
      <c r="AW358" s="1">
        <f t="shared" si="53"/>
        <v>1.4146692543257153</v>
      </c>
    </row>
    <row r="359" spans="1:49" x14ac:dyDescent="0.2">
      <c r="A359">
        <v>357</v>
      </c>
      <c r="B359" t="s">
        <v>3615</v>
      </c>
      <c r="C359" t="s">
        <v>3614</v>
      </c>
      <c r="F359" t="s">
        <v>3613</v>
      </c>
      <c r="G359" t="s">
        <v>15</v>
      </c>
      <c r="H359" t="s">
        <v>14</v>
      </c>
      <c r="I359" t="s">
        <v>3612</v>
      </c>
      <c r="J359">
        <v>60103653</v>
      </c>
      <c r="K359" t="s">
        <v>3611</v>
      </c>
      <c r="L359" t="s">
        <v>3610</v>
      </c>
      <c r="M359" t="s">
        <v>3609</v>
      </c>
      <c r="N359">
        <v>3</v>
      </c>
      <c r="O359" t="s">
        <v>3608</v>
      </c>
      <c r="P359" t="s">
        <v>3607</v>
      </c>
      <c r="Q359" t="s">
        <v>3606</v>
      </c>
      <c r="R359" s="7">
        <v>31048</v>
      </c>
      <c r="S359" s="8">
        <f t="shared" si="48"/>
        <v>1985</v>
      </c>
      <c r="T359" s="8">
        <v>1985</v>
      </c>
      <c r="U359" s="8">
        <f t="shared" si="49"/>
        <v>37</v>
      </c>
      <c r="V359" s="7">
        <v>31291</v>
      </c>
      <c r="W359" t="s">
        <v>24</v>
      </c>
      <c r="X359" s="2">
        <v>1.6519999999999999</v>
      </c>
      <c r="Y359" s="6">
        <f t="shared" si="46"/>
        <v>4.409919649769093E-2</v>
      </c>
      <c r="AA359" t="s">
        <v>23</v>
      </c>
      <c r="AB359">
        <v>17337</v>
      </c>
      <c r="AC359">
        <v>15582221</v>
      </c>
      <c r="AD359" t="s">
        <v>4</v>
      </c>
      <c r="AE359">
        <v>33</v>
      </c>
      <c r="AF359">
        <v>9</v>
      </c>
      <c r="AH359" t="s">
        <v>3605</v>
      </c>
      <c r="AI359" t="s">
        <v>3604</v>
      </c>
      <c r="AK359" t="s">
        <v>3603</v>
      </c>
      <c r="AL359">
        <v>22</v>
      </c>
      <c r="AM359" s="5">
        <f t="shared" si="50"/>
        <v>0.59459459459459463</v>
      </c>
      <c r="AN359" s="4">
        <f t="shared" si="47"/>
        <v>9.0055977977219939E-4</v>
      </c>
      <c r="AO359" s="3"/>
      <c r="AP359">
        <v>0</v>
      </c>
      <c r="AR359" t="s">
        <v>0</v>
      </c>
      <c r="AT359" s="2" t="s">
        <v>19</v>
      </c>
      <c r="AU359" s="1">
        <f t="shared" si="51"/>
        <v>3.1139605482315309</v>
      </c>
      <c r="AV359" s="1">
        <f t="shared" si="52"/>
        <v>2.2499878138731564</v>
      </c>
      <c r="AW359" s="1">
        <f t="shared" si="53"/>
        <v>1.3860150795147816</v>
      </c>
    </row>
    <row r="360" spans="1:49" x14ac:dyDescent="0.2">
      <c r="A360">
        <v>358</v>
      </c>
      <c r="B360" t="s">
        <v>3602</v>
      </c>
      <c r="C360" t="s">
        <v>3601</v>
      </c>
      <c r="F360" t="s">
        <v>3600</v>
      </c>
      <c r="G360" t="s">
        <v>15</v>
      </c>
      <c r="H360" t="s">
        <v>14</v>
      </c>
      <c r="I360" t="s">
        <v>3599</v>
      </c>
      <c r="J360">
        <v>60033154</v>
      </c>
      <c r="K360" t="s">
        <v>3598</v>
      </c>
      <c r="L360" t="s">
        <v>3597</v>
      </c>
      <c r="M360" t="s">
        <v>76</v>
      </c>
      <c r="N360">
        <v>2</v>
      </c>
      <c r="O360" t="s">
        <v>3596</v>
      </c>
      <c r="P360" t="s">
        <v>3595</v>
      </c>
      <c r="Q360" t="s">
        <v>3594</v>
      </c>
      <c r="R360" s="7">
        <v>31048</v>
      </c>
      <c r="S360" s="8">
        <f t="shared" si="48"/>
        <v>1985</v>
      </c>
      <c r="T360" s="8">
        <v>1985</v>
      </c>
      <c r="U360" s="8">
        <f t="shared" si="49"/>
        <v>37</v>
      </c>
      <c r="V360" s="7">
        <v>31291</v>
      </c>
      <c r="W360" t="s">
        <v>2593</v>
      </c>
      <c r="X360" s="2">
        <v>0.78200000000000003</v>
      </c>
      <c r="Y360" s="6">
        <f t="shared" si="46"/>
        <v>2.0875043378446919E-2</v>
      </c>
      <c r="AA360">
        <v>189316</v>
      </c>
      <c r="AB360">
        <v>19901</v>
      </c>
      <c r="AC360">
        <v>15579611</v>
      </c>
      <c r="AD360" t="s">
        <v>4</v>
      </c>
      <c r="AE360" t="s">
        <v>2592</v>
      </c>
      <c r="AF360">
        <v>3</v>
      </c>
      <c r="AH360" t="s">
        <v>3593</v>
      </c>
      <c r="AI360" t="s">
        <v>3592</v>
      </c>
      <c r="AK360" t="s">
        <v>3591</v>
      </c>
      <c r="AL360">
        <v>9</v>
      </c>
      <c r="AM360" s="5">
        <f t="shared" si="50"/>
        <v>0.24324324324324326</v>
      </c>
      <c r="AN360" s="4">
        <f t="shared" si="47"/>
        <v>3.684108189977179E-4</v>
      </c>
      <c r="AO360" s="3"/>
      <c r="AP360">
        <v>0</v>
      </c>
      <c r="AR360" t="s">
        <v>0</v>
      </c>
      <c r="AT360" s="2">
        <v>3.863</v>
      </c>
      <c r="AU360" s="1">
        <f t="shared" si="51"/>
        <v>1.4723053610612156</v>
      </c>
      <c r="AV360" s="1">
        <f t="shared" si="52"/>
        <v>1.0621727098722318</v>
      </c>
      <c r="AW360" s="1">
        <f t="shared" si="53"/>
        <v>0.65204005868324788</v>
      </c>
    </row>
    <row r="361" spans="1:49" x14ac:dyDescent="0.2">
      <c r="A361">
        <v>359</v>
      </c>
      <c r="B361" t="s">
        <v>3590</v>
      </c>
      <c r="C361" t="s">
        <v>3589</v>
      </c>
      <c r="F361" t="s">
        <v>3588</v>
      </c>
      <c r="G361" t="s">
        <v>15</v>
      </c>
      <c r="H361" t="s">
        <v>14</v>
      </c>
      <c r="I361" t="s">
        <v>3587</v>
      </c>
      <c r="J361">
        <v>60013272</v>
      </c>
      <c r="K361" t="s">
        <v>863</v>
      </c>
      <c r="L361" t="s">
        <v>862</v>
      </c>
      <c r="M361" t="s">
        <v>861</v>
      </c>
      <c r="N361">
        <v>1</v>
      </c>
      <c r="O361" t="s">
        <v>3586</v>
      </c>
      <c r="P361">
        <v>57203176700</v>
      </c>
      <c r="Q361">
        <v>60013272</v>
      </c>
      <c r="R361" s="7">
        <v>31048</v>
      </c>
      <c r="S361" s="8">
        <f t="shared" si="48"/>
        <v>1985</v>
      </c>
      <c r="T361" s="8">
        <v>1985</v>
      </c>
      <c r="U361" s="8">
        <f t="shared" si="49"/>
        <v>37</v>
      </c>
      <c r="V361" s="7">
        <v>1985</v>
      </c>
      <c r="W361" t="s">
        <v>540</v>
      </c>
      <c r="X361" s="2">
        <v>0.375</v>
      </c>
      <c r="Y361" s="6">
        <f t="shared" si="46"/>
        <v>1.0010410827260351E-2</v>
      </c>
      <c r="AA361">
        <v>135194</v>
      </c>
      <c r="AB361">
        <v>24918</v>
      </c>
      <c r="AD361" t="s">
        <v>4</v>
      </c>
      <c r="AE361">
        <v>21</v>
      </c>
      <c r="AF361">
        <v>16</v>
      </c>
      <c r="AH361" t="s">
        <v>3585</v>
      </c>
      <c r="AI361" t="s">
        <v>3584</v>
      </c>
      <c r="AJ361" t="s">
        <v>3583</v>
      </c>
      <c r="AK361" t="s">
        <v>3582</v>
      </c>
      <c r="AL361">
        <v>5</v>
      </c>
      <c r="AM361" s="5">
        <f t="shared" si="50"/>
        <v>0.13513513513513514</v>
      </c>
      <c r="AN361" s="4">
        <f t="shared" si="47"/>
        <v>2.046726772209544E-4</v>
      </c>
      <c r="AO361" s="3"/>
      <c r="AP361">
        <v>0</v>
      </c>
      <c r="AR361" t="s">
        <v>0</v>
      </c>
      <c r="AT361" s="2">
        <v>1.3140000000000001</v>
      </c>
      <c r="AU361" s="1">
        <f t="shared" si="51"/>
        <v>0.70686893822485319</v>
      </c>
      <c r="AV361" s="1">
        <f t="shared" si="52"/>
        <v>0.5107541752240653</v>
      </c>
      <c r="AW361" s="1">
        <f t="shared" si="53"/>
        <v>0.31463941222327735</v>
      </c>
    </row>
    <row r="362" spans="1:49" x14ac:dyDescent="0.2">
      <c r="A362">
        <v>360</v>
      </c>
      <c r="B362" t="s">
        <v>3581</v>
      </c>
      <c r="C362" t="s">
        <v>3580</v>
      </c>
      <c r="F362" t="s">
        <v>3579</v>
      </c>
      <c r="G362" t="s">
        <v>15</v>
      </c>
      <c r="H362" t="s">
        <v>14</v>
      </c>
      <c r="I362" t="s">
        <v>3578</v>
      </c>
      <c r="J362">
        <v>101423957</v>
      </c>
      <c r="K362" t="s">
        <v>3577</v>
      </c>
      <c r="M362" t="s">
        <v>272</v>
      </c>
      <c r="N362">
        <v>3</v>
      </c>
      <c r="O362" t="s">
        <v>3576</v>
      </c>
      <c r="P362" t="s">
        <v>3575</v>
      </c>
      <c r="Q362" t="s">
        <v>3574</v>
      </c>
      <c r="R362" s="7">
        <v>31048</v>
      </c>
      <c r="S362" s="8">
        <f t="shared" si="48"/>
        <v>1985</v>
      </c>
      <c r="T362" s="8">
        <v>1985</v>
      </c>
      <c r="U362" s="8">
        <f t="shared" si="49"/>
        <v>37</v>
      </c>
      <c r="V362" s="7">
        <v>1985</v>
      </c>
      <c r="W362" t="s">
        <v>540</v>
      </c>
      <c r="X362" s="2">
        <v>0.375</v>
      </c>
      <c r="Y362" s="6">
        <f t="shared" si="46"/>
        <v>1.0010410827260351E-2</v>
      </c>
      <c r="AA362">
        <v>135194</v>
      </c>
      <c r="AB362">
        <v>24918</v>
      </c>
      <c r="AD362" t="s">
        <v>4</v>
      </c>
      <c r="AE362">
        <v>21</v>
      </c>
      <c r="AF362">
        <v>17</v>
      </c>
      <c r="AH362" t="s">
        <v>3573</v>
      </c>
      <c r="AI362" t="s">
        <v>3572</v>
      </c>
      <c r="AJ362" t="s">
        <v>3571</v>
      </c>
      <c r="AK362" t="s">
        <v>3570</v>
      </c>
      <c r="AL362">
        <v>1</v>
      </c>
      <c r="AM362" s="5">
        <f t="shared" si="50"/>
        <v>2.7027027027027029E-2</v>
      </c>
      <c r="AN362" s="4">
        <f t="shared" si="47"/>
        <v>4.0934535444190883E-5</v>
      </c>
      <c r="AO362" s="3"/>
      <c r="AP362">
        <v>0</v>
      </c>
      <c r="AR362" t="s">
        <v>0</v>
      </c>
      <c r="AT362" s="2">
        <v>1.3140000000000001</v>
      </c>
      <c r="AU362" s="1">
        <f t="shared" si="51"/>
        <v>0.70195679397155031</v>
      </c>
      <c r="AV362" s="1">
        <f t="shared" si="52"/>
        <v>0.50256726813522712</v>
      </c>
      <c r="AW362" s="1">
        <f t="shared" si="53"/>
        <v>0.30317774229890387</v>
      </c>
    </row>
    <row r="363" spans="1:49" x14ac:dyDescent="0.2">
      <c r="A363">
        <v>361</v>
      </c>
      <c r="B363" t="s">
        <v>3569</v>
      </c>
      <c r="C363" t="s">
        <v>3568</v>
      </c>
      <c r="F363" t="s">
        <v>3567</v>
      </c>
      <c r="G363" t="s">
        <v>15</v>
      </c>
      <c r="H363" t="s">
        <v>14</v>
      </c>
      <c r="I363" t="s">
        <v>3566</v>
      </c>
      <c r="J363">
        <v>60003771</v>
      </c>
      <c r="K363" t="s">
        <v>3565</v>
      </c>
      <c r="L363" t="s">
        <v>3564</v>
      </c>
      <c r="M363" t="s">
        <v>530</v>
      </c>
      <c r="N363">
        <v>1</v>
      </c>
      <c r="O363" t="s">
        <v>3563</v>
      </c>
      <c r="P363">
        <v>6602481263</v>
      </c>
      <c r="Q363">
        <v>60003771</v>
      </c>
      <c r="R363" s="7">
        <v>31048</v>
      </c>
      <c r="S363" s="8">
        <f t="shared" si="48"/>
        <v>1985</v>
      </c>
      <c r="T363" s="8">
        <v>1985</v>
      </c>
      <c r="U363" s="8">
        <f t="shared" si="49"/>
        <v>37</v>
      </c>
      <c r="V363" s="7">
        <v>1985</v>
      </c>
      <c r="W363" t="s">
        <v>540</v>
      </c>
      <c r="X363" s="2">
        <v>0.375</v>
      </c>
      <c r="Y363" s="6">
        <f t="shared" si="46"/>
        <v>1.0010410827260351E-2</v>
      </c>
      <c r="AA363">
        <v>135194</v>
      </c>
      <c r="AB363">
        <v>24918</v>
      </c>
      <c r="AD363" t="s">
        <v>4</v>
      </c>
      <c r="AE363">
        <v>21</v>
      </c>
      <c r="AF363">
        <v>17</v>
      </c>
      <c r="AH363" t="s">
        <v>3562</v>
      </c>
      <c r="AI363" t="s">
        <v>3561</v>
      </c>
      <c r="AJ363" t="s">
        <v>3560</v>
      </c>
      <c r="AK363" t="s">
        <v>3559</v>
      </c>
      <c r="AL363">
        <v>0</v>
      </c>
      <c r="AM363" s="5">
        <f t="shared" si="50"/>
        <v>0</v>
      </c>
      <c r="AN363" s="4">
        <f t="shared" si="47"/>
        <v>0</v>
      </c>
      <c r="AO363" s="3"/>
      <c r="AP363">
        <v>0</v>
      </c>
      <c r="AR363" t="s">
        <v>0</v>
      </c>
      <c r="AT363" s="2">
        <v>1.3140000000000001</v>
      </c>
      <c r="AU363" s="1">
        <f t="shared" si="51"/>
        <v>0.70072875790822453</v>
      </c>
      <c r="AV363" s="1">
        <f t="shared" si="52"/>
        <v>0.5005205413630176</v>
      </c>
      <c r="AW363" s="1">
        <f t="shared" si="53"/>
        <v>0.30031232481781051</v>
      </c>
    </row>
    <row r="364" spans="1:49" x14ac:dyDescent="0.2">
      <c r="A364">
        <v>362</v>
      </c>
      <c r="B364" t="s">
        <v>3558</v>
      </c>
      <c r="C364" t="s">
        <v>3557</v>
      </c>
      <c r="F364" t="s">
        <v>3556</v>
      </c>
      <c r="G364" t="s">
        <v>15</v>
      </c>
      <c r="H364" t="s">
        <v>14</v>
      </c>
      <c r="I364" t="s">
        <v>3555</v>
      </c>
      <c r="J364" t="s">
        <v>3554</v>
      </c>
      <c r="K364" t="s">
        <v>3553</v>
      </c>
      <c r="L364" t="s">
        <v>3552</v>
      </c>
      <c r="M364" t="s">
        <v>3551</v>
      </c>
      <c r="N364">
        <v>2</v>
      </c>
      <c r="O364" t="s">
        <v>3550</v>
      </c>
      <c r="P364" t="s">
        <v>3549</v>
      </c>
      <c r="Q364" t="s">
        <v>3548</v>
      </c>
      <c r="R364" s="7">
        <v>31048</v>
      </c>
      <c r="S364" s="8">
        <f t="shared" si="48"/>
        <v>1985</v>
      </c>
      <c r="T364" s="8">
        <v>1985</v>
      </c>
      <c r="U364" s="8">
        <f t="shared" si="49"/>
        <v>37</v>
      </c>
      <c r="V364" s="7">
        <v>1985</v>
      </c>
      <c r="W364" s="11" t="s">
        <v>2012</v>
      </c>
      <c r="X364" s="2">
        <v>2.383</v>
      </c>
      <c r="Y364" s="6">
        <f t="shared" si="46"/>
        <v>6.3612824003630442E-2</v>
      </c>
      <c r="AA364">
        <v>1437070</v>
      </c>
      <c r="AB364">
        <v>39742</v>
      </c>
      <c r="AD364" t="s">
        <v>4</v>
      </c>
      <c r="AE364">
        <v>132</v>
      </c>
      <c r="AF364">
        <v>5</v>
      </c>
      <c r="AH364" t="s">
        <v>3547</v>
      </c>
      <c r="AI364" t="s">
        <v>3546</v>
      </c>
      <c r="AJ364" t="s">
        <v>3545</v>
      </c>
      <c r="AK364" t="s">
        <v>3544</v>
      </c>
      <c r="AL364">
        <v>1</v>
      </c>
      <c r="AM364" s="5">
        <f t="shared" si="50"/>
        <v>2.7027027027027029E-2</v>
      </c>
      <c r="AN364" s="4">
        <f t="shared" si="47"/>
        <v>4.0934535444190883E-5</v>
      </c>
      <c r="AO364" s="3"/>
      <c r="AP364">
        <v>0</v>
      </c>
      <c r="AR364" t="s">
        <v>0</v>
      </c>
      <c r="AT364" s="2" t="s">
        <v>19</v>
      </c>
      <c r="AU364" s="1">
        <f t="shared" si="51"/>
        <v>4.4541257163174564</v>
      </c>
      <c r="AV364" s="1">
        <f t="shared" si="52"/>
        <v>3.182687926953732</v>
      </c>
      <c r="AW364" s="1">
        <f t="shared" si="53"/>
        <v>1.9112501375900064</v>
      </c>
    </row>
    <row r="365" spans="1:49" x14ac:dyDescent="0.2">
      <c r="A365">
        <v>363</v>
      </c>
      <c r="B365" t="s">
        <v>3543</v>
      </c>
      <c r="C365" t="s">
        <v>3542</v>
      </c>
      <c r="F365" t="s">
        <v>3541</v>
      </c>
      <c r="G365" t="s">
        <v>15</v>
      </c>
      <c r="H365" t="s">
        <v>14</v>
      </c>
      <c r="I365" t="s">
        <v>3540</v>
      </c>
      <c r="J365">
        <v>60101699</v>
      </c>
      <c r="K365" t="s">
        <v>595</v>
      </c>
      <c r="L365" t="s">
        <v>594</v>
      </c>
      <c r="M365" t="s">
        <v>544</v>
      </c>
      <c r="N365">
        <v>3</v>
      </c>
      <c r="O365" t="s">
        <v>3539</v>
      </c>
      <c r="P365" t="s">
        <v>3538</v>
      </c>
      <c r="Q365" t="s">
        <v>591</v>
      </c>
      <c r="R365" s="7">
        <v>31048</v>
      </c>
      <c r="S365" s="8">
        <f t="shared" si="48"/>
        <v>1985</v>
      </c>
      <c r="T365" s="8">
        <v>1985</v>
      </c>
      <c r="U365" s="8">
        <f t="shared" si="49"/>
        <v>37</v>
      </c>
      <c r="V365" s="7">
        <v>1985</v>
      </c>
      <c r="W365" t="s">
        <v>590</v>
      </c>
      <c r="X365" s="2">
        <v>0.111</v>
      </c>
      <c r="Y365" s="6">
        <f t="shared" si="46"/>
        <v>2.9630816048690639E-3</v>
      </c>
      <c r="AA365">
        <v>87566621</v>
      </c>
      <c r="AB365">
        <v>24890</v>
      </c>
      <c r="AC365">
        <v>15206424</v>
      </c>
      <c r="AD365" t="s">
        <v>4</v>
      </c>
      <c r="AE365">
        <v>68</v>
      </c>
      <c r="AF365">
        <v>8</v>
      </c>
      <c r="AH365" t="s">
        <v>3537</v>
      </c>
      <c r="AI365" t="s">
        <v>3536</v>
      </c>
      <c r="AK365" t="s">
        <v>3535</v>
      </c>
      <c r="AL365">
        <v>1</v>
      </c>
      <c r="AM365" s="5">
        <f t="shared" si="50"/>
        <v>2.7027027027027029E-2</v>
      </c>
      <c r="AN365" s="4">
        <f t="shared" si="47"/>
        <v>4.0934535444190883E-5</v>
      </c>
      <c r="AO365" s="3"/>
      <c r="AP365">
        <v>0</v>
      </c>
      <c r="AR365" t="s">
        <v>0</v>
      </c>
      <c r="AT365" s="2" t="s">
        <v>19</v>
      </c>
      <c r="AU365" s="1">
        <f t="shared" si="51"/>
        <v>0.20864374840416014</v>
      </c>
      <c r="AV365" s="1">
        <f t="shared" si="52"/>
        <v>0.15020080701566274</v>
      </c>
      <c r="AW365" s="1">
        <f t="shared" si="53"/>
        <v>9.1757865627165272E-2</v>
      </c>
    </row>
    <row r="366" spans="1:49" x14ac:dyDescent="0.2">
      <c r="A366">
        <v>364</v>
      </c>
      <c r="B366" t="s">
        <v>3534</v>
      </c>
      <c r="C366" t="s">
        <v>3533</v>
      </c>
      <c r="F366" t="s">
        <v>3532</v>
      </c>
      <c r="G366" t="s">
        <v>15</v>
      </c>
      <c r="H366" t="s">
        <v>14</v>
      </c>
      <c r="I366" t="s">
        <v>3531</v>
      </c>
      <c r="J366">
        <v>60022109</v>
      </c>
      <c r="K366" t="s">
        <v>3530</v>
      </c>
      <c r="L366" t="s">
        <v>1090</v>
      </c>
      <c r="M366" t="s">
        <v>530</v>
      </c>
      <c r="N366">
        <v>3</v>
      </c>
      <c r="O366" t="s">
        <v>3529</v>
      </c>
      <c r="P366" t="s">
        <v>3528</v>
      </c>
      <c r="Q366" t="s">
        <v>3527</v>
      </c>
      <c r="R366" s="7">
        <v>31048</v>
      </c>
      <c r="S366" s="8">
        <f t="shared" si="48"/>
        <v>1985</v>
      </c>
      <c r="T366" s="8">
        <v>1985</v>
      </c>
      <c r="U366" s="8">
        <f t="shared" si="49"/>
        <v>37</v>
      </c>
      <c r="V366" s="7">
        <v>1985</v>
      </c>
      <c r="W366" t="s">
        <v>540</v>
      </c>
      <c r="X366" s="2">
        <v>0.375</v>
      </c>
      <c r="Y366" s="6">
        <f t="shared" si="46"/>
        <v>1.0010410827260351E-2</v>
      </c>
      <c r="AA366">
        <v>135194</v>
      </c>
      <c r="AB366">
        <v>24918</v>
      </c>
      <c r="AD366" t="s">
        <v>4</v>
      </c>
      <c r="AE366">
        <v>21</v>
      </c>
      <c r="AF366">
        <v>18</v>
      </c>
      <c r="AH366" t="s">
        <v>3526</v>
      </c>
      <c r="AI366" t="s">
        <v>3525</v>
      </c>
      <c r="AJ366" t="s">
        <v>3524</v>
      </c>
      <c r="AK366" t="s">
        <v>3523</v>
      </c>
      <c r="AL366">
        <v>1</v>
      </c>
      <c r="AM366" s="5">
        <f t="shared" si="50"/>
        <v>2.7027027027027029E-2</v>
      </c>
      <c r="AN366" s="4">
        <f t="shared" si="47"/>
        <v>4.0934535444190883E-5</v>
      </c>
      <c r="AO366" s="3"/>
      <c r="AP366">
        <v>0</v>
      </c>
      <c r="AR366" t="s">
        <v>0</v>
      </c>
      <c r="AT366" s="2">
        <v>1.3140000000000001</v>
      </c>
      <c r="AU366" s="1">
        <f t="shared" si="51"/>
        <v>0.70195679397155031</v>
      </c>
      <c r="AV366" s="1">
        <f t="shared" si="52"/>
        <v>0.50256726813522712</v>
      </c>
      <c r="AW366" s="1">
        <f t="shared" si="53"/>
        <v>0.30317774229890387</v>
      </c>
    </row>
    <row r="367" spans="1:49" x14ac:dyDescent="0.2">
      <c r="A367">
        <v>365</v>
      </c>
      <c r="B367" t="s">
        <v>3522</v>
      </c>
      <c r="C367" t="s">
        <v>3521</v>
      </c>
      <c r="F367" t="s">
        <v>3520</v>
      </c>
      <c r="G367" t="s">
        <v>15</v>
      </c>
      <c r="H367" t="s">
        <v>14</v>
      </c>
      <c r="I367" t="s">
        <v>3519</v>
      </c>
      <c r="J367">
        <v>60009658</v>
      </c>
      <c r="K367" t="s">
        <v>2043</v>
      </c>
      <c r="L367" t="s">
        <v>2042</v>
      </c>
      <c r="M367" t="s">
        <v>530</v>
      </c>
      <c r="N367">
        <v>2</v>
      </c>
      <c r="O367" t="s">
        <v>3518</v>
      </c>
      <c r="P367" t="s">
        <v>3517</v>
      </c>
      <c r="Q367" t="s">
        <v>3516</v>
      </c>
      <c r="R367" s="7">
        <v>31048</v>
      </c>
      <c r="S367" s="8">
        <f t="shared" si="48"/>
        <v>1985</v>
      </c>
      <c r="T367" s="8">
        <v>1985</v>
      </c>
      <c r="U367" s="8">
        <f t="shared" si="49"/>
        <v>37</v>
      </c>
      <c r="V367" s="7">
        <v>1985</v>
      </c>
      <c r="W367" t="s">
        <v>540</v>
      </c>
      <c r="X367" s="2">
        <v>0.375</v>
      </c>
      <c r="Y367" s="6">
        <f t="shared" si="46"/>
        <v>1.0010410827260351E-2</v>
      </c>
      <c r="AA367">
        <v>135194</v>
      </c>
      <c r="AB367">
        <v>24918</v>
      </c>
      <c r="AD367" t="s">
        <v>4</v>
      </c>
      <c r="AE367">
        <v>21</v>
      </c>
      <c r="AF367">
        <v>17</v>
      </c>
      <c r="AH367" t="s">
        <v>3515</v>
      </c>
      <c r="AI367" t="s">
        <v>3514</v>
      </c>
      <c r="AJ367" t="s">
        <v>3513</v>
      </c>
      <c r="AK367" t="s">
        <v>3512</v>
      </c>
      <c r="AL367">
        <v>9</v>
      </c>
      <c r="AM367" s="5">
        <f t="shared" si="50"/>
        <v>0.24324324324324326</v>
      </c>
      <c r="AN367" s="4">
        <f t="shared" si="47"/>
        <v>3.684108189977179E-4</v>
      </c>
      <c r="AO367" s="3"/>
      <c r="AP367">
        <v>0</v>
      </c>
      <c r="AR367" t="s">
        <v>0</v>
      </c>
      <c r="AT367" s="2">
        <v>1.3140000000000001</v>
      </c>
      <c r="AU367" s="1">
        <f t="shared" si="51"/>
        <v>0.71178108247815608</v>
      </c>
      <c r="AV367" s="1">
        <f t="shared" si="52"/>
        <v>0.51894108231290348</v>
      </c>
      <c r="AW367" s="1">
        <f t="shared" si="53"/>
        <v>0.32610108214765077</v>
      </c>
    </row>
    <row r="368" spans="1:49" x14ac:dyDescent="0.2">
      <c r="A368">
        <v>366</v>
      </c>
      <c r="B368" t="s">
        <v>3511</v>
      </c>
      <c r="C368" t="s">
        <v>3510</v>
      </c>
      <c r="F368" t="s">
        <v>3509</v>
      </c>
      <c r="G368" t="s">
        <v>15</v>
      </c>
      <c r="H368" t="s">
        <v>14</v>
      </c>
      <c r="I368" t="s">
        <v>3508</v>
      </c>
      <c r="J368">
        <v>60017605</v>
      </c>
      <c r="K368" t="s">
        <v>3507</v>
      </c>
      <c r="L368" t="s">
        <v>3506</v>
      </c>
      <c r="M368" t="s">
        <v>3505</v>
      </c>
      <c r="N368">
        <v>2</v>
      </c>
      <c r="O368" t="s">
        <v>3504</v>
      </c>
      <c r="P368" t="s">
        <v>3503</v>
      </c>
      <c r="Q368" t="s">
        <v>3502</v>
      </c>
      <c r="R368" s="7">
        <v>31048</v>
      </c>
      <c r="S368" s="8">
        <f t="shared" si="48"/>
        <v>1985</v>
      </c>
      <c r="T368" s="8">
        <v>1985</v>
      </c>
      <c r="U368" s="8">
        <f t="shared" si="49"/>
        <v>37</v>
      </c>
      <c r="V368" s="7">
        <v>1985</v>
      </c>
      <c r="W368" t="s">
        <v>540</v>
      </c>
      <c r="X368" s="2">
        <v>0.375</v>
      </c>
      <c r="Y368" s="6">
        <f t="shared" si="46"/>
        <v>1.0010410827260351E-2</v>
      </c>
      <c r="AA368">
        <v>135194</v>
      </c>
      <c r="AB368">
        <v>24918</v>
      </c>
      <c r="AD368" t="s">
        <v>4</v>
      </c>
      <c r="AE368">
        <v>21</v>
      </c>
      <c r="AF368">
        <v>16</v>
      </c>
      <c r="AH368" t="s">
        <v>3501</v>
      </c>
      <c r="AI368" t="s">
        <v>3500</v>
      </c>
      <c r="AJ368" t="s">
        <v>3499</v>
      </c>
      <c r="AK368" t="s">
        <v>3498</v>
      </c>
      <c r="AL368">
        <v>1</v>
      </c>
      <c r="AM368" s="5">
        <f t="shared" si="50"/>
        <v>2.7027027027027029E-2</v>
      </c>
      <c r="AN368" s="4">
        <f t="shared" si="47"/>
        <v>4.0934535444190883E-5</v>
      </c>
      <c r="AO368" s="3"/>
      <c r="AP368">
        <v>0</v>
      </c>
      <c r="AR368" t="s">
        <v>0</v>
      </c>
      <c r="AT368" s="2">
        <v>1.3140000000000001</v>
      </c>
      <c r="AU368" s="1">
        <f t="shared" si="51"/>
        <v>0.70195679397155031</v>
      </c>
      <c r="AV368" s="1">
        <f t="shared" si="52"/>
        <v>0.50256726813522712</v>
      </c>
      <c r="AW368" s="1">
        <f t="shared" si="53"/>
        <v>0.30317774229890387</v>
      </c>
    </row>
    <row r="369" spans="1:49" x14ac:dyDescent="0.2">
      <c r="A369">
        <v>367</v>
      </c>
      <c r="B369" t="s">
        <v>3497</v>
      </c>
      <c r="C369" t="s">
        <v>3496</v>
      </c>
      <c r="F369" t="s">
        <v>3495</v>
      </c>
      <c r="G369" t="s">
        <v>15</v>
      </c>
      <c r="H369" t="s">
        <v>14</v>
      </c>
      <c r="I369" t="s">
        <v>3494</v>
      </c>
      <c r="J369">
        <v>60011664</v>
      </c>
      <c r="K369" t="s">
        <v>3493</v>
      </c>
      <c r="L369" t="s">
        <v>3492</v>
      </c>
      <c r="M369" t="s">
        <v>43</v>
      </c>
      <c r="N369">
        <v>3</v>
      </c>
      <c r="O369" t="s">
        <v>3491</v>
      </c>
      <c r="P369" t="s">
        <v>3490</v>
      </c>
      <c r="Q369" t="s">
        <v>3489</v>
      </c>
      <c r="R369" s="7">
        <v>31048</v>
      </c>
      <c r="S369" s="8">
        <f t="shared" si="48"/>
        <v>1985</v>
      </c>
      <c r="T369" s="8">
        <v>1985</v>
      </c>
      <c r="U369" s="8">
        <f t="shared" si="49"/>
        <v>37</v>
      </c>
      <c r="V369" s="7" t="s">
        <v>3460</v>
      </c>
      <c r="W369" s="11" t="s">
        <v>1366</v>
      </c>
      <c r="X369" s="2">
        <v>2.383</v>
      </c>
      <c r="Y369" s="6">
        <f t="shared" si="46"/>
        <v>6.3612824003630442E-2</v>
      </c>
      <c r="AA369">
        <v>1437097</v>
      </c>
      <c r="AB369">
        <v>101236</v>
      </c>
      <c r="AD369" t="s">
        <v>4</v>
      </c>
      <c r="AE369">
        <v>132</v>
      </c>
      <c r="AF369">
        <v>5</v>
      </c>
      <c r="AH369" t="s">
        <v>3488</v>
      </c>
      <c r="AI369" t="s">
        <v>3487</v>
      </c>
      <c r="AK369" t="s">
        <v>3486</v>
      </c>
      <c r="AL369">
        <v>1</v>
      </c>
      <c r="AM369" s="5">
        <f t="shared" si="50"/>
        <v>2.7027027027027029E-2</v>
      </c>
      <c r="AN369" s="4">
        <f t="shared" si="47"/>
        <v>4.0934535444190883E-5</v>
      </c>
      <c r="AO369" s="3"/>
      <c r="AP369">
        <v>0</v>
      </c>
      <c r="AR369" t="s">
        <v>0</v>
      </c>
      <c r="AT369" s="2" t="s">
        <v>19</v>
      </c>
      <c r="AU369" s="1">
        <f t="shared" si="51"/>
        <v>4.4541257163174564</v>
      </c>
      <c r="AV369" s="1">
        <f t="shared" si="52"/>
        <v>3.182687926953732</v>
      </c>
      <c r="AW369" s="1">
        <f t="shared" si="53"/>
        <v>1.9112501375900064</v>
      </c>
    </row>
    <row r="370" spans="1:49" x14ac:dyDescent="0.2">
      <c r="A370">
        <v>368</v>
      </c>
      <c r="B370" t="s">
        <v>3485</v>
      </c>
      <c r="C370" t="s">
        <v>3484</v>
      </c>
      <c r="F370" t="s">
        <v>3483</v>
      </c>
      <c r="G370" t="s">
        <v>15</v>
      </c>
      <c r="H370" t="s">
        <v>14</v>
      </c>
      <c r="I370" t="s">
        <v>2089</v>
      </c>
      <c r="J370">
        <v>115882780</v>
      </c>
      <c r="K370" t="s">
        <v>3482</v>
      </c>
      <c r="L370" t="s">
        <v>2087</v>
      </c>
      <c r="M370" t="s">
        <v>2086</v>
      </c>
      <c r="N370">
        <v>2</v>
      </c>
      <c r="O370" t="s">
        <v>3481</v>
      </c>
      <c r="P370" t="s">
        <v>3480</v>
      </c>
      <c r="Q370" t="s">
        <v>3479</v>
      </c>
      <c r="R370" s="7">
        <v>31048</v>
      </c>
      <c r="S370" s="8">
        <f t="shared" si="48"/>
        <v>1985</v>
      </c>
      <c r="T370" s="8">
        <v>1985</v>
      </c>
      <c r="U370" s="8">
        <f t="shared" si="49"/>
        <v>37</v>
      </c>
      <c r="V370" s="7" t="s">
        <v>3460</v>
      </c>
      <c r="W370" s="11" t="s">
        <v>1366</v>
      </c>
      <c r="X370" s="2">
        <v>2.383</v>
      </c>
      <c r="Y370" s="6">
        <f t="shared" si="46"/>
        <v>6.3612824003630442E-2</v>
      </c>
      <c r="AA370">
        <v>1437097</v>
      </c>
      <c r="AB370">
        <v>101236</v>
      </c>
      <c r="AD370" t="s">
        <v>4</v>
      </c>
      <c r="AE370">
        <v>132</v>
      </c>
      <c r="AF370">
        <v>5</v>
      </c>
      <c r="AH370" t="s">
        <v>3478</v>
      </c>
      <c r="AI370" t="s">
        <v>3477</v>
      </c>
      <c r="AK370" t="s">
        <v>3476</v>
      </c>
      <c r="AL370">
        <v>1</v>
      </c>
      <c r="AM370" s="5">
        <f t="shared" si="50"/>
        <v>2.7027027027027029E-2</v>
      </c>
      <c r="AN370" s="4">
        <f t="shared" si="47"/>
        <v>4.0934535444190883E-5</v>
      </c>
      <c r="AO370" s="3"/>
      <c r="AP370">
        <v>0</v>
      </c>
      <c r="AR370" t="s">
        <v>0</v>
      </c>
      <c r="AT370" s="2" t="s">
        <v>19</v>
      </c>
      <c r="AU370" s="1">
        <f t="shared" si="51"/>
        <v>4.4541257163174564</v>
      </c>
      <c r="AV370" s="1">
        <f t="shared" si="52"/>
        <v>3.182687926953732</v>
      </c>
      <c r="AW370" s="1">
        <f t="shared" si="53"/>
        <v>1.9112501375900064</v>
      </c>
    </row>
    <row r="371" spans="1:49" x14ac:dyDescent="0.2">
      <c r="A371">
        <v>369</v>
      </c>
      <c r="B371" t="s">
        <v>3475</v>
      </c>
      <c r="C371" t="s">
        <v>3474</v>
      </c>
      <c r="F371" t="s">
        <v>3473</v>
      </c>
      <c r="G371" t="s">
        <v>15</v>
      </c>
      <c r="H371" t="s">
        <v>14</v>
      </c>
      <c r="I371" t="s">
        <v>3472</v>
      </c>
      <c r="J371">
        <v>60010491</v>
      </c>
      <c r="K371" t="s">
        <v>3471</v>
      </c>
      <c r="L371" t="s">
        <v>3470</v>
      </c>
      <c r="M371" t="s">
        <v>122</v>
      </c>
      <c r="N371">
        <v>3</v>
      </c>
      <c r="O371" t="s">
        <v>3469</v>
      </c>
      <c r="P371" t="s">
        <v>3468</v>
      </c>
      <c r="Q371" t="s">
        <v>3467</v>
      </c>
      <c r="R371" s="7">
        <v>31048</v>
      </c>
      <c r="S371" s="8">
        <f t="shared" si="48"/>
        <v>1985</v>
      </c>
      <c r="T371" s="8">
        <v>1985</v>
      </c>
      <c r="U371" s="8">
        <f t="shared" si="49"/>
        <v>37</v>
      </c>
      <c r="V371" s="7" t="s">
        <v>3460</v>
      </c>
      <c r="W371" s="11" t="s">
        <v>1366</v>
      </c>
      <c r="X371" s="2">
        <v>2.383</v>
      </c>
      <c r="Y371" s="6">
        <f t="shared" si="46"/>
        <v>6.3612824003630442E-2</v>
      </c>
      <c r="AA371">
        <v>1437097</v>
      </c>
      <c r="AB371">
        <v>101236</v>
      </c>
      <c r="AD371" t="s">
        <v>4</v>
      </c>
      <c r="AE371">
        <v>132</v>
      </c>
      <c r="AF371">
        <v>5</v>
      </c>
      <c r="AH371" t="s">
        <v>3466</v>
      </c>
      <c r="AI371" t="s">
        <v>3465</v>
      </c>
      <c r="AK371" t="s">
        <v>3464</v>
      </c>
      <c r="AL371">
        <v>9</v>
      </c>
      <c r="AM371" s="5">
        <f t="shared" si="50"/>
        <v>0.24324324324324326</v>
      </c>
      <c r="AN371" s="4">
        <f t="shared" si="47"/>
        <v>3.684108189977179E-4</v>
      </c>
      <c r="AO371" s="3"/>
      <c r="AP371">
        <v>0</v>
      </c>
      <c r="AR371" t="s">
        <v>0</v>
      </c>
      <c r="AT371" s="2" t="s">
        <v>19</v>
      </c>
      <c r="AU371" s="1">
        <f t="shared" si="51"/>
        <v>4.4639500048240626</v>
      </c>
      <c r="AV371" s="1">
        <f t="shared" si="52"/>
        <v>3.1990617411314077</v>
      </c>
      <c r="AW371" s="1">
        <f t="shared" si="53"/>
        <v>1.9341734774387536</v>
      </c>
    </row>
    <row r="372" spans="1:49" x14ac:dyDescent="0.2">
      <c r="A372">
        <v>370</v>
      </c>
      <c r="B372" t="s">
        <v>3463</v>
      </c>
      <c r="C372" t="s">
        <v>3462</v>
      </c>
      <c r="F372" t="s">
        <v>3461</v>
      </c>
      <c r="G372" t="s">
        <v>15</v>
      </c>
      <c r="H372" t="s">
        <v>14</v>
      </c>
      <c r="I372" t="s">
        <v>1405</v>
      </c>
      <c r="J372">
        <v>60000891</v>
      </c>
      <c r="K372" t="s">
        <v>1404</v>
      </c>
      <c r="L372" t="s">
        <v>1403</v>
      </c>
      <c r="M372" t="s">
        <v>530</v>
      </c>
      <c r="N372">
        <v>1</v>
      </c>
      <c r="O372" t="s">
        <v>1402</v>
      </c>
      <c r="P372">
        <v>7402565933</v>
      </c>
      <c r="Q372">
        <v>60000891</v>
      </c>
      <c r="R372" s="7">
        <v>31048</v>
      </c>
      <c r="S372" s="8">
        <f t="shared" si="48"/>
        <v>1985</v>
      </c>
      <c r="T372" s="8">
        <v>1985</v>
      </c>
      <c r="U372" s="8">
        <f t="shared" si="49"/>
        <v>37</v>
      </c>
      <c r="V372" s="7" t="s">
        <v>3460</v>
      </c>
      <c r="W372" s="11" t="s">
        <v>1366</v>
      </c>
      <c r="X372" s="2">
        <v>2.383</v>
      </c>
      <c r="Y372" s="6">
        <f t="shared" si="46"/>
        <v>6.3612824003630442E-2</v>
      </c>
      <c r="AA372">
        <v>1437097</v>
      </c>
      <c r="AB372">
        <v>101236</v>
      </c>
      <c r="AD372" t="s">
        <v>4</v>
      </c>
      <c r="AE372">
        <v>132</v>
      </c>
      <c r="AF372">
        <v>5</v>
      </c>
      <c r="AH372" t="s">
        <v>3459</v>
      </c>
      <c r="AI372" t="s">
        <v>3458</v>
      </c>
      <c r="AK372" t="s">
        <v>3457</v>
      </c>
      <c r="AL372">
        <v>4</v>
      </c>
      <c r="AM372" s="5">
        <f t="shared" si="50"/>
        <v>0.10810810810810811</v>
      </c>
      <c r="AN372" s="4">
        <f t="shared" si="47"/>
        <v>1.6373814177676353E-4</v>
      </c>
      <c r="AO372" s="3"/>
      <c r="AP372">
        <v>0</v>
      </c>
      <c r="AR372" t="s">
        <v>0</v>
      </c>
      <c r="AT372" s="2" t="s">
        <v>19</v>
      </c>
      <c r="AU372" s="1">
        <f t="shared" si="51"/>
        <v>4.457809824507434</v>
      </c>
      <c r="AV372" s="1">
        <f t="shared" si="52"/>
        <v>3.1888281072703606</v>
      </c>
      <c r="AW372" s="1">
        <f t="shared" si="53"/>
        <v>1.9198463900332867</v>
      </c>
    </row>
    <row r="373" spans="1:49" x14ac:dyDescent="0.2">
      <c r="A373">
        <v>371</v>
      </c>
      <c r="B373" t="s">
        <v>3456</v>
      </c>
      <c r="C373" t="s">
        <v>3455</v>
      </c>
      <c r="F373" t="s">
        <v>3454</v>
      </c>
      <c r="G373" t="s">
        <v>15</v>
      </c>
      <c r="H373" t="s">
        <v>14</v>
      </c>
      <c r="I373" t="s">
        <v>3453</v>
      </c>
      <c r="J373" t="s">
        <v>3452</v>
      </c>
      <c r="K373" t="s">
        <v>3451</v>
      </c>
      <c r="L373" t="s">
        <v>3450</v>
      </c>
      <c r="M373" t="s">
        <v>3449</v>
      </c>
      <c r="N373">
        <v>3</v>
      </c>
      <c r="O373" t="s">
        <v>3448</v>
      </c>
      <c r="P373" t="s">
        <v>3447</v>
      </c>
      <c r="Q373" t="s">
        <v>3446</v>
      </c>
      <c r="R373" s="7">
        <v>31048</v>
      </c>
      <c r="S373" s="8">
        <f t="shared" si="48"/>
        <v>1985</v>
      </c>
      <c r="T373" s="8">
        <v>1985</v>
      </c>
      <c r="U373" s="8">
        <f t="shared" si="49"/>
        <v>37</v>
      </c>
      <c r="V373" s="7">
        <v>31260</v>
      </c>
      <c r="W373" t="s">
        <v>24</v>
      </c>
      <c r="X373" s="2">
        <v>1.6519999999999999</v>
      </c>
      <c r="Y373" s="6">
        <f t="shared" si="46"/>
        <v>4.409919649769093E-2</v>
      </c>
      <c r="AA373" t="s">
        <v>23</v>
      </c>
      <c r="AB373">
        <v>17337</v>
      </c>
      <c r="AC373">
        <v>15582221</v>
      </c>
      <c r="AD373" t="s">
        <v>4</v>
      </c>
      <c r="AE373">
        <v>33</v>
      </c>
      <c r="AF373">
        <v>8</v>
      </c>
      <c r="AH373" t="s">
        <v>3445</v>
      </c>
      <c r="AI373" t="s">
        <v>3444</v>
      </c>
      <c r="AK373" t="s">
        <v>3443</v>
      </c>
      <c r="AL373">
        <v>15</v>
      </c>
      <c r="AM373" s="5">
        <f t="shared" si="50"/>
        <v>0.40540540540540543</v>
      </c>
      <c r="AN373" s="4">
        <f t="shared" si="47"/>
        <v>6.1401803166286322E-4</v>
      </c>
      <c r="AO373" s="3"/>
      <c r="AP373">
        <v>0</v>
      </c>
      <c r="AR373" t="s">
        <v>0</v>
      </c>
      <c r="AT373" s="2" t="s">
        <v>19</v>
      </c>
      <c r="AU373" s="1">
        <f t="shared" si="51"/>
        <v>3.105364295788251</v>
      </c>
      <c r="AV373" s="1">
        <f t="shared" si="52"/>
        <v>2.2356607264676898</v>
      </c>
      <c r="AW373" s="1">
        <f t="shared" si="53"/>
        <v>1.3659571571471283</v>
      </c>
    </row>
    <row r="374" spans="1:49" x14ac:dyDescent="0.2">
      <c r="A374">
        <v>372</v>
      </c>
      <c r="B374" t="s">
        <v>3442</v>
      </c>
      <c r="C374" t="s">
        <v>3441</v>
      </c>
      <c r="F374" t="s">
        <v>3440</v>
      </c>
      <c r="G374" t="s">
        <v>15</v>
      </c>
      <c r="H374" t="s">
        <v>14</v>
      </c>
      <c r="I374" t="s">
        <v>3439</v>
      </c>
      <c r="J374" t="s">
        <v>3433</v>
      </c>
      <c r="K374" t="s">
        <v>3438</v>
      </c>
      <c r="L374" t="s">
        <v>3437</v>
      </c>
      <c r="M374" t="s">
        <v>3436</v>
      </c>
      <c r="N374">
        <v>2</v>
      </c>
      <c r="O374" t="s">
        <v>3435</v>
      </c>
      <c r="P374" t="s">
        <v>3434</v>
      </c>
      <c r="Q374" t="s">
        <v>3433</v>
      </c>
      <c r="R374" s="7">
        <v>31048</v>
      </c>
      <c r="S374" s="8">
        <f t="shared" si="48"/>
        <v>1985</v>
      </c>
      <c r="T374" s="8">
        <v>1985</v>
      </c>
      <c r="U374" s="8">
        <f t="shared" si="49"/>
        <v>37</v>
      </c>
      <c r="V374" s="7">
        <v>31260</v>
      </c>
      <c r="W374" t="s">
        <v>24</v>
      </c>
      <c r="X374" s="2">
        <v>1.6519999999999999</v>
      </c>
      <c r="Y374" s="6">
        <f t="shared" si="46"/>
        <v>4.409919649769093E-2</v>
      </c>
      <c r="AA374" t="s">
        <v>23</v>
      </c>
      <c r="AB374">
        <v>17337</v>
      </c>
      <c r="AC374">
        <v>15582221</v>
      </c>
      <c r="AD374" t="s">
        <v>4</v>
      </c>
      <c r="AE374">
        <v>33</v>
      </c>
      <c r="AF374">
        <v>8</v>
      </c>
      <c r="AH374" t="s">
        <v>3432</v>
      </c>
      <c r="AI374" t="s">
        <v>3431</v>
      </c>
      <c r="AK374" t="s">
        <v>3430</v>
      </c>
      <c r="AL374">
        <v>1</v>
      </c>
      <c r="AM374" s="5">
        <f t="shared" si="50"/>
        <v>2.7027027027027029E-2</v>
      </c>
      <c r="AN374" s="4">
        <f t="shared" si="47"/>
        <v>4.0934535444190883E-5</v>
      </c>
      <c r="AO374" s="3"/>
      <c r="AP374">
        <v>0</v>
      </c>
      <c r="AR374" t="s">
        <v>0</v>
      </c>
      <c r="AT374" s="2" t="s">
        <v>19</v>
      </c>
      <c r="AU374" s="1">
        <f t="shared" si="51"/>
        <v>3.0881717909016908</v>
      </c>
      <c r="AV374" s="1">
        <f t="shared" si="52"/>
        <v>2.2070065516567561</v>
      </c>
      <c r="AW374" s="1">
        <f t="shared" si="53"/>
        <v>1.3258413124118213</v>
      </c>
    </row>
    <row r="375" spans="1:49" x14ac:dyDescent="0.2">
      <c r="A375">
        <v>373</v>
      </c>
      <c r="B375" t="s">
        <v>3429</v>
      </c>
      <c r="C375" t="s">
        <v>3428</v>
      </c>
      <c r="F375" t="s">
        <v>3427</v>
      </c>
      <c r="G375" t="s">
        <v>15</v>
      </c>
      <c r="H375" t="s">
        <v>14</v>
      </c>
      <c r="I375" t="s">
        <v>2292</v>
      </c>
      <c r="J375">
        <v>60023456</v>
      </c>
      <c r="K375" t="s">
        <v>3426</v>
      </c>
      <c r="L375" t="s">
        <v>3425</v>
      </c>
      <c r="M375" t="s">
        <v>122</v>
      </c>
      <c r="N375">
        <v>1</v>
      </c>
      <c r="O375" t="s">
        <v>3424</v>
      </c>
      <c r="P375">
        <v>7403241218</v>
      </c>
      <c r="Q375">
        <v>60023456</v>
      </c>
      <c r="R375" s="7">
        <v>31048</v>
      </c>
      <c r="S375" s="8">
        <f t="shared" si="48"/>
        <v>1985</v>
      </c>
      <c r="T375" s="8">
        <v>1985</v>
      </c>
      <c r="U375" s="8">
        <f t="shared" si="49"/>
        <v>37</v>
      </c>
      <c r="V375" s="7">
        <v>31260</v>
      </c>
      <c r="W375" t="s">
        <v>1632</v>
      </c>
      <c r="X375" s="2">
        <v>1.365</v>
      </c>
      <c r="Y375" s="6">
        <f t="shared" si="46"/>
        <v>3.6437895411227675E-2</v>
      </c>
      <c r="AA375">
        <v>189545</v>
      </c>
      <c r="AB375">
        <v>17393</v>
      </c>
      <c r="AC375">
        <v>19399359</v>
      </c>
      <c r="AD375" t="s">
        <v>4</v>
      </c>
      <c r="AE375">
        <v>34</v>
      </c>
      <c r="AF375">
        <v>3</v>
      </c>
      <c r="AH375" t="s">
        <v>3423</v>
      </c>
      <c r="AI375" t="s">
        <v>3422</v>
      </c>
      <c r="AK375" t="s">
        <v>3421</v>
      </c>
      <c r="AL375">
        <v>31</v>
      </c>
      <c r="AM375" s="5">
        <f t="shared" si="50"/>
        <v>0.83783783783783783</v>
      </c>
      <c r="AN375" s="4">
        <f t="shared" si="47"/>
        <v>1.2689705987699172E-3</v>
      </c>
      <c r="AO375" s="3"/>
      <c r="AP375">
        <v>0</v>
      </c>
      <c r="AR375" t="s">
        <v>0</v>
      </c>
      <c r="AT375" s="2" t="s">
        <v>19</v>
      </c>
      <c r="AU375" s="1">
        <f t="shared" si="51"/>
        <v>2.5887217967490344</v>
      </c>
      <c r="AV375" s="1">
        <f t="shared" si="52"/>
        <v>1.8853433004998796</v>
      </c>
      <c r="AW375" s="1">
        <f t="shared" si="53"/>
        <v>1.1819648042507245</v>
      </c>
    </row>
    <row r="376" spans="1:49" x14ac:dyDescent="0.2">
      <c r="A376">
        <v>374</v>
      </c>
      <c r="B376" t="s">
        <v>3420</v>
      </c>
      <c r="C376" t="s">
        <v>3419</v>
      </c>
      <c r="F376" t="s">
        <v>3418</v>
      </c>
      <c r="G376" t="s">
        <v>15</v>
      </c>
      <c r="H376" t="s">
        <v>14</v>
      </c>
      <c r="I376" t="s">
        <v>3417</v>
      </c>
      <c r="J376">
        <v>60025778</v>
      </c>
      <c r="K376" t="s">
        <v>2420</v>
      </c>
      <c r="L376" t="s">
        <v>2419</v>
      </c>
      <c r="M376" t="s">
        <v>122</v>
      </c>
      <c r="N376">
        <v>1</v>
      </c>
      <c r="O376" t="s">
        <v>2299</v>
      </c>
      <c r="P376">
        <v>7102186231</v>
      </c>
      <c r="Q376">
        <v>60025778</v>
      </c>
      <c r="R376" s="7">
        <v>31048</v>
      </c>
      <c r="S376" s="8">
        <f t="shared" si="48"/>
        <v>1985</v>
      </c>
      <c r="T376" s="8">
        <v>1985</v>
      </c>
      <c r="U376" s="8">
        <f t="shared" si="49"/>
        <v>37</v>
      </c>
      <c r="V376" s="7">
        <v>31260</v>
      </c>
      <c r="W376" t="s">
        <v>24</v>
      </c>
      <c r="X376" s="2">
        <v>1.6519999999999999</v>
      </c>
      <c r="Y376" s="6">
        <f t="shared" si="46"/>
        <v>4.409919649769093E-2</v>
      </c>
      <c r="AA376" t="s">
        <v>23</v>
      </c>
      <c r="AB376">
        <v>17337</v>
      </c>
      <c r="AC376">
        <v>15582221</v>
      </c>
      <c r="AD376" t="s">
        <v>4</v>
      </c>
      <c r="AE376">
        <v>33</v>
      </c>
      <c r="AF376">
        <v>8</v>
      </c>
      <c r="AH376" t="s">
        <v>3416</v>
      </c>
      <c r="AI376" t="s">
        <v>3415</v>
      </c>
      <c r="AK376" t="s">
        <v>3414</v>
      </c>
      <c r="AL376">
        <v>50</v>
      </c>
      <c r="AM376" s="5">
        <f t="shared" si="50"/>
        <v>1.3513513513513513</v>
      </c>
      <c r="AN376" s="4">
        <f t="shared" si="47"/>
        <v>2.0467267722095437E-3</v>
      </c>
      <c r="AO376" s="3"/>
      <c r="AP376">
        <v>0</v>
      </c>
      <c r="AR376" t="s">
        <v>0</v>
      </c>
      <c r="AT376" s="2" t="s">
        <v>19</v>
      </c>
      <c r="AU376" s="1">
        <f t="shared" si="51"/>
        <v>3.1483455580046513</v>
      </c>
      <c r="AV376" s="1">
        <f t="shared" si="52"/>
        <v>2.3072961634950238</v>
      </c>
      <c r="AW376" s="1">
        <f t="shared" si="53"/>
        <v>1.466246768985396</v>
      </c>
    </row>
    <row r="377" spans="1:49" x14ac:dyDescent="0.2">
      <c r="A377">
        <v>375</v>
      </c>
      <c r="B377" t="s">
        <v>3413</v>
      </c>
      <c r="C377" t="s">
        <v>3412</v>
      </c>
      <c r="F377" t="s">
        <v>3411</v>
      </c>
      <c r="G377" t="s">
        <v>15</v>
      </c>
      <c r="H377" t="s">
        <v>14</v>
      </c>
      <c r="I377" t="s">
        <v>3410</v>
      </c>
      <c r="J377" t="s">
        <v>3409</v>
      </c>
      <c r="K377" t="s">
        <v>3408</v>
      </c>
      <c r="L377" t="s">
        <v>3407</v>
      </c>
      <c r="M377" t="s">
        <v>2782</v>
      </c>
      <c r="N377">
        <v>6</v>
      </c>
      <c r="O377" t="s">
        <v>3406</v>
      </c>
      <c r="P377" t="s">
        <v>3405</v>
      </c>
      <c r="Q377" t="s">
        <v>3404</v>
      </c>
      <c r="R377" s="7">
        <v>31048</v>
      </c>
      <c r="S377" s="8">
        <f t="shared" si="48"/>
        <v>1985</v>
      </c>
      <c r="T377" s="8">
        <v>1985</v>
      </c>
      <c r="U377" s="8">
        <f t="shared" si="49"/>
        <v>37</v>
      </c>
      <c r="V377" s="7">
        <v>31260</v>
      </c>
      <c r="W377" t="s">
        <v>24</v>
      </c>
      <c r="X377" s="2">
        <v>1.6519999999999999</v>
      </c>
      <c r="Y377" s="6">
        <f t="shared" si="46"/>
        <v>4.409919649769093E-2</v>
      </c>
      <c r="AA377" t="s">
        <v>23</v>
      </c>
      <c r="AB377">
        <v>17337</v>
      </c>
      <c r="AC377">
        <v>15582221</v>
      </c>
      <c r="AD377" t="s">
        <v>4</v>
      </c>
      <c r="AE377">
        <v>33</v>
      </c>
      <c r="AF377">
        <v>8</v>
      </c>
      <c r="AH377" t="s">
        <v>3403</v>
      </c>
      <c r="AI377" t="s">
        <v>3402</v>
      </c>
      <c r="AK377" t="s">
        <v>3401</v>
      </c>
      <c r="AL377">
        <v>21</v>
      </c>
      <c r="AM377" s="5">
        <f t="shared" si="50"/>
        <v>0.56756756756756754</v>
      </c>
      <c r="AN377" s="4">
        <f t="shared" si="47"/>
        <v>8.5962524432800838E-4</v>
      </c>
      <c r="AO377" s="3"/>
      <c r="AP377">
        <v>0</v>
      </c>
      <c r="AR377" t="s">
        <v>0</v>
      </c>
      <c r="AT377" s="2" t="s">
        <v>19</v>
      </c>
      <c r="AU377" s="1">
        <f t="shared" si="51"/>
        <v>3.1127325121682055</v>
      </c>
      <c r="AV377" s="1">
        <f t="shared" si="52"/>
        <v>2.2479410871009469</v>
      </c>
      <c r="AW377" s="1">
        <f t="shared" si="53"/>
        <v>1.3831496620336885</v>
      </c>
    </row>
    <row r="378" spans="1:49" x14ac:dyDescent="0.2">
      <c r="A378">
        <v>376</v>
      </c>
      <c r="B378" t="s">
        <v>3400</v>
      </c>
      <c r="C378" t="s">
        <v>3399</v>
      </c>
      <c r="F378" t="s">
        <v>3398</v>
      </c>
      <c r="G378" t="s">
        <v>15</v>
      </c>
      <c r="H378" t="s">
        <v>14</v>
      </c>
      <c r="I378" t="s">
        <v>1830</v>
      </c>
      <c r="J378">
        <v>60006662</v>
      </c>
      <c r="K378" t="s">
        <v>1829</v>
      </c>
      <c r="L378" t="s">
        <v>1291</v>
      </c>
      <c r="M378" t="s">
        <v>272</v>
      </c>
      <c r="N378">
        <v>2</v>
      </c>
      <c r="O378" t="s">
        <v>3397</v>
      </c>
      <c r="P378" t="s">
        <v>3396</v>
      </c>
      <c r="Q378" t="s">
        <v>3395</v>
      </c>
      <c r="R378" s="7">
        <v>31048</v>
      </c>
      <c r="S378" s="8">
        <f t="shared" si="48"/>
        <v>1985</v>
      </c>
      <c r="T378" s="8">
        <v>1985</v>
      </c>
      <c r="U378" s="8">
        <f t="shared" si="49"/>
        <v>37</v>
      </c>
      <c r="V378" s="7">
        <v>31260</v>
      </c>
      <c r="W378" t="s">
        <v>24</v>
      </c>
      <c r="X378" s="2">
        <v>1.6519999999999999</v>
      </c>
      <c r="Y378" s="6">
        <f t="shared" si="46"/>
        <v>4.409919649769093E-2</v>
      </c>
      <c r="AA378" t="s">
        <v>23</v>
      </c>
      <c r="AB378">
        <v>17337</v>
      </c>
      <c r="AC378">
        <v>15582221</v>
      </c>
      <c r="AD378" t="s">
        <v>4</v>
      </c>
      <c r="AE378">
        <v>33</v>
      </c>
      <c r="AF378">
        <v>8</v>
      </c>
      <c r="AH378" t="s">
        <v>3394</v>
      </c>
      <c r="AI378" t="s">
        <v>3393</v>
      </c>
      <c r="AK378" t="s">
        <v>3392</v>
      </c>
      <c r="AL378">
        <v>0</v>
      </c>
      <c r="AM378" s="5">
        <f t="shared" si="50"/>
        <v>0</v>
      </c>
      <c r="AN378" s="4">
        <f t="shared" si="47"/>
        <v>0</v>
      </c>
      <c r="AO378" s="3"/>
      <c r="AP378">
        <v>0</v>
      </c>
      <c r="AR378" t="s">
        <v>0</v>
      </c>
      <c r="AT378" s="2" t="s">
        <v>19</v>
      </c>
      <c r="AU378" s="1">
        <f t="shared" si="51"/>
        <v>3.0869437548383649</v>
      </c>
      <c r="AV378" s="1">
        <f t="shared" si="52"/>
        <v>2.2049598248845466</v>
      </c>
      <c r="AW378" s="1">
        <f t="shared" si="53"/>
        <v>1.3229758949307278</v>
      </c>
    </row>
    <row r="379" spans="1:49" x14ac:dyDescent="0.2">
      <c r="A379">
        <v>377</v>
      </c>
      <c r="B379" t="s">
        <v>3391</v>
      </c>
      <c r="C379" t="s">
        <v>3390</v>
      </c>
      <c r="F379" t="s">
        <v>3389</v>
      </c>
      <c r="G379" t="s">
        <v>15</v>
      </c>
      <c r="H379" t="s">
        <v>14</v>
      </c>
      <c r="I379" t="s">
        <v>3388</v>
      </c>
      <c r="J379">
        <v>60029575</v>
      </c>
      <c r="K379" t="s">
        <v>468</v>
      </c>
      <c r="L379" t="s">
        <v>467</v>
      </c>
      <c r="M379" t="s">
        <v>122</v>
      </c>
      <c r="N379">
        <v>2</v>
      </c>
      <c r="O379" t="s">
        <v>3387</v>
      </c>
      <c r="P379" t="s">
        <v>3386</v>
      </c>
      <c r="Q379" t="s">
        <v>3385</v>
      </c>
      <c r="R379" s="7">
        <v>31048</v>
      </c>
      <c r="S379" s="8">
        <f t="shared" si="48"/>
        <v>1985</v>
      </c>
      <c r="T379" s="8">
        <v>1985</v>
      </c>
      <c r="U379" s="8">
        <f t="shared" si="49"/>
        <v>37</v>
      </c>
      <c r="V379" s="7">
        <v>31260</v>
      </c>
      <c r="W379" t="s">
        <v>24</v>
      </c>
      <c r="X379" s="2">
        <v>1.6519999999999999</v>
      </c>
      <c r="Y379" s="6">
        <f t="shared" si="46"/>
        <v>4.409919649769093E-2</v>
      </c>
      <c r="AA379" t="s">
        <v>23</v>
      </c>
      <c r="AB379">
        <v>17337</v>
      </c>
      <c r="AC379">
        <v>15582221</v>
      </c>
      <c r="AD379" t="s">
        <v>4</v>
      </c>
      <c r="AE379">
        <v>33</v>
      </c>
      <c r="AF379">
        <v>8</v>
      </c>
      <c r="AH379" t="s">
        <v>3384</v>
      </c>
      <c r="AI379" t="s">
        <v>3383</v>
      </c>
      <c r="AK379" t="s">
        <v>3382</v>
      </c>
      <c r="AL379">
        <v>4</v>
      </c>
      <c r="AM379" s="5">
        <f t="shared" si="50"/>
        <v>0.10810810810810811</v>
      </c>
      <c r="AN379" s="4">
        <f t="shared" si="47"/>
        <v>1.6373814177676353E-4</v>
      </c>
      <c r="AO379" s="3"/>
      <c r="AP379">
        <v>0</v>
      </c>
      <c r="AR379" t="s">
        <v>0</v>
      </c>
      <c r="AT379" s="2" t="s">
        <v>19</v>
      </c>
      <c r="AU379" s="1">
        <f t="shared" si="51"/>
        <v>3.091855899091668</v>
      </c>
      <c r="AV379" s="1">
        <f t="shared" si="52"/>
        <v>2.2131467319733846</v>
      </c>
      <c r="AW379" s="1">
        <f t="shared" si="53"/>
        <v>1.3344375648551012</v>
      </c>
    </row>
    <row r="380" spans="1:49" x14ac:dyDescent="0.2">
      <c r="A380">
        <v>378</v>
      </c>
      <c r="B380" t="s">
        <v>3381</v>
      </c>
      <c r="C380" t="s">
        <v>3380</v>
      </c>
      <c r="F380" t="s">
        <v>3379</v>
      </c>
      <c r="G380" t="s">
        <v>15</v>
      </c>
      <c r="H380" t="s">
        <v>14</v>
      </c>
      <c r="I380" t="s">
        <v>3378</v>
      </c>
      <c r="J380">
        <v>60000264</v>
      </c>
      <c r="K380" t="s">
        <v>1261</v>
      </c>
      <c r="L380" t="s">
        <v>1260</v>
      </c>
      <c r="M380" t="s">
        <v>544</v>
      </c>
      <c r="N380">
        <v>1</v>
      </c>
      <c r="O380" t="s">
        <v>3377</v>
      </c>
      <c r="P380">
        <v>7403005755</v>
      </c>
      <c r="Q380">
        <v>60000264</v>
      </c>
      <c r="R380" s="7">
        <v>31048</v>
      </c>
      <c r="S380" s="8">
        <f t="shared" si="48"/>
        <v>1985</v>
      </c>
      <c r="T380" s="8">
        <v>1985</v>
      </c>
      <c r="U380" s="8">
        <f t="shared" si="49"/>
        <v>37</v>
      </c>
      <c r="V380" s="7">
        <v>31260</v>
      </c>
      <c r="W380" t="s">
        <v>3300</v>
      </c>
      <c r="X380" s="2">
        <v>0.65500000000000003</v>
      </c>
      <c r="Y380" s="6">
        <f t="shared" si="46"/>
        <v>1.7484850911614749E-2</v>
      </c>
      <c r="AA380">
        <v>189375</v>
      </c>
      <c r="AB380">
        <v>26051</v>
      </c>
      <c r="AC380" t="s">
        <v>3299</v>
      </c>
      <c r="AD380" t="s">
        <v>4</v>
      </c>
      <c r="AE380" t="s">
        <v>3298</v>
      </c>
      <c r="AF380">
        <v>3</v>
      </c>
      <c r="AH380" t="s">
        <v>3376</v>
      </c>
      <c r="AI380" t="s">
        <v>3375</v>
      </c>
      <c r="AJ380" t="s">
        <v>3374</v>
      </c>
      <c r="AK380" t="s">
        <v>3373</v>
      </c>
      <c r="AL380">
        <v>0</v>
      </c>
      <c r="AM380" s="5">
        <f t="shared" si="50"/>
        <v>0</v>
      </c>
      <c r="AN380" s="4">
        <f t="shared" si="47"/>
        <v>0</v>
      </c>
      <c r="AO380" s="3"/>
      <c r="AP380">
        <v>0</v>
      </c>
      <c r="AR380" t="s">
        <v>0</v>
      </c>
      <c r="AT380" s="2" t="s">
        <v>19</v>
      </c>
      <c r="AU380" s="1">
        <f t="shared" si="51"/>
        <v>1.2239395638130324</v>
      </c>
      <c r="AV380" s="1">
        <f t="shared" si="52"/>
        <v>0.87424254558073744</v>
      </c>
      <c r="AW380" s="1">
        <f t="shared" si="53"/>
        <v>0.52454552734844251</v>
      </c>
    </row>
    <row r="381" spans="1:49" x14ac:dyDescent="0.2">
      <c r="A381">
        <v>379</v>
      </c>
      <c r="B381" t="s">
        <v>3372</v>
      </c>
      <c r="C381" t="s">
        <v>3371</v>
      </c>
      <c r="F381" t="s">
        <v>3370</v>
      </c>
      <c r="G381" t="s">
        <v>15</v>
      </c>
      <c r="H381" t="s">
        <v>14</v>
      </c>
      <c r="I381" t="s">
        <v>3369</v>
      </c>
      <c r="J381" t="s">
        <v>3368</v>
      </c>
      <c r="K381" t="s">
        <v>3367</v>
      </c>
      <c r="L381" t="s">
        <v>3366</v>
      </c>
      <c r="M381" t="s">
        <v>3365</v>
      </c>
      <c r="N381">
        <v>3</v>
      </c>
      <c r="O381" t="s">
        <v>3364</v>
      </c>
      <c r="P381" t="s">
        <v>3363</v>
      </c>
      <c r="Q381" t="s">
        <v>3362</v>
      </c>
      <c r="R381" s="7">
        <v>31048</v>
      </c>
      <c r="S381" s="8">
        <f t="shared" si="48"/>
        <v>1985</v>
      </c>
      <c r="T381" s="8">
        <v>1985</v>
      </c>
      <c r="U381" s="8">
        <f t="shared" si="49"/>
        <v>37</v>
      </c>
      <c r="V381" s="7">
        <v>31138</v>
      </c>
      <c r="W381" t="s">
        <v>3361</v>
      </c>
      <c r="X381" s="2">
        <v>0.46</v>
      </c>
      <c r="Y381" s="6">
        <f t="shared" si="46"/>
        <v>1.2279437281439364E-2</v>
      </c>
      <c r="AA381">
        <v>933813</v>
      </c>
      <c r="AB381">
        <v>28031</v>
      </c>
      <c r="AC381">
        <v>19399375</v>
      </c>
      <c r="AD381" t="s">
        <v>4</v>
      </c>
      <c r="AE381">
        <v>13</v>
      </c>
      <c r="AF381">
        <v>4</v>
      </c>
      <c r="AH381" t="s">
        <v>3360</v>
      </c>
      <c r="AI381" t="s">
        <v>3359</v>
      </c>
      <c r="AK381" t="s">
        <v>3358</v>
      </c>
      <c r="AL381">
        <v>3</v>
      </c>
      <c r="AM381" s="5">
        <f t="shared" si="50"/>
        <v>8.1081081081081086E-2</v>
      </c>
      <c r="AN381" s="4">
        <f t="shared" si="47"/>
        <v>1.2280360633257263E-4</v>
      </c>
      <c r="AO381" s="3"/>
      <c r="AP381">
        <v>0</v>
      </c>
      <c r="AR381" t="s">
        <v>0</v>
      </c>
      <c r="AT381" s="2">
        <v>1.222</v>
      </c>
      <c r="AU381" s="1">
        <f t="shared" si="51"/>
        <v>0.86324471789073243</v>
      </c>
      <c r="AV381" s="1">
        <f t="shared" si="52"/>
        <v>0.62011204438859679</v>
      </c>
      <c r="AW381" s="1">
        <f t="shared" si="53"/>
        <v>0.376979370886461</v>
      </c>
    </row>
    <row r="382" spans="1:49" x14ac:dyDescent="0.2">
      <c r="A382">
        <v>380</v>
      </c>
      <c r="B382" t="s">
        <v>3357</v>
      </c>
      <c r="C382" t="s">
        <v>3356</v>
      </c>
      <c r="F382" t="s">
        <v>3355</v>
      </c>
      <c r="G382" t="s">
        <v>15</v>
      </c>
      <c r="H382" t="s">
        <v>14</v>
      </c>
      <c r="I382" t="s">
        <v>3354</v>
      </c>
      <c r="J382">
        <v>60038812</v>
      </c>
      <c r="K382" t="s">
        <v>3353</v>
      </c>
      <c r="L382" t="s">
        <v>3352</v>
      </c>
      <c r="M382" t="s">
        <v>3351</v>
      </c>
      <c r="N382">
        <v>1</v>
      </c>
      <c r="O382" t="s">
        <v>3350</v>
      </c>
      <c r="P382">
        <v>56222659200</v>
      </c>
      <c r="Q382">
        <v>60038812</v>
      </c>
      <c r="R382" s="7">
        <v>31048</v>
      </c>
      <c r="S382" s="8">
        <f t="shared" si="48"/>
        <v>1985</v>
      </c>
      <c r="T382" s="8">
        <v>1985</v>
      </c>
      <c r="U382" s="8">
        <f t="shared" si="49"/>
        <v>37</v>
      </c>
      <c r="V382" s="7">
        <v>31260</v>
      </c>
      <c r="W382" t="s">
        <v>3300</v>
      </c>
      <c r="X382" s="2">
        <v>0.65500000000000003</v>
      </c>
      <c r="Y382" s="6">
        <f t="shared" si="46"/>
        <v>1.7484850911614749E-2</v>
      </c>
      <c r="AA382">
        <v>189375</v>
      </c>
      <c r="AB382">
        <v>26051</v>
      </c>
      <c r="AC382" t="s">
        <v>3299</v>
      </c>
      <c r="AD382" t="s">
        <v>4</v>
      </c>
      <c r="AE382" t="s">
        <v>3298</v>
      </c>
      <c r="AF382">
        <v>3</v>
      </c>
      <c r="AH382" t="s">
        <v>3349</v>
      </c>
      <c r="AI382" t="s">
        <v>3348</v>
      </c>
      <c r="AJ382" t="s">
        <v>3347</v>
      </c>
      <c r="AK382" t="s">
        <v>3346</v>
      </c>
      <c r="AL382">
        <v>9</v>
      </c>
      <c r="AM382" s="5">
        <f t="shared" si="50"/>
        <v>0.24324324324324326</v>
      </c>
      <c r="AN382" s="4">
        <f t="shared" si="47"/>
        <v>3.684108189977179E-4</v>
      </c>
      <c r="AO382" s="3"/>
      <c r="AP382">
        <v>0</v>
      </c>
      <c r="AR382" t="s">
        <v>0</v>
      </c>
      <c r="AT382" s="2" t="s">
        <v>19</v>
      </c>
      <c r="AU382" s="1">
        <f t="shared" si="51"/>
        <v>1.2349918883829638</v>
      </c>
      <c r="AV382" s="1">
        <f t="shared" si="52"/>
        <v>0.89266308653062321</v>
      </c>
      <c r="AW382" s="1">
        <f t="shared" si="53"/>
        <v>0.55033428467828271</v>
      </c>
    </row>
    <row r="383" spans="1:49" x14ac:dyDescent="0.2">
      <c r="A383">
        <v>381</v>
      </c>
      <c r="B383" t="s">
        <v>3345</v>
      </c>
      <c r="C383" t="s">
        <v>3344</v>
      </c>
      <c r="F383" t="s">
        <v>3343</v>
      </c>
      <c r="G383" t="s">
        <v>15</v>
      </c>
      <c r="H383" t="s">
        <v>14</v>
      </c>
      <c r="I383" t="s">
        <v>3342</v>
      </c>
      <c r="J383">
        <v>60013141</v>
      </c>
      <c r="K383" t="s">
        <v>3341</v>
      </c>
      <c r="L383" t="s">
        <v>3340</v>
      </c>
      <c r="M383" t="s">
        <v>3339</v>
      </c>
      <c r="N383">
        <v>1</v>
      </c>
      <c r="O383" t="s">
        <v>3338</v>
      </c>
      <c r="P383">
        <v>7101988263</v>
      </c>
      <c r="Q383">
        <v>60013141</v>
      </c>
      <c r="R383" s="7">
        <v>31048</v>
      </c>
      <c r="S383" s="8">
        <f t="shared" si="48"/>
        <v>1985</v>
      </c>
      <c r="T383" s="8">
        <v>1985</v>
      </c>
      <c r="U383" s="8">
        <f t="shared" si="49"/>
        <v>37</v>
      </c>
      <c r="V383" s="7">
        <v>31260</v>
      </c>
      <c r="W383" t="s">
        <v>24</v>
      </c>
      <c r="X383" s="2">
        <v>1.6519999999999999</v>
      </c>
      <c r="Y383" s="6">
        <f t="shared" si="46"/>
        <v>4.409919649769093E-2</v>
      </c>
      <c r="AA383" t="s">
        <v>23</v>
      </c>
      <c r="AB383">
        <v>17337</v>
      </c>
      <c r="AC383">
        <v>15582221</v>
      </c>
      <c r="AD383" t="s">
        <v>4</v>
      </c>
      <c r="AE383">
        <v>33</v>
      </c>
      <c r="AF383">
        <v>8</v>
      </c>
      <c r="AH383" t="s">
        <v>3337</v>
      </c>
      <c r="AI383" t="s">
        <v>3336</v>
      </c>
      <c r="AK383" t="s">
        <v>3335</v>
      </c>
      <c r="AL383">
        <v>101</v>
      </c>
      <c r="AM383" s="5">
        <f t="shared" si="50"/>
        <v>2.7297297297297298</v>
      </c>
      <c r="AN383" s="4">
        <f t="shared" si="47"/>
        <v>4.1343880798632784E-3</v>
      </c>
      <c r="AO383" s="3"/>
      <c r="AP383">
        <v>0</v>
      </c>
      <c r="AR383" t="s">
        <v>0</v>
      </c>
      <c r="AT383" s="2" t="s">
        <v>19</v>
      </c>
      <c r="AU383" s="1">
        <f t="shared" si="51"/>
        <v>3.2109753972342636</v>
      </c>
      <c r="AV383" s="1">
        <f t="shared" si="52"/>
        <v>2.4116792288777105</v>
      </c>
      <c r="AW383" s="1">
        <f t="shared" si="53"/>
        <v>1.6123830605211573</v>
      </c>
    </row>
    <row r="384" spans="1:49" x14ac:dyDescent="0.2">
      <c r="A384">
        <v>382</v>
      </c>
      <c r="B384" t="s">
        <v>3334</v>
      </c>
      <c r="C384" t="s">
        <v>3333</v>
      </c>
      <c r="F384" t="s">
        <v>3332</v>
      </c>
      <c r="G384" t="s">
        <v>15</v>
      </c>
      <c r="H384" t="s">
        <v>14</v>
      </c>
      <c r="I384" t="s">
        <v>3331</v>
      </c>
      <c r="J384">
        <v>60013372</v>
      </c>
      <c r="K384" t="s">
        <v>3330</v>
      </c>
      <c r="L384" t="s">
        <v>3329</v>
      </c>
      <c r="M384" t="s">
        <v>122</v>
      </c>
      <c r="N384">
        <v>3</v>
      </c>
      <c r="O384" t="s">
        <v>3328</v>
      </c>
      <c r="P384" t="s">
        <v>3327</v>
      </c>
      <c r="Q384" t="s">
        <v>3326</v>
      </c>
      <c r="R384" s="7">
        <v>31048</v>
      </c>
      <c r="S384" s="8">
        <f t="shared" si="48"/>
        <v>1985</v>
      </c>
      <c r="T384" s="8">
        <v>1985</v>
      </c>
      <c r="U384" s="8">
        <f t="shared" si="49"/>
        <v>37</v>
      </c>
      <c r="V384" s="7">
        <v>31260</v>
      </c>
      <c r="W384" t="s">
        <v>24</v>
      </c>
      <c r="X384" s="2">
        <v>1.6519999999999999</v>
      </c>
      <c r="Y384" s="6">
        <f t="shared" si="46"/>
        <v>4.409919649769093E-2</v>
      </c>
      <c r="AA384" t="s">
        <v>23</v>
      </c>
      <c r="AB384">
        <v>17337</v>
      </c>
      <c r="AC384">
        <v>15582221</v>
      </c>
      <c r="AD384" t="s">
        <v>4</v>
      </c>
      <c r="AE384">
        <v>33</v>
      </c>
      <c r="AF384">
        <v>8</v>
      </c>
      <c r="AH384" t="s">
        <v>3325</v>
      </c>
      <c r="AI384" t="s">
        <v>3324</v>
      </c>
      <c r="AK384" t="s">
        <v>3323</v>
      </c>
      <c r="AL384">
        <v>13</v>
      </c>
      <c r="AM384" s="5">
        <f t="shared" si="50"/>
        <v>0.35135135135135137</v>
      </c>
      <c r="AN384" s="4">
        <f t="shared" si="47"/>
        <v>5.3214896077448143E-4</v>
      </c>
      <c r="AO384" s="3"/>
      <c r="AP384">
        <v>0</v>
      </c>
      <c r="AR384" t="s">
        <v>0</v>
      </c>
      <c r="AT384" s="2" t="s">
        <v>19</v>
      </c>
      <c r="AU384" s="1">
        <f t="shared" si="51"/>
        <v>3.1029082236615992</v>
      </c>
      <c r="AV384" s="1">
        <f t="shared" si="52"/>
        <v>2.2315672729232707</v>
      </c>
      <c r="AW384" s="1">
        <f t="shared" si="53"/>
        <v>1.3602263221849415</v>
      </c>
    </row>
    <row r="385" spans="1:49" x14ac:dyDescent="0.2">
      <c r="A385">
        <v>383</v>
      </c>
      <c r="B385" t="s">
        <v>3322</v>
      </c>
      <c r="C385" t="s">
        <v>3321</v>
      </c>
      <c r="F385" t="s">
        <v>3320</v>
      </c>
      <c r="G385" t="s">
        <v>15</v>
      </c>
      <c r="H385" t="s">
        <v>14</v>
      </c>
      <c r="I385" t="s">
        <v>3319</v>
      </c>
      <c r="J385">
        <v>60030988</v>
      </c>
      <c r="K385" t="s">
        <v>3318</v>
      </c>
      <c r="L385" t="s">
        <v>3317</v>
      </c>
      <c r="M385" t="s">
        <v>580</v>
      </c>
      <c r="N385">
        <v>2</v>
      </c>
      <c r="O385" t="s">
        <v>3316</v>
      </c>
      <c r="P385" t="s">
        <v>3315</v>
      </c>
      <c r="Q385" t="s">
        <v>3314</v>
      </c>
      <c r="R385" s="7">
        <v>31048</v>
      </c>
      <c r="S385" s="8">
        <f t="shared" si="48"/>
        <v>1985</v>
      </c>
      <c r="T385" s="8">
        <v>1985</v>
      </c>
      <c r="U385" s="8">
        <f t="shared" si="49"/>
        <v>37</v>
      </c>
      <c r="V385" s="7">
        <v>31260</v>
      </c>
      <c r="W385" t="s">
        <v>24</v>
      </c>
      <c r="X385" s="2">
        <v>1.6519999999999999</v>
      </c>
      <c r="Y385" s="6">
        <f t="shared" si="46"/>
        <v>4.409919649769093E-2</v>
      </c>
      <c r="AA385" t="s">
        <v>23</v>
      </c>
      <c r="AB385">
        <v>17337</v>
      </c>
      <c r="AC385">
        <v>15582221</v>
      </c>
      <c r="AD385" t="s">
        <v>4</v>
      </c>
      <c r="AE385">
        <v>33</v>
      </c>
      <c r="AF385">
        <v>8</v>
      </c>
      <c r="AH385" t="s">
        <v>3313</v>
      </c>
      <c r="AI385" t="s">
        <v>3312</v>
      </c>
      <c r="AK385" t="s">
        <v>3311</v>
      </c>
      <c r="AL385">
        <v>1</v>
      </c>
      <c r="AM385" s="5">
        <f t="shared" si="50"/>
        <v>2.7027027027027029E-2</v>
      </c>
      <c r="AN385" s="4">
        <f t="shared" si="47"/>
        <v>4.0934535444190883E-5</v>
      </c>
      <c r="AO385" s="3"/>
      <c r="AP385">
        <v>0</v>
      </c>
      <c r="AR385" t="s">
        <v>0</v>
      </c>
      <c r="AT385" s="2" t="s">
        <v>19</v>
      </c>
      <c r="AU385" s="1">
        <f t="shared" si="51"/>
        <v>3.0881717909016908</v>
      </c>
      <c r="AV385" s="1">
        <f t="shared" si="52"/>
        <v>2.2070065516567561</v>
      </c>
      <c r="AW385" s="1">
        <f t="shared" si="53"/>
        <v>1.3258413124118213</v>
      </c>
    </row>
    <row r="386" spans="1:49" x14ac:dyDescent="0.2">
      <c r="A386">
        <v>384</v>
      </c>
      <c r="B386" t="s">
        <v>3310</v>
      </c>
      <c r="C386" t="s">
        <v>3309</v>
      </c>
      <c r="F386" t="s">
        <v>3308</v>
      </c>
      <c r="G386" t="s">
        <v>15</v>
      </c>
      <c r="H386" t="s">
        <v>14</v>
      </c>
      <c r="I386" t="s">
        <v>3307</v>
      </c>
      <c r="J386" t="s">
        <v>3306</v>
      </c>
      <c r="K386" t="s">
        <v>3305</v>
      </c>
      <c r="L386" t="s">
        <v>3304</v>
      </c>
      <c r="M386" t="s">
        <v>28</v>
      </c>
      <c r="N386">
        <v>2</v>
      </c>
      <c r="O386" t="s">
        <v>3303</v>
      </c>
      <c r="P386" t="s">
        <v>3302</v>
      </c>
      <c r="Q386" t="s">
        <v>3301</v>
      </c>
      <c r="R386" s="7">
        <v>31048</v>
      </c>
      <c r="S386" s="8">
        <f t="shared" si="48"/>
        <v>1985</v>
      </c>
      <c r="T386" s="8">
        <v>1985</v>
      </c>
      <c r="U386" s="8">
        <f t="shared" si="49"/>
        <v>37</v>
      </c>
      <c r="V386" s="7">
        <v>31260</v>
      </c>
      <c r="W386" t="s">
        <v>3300</v>
      </c>
      <c r="X386" s="2">
        <v>0.65500000000000003</v>
      </c>
      <c r="Y386" s="6">
        <f t="shared" ref="Y386:Y449" si="54">(X386-$Z$4)/($Z$3-$Z$4)</f>
        <v>1.7484850911614749E-2</v>
      </c>
      <c r="AA386">
        <v>189375</v>
      </c>
      <c r="AB386">
        <v>26051</v>
      </c>
      <c r="AC386" t="s">
        <v>3299</v>
      </c>
      <c r="AD386" t="s">
        <v>4</v>
      </c>
      <c r="AE386" t="s">
        <v>3298</v>
      </c>
      <c r="AF386">
        <v>3</v>
      </c>
      <c r="AH386" t="s">
        <v>3297</v>
      </c>
      <c r="AI386" t="s">
        <v>3296</v>
      </c>
      <c r="AJ386" t="s">
        <v>3295</v>
      </c>
      <c r="AK386" t="s">
        <v>3294</v>
      </c>
      <c r="AL386">
        <v>2</v>
      </c>
      <c r="AM386" s="5">
        <f t="shared" si="50"/>
        <v>5.4054054054054057E-2</v>
      </c>
      <c r="AN386" s="4">
        <f t="shared" ref="AN386:AN449" si="55">(AM386-$AO$4)/($AO$3-$AO$4)</f>
        <v>8.1869070888381765E-5</v>
      </c>
      <c r="AO386" s="3"/>
      <c r="AP386">
        <v>0</v>
      </c>
      <c r="AR386" t="s">
        <v>0</v>
      </c>
      <c r="AT386" s="2" t="s">
        <v>19</v>
      </c>
      <c r="AU386" s="1">
        <f t="shared" si="51"/>
        <v>1.2263956359396837</v>
      </c>
      <c r="AV386" s="1">
        <f t="shared" si="52"/>
        <v>0.87833599912515647</v>
      </c>
      <c r="AW386" s="1">
        <f t="shared" si="53"/>
        <v>0.53027636231062913</v>
      </c>
    </row>
    <row r="387" spans="1:49" x14ac:dyDescent="0.2">
      <c r="A387">
        <v>385</v>
      </c>
      <c r="B387" t="s">
        <v>3293</v>
      </c>
      <c r="C387" t="s">
        <v>3292</v>
      </c>
      <c r="F387" t="s">
        <v>3291</v>
      </c>
      <c r="G387" t="s">
        <v>15</v>
      </c>
      <c r="H387" t="s">
        <v>14</v>
      </c>
      <c r="I387" t="s">
        <v>3290</v>
      </c>
      <c r="J387">
        <v>60108318</v>
      </c>
      <c r="K387" t="s">
        <v>3289</v>
      </c>
      <c r="L387" t="s">
        <v>3288</v>
      </c>
      <c r="M387" t="s">
        <v>122</v>
      </c>
      <c r="N387">
        <v>2</v>
      </c>
      <c r="O387" t="s">
        <v>3287</v>
      </c>
      <c r="P387" t="s">
        <v>3286</v>
      </c>
      <c r="Q387" t="s">
        <v>3285</v>
      </c>
      <c r="R387" s="7">
        <v>31048</v>
      </c>
      <c r="S387" s="8">
        <f t="shared" si="48"/>
        <v>1985</v>
      </c>
      <c r="T387" s="8">
        <v>1985</v>
      </c>
      <c r="U387" s="8">
        <f t="shared" si="49"/>
        <v>37</v>
      </c>
      <c r="V387" s="7">
        <v>31260</v>
      </c>
      <c r="W387" t="s">
        <v>3284</v>
      </c>
      <c r="X387" s="2">
        <v>0.91600000000000004</v>
      </c>
      <c r="Y387" s="6">
        <f t="shared" si="54"/>
        <v>2.4452096847387951E-2</v>
      </c>
      <c r="AA387">
        <v>189359</v>
      </c>
      <c r="AB387">
        <v>17344</v>
      </c>
      <c r="AC387">
        <v>15579638</v>
      </c>
      <c r="AD387" t="s">
        <v>4</v>
      </c>
      <c r="AE387">
        <v>28</v>
      </c>
      <c r="AF387">
        <v>3</v>
      </c>
      <c r="AH387" t="s">
        <v>3283</v>
      </c>
      <c r="AI387" t="s">
        <v>3282</v>
      </c>
      <c r="AK387" t="s">
        <v>3281</v>
      </c>
      <c r="AL387">
        <v>1</v>
      </c>
      <c r="AM387" s="5">
        <f t="shared" si="50"/>
        <v>2.7027027027027029E-2</v>
      </c>
      <c r="AN387" s="4">
        <f t="shared" si="55"/>
        <v>4.0934535444190883E-5</v>
      </c>
      <c r="AO387" s="3"/>
      <c r="AP387">
        <v>0</v>
      </c>
      <c r="AR387" t="s">
        <v>0</v>
      </c>
      <c r="AT387" s="2">
        <v>2.1160000000000001</v>
      </c>
      <c r="AU387" s="1">
        <f t="shared" si="51"/>
        <v>1.7128748153804818</v>
      </c>
      <c r="AV387" s="1">
        <f t="shared" si="52"/>
        <v>1.2246515691416071</v>
      </c>
      <c r="AW387" s="1">
        <f t="shared" si="53"/>
        <v>0.73642832290273186</v>
      </c>
    </row>
    <row r="388" spans="1:49" x14ac:dyDescent="0.2">
      <c r="A388">
        <v>386</v>
      </c>
      <c r="B388" t="s">
        <v>3280</v>
      </c>
      <c r="C388" t="s">
        <v>3279</v>
      </c>
      <c r="F388" t="s">
        <v>3278</v>
      </c>
      <c r="G388" t="s">
        <v>15</v>
      </c>
      <c r="H388" t="s">
        <v>14</v>
      </c>
      <c r="I388" t="s">
        <v>3277</v>
      </c>
      <c r="J388">
        <v>60025317</v>
      </c>
      <c r="K388" t="s">
        <v>3276</v>
      </c>
      <c r="L388" t="s">
        <v>3275</v>
      </c>
      <c r="M388" t="s">
        <v>122</v>
      </c>
      <c r="N388">
        <v>2</v>
      </c>
      <c r="O388" t="s">
        <v>3274</v>
      </c>
      <c r="P388" t="s">
        <v>3273</v>
      </c>
      <c r="Q388" t="s">
        <v>3272</v>
      </c>
      <c r="R388" s="7">
        <v>31048</v>
      </c>
      <c r="S388" s="8">
        <f t="shared" si="48"/>
        <v>1985</v>
      </c>
      <c r="T388" s="8">
        <v>1985</v>
      </c>
      <c r="U388" s="8">
        <f t="shared" si="49"/>
        <v>37</v>
      </c>
      <c r="V388" s="7">
        <v>31260</v>
      </c>
      <c r="W388" t="s">
        <v>24</v>
      </c>
      <c r="X388" s="2">
        <v>1.6519999999999999</v>
      </c>
      <c r="Y388" s="6">
        <f t="shared" si="54"/>
        <v>4.409919649769093E-2</v>
      </c>
      <c r="AA388" t="s">
        <v>23</v>
      </c>
      <c r="AB388">
        <v>17337</v>
      </c>
      <c r="AC388">
        <v>15582221</v>
      </c>
      <c r="AD388" t="s">
        <v>4</v>
      </c>
      <c r="AE388">
        <v>33</v>
      </c>
      <c r="AF388">
        <v>8</v>
      </c>
      <c r="AH388" t="s">
        <v>3271</v>
      </c>
      <c r="AI388" t="s">
        <v>3270</v>
      </c>
      <c r="AK388" t="s">
        <v>3269</v>
      </c>
      <c r="AL388">
        <v>16</v>
      </c>
      <c r="AM388" s="5">
        <f t="shared" si="50"/>
        <v>0.43243243243243246</v>
      </c>
      <c r="AN388" s="4">
        <f t="shared" si="55"/>
        <v>6.5495256710705412E-4</v>
      </c>
      <c r="AO388" s="3"/>
      <c r="AP388">
        <v>0</v>
      </c>
      <c r="AR388" t="s">
        <v>0</v>
      </c>
      <c r="AT388" s="2" t="s">
        <v>19</v>
      </c>
      <c r="AU388" s="1">
        <f t="shared" si="51"/>
        <v>3.1065923318515769</v>
      </c>
      <c r="AV388" s="1">
        <f t="shared" si="52"/>
        <v>2.2377074532398993</v>
      </c>
      <c r="AW388" s="1">
        <f t="shared" si="53"/>
        <v>1.3688225746282217</v>
      </c>
    </row>
    <row r="389" spans="1:49" x14ac:dyDescent="0.2">
      <c r="A389">
        <v>387</v>
      </c>
      <c r="B389" t="s">
        <v>3268</v>
      </c>
      <c r="C389" t="s">
        <v>3267</v>
      </c>
      <c r="F389" t="s">
        <v>3266</v>
      </c>
      <c r="G389" t="s">
        <v>15</v>
      </c>
      <c r="H389" t="s">
        <v>14</v>
      </c>
      <c r="I389" t="s">
        <v>3265</v>
      </c>
      <c r="J389">
        <v>60025916</v>
      </c>
      <c r="K389" t="s">
        <v>3155</v>
      </c>
      <c r="L389" t="s">
        <v>3154</v>
      </c>
      <c r="M389" t="s">
        <v>122</v>
      </c>
      <c r="N389">
        <v>3</v>
      </c>
      <c r="O389" t="s">
        <v>3264</v>
      </c>
      <c r="P389" t="s">
        <v>3263</v>
      </c>
      <c r="Q389" t="s">
        <v>3262</v>
      </c>
      <c r="R389" s="7">
        <v>31048</v>
      </c>
      <c r="S389" s="8">
        <f t="shared" si="48"/>
        <v>1985</v>
      </c>
      <c r="T389" s="8">
        <v>1985</v>
      </c>
      <c r="U389" s="8">
        <f t="shared" si="49"/>
        <v>37</v>
      </c>
      <c r="V389" s="7">
        <v>31229</v>
      </c>
      <c r="W389" t="s">
        <v>24</v>
      </c>
      <c r="X389" s="2">
        <v>1.6519999999999999</v>
      </c>
      <c r="Y389" s="6">
        <f t="shared" si="54"/>
        <v>4.409919649769093E-2</v>
      </c>
      <c r="AA389" t="s">
        <v>23</v>
      </c>
      <c r="AB389">
        <v>17337</v>
      </c>
      <c r="AC389">
        <v>15582221</v>
      </c>
      <c r="AD389" t="s">
        <v>4</v>
      </c>
      <c r="AE389">
        <v>33</v>
      </c>
      <c r="AF389">
        <v>7</v>
      </c>
      <c r="AH389" t="s">
        <v>3261</v>
      </c>
      <c r="AI389" t="s">
        <v>3260</v>
      </c>
      <c r="AK389" t="s">
        <v>3259</v>
      </c>
      <c r="AL389">
        <v>8</v>
      </c>
      <c r="AM389" s="5">
        <f t="shared" si="50"/>
        <v>0.21621621621621623</v>
      </c>
      <c r="AN389" s="4">
        <f t="shared" si="55"/>
        <v>3.2747628355352706E-4</v>
      </c>
      <c r="AO389" s="3"/>
      <c r="AP389">
        <v>0</v>
      </c>
      <c r="AR389" t="s">
        <v>0</v>
      </c>
      <c r="AT389" s="2" t="s">
        <v>19</v>
      </c>
      <c r="AU389" s="1">
        <f t="shared" si="51"/>
        <v>3.0967680433449707</v>
      </c>
      <c r="AV389" s="1">
        <f t="shared" si="52"/>
        <v>2.2213336390622231</v>
      </c>
      <c r="AW389" s="1">
        <f t="shared" si="53"/>
        <v>1.3458992347794747</v>
      </c>
    </row>
    <row r="390" spans="1:49" x14ac:dyDescent="0.2">
      <c r="A390">
        <v>388</v>
      </c>
      <c r="B390" t="s">
        <v>3258</v>
      </c>
      <c r="C390" t="s">
        <v>3257</v>
      </c>
      <c r="F390" t="s">
        <v>3256</v>
      </c>
      <c r="G390" t="s">
        <v>15</v>
      </c>
      <c r="H390" t="s">
        <v>14</v>
      </c>
      <c r="I390" t="s">
        <v>3255</v>
      </c>
      <c r="J390">
        <v>60011897</v>
      </c>
      <c r="K390" t="s">
        <v>3254</v>
      </c>
      <c r="L390" t="s">
        <v>3253</v>
      </c>
      <c r="M390" t="s">
        <v>530</v>
      </c>
      <c r="N390">
        <v>1</v>
      </c>
      <c r="O390" t="s">
        <v>3252</v>
      </c>
      <c r="P390">
        <v>6701546250</v>
      </c>
      <c r="Q390">
        <v>60011897</v>
      </c>
      <c r="R390" s="7">
        <v>31048</v>
      </c>
      <c r="S390" s="8">
        <f t="shared" ref="S390:S453" si="56">YEAR(R390)</f>
        <v>1985</v>
      </c>
      <c r="T390" s="8">
        <v>1985</v>
      </c>
      <c r="U390" s="8">
        <f t="shared" ref="U390:U453" si="57">2022-T390</f>
        <v>37</v>
      </c>
      <c r="V390" s="7">
        <v>1985</v>
      </c>
      <c r="W390" s="11" t="s">
        <v>2012</v>
      </c>
      <c r="X390" s="2">
        <v>2.383</v>
      </c>
      <c r="Y390" s="6">
        <f t="shared" si="54"/>
        <v>6.3612824003630442E-2</v>
      </c>
      <c r="AA390">
        <v>1437070</v>
      </c>
      <c r="AB390">
        <v>39742</v>
      </c>
      <c r="AD390" t="s">
        <v>4</v>
      </c>
      <c r="AE390">
        <v>132</v>
      </c>
      <c r="AF390">
        <v>4</v>
      </c>
      <c r="AH390" t="s">
        <v>3251</v>
      </c>
      <c r="AI390" t="s">
        <v>3250</v>
      </c>
      <c r="AJ390" t="s">
        <v>3249</v>
      </c>
      <c r="AK390" t="s">
        <v>3248</v>
      </c>
      <c r="AL390">
        <v>0</v>
      </c>
      <c r="AM390" s="5">
        <f t="shared" ref="AM390:AM453" si="58">AL390/U390</f>
        <v>0</v>
      </c>
      <c r="AN390" s="4">
        <f t="shared" si="55"/>
        <v>0</v>
      </c>
      <c r="AO390" s="3"/>
      <c r="AP390">
        <v>0</v>
      </c>
      <c r="AR390" t="s">
        <v>0</v>
      </c>
      <c r="AT390" s="2" t="s">
        <v>19</v>
      </c>
      <c r="AU390" s="1">
        <f t="shared" ref="AU390:AU453" si="59">(Y390*0.7+AN390*0.3)*100</f>
        <v>4.4528976802541305</v>
      </c>
      <c r="AV390" s="1">
        <f t="shared" ref="AV390:AV453" si="60">(Y390*0.5+AN390*0.5)*100</f>
        <v>3.1806412001815221</v>
      </c>
      <c r="AW390" s="1">
        <f t="shared" ref="AW390:AW453" si="61">(Y390*0.3+AN390*0.7)*100</f>
        <v>1.9083847201089132</v>
      </c>
    </row>
    <row r="391" spans="1:49" x14ac:dyDescent="0.2">
      <c r="A391">
        <v>389</v>
      </c>
      <c r="B391" t="s">
        <v>3247</v>
      </c>
      <c r="C391" t="s">
        <v>3246</v>
      </c>
      <c r="F391" t="s">
        <v>3245</v>
      </c>
      <c r="G391" t="s">
        <v>15</v>
      </c>
      <c r="H391" t="s">
        <v>14</v>
      </c>
      <c r="I391" t="s">
        <v>3179</v>
      </c>
      <c r="J391">
        <v>60024266</v>
      </c>
      <c r="K391" t="s">
        <v>3178</v>
      </c>
      <c r="L391" t="s">
        <v>3177</v>
      </c>
      <c r="M391" t="s">
        <v>122</v>
      </c>
      <c r="N391">
        <v>5</v>
      </c>
      <c r="O391" t="s">
        <v>3244</v>
      </c>
      <c r="P391" t="s">
        <v>3243</v>
      </c>
      <c r="Q391" t="s">
        <v>3174</v>
      </c>
      <c r="R391" s="7">
        <v>31048</v>
      </c>
      <c r="S391" s="8">
        <f t="shared" si="56"/>
        <v>1985</v>
      </c>
      <c r="T391" s="8">
        <v>1985</v>
      </c>
      <c r="U391" s="8">
        <f t="shared" si="57"/>
        <v>37</v>
      </c>
      <c r="V391" s="7" t="s">
        <v>2964</v>
      </c>
      <c r="W391" t="s">
        <v>1726</v>
      </c>
      <c r="X391" s="2" t="s">
        <v>19</v>
      </c>
      <c r="Y391" s="6" t="e">
        <f t="shared" si="54"/>
        <v>#VALUE!</v>
      </c>
      <c r="AA391">
        <v>7481896</v>
      </c>
      <c r="AB391">
        <v>78193</v>
      </c>
      <c r="AD391" t="s">
        <v>4</v>
      </c>
      <c r="AE391">
        <v>8</v>
      </c>
      <c r="AF391" t="s">
        <v>3110</v>
      </c>
      <c r="AH391" t="s">
        <v>3242</v>
      </c>
      <c r="AL391">
        <v>5</v>
      </c>
      <c r="AM391" s="5">
        <f t="shared" si="58"/>
        <v>0.13513513513513514</v>
      </c>
      <c r="AN391" s="4">
        <f t="shared" si="55"/>
        <v>2.046726772209544E-4</v>
      </c>
      <c r="AO391" s="3"/>
      <c r="AP391">
        <v>0</v>
      </c>
      <c r="AR391" t="s">
        <v>0</v>
      </c>
      <c r="AT391" s="2" t="s">
        <v>19</v>
      </c>
      <c r="AU391" s="1" t="e">
        <f t="shared" si="59"/>
        <v>#VALUE!</v>
      </c>
      <c r="AV391" s="1" t="e">
        <f t="shared" si="60"/>
        <v>#VALUE!</v>
      </c>
      <c r="AW391" s="1" t="e">
        <f t="shared" si="61"/>
        <v>#VALUE!</v>
      </c>
    </row>
    <row r="392" spans="1:49" x14ac:dyDescent="0.2">
      <c r="A392">
        <v>390</v>
      </c>
      <c r="B392" t="s">
        <v>3241</v>
      </c>
      <c r="C392" t="s">
        <v>3240</v>
      </c>
      <c r="F392" t="s">
        <v>3239</v>
      </c>
      <c r="G392" t="s">
        <v>15</v>
      </c>
      <c r="H392" t="s">
        <v>14</v>
      </c>
      <c r="I392" t="s">
        <v>3238</v>
      </c>
      <c r="J392">
        <v>60104653</v>
      </c>
      <c r="K392" t="s">
        <v>3237</v>
      </c>
      <c r="L392" t="s">
        <v>3236</v>
      </c>
      <c r="M392" t="s">
        <v>272</v>
      </c>
      <c r="N392">
        <v>1</v>
      </c>
      <c r="O392" t="s">
        <v>3235</v>
      </c>
      <c r="P392">
        <v>57213959193</v>
      </c>
      <c r="Q392">
        <v>60104653</v>
      </c>
      <c r="R392" s="7">
        <v>31048</v>
      </c>
      <c r="S392" s="8">
        <f t="shared" si="56"/>
        <v>1985</v>
      </c>
      <c r="T392" s="8">
        <v>1985</v>
      </c>
      <c r="U392" s="8">
        <f t="shared" si="57"/>
        <v>37</v>
      </c>
      <c r="V392" s="7">
        <v>31229</v>
      </c>
      <c r="W392" t="s">
        <v>24</v>
      </c>
      <c r="X392" s="2">
        <v>1.6519999999999999</v>
      </c>
      <c r="Y392" s="6">
        <f t="shared" si="54"/>
        <v>4.409919649769093E-2</v>
      </c>
      <c r="AA392" t="s">
        <v>23</v>
      </c>
      <c r="AB392">
        <v>17337</v>
      </c>
      <c r="AC392">
        <v>15582221</v>
      </c>
      <c r="AD392" t="s">
        <v>4</v>
      </c>
      <c r="AE392">
        <v>33</v>
      </c>
      <c r="AF392">
        <v>7</v>
      </c>
      <c r="AH392" t="s">
        <v>3234</v>
      </c>
      <c r="AI392" t="s">
        <v>3233</v>
      </c>
      <c r="AK392" t="s">
        <v>3232</v>
      </c>
      <c r="AL392">
        <v>65</v>
      </c>
      <c r="AM392" s="5">
        <f t="shared" si="58"/>
        <v>1.7567567567567568</v>
      </c>
      <c r="AN392" s="4">
        <f t="shared" si="55"/>
        <v>2.6607448038724071E-3</v>
      </c>
      <c r="AO392" s="3"/>
      <c r="AP392">
        <v>0</v>
      </c>
      <c r="AR392" t="s">
        <v>0</v>
      </c>
      <c r="AT392" s="2" t="s">
        <v>19</v>
      </c>
      <c r="AU392" s="1">
        <f t="shared" si="59"/>
        <v>3.166766098954537</v>
      </c>
      <c r="AV392" s="1">
        <f t="shared" si="60"/>
        <v>2.337997065078167</v>
      </c>
      <c r="AW392" s="1">
        <f t="shared" si="61"/>
        <v>1.5092280312017963</v>
      </c>
    </row>
    <row r="393" spans="1:49" x14ac:dyDescent="0.2">
      <c r="A393">
        <v>391</v>
      </c>
      <c r="B393" t="s">
        <v>3231</v>
      </c>
      <c r="C393" t="s">
        <v>3230</v>
      </c>
      <c r="F393" t="s">
        <v>3229</v>
      </c>
      <c r="G393" t="s">
        <v>15</v>
      </c>
      <c r="H393" t="s">
        <v>14</v>
      </c>
      <c r="I393" t="s">
        <v>3228</v>
      </c>
      <c r="J393">
        <v>60022148</v>
      </c>
      <c r="K393" t="s">
        <v>1091</v>
      </c>
      <c r="L393" t="s">
        <v>1090</v>
      </c>
      <c r="M393" t="s">
        <v>530</v>
      </c>
      <c r="N393">
        <v>1</v>
      </c>
      <c r="O393" t="s">
        <v>3227</v>
      </c>
      <c r="P393">
        <v>7101727014</v>
      </c>
      <c r="Q393">
        <v>60022148</v>
      </c>
      <c r="R393" s="7">
        <v>31048</v>
      </c>
      <c r="S393" s="8">
        <f t="shared" si="56"/>
        <v>1985</v>
      </c>
      <c r="T393" s="8">
        <v>1985</v>
      </c>
      <c r="U393" s="8">
        <f t="shared" si="57"/>
        <v>37</v>
      </c>
      <c r="V393" s="7">
        <v>1985</v>
      </c>
      <c r="W393" t="s">
        <v>540</v>
      </c>
      <c r="X393" s="2">
        <v>0.375</v>
      </c>
      <c r="Y393" s="6">
        <f t="shared" si="54"/>
        <v>1.0010410827260351E-2</v>
      </c>
      <c r="AA393">
        <v>135194</v>
      </c>
      <c r="AB393">
        <v>24918</v>
      </c>
      <c r="AD393" t="s">
        <v>4</v>
      </c>
      <c r="AE393">
        <v>21</v>
      </c>
      <c r="AF393">
        <v>15</v>
      </c>
      <c r="AH393" t="s">
        <v>3226</v>
      </c>
      <c r="AI393" t="s">
        <v>3225</v>
      </c>
      <c r="AJ393" t="s">
        <v>3224</v>
      </c>
      <c r="AK393" t="s">
        <v>3223</v>
      </c>
      <c r="AL393">
        <v>0</v>
      </c>
      <c r="AM393" s="5">
        <f t="shared" si="58"/>
        <v>0</v>
      </c>
      <c r="AN393" s="4">
        <f t="shared" si="55"/>
        <v>0</v>
      </c>
      <c r="AO393" s="3"/>
      <c r="AP393">
        <v>0</v>
      </c>
      <c r="AR393" t="s">
        <v>0</v>
      </c>
      <c r="AT393" s="2">
        <v>1.3140000000000001</v>
      </c>
      <c r="AU393" s="1">
        <f t="shared" si="59"/>
        <v>0.70072875790822453</v>
      </c>
      <c r="AV393" s="1">
        <f t="shared" si="60"/>
        <v>0.5005205413630176</v>
      </c>
      <c r="AW393" s="1">
        <f t="shared" si="61"/>
        <v>0.30031232481781051</v>
      </c>
    </row>
    <row r="394" spans="1:49" x14ac:dyDescent="0.2">
      <c r="A394">
        <v>392</v>
      </c>
      <c r="B394" t="s">
        <v>3222</v>
      </c>
      <c r="C394" t="s">
        <v>3221</v>
      </c>
      <c r="F394" t="s">
        <v>3220</v>
      </c>
      <c r="G394" t="s">
        <v>15</v>
      </c>
      <c r="H394" t="s">
        <v>14</v>
      </c>
      <c r="I394" t="s">
        <v>3219</v>
      </c>
      <c r="J394">
        <v>100676506</v>
      </c>
      <c r="K394" t="s">
        <v>3218</v>
      </c>
      <c r="L394" t="s">
        <v>3217</v>
      </c>
      <c r="M394" t="s">
        <v>530</v>
      </c>
      <c r="N394">
        <v>2</v>
      </c>
      <c r="O394" t="s">
        <v>3216</v>
      </c>
      <c r="P394" t="s">
        <v>3215</v>
      </c>
      <c r="Q394" t="s">
        <v>3214</v>
      </c>
      <c r="R394" s="7">
        <v>31048</v>
      </c>
      <c r="S394" s="8">
        <f t="shared" si="56"/>
        <v>1985</v>
      </c>
      <c r="T394" s="8">
        <v>1985</v>
      </c>
      <c r="U394" s="8">
        <f t="shared" si="57"/>
        <v>37</v>
      </c>
      <c r="V394" s="7" t="s">
        <v>2964</v>
      </c>
      <c r="W394" s="11" t="s">
        <v>3213</v>
      </c>
      <c r="X394" s="2">
        <v>2.383</v>
      </c>
      <c r="Y394" s="6">
        <f t="shared" si="54"/>
        <v>6.3612824003630442E-2</v>
      </c>
      <c r="AA394">
        <v>1437070</v>
      </c>
      <c r="AB394">
        <v>39742</v>
      </c>
      <c r="AD394" t="s">
        <v>4</v>
      </c>
      <c r="AE394">
        <v>132</v>
      </c>
      <c r="AF394">
        <v>4</v>
      </c>
      <c r="AH394" t="s">
        <v>3212</v>
      </c>
      <c r="AI394" t="s">
        <v>3211</v>
      </c>
      <c r="AK394" t="s">
        <v>3210</v>
      </c>
      <c r="AL394">
        <v>14</v>
      </c>
      <c r="AM394" s="5">
        <f t="shared" si="58"/>
        <v>0.3783783783783784</v>
      </c>
      <c r="AN394" s="4">
        <f t="shared" si="55"/>
        <v>5.7308349621867233E-4</v>
      </c>
      <c r="AO394" s="3"/>
      <c r="AP394">
        <v>0</v>
      </c>
      <c r="AR394" t="s">
        <v>0</v>
      </c>
      <c r="AT394" s="2" t="s">
        <v>19</v>
      </c>
      <c r="AU394" s="1">
        <f t="shared" si="59"/>
        <v>4.4700901851406911</v>
      </c>
      <c r="AV394" s="1">
        <f t="shared" si="60"/>
        <v>3.2092953749924562</v>
      </c>
      <c r="AW394" s="1">
        <f t="shared" si="61"/>
        <v>1.9485005648442202</v>
      </c>
    </row>
    <row r="395" spans="1:49" x14ac:dyDescent="0.2">
      <c r="A395">
        <v>393</v>
      </c>
      <c r="B395" t="s">
        <v>3209</v>
      </c>
      <c r="C395" t="s">
        <v>3208</v>
      </c>
      <c r="F395" t="s">
        <v>3207</v>
      </c>
      <c r="G395" t="s">
        <v>15</v>
      </c>
      <c r="H395" t="s">
        <v>14</v>
      </c>
      <c r="I395" t="s">
        <v>3206</v>
      </c>
      <c r="J395">
        <v>60000854</v>
      </c>
      <c r="K395" t="s">
        <v>457</v>
      </c>
      <c r="L395" t="s">
        <v>456</v>
      </c>
      <c r="M395" t="s">
        <v>122</v>
      </c>
      <c r="N395">
        <v>1</v>
      </c>
      <c r="O395" t="s">
        <v>3205</v>
      </c>
      <c r="P395">
        <v>6701768109</v>
      </c>
      <c r="Q395">
        <v>60000854</v>
      </c>
      <c r="R395" s="7">
        <v>31048</v>
      </c>
      <c r="S395" s="8">
        <f t="shared" si="56"/>
        <v>1985</v>
      </c>
      <c r="T395" s="8">
        <v>1985</v>
      </c>
      <c r="U395" s="8">
        <f t="shared" si="57"/>
        <v>37</v>
      </c>
      <c r="V395" s="7">
        <v>31229</v>
      </c>
      <c r="W395" t="s">
        <v>465</v>
      </c>
      <c r="X395" s="2">
        <v>0.75800000000000001</v>
      </c>
      <c r="Y395" s="6">
        <f t="shared" si="54"/>
        <v>2.0234377085502256E-2</v>
      </c>
      <c r="AA395">
        <v>224650</v>
      </c>
      <c r="AB395">
        <v>29589</v>
      </c>
      <c r="AD395" t="s">
        <v>4</v>
      </c>
      <c r="AE395">
        <v>22</v>
      </c>
      <c r="AF395">
        <v>4</v>
      </c>
      <c r="AH395" t="s">
        <v>3204</v>
      </c>
      <c r="AI395" t="s">
        <v>3203</v>
      </c>
      <c r="AK395" t="s">
        <v>3202</v>
      </c>
      <c r="AL395">
        <v>4</v>
      </c>
      <c r="AM395" s="5">
        <f t="shared" si="58"/>
        <v>0.10810810810810811</v>
      </c>
      <c r="AN395" s="4">
        <f t="shared" si="55"/>
        <v>1.6373814177676353E-4</v>
      </c>
      <c r="AO395" s="3"/>
      <c r="AP395">
        <v>0</v>
      </c>
      <c r="AR395" t="s">
        <v>0</v>
      </c>
      <c r="AT395" s="2">
        <v>1.282</v>
      </c>
      <c r="AU395" s="1">
        <f t="shared" si="59"/>
        <v>1.4213185402384607</v>
      </c>
      <c r="AV395" s="1">
        <f t="shared" si="60"/>
        <v>1.0199057613639511</v>
      </c>
      <c r="AW395" s="1">
        <f t="shared" si="61"/>
        <v>0.61849298248944107</v>
      </c>
    </row>
    <row r="396" spans="1:49" x14ac:dyDescent="0.2">
      <c r="A396">
        <v>394</v>
      </c>
      <c r="B396" t="s">
        <v>3201</v>
      </c>
      <c r="C396" t="s">
        <v>3200</v>
      </c>
      <c r="F396" t="s">
        <v>3199</v>
      </c>
      <c r="G396" t="s">
        <v>15</v>
      </c>
      <c r="H396" t="s">
        <v>14</v>
      </c>
      <c r="I396" t="s">
        <v>3144</v>
      </c>
      <c r="J396" t="s">
        <v>3138</v>
      </c>
      <c r="K396" t="s">
        <v>3143</v>
      </c>
      <c r="L396" t="s">
        <v>3142</v>
      </c>
      <c r="M396" t="s">
        <v>3141</v>
      </c>
      <c r="N396">
        <v>2</v>
      </c>
      <c r="O396" t="s">
        <v>3140</v>
      </c>
      <c r="P396" t="s">
        <v>3139</v>
      </c>
      <c r="Q396" t="s">
        <v>3138</v>
      </c>
      <c r="R396" s="7">
        <v>31048</v>
      </c>
      <c r="S396" s="8">
        <f t="shared" si="56"/>
        <v>1985</v>
      </c>
      <c r="T396" s="8">
        <v>1985</v>
      </c>
      <c r="U396" s="8">
        <f t="shared" si="57"/>
        <v>37</v>
      </c>
      <c r="V396" s="7">
        <v>31229</v>
      </c>
      <c r="W396" t="s">
        <v>24</v>
      </c>
      <c r="X396" s="2">
        <v>1.6519999999999999</v>
      </c>
      <c r="Y396" s="6">
        <f t="shared" si="54"/>
        <v>4.409919649769093E-2</v>
      </c>
      <c r="AA396" t="s">
        <v>23</v>
      </c>
      <c r="AB396">
        <v>17337</v>
      </c>
      <c r="AC396">
        <v>15582221</v>
      </c>
      <c r="AD396" t="s">
        <v>4</v>
      </c>
      <c r="AE396">
        <v>33</v>
      </c>
      <c r="AF396">
        <v>7</v>
      </c>
      <c r="AH396" t="s">
        <v>3198</v>
      </c>
      <c r="AI396" t="s">
        <v>3197</v>
      </c>
      <c r="AK396" t="s">
        <v>3196</v>
      </c>
      <c r="AL396">
        <v>4</v>
      </c>
      <c r="AM396" s="5">
        <f t="shared" si="58"/>
        <v>0.10810810810810811</v>
      </c>
      <c r="AN396" s="4">
        <f t="shared" si="55"/>
        <v>1.6373814177676353E-4</v>
      </c>
      <c r="AO396" s="3"/>
      <c r="AP396">
        <v>0</v>
      </c>
      <c r="AR396" t="s">
        <v>0</v>
      </c>
      <c r="AT396" s="2" t="s">
        <v>19</v>
      </c>
      <c r="AU396" s="1">
        <f t="shared" si="59"/>
        <v>3.091855899091668</v>
      </c>
      <c r="AV396" s="1">
        <f t="shared" si="60"/>
        <v>2.2131467319733846</v>
      </c>
      <c r="AW396" s="1">
        <f t="shared" si="61"/>
        <v>1.3344375648551012</v>
      </c>
    </row>
    <row r="397" spans="1:49" x14ac:dyDescent="0.2">
      <c r="A397">
        <v>395</v>
      </c>
      <c r="B397" t="s">
        <v>3195</v>
      </c>
      <c r="C397" t="s">
        <v>3194</v>
      </c>
      <c r="F397" t="s">
        <v>3193</v>
      </c>
      <c r="G397" t="s">
        <v>15</v>
      </c>
      <c r="H397" t="s">
        <v>14</v>
      </c>
      <c r="I397" t="s">
        <v>3192</v>
      </c>
      <c r="J397" t="s">
        <v>3191</v>
      </c>
      <c r="K397" t="s">
        <v>3190</v>
      </c>
      <c r="L397" t="s">
        <v>3189</v>
      </c>
      <c r="M397" t="s">
        <v>28</v>
      </c>
      <c r="N397">
        <v>4</v>
      </c>
      <c r="O397" t="s">
        <v>3188</v>
      </c>
      <c r="P397" t="s">
        <v>3187</v>
      </c>
      <c r="Q397" t="s">
        <v>3186</v>
      </c>
      <c r="R397" s="7">
        <v>31048</v>
      </c>
      <c r="S397" s="8">
        <f t="shared" si="56"/>
        <v>1985</v>
      </c>
      <c r="T397" s="8">
        <v>1985</v>
      </c>
      <c r="U397" s="8">
        <f t="shared" si="57"/>
        <v>37</v>
      </c>
      <c r="V397" s="7">
        <v>31229</v>
      </c>
      <c r="W397" t="s">
        <v>24</v>
      </c>
      <c r="X397" s="2">
        <v>1.6519999999999999</v>
      </c>
      <c r="Y397" s="6">
        <f t="shared" si="54"/>
        <v>4.409919649769093E-2</v>
      </c>
      <c r="AA397" t="s">
        <v>23</v>
      </c>
      <c r="AB397">
        <v>17337</v>
      </c>
      <c r="AC397">
        <v>15582221</v>
      </c>
      <c r="AD397" t="s">
        <v>4</v>
      </c>
      <c r="AE397">
        <v>33</v>
      </c>
      <c r="AF397">
        <v>7</v>
      </c>
      <c r="AH397" t="s">
        <v>3185</v>
      </c>
      <c r="AI397" t="s">
        <v>3184</v>
      </c>
      <c r="AK397" t="s">
        <v>3183</v>
      </c>
      <c r="AL397">
        <v>13</v>
      </c>
      <c r="AM397" s="5">
        <f t="shared" si="58"/>
        <v>0.35135135135135137</v>
      </c>
      <c r="AN397" s="4">
        <f t="shared" si="55"/>
        <v>5.3214896077448143E-4</v>
      </c>
      <c r="AO397" s="3"/>
      <c r="AP397">
        <v>0</v>
      </c>
      <c r="AR397" t="s">
        <v>0</v>
      </c>
      <c r="AT397" s="2" t="s">
        <v>19</v>
      </c>
      <c r="AU397" s="1">
        <f t="shared" si="59"/>
        <v>3.1029082236615992</v>
      </c>
      <c r="AV397" s="1">
        <f t="shared" si="60"/>
        <v>2.2315672729232707</v>
      </c>
      <c r="AW397" s="1">
        <f t="shared" si="61"/>
        <v>1.3602263221849415</v>
      </c>
    </row>
    <row r="398" spans="1:49" x14ac:dyDescent="0.2">
      <c r="A398">
        <v>396</v>
      </c>
      <c r="B398" t="s">
        <v>3182</v>
      </c>
      <c r="C398" t="s">
        <v>3181</v>
      </c>
      <c r="F398" t="s">
        <v>3180</v>
      </c>
      <c r="G398" t="s">
        <v>15</v>
      </c>
      <c r="H398" t="s">
        <v>14</v>
      </c>
      <c r="I398" t="s">
        <v>3179</v>
      </c>
      <c r="J398">
        <v>60024266</v>
      </c>
      <c r="K398" t="s">
        <v>3178</v>
      </c>
      <c r="L398" t="s">
        <v>3177</v>
      </c>
      <c r="M398" t="s">
        <v>122</v>
      </c>
      <c r="N398">
        <v>5</v>
      </c>
      <c r="O398" t="s">
        <v>3176</v>
      </c>
      <c r="P398" t="s">
        <v>3175</v>
      </c>
      <c r="Q398" t="s">
        <v>3174</v>
      </c>
      <c r="R398" s="7">
        <v>31048</v>
      </c>
      <c r="S398" s="8">
        <f t="shared" si="56"/>
        <v>1985</v>
      </c>
      <c r="T398" s="8">
        <v>1985</v>
      </c>
      <c r="U398" s="8">
        <f t="shared" si="57"/>
        <v>37</v>
      </c>
      <c r="V398" s="7" t="s">
        <v>2964</v>
      </c>
      <c r="W398" t="s">
        <v>1726</v>
      </c>
      <c r="X398" s="2" t="s">
        <v>19</v>
      </c>
      <c r="Y398" s="6" t="e">
        <f t="shared" si="54"/>
        <v>#VALUE!</v>
      </c>
      <c r="AA398">
        <v>7481896</v>
      </c>
      <c r="AB398">
        <v>78193</v>
      </c>
      <c r="AD398" t="s">
        <v>4</v>
      </c>
      <c r="AE398">
        <v>8</v>
      </c>
      <c r="AF398" t="s">
        <v>3110</v>
      </c>
      <c r="AH398" t="s">
        <v>3173</v>
      </c>
      <c r="AI398" t="s">
        <v>3172</v>
      </c>
      <c r="AK398" t="s">
        <v>3171</v>
      </c>
      <c r="AL398">
        <v>2</v>
      </c>
      <c r="AM398" s="5">
        <f t="shared" si="58"/>
        <v>5.4054054054054057E-2</v>
      </c>
      <c r="AN398" s="4">
        <f t="shared" si="55"/>
        <v>8.1869070888381765E-5</v>
      </c>
      <c r="AO398" s="3"/>
      <c r="AP398">
        <v>0</v>
      </c>
      <c r="AR398" t="s">
        <v>0</v>
      </c>
      <c r="AT398" s="2" t="s">
        <v>19</v>
      </c>
      <c r="AU398" s="1" t="e">
        <f t="shared" si="59"/>
        <v>#VALUE!</v>
      </c>
      <c r="AV398" s="1" t="e">
        <f t="shared" si="60"/>
        <v>#VALUE!</v>
      </c>
      <c r="AW398" s="1" t="e">
        <f t="shared" si="61"/>
        <v>#VALUE!</v>
      </c>
    </row>
    <row r="399" spans="1:49" x14ac:dyDescent="0.2">
      <c r="A399">
        <v>397</v>
      </c>
      <c r="B399" t="s">
        <v>3170</v>
      </c>
      <c r="C399" t="s">
        <v>3169</v>
      </c>
      <c r="F399" t="s">
        <v>3168</v>
      </c>
      <c r="G399" t="s">
        <v>15</v>
      </c>
      <c r="H399" t="s">
        <v>14</v>
      </c>
      <c r="I399" t="s">
        <v>3167</v>
      </c>
      <c r="J399">
        <v>60021032</v>
      </c>
      <c r="K399" t="s">
        <v>3166</v>
      </c>
      <c r="L399" t="s">
        <v>3101</v>
      </c>
      <c r="M399" t="s">
        <v>122</v>
      </c>
      <c r="N399">
        <v>2</v>
      </c>
      <c r="O399" t="s">
        <v>3165</v>
      </c>
      <c r="P399" t="s">
        <v>3164</v>
      </c>
      <c r="Q399" t="s">
        <v>3163</v>
      </c>
      <c r="R399" s="7">
        <v>31048</v>
      </c>
      <c r="S399" s="8">
        <f t="shared" si="56"/>
        <v>1985</v>
      </c>
      <c r="T399" s="8">
        <v>1985</v>
      </c>
      <c r="U399" s="8">
        <f t="shared" si="57"/>
        <v>37</v>
      </c>
      <c r="V399" s="7">
        <v>31229</v>
      </c>
      <c r="W399" t="s">
        <v>24</v>
      </c>
      <c r="X399" s="2">
        <v>1.6519999999999999</v>
      </c>
      <c r="Y399" s="6">
        <f t="shared" si="54"/>
        <v>4.409919649769093E-2</v>
      </c>
      <c r="AA399" t="s">
        <v>23</v>
      </c>
      <c r="AB399">
        <v>17337</v>
      </c>
      <c r="AC399">
        <v>15582221</v>
      </c>
      <c r="AD399" t="s">
        <v>4</v>
      </c>
      <c r="AE399">
        <v>33</v>
      </c>
      <c r="AF399">
        <v>7</v>
      </c>
      <c r="AH399" t="s">
        <v>3162</v>
      </c>
      <c r="AI399" t="s">
        <v>3161</v>
      </c>
      <c r="AK399" t="s">
        <v>3160</v>
      </c>
      <c r="AL399">
        <v>23</v>
      </c>
      <c r="AM399" s="5">
        <f t="shared" si="58"/>
        <v>0.6216216216216216</v>
      </c>
      <c r="AN399" s="4">
        <f t="shared" si="55"/>
        <v>9.4149431521639018E-4</v>
      </c>
      <c r="AO399" s="3"/>
      <c r="AP399">
        <v>0</v>
      </c>
      <c r="AR399" t="s">
        <v>0</v>
      </c>
      <c r="AT399" s="2" t="s">
        <v>19</v>
      </c>
      <c r="AU399" s="1">
        <f t="shared" si="59"/>
        <v>3.1151885842948568</v>
      </c>
      <c r="AV399" s="1">
        <f t="shared" si="60"/>
        <v>2.2520345406453659</v>
      </c>
      <c r="AW399" s="1">
        <f t="shared" si="61"/>
        <v>1.3888804969958752</v>
      </c>
    </row>
    <row r="400" spans="1:49" x14ac:dyDescent="0.2">
      <c r="A400">
        <v>398</v>
      </c>
      <c r="B400" t="s">
        <v>3159</v>
      </c>
      <c r="C400" t="s">
        <v>3158</v>
      </c>
      <c r="F400" t="s">
        <v>3157</v>
      </c>
      <c r="G400" t="s">
        <v>15</v>
      </c>
      <c r="H400" t="s">
        <v>14</v>
      </c>
      <c r="I400" t="s">
        <v>3156</v>
      </c>
      <c r="J400">
        <v>60025916</v>
      </c>
      <c r="K400" t="s">
        <v>3155</v>
      </c>
      <c r="L400" t="s">
        <v>3154</v>
      </c>
      <c r="M400" t="s">
        <v>122</v>
      </c>
      <c r="N400">
        <v>2</v>
      </c>
      <c r="O400" t="s">
        <v>3153</v>
      </c>
      <c r="P400" t="s">
        <v>3152</v>
      </c>
      <c r="Q400" t="s">
        <v>3151</v>
      </c>
      <c r="R400" s="7">
        <v>31048</v>
      </c>
      <c r="S400" s="8">
        <f t="shared" si="56"/>
        <v>1985</v>
      </c>
      <c r="T400" s="8">
        <v>1985</v>
      </c>
      <c r="U400" s="8">
        <f t="shared" si="57"/>
        <v>37</v>
      </c>
      <c r="V400" s="7">
        <v>31229</v>
      </c>
      <c r="W400" t="s">
        <v>24</v>
      </c>
      <c r="X400" s="2">
        <v>1.6519999999999999</v>
      </c>
      <c r="Y400" s="6">
        <f t="shared" si="54"/>
        <v>4.409919649769093E-2</v>
      </c>
      <c r="AA400" t="s">
        <v>23</v>
      </c>
      <c r="AB400">
        <v>17337</v>
      </c>
      <c r="AC400">
        <v>15582221</v>
      </c>
      <c r="AD400" t="s">
        <v>4</v>
      </c>
      <c r="AE400">
        <v>33</v>
      </c>
      <c r="AF400">
        <v>7</v>
      </c>
      <c r="AH400" t="s">
        <v>3150</v>
      </c>
      <c r="AI400" t="s">
        <v>3149</v>
      </c>
      <c r="AK400" t="s">
        <v>3148</v>
      </c>
      <c r="AL400">
        <v>8</v>
      </c>
      <c r="AM400" s="5">
        <f t="shared" si="58"/>
        <v>0.21621621621621623</v>
      </c>
      <c r="AN400" s="4">
        <f t="shared" si="55"/>
        <v>3.2747628355352706E-4</v>
      </c>
      <c r="AO400" s="3"/>
      <c r="AP400">
        <v>0</v>
      </c>
      <c r="AR400" t="s">
        <v>0</v>
      </c>
      <c r="AT400" s="2" t="s">
        <v>19</v>
      </c>
      <c r="AU400" s="1">
        <f t="shared" si="59"/>
        <v>3.0967680433449707</v>
      </c>
      <c r="AV400" s="1">
        <f t="shared" si="60"/>
        <v>2.2213336390622231</v>
      </c>
      <c r="AW400" s="1">
        <f t="shared" si="61"/>
        <v>1.3458992347794747</v>
      </c>
    </row>
    <row r="401" spans="1:49" x14ac:dyDescent="0.2">
      <c r="A401">
        <v>399</v>
      </c>
      <c r="B401" t="s">
        <v>3147</v>
      </c>
      <c r="C401" t="s">
        <v>3146</v>
      </c>
      <c r="F401" t="s">
        <v>3145</v>
      </c>
      <c r="G401" t="s">
        <v>15</v>
      </c>
      <c r="H401" t="s">
        <v>14</v>
      </c>
      <c r="I401" t="s">
        <v>3144</v>
      </c>
      <c r="J401" t="s">
        <v>3138</v>
      </c>
      <c r="K401" t="s">
        <v>3143</v>
      </c>
      <c r="L401" t="s">
        <v>3142</v>
      </c>
      <c r="M401" t="s">
        <v>3141</v>
      </c>
      <c r="N401">
        <v>2</v>
      </c>
      <c r="O401" t="s">
        <v>3140</v>
      </c>
      <c r="P401" t="s">
        <v>3139</v>
      </c>
      <c r="Q401" t="s">
        <v>3138</v>
      </c>
      <c r="R401" s="7">
        <v>31048</v>
      </c>
      <c r="S401" s="8">
        <f t="shared" si="56"/>
        <v>1985</v>
      </c>
      <c r="T401" s="8">
        <v>1985</v>
      </c>
      <c r="U401" s="8">
        <f t="shared" si="57"/>
        <v>37</v>
      </c>
      <c r="V401" s="7">
        <v>31229</v>
      </c>
      <c r="W401" t="s">
        <v>24</v>
      </c>
      <c r="X401" s="2">
        <v>1.6519999999999999</v>
      </c>
      <c r="Y401" s="6">
        <f t="shared" si="54"/>
        <v>4.409919649769093E-2</v>
      </c>
      <c r="AA401" t="s">
        <v>23</v>
      </c>
      <c r="AB401">
        <v>17337</v>
      </c>
      <c r="AC401">
        <v>15582221</v>
      </c>
      <c r="AD401" t="s">
        <v>4</v>
      </c>
      <c r="AE401">
        <v>33</v>
      </c>
      <c r="AF401">
        <v>7</v>
      </c>
      <c r="AH401" t="s">
        <v>3137</v>
      </c>
      <c r="AI401" t="s">
        <v>3136</v>
      </c>
      <c r="AK401" t="s">
        <v>3135</v>
      </c>
      <c r="AL401">
        <v>4</v>
      </c>
      <c r="AM401" s="5">
        <f t="shared" si="58"/>
        <v>0.10810810810810811</v>
      </c>
      <c r="AN401" s="4">
        <f t="shared" si="55"/>
        <v>1.6373814177676353E-4</v>
      </c>
      <c r="AO401" s="3"/>
      <c r="AP401">
        <v>0</v>
      </c>
      <c r="AR401" t="s">
        <v>0</v>
      </c>
      <c r="AT401" s="2" t="s">
        <v>19</v>
      </c>
      <c r="AU401" s="1">
        <f t="shared" si="59"/>
        <v>3.091855899091668</v>
      </c>
      <c r="AV401" s="1">
        <f t="shared" si="60"/>
        <v>2.2131467319733846</v>
      </c>
      <c r="AW401" s="1">
        <f t="shared" si="61"/>
        <v>1.3344375648551012</v>
      </c>
    </row>
    <row r="402" spans="1:49" x14ac:dyDescent="0.2">
      <c r="A402">
        <v>400</v>
      </c>
      <c r="B402" t="s">
        <v>3134</v>
      </c>
      <c r="C402" t="s">
        <v>3133</v>
      </c>
      <c r="F402" t="s">
        <v>3132</v>
      </c>
      <c r="G402" t="s">
        <v>15</v>
      </c>
      <c r="H402" t="s">
        <v>14</v>
      </c>
      <c r="I402" t="s">
        <v>3131</v>
      </c>
      <c r="J402">
        <v>60029575</v>
      </c>
      <c r="K402" t="s">
        <v>468</v>
      </c>
      <c r="L402" t="s">
        <v>467</v>
      </c>
      <c r="M402" t="s">
        <v>122</v>
      </c>
      <c r="N402">
        <v>1</v>
      </c>
      <c r="O402" t="s">
        <v>3130</v>
      </c>
      <c r="P402">
        <v>7003489341</v>
      </c>
      <c r="Q402">
        <v>60029575</v>
      </c>
      <c r="R402" s="7">
        <v>31048</v>
      </c>
      <c r="S402" s="8">
        <f t="shared" si="56"/>
        <v>1985</v>
      </c>
      <c r="T402" s="8">
        <v>1985</v>
      </c>
      <c r="U402" s="8">
        <f t="shared" si="57"/>
        <v>37</v>
      </c>
      <c r="V402" s="7">
        <v>31229</v>
      </c>
      <c r="W402" t="s">
        <v>24</v>
      </c>
      <c r="X402" s="2">
        <v>1.6519999999999999</v>
      </c>
      <c r="Y402" s="6">
        <f t="shared" si="54"/>
        <v>4.409919649769093E-2</v>
      </c>
      <c r="AA402" t="s">
        <v>23</v>
      </c>
      <c r="AB402">
        <v>17337</v>
      </c>
      <c r="AC402">
        <v>15582221</v>
      </c>
      <c r="AD402" t="s">
        <v>4</v>
      </c>
      <c r="AE402">
        <v>33</v>
      </c>
      <c r="AF402">
        <v>7</v>
      </c>
      <c r="AH402" t="s">
        <v>3129</v>
      </c>
      <c r="AI402" t="s">
        <v>3128</v>
      </c>
      <c r="AK402" t="s">
        <v>3127</v>
      </c>
      <c r="AL402">
        <v>13</v>
      </c>
      <c r="AM402" s="5">
        <f t="shared" si="58"/>
        <v>0.35135135135135137</v>
      </c>
      <c r="AN402" s="4">
        <f t="shared" si="55"/>
        <v>5.3214896077448143E-4</v>
      </c>
      <c r="AO402" s="3"/>
      <c r="AP402">
        <v>0</v>
      </c>
      <c r="AR402" t="s">
        <v>0</v>
      </c>
      <c r="AT402" s="2" t="s">
        <v>19</v>
      </c>
      <c r="AU402" s="1">
        <f t="shared" si="59"/>
        <v>3.1029082236615992</v>
      </c>
      <c r="AV402" s="1">
        <f t="shared" si="60"/>
        <v>2.2315672729232707</v>
      </c>
      <c r="AW402" s="1">
        <f t="shared" si="61"/>
        <v>1.3602263221849415</v>
      </c>
    </row>
    <row r="403" spans="1:49" x14ac:dyDescent="0.2">
      <c r="A403">
        <v>401</v>
      </c>
      <c r="B403" t="s">
        <v>3126</v>
      </c>
      <c r="C403" t="s">
        <v>3125</v>
      </c>
      <c r="F403" t="s">
        <v>3124</v>
      </c>
      <c r="G403" t="s">
        <v>15</v>
      </c>
      <c r="H403" t="s">
        <v>14</v>
      </c>
      <c r="I403" t="s">
        <v>3123</v>
      </c>
      <c r="J403">
        <v>60032179</v>
      </c>
      <c r="K403" t="s">
        <v>743</v>
      </c>
      <c r="L403" t="s">
        <v>742</v>
      </c>
      <c r="M403" t="s">
        <v>122</v>
      </c>
      <c r="N403">
        <v>1</v>
      </c>
      <c r="O403" t="s">
        <v>3122</v>
      </c>
      <c r="P403">
        <v>7005030947</v>
      </c>
      <c r="Q403">
        <v>60032179</v>
      </c>
      <c r="R403" s="7">
        <v>31048</v>
      </c>
      <c r="S403" s="8">
        <f t="shared" si="56"/>
        <v>1985</v>
      </c>
      <c r="T403" s="8">
        <v>1985</v>
      </c>
      <c r="U403" s="8">
        <f t="shared" si="57"/>
        <v>37</v>
      </c>
      <c r="V403" s="7" t="s">
        <v>2964</v>
      </c>
      <c r="W403" t="s">
        <v>1726</v>
      </c>
      <c r="X403" s="2" t="s">
        <v>19</v>
      </c>
      <c r="Y403" s="6" t="e">
        <f t="shared" si="54"/>
        <v>#VALUE!</v>
      </c>
      <c r="AA403">
        <v>7481896</v>
      </c>
      <c r="AB403">
        <v>78193</v>
      </c>
      <c r="AD403" t="s">
        <v>4</v>
      </c>
      <c r="AE403">
        <v>8</v>
      </c>
      <c r="AF403" t="s">
        <v>3110</v>
      </c>
      <c r="AH403" t="s">
        <v>3121</v>
      </c>
      <c r="AI403" t="s">
        <v>3120</v>
      </c>
      <c r="AK403" t="s">
        <v>3119</v>
      </c>
      <c r="AL403">
        <v>0</v>
      </c>
      <c r="AM403" s="5">
        <f t="shared" si="58"/>
        <v>0</v>
      </c>
      <c r="AN403" s="4">
        <f t="shared" si="55"/>
        <v>0</v>
      </c>
      <c r="AO403" s="3"/>
      <c r="AP403">
        <v>0</v>
      </c>
      <c r="AR403" t="s">
        <v>0</v>
      </c>
      <c r="AT403" s="2" t="s">
        <v>19</v>
      </c>
      <c r="AU403" s="1" t="e">
        <f t="shared" si="59"/>
        <v>#VALUE!</v>
      </c>
      <c r="AV403" s="1" t="e">
        <f t="shared" si="60"/>
        <v>#VALUE!</v>
      </c>
      <c r="AW403" s="1" t="e">
        <f t="shared" si="61"/>
        <v>#VALUE!</v>
      </c>
    </row>
    <row r="404" spans="1:49" x14ac:dyDescent="0.2">
      <c r="A404">
        <v>402</v>
      </c>
      <c r="B404" t="s">
        <v>3118</v>
      </c>
      <c r="C404" t="s">
        <v>3117</v>
      </c>
      <c r="F404" t="s">
        <v>3116</v>
      </c>
      <c r="G404" t="s">
        <v>15</v>
      </c>
      <c r="H404" t="s">
        <v>14</v>
      </c>
      <c r="I404" t="s">
        <v>3115</v>
      </c>
      <c r="J404">
        <v>60025209</v>
      </c>
      <c r="K404" t="s">
        <v>3114</v>
      </c>
      <c r="L404" t="s">
        <v>1006</v>
      </c>
      <c r="M404" t="s">
        <v>122</v>
      </c>
      <c r="N404">
        <v>8</v>
      </c>
      <c r="O404" t="s">
        <v>3113</v>
      </c>
      <c r="P404" t="s">
        <v>3112</v>
      </c>
      <c r="Q404" t="s">
        <v>3111</v>
      </c>
      <c r="R404" s="7">
        <v>31048</v>
      </c>
      <c r="S404" s="8">
        <f t="shared" si="56"/>
        <v>1985</v>
      </c>
      <c r="T404" s="8">
        <v>1985</v>
      </c>
      <c r="U404" s="8">
        <f t="shared" si="57"/>
        <v>37</v>
      </c>
      <c r="V404" s="7" t="s">
        <v>2964</v>
      </c>
      <c r="W404" t="s">
        <v>1726</v>
      </c>
      <c r="X404" s="2" t="s">
        <v>19</v>
      </c>
      <c r="Y404" s="6" t="e">
        <f t="shared" si="54"/>
        <v>#VALUE!</v>
      </c>
      <c r="AA404">
        <v>7481896</v>
      </c>
      <c r="AB404">
        <v>78193</v>
      </c>
      <c r="AD404" t="s">
        <v>4</v>
      </c>
      <c r="AE404">
        <v>8</v>
      </c>
      <c r="AF404" t="s">
        <v>3110</v>
      </c>
      <c r="AH404" t="s">
        <v>3109</v>
      </c>
      <c r="AI404" t="s">
        <v>3108</v>
      </c>
      <c r="AK404" t="s">
        <v>3107</v>
      </c>
      <c r="AL404">
        <v>0</v>
      </c>
      <c r="AM404" s="5">
        <f t="shared" si="58"/>
        <v>0</v>
      </c>
      <c r="AN404" s="4">
        <f t="shared" si="55"/>
        <v>0</v>
      </c>
      <c r="AO404" s="3"/>
      <c r="AP404">
        <v>0</v>
      </c>
      <c r="AR404" t="s">
        <v>0</v>
      </c>
      <c r="AT404" s="2" t="s">
        <v>19</v>
      </c>
      <c r="AU404" s="1" t="e">
        <f t="shared" si="59"/>
        <v>#VALUE!</v>
      </c>
      <c r="AV404" s="1" t="e">
        <f t="shared" si="60"/>
        <v>#VALUE!</v>
      </c>
      <c r="AW404" s="1" t="e">
        <f t="shared" si="61"/>
        <v>#VALUE!</v>
      </c>
    </row>
    <row r="405" spans="1:49" x14ac:dyDescent="0.2">
      <c r="A405">
        <v>403</v>
      </c>
      <c r="B405" t="s">
        <v>3106</v>
      </c>
      <c r="C405" t="s">
        <v>3105</v>
      </c>
      <c r="F405" t="s">
        <v>3104</v>
      </c>
      <c r="G405" t="s">
        <v>15</v>
      </c>
      <c r="H405" t="s">
        <v>14</v>
      </c>
      <c r="I405" t="s">
        <v>3103</v>
      </c>
      <c r="J405">
        <v>60015099</v>
      </c>
      <c r="K405" t="s">
        <v>3102</v>
      </c>
      <c r="L405" t="s">
        <v>3101</v>
      </c>
      <c r="M405" t="s">
        <v>122</v>
      </c>
      <c r="N405">
        <v>1</v>
      </c>
      <c r="O405" t="s">
        <v>3100</v>
      </c>
      <c r="P405">
        <v>7201549568</v>
      </c>
      <c r="Q405">
        <v>60015099</v>
      </c>
      <c r="R405" s="7">
        <v>31048</v>
      </c>
      <c r="S405" s="8">
        <f t="shared" si="56"/>
        <v>1985</v>
      </c>
      <c r="T405" s="8">
        <v>1985</v>
      </c>
      <c r="U405" s="8">
        <f t="shared" si="57"/>
        <v>37</v>
      </c>
      <c r="V405" s="7">
        <v>31229</v>
      </c>
      <c r="W405" t="s">
        <v>24</v>
      </c>
      <c r="X405" s="2">
        <v>1.6519999999999999</v>
      </c>
      <c r="Y405" s="6">
        <f t="shared" si="54"/>
        <v>4.409919649769093E-2</v>
      </c>
      <c r="AA405" t="s">
        <v>23</v>
      </c>
      <c r="AB405">
        <v>17337</v>
      </c>
      <c r="AC405">
        <v>15582221</v>
      </c>
      <c r="AD405" t="s">
        <v>4</v>
      </c>
      <c r="AE405">
        <v>33</v>
      </c>
      <c r="AF405">
        <v>7</v>
      </c>
      <c r="AH405" t="s">
        <v>3099</v>
      </c>
      <c r="AI405" t="s">
        <v>3098</v>
      </c>
      <c r="AK405" t="s">
        <v>3097</v>
      </c>
      <c r="AL405">
        <v>20</v>
      </c>
      <c r="AM405" s="5">
        <f t="shared" si="58"/>
        <v>0.54054054054054057</v>
      </c>
      <c r="AN405" s="4">
        <f t="shared" si="55"/>
        <v>8.186907088838176E-4</v>
      </c>
      <c r="AO405" s="3"/>
      <c r="AP405">
        <v>0</v>
      </c>
      <c r="AR405" t="s">
        <v>0</v>
      </c>
      <c r="AT405" s="2" t="s">
        <v>19</v>
      </c>
      <c r="AU405" s="1">
        <f t="shared" si="59"/>
        <v>3.1115044761048796</v>
      </c>
      <c r="AV405" s="1">
        <f t="shared" si="60"/>
        <v>2.2458943603287373</v>
      </c>
      <c r="AW405" s="1">
        <f t="shared" si="61"/>
        <v>1.3802842445525951</v>
      </c>
    </row>
    <row r="406" spans="1:49" x14ac:dyDescent="0.2">
      <c r="A406">
        <v>404</v>
      </c>
      <c r="B406" t="s">
        <v>3096</v>
      </c>
      <c r="C406" t="s">
        <v>3095</v>
      </c>
      <c r="F406" t="s">
        <v>3094</v>
      </c>
      <c r="G406" t="s">
        <v>15</v>
      </c>
      <c r="H406" t="s">
        <v>14</v>
      </c>
      <c r="I406" t="s">
        <v>3093</v>
      </c>
      <c r="J406" t="s">
        <v>3092</v>
      </c>
      <c r="K406" t="s">
        <v>3091</v>
      </c>
      <c r="L406" t="s">
        <v>3090</v>
      </c>
      <c r="M406" t="s">
        <v>2333</v>
      </c>
      <c r="N406">
        <v>3</v>
      </c>
      <c r="O406" t="s">
        <v>3089</v>
      </c>
      <c r="P406" t="s">
        <v>3088</v>
      </c>
      <c r="Q406" t="s">
        <v>3087</v>
      </c>
      <c r="R406" s="7">
        <v>31048</v>
      </c>
      <c r="S406" s="8">
        <f t="shared" si="56"/>
        <v>1985</v>
      </c>
      <c r="T406" s="8">
        <v>1985</v>
      </c>
      <c r="U406" s="8">
        <f t="shared" si="57"/>
        <v>37</v>
      </c>
      <c r="V406" s="7">
        <v>31229</v>
      </c>
      <c r="W406" t="s">
        <v>24</v>
      </c>
      <c r="X406" s="2">
        <v>1.6519999999999999</v>
      </c>
      <c r="Y406" s="6">
        <f t="shared" si="54"/>
        <v>4.409919649769093E-2</v>
      </c>
      <c r="AA406" t="s">
        <v>23</v>
      </c>
      <c r="AB406">
        <v>17337</v>
      </c>
      <c r="AC406">
        <v>15582221</v>
      </c>
      <c r="AD406" t="s">
        <v>4</v>
      </c>
      <c r="AE406">
        <v>33</v>
      </c>
      <c r="AF406">
        <v>7</v>
      </c>
      <c r="AH406" t="s">
        <v>3086</v>
      </c>
      <c r="AI406" t="s">
        <v>3085</v>
      </c>
      <c r="AK406" t="s">
        <v>3084</v>
      </c>
      <c r="AL406">
        <v>10</v>
      </c>
      <c r="AM406" s="5">
        <f t="shared" si="58"/>
        <v>0.27027027027027029</v>
      </c>
      <c r="AN406" s="4">
        <f t="shared" si="55"/>
        <v>4.093453544419088E-4</v>
      </c>
      <c r="AO406" s="3"/>
      <c r="AP406">
        <v>0</v>
      </c>
      <c r="AR406" t="s">
        <v>0</v>
      </c>
      <c r="AT406" s="2" t="s">
        <v>19</v>
      </c>
      <c r="AU406" s="1">
        <f t="shared" si="59"/>
        <v>3.0992241154716225</v>
      </c>
      <c r="AV406" s="1">
        <f t="shared" si="60"/>
        <v>2.2254270926066422</v>
      </c>
      <c r="AW406" s="1">
        <f t="shared" si="61"/>
        <v>1.3516300697416614</v>
      </c>
    </row>
    <row r="407" spans="1:49" x14ac:dyDescent="0.2">
      <c r="A407">
        <v>405</v>
      </c>
      <c r="B407" t="s">
        <v>3083</v>
      </c>
      <c r="C407" t="s">
        <v>3082</v>
      </c>
      <c r="F407" t="s">
        <v>3081</v>
      </c>
      <c r="G407" t="s">
        <v>15</v>
      </c>
      <c r="H407" t="s">
        <v>14</v>
      </c>
      <c r="I407" t="s">
        <v>1358</v>
      </c>
      <c r="J407">
        <v>60009697</v>
      </c>
      <c r="K407" t="s">
        <v>2663</v>
      </c>
      <c r="L407" t="s">
        <v>2662</v>
      </c>
      <c r="M407" t="s">
        <v>76</v>
      </c>
      <c r="N407">
        <v>2</v>
      </c>
      <c r="O407" t="s">
        <v>3080</v>
      </c>
      <c r="P407" t="s">
        <v>3079</v>
      </c>
      <c r="Q407" t="s">
        <v>2659</v>
      </c>
      <c r="R407" s="7">
        <v>31048</v>
      </c>
      <c r="S407" s="8">
        <f t="shared" si="56"/>
        <v>1985</v>
      </c>
      <c r="T407" s="8">
        <v>1985</v>
      </c>
      <c r="U407" s="8">
        <f t="shared" si="57"/>
        <v>37</v>
      </c>
      <c r="V407" s="7" t="s">
        <v>2964</v>
      </c>
      <c r="W407" t="s">
        <v>3078</v>
      </c>
      <c r="X407" s="2" t="s">
        <v>19</v>
      </c>
      <c r="Y407" s="6" t="e">
        <f t="shared" si="54"/>
        <v>#VALUE!</v>
      </c>
      <c r="AA407">
        <v>7009216</v>
      </c>
      <c r="AB407">
        <v>39801</v>
      </c>
      <c r="AD407" t="s">
        <v>4</v>
      </c>
      <c r="AE407">
        <v>10</v>
      </c>
      <c r="AF407">
        <v>3</v>
      </c>
      <c r="AH407" t="s">
        <v>3077</v>
      </c>
      <c r="AI407" t="s">
        <v>3076</v>
      </c>
      <c r="AK407" t="s">
        <v>3075</v>
      </c>
      <c r="AL407">
        <v>3</v>
      </c>
      <c r="AM407" s="5">
        <f t="shared" si="58"/>
        <v>8.1081081081081086E-2</v>
      </c>
      <c r="AN407" s="4">
        <f t="shared" si="55"/>
        <v>1.2280360633257263E-4</v>
      </c>
      <c r="AO407" s="3"/>
      <c r="AP407">
        <v>0</v>
      </c>
      <c r="AR407" t="s">
        <v>0</v>
      </c>
      <c r="AT407" s="2" t="s">
        <v>19</v>
      </c>
      <c r="AU407" s="1" t="e">
        <f t="shared" si="59"/>
        <v>#VALUE!</v>
      </c>
      <c r="AV407" s="1" t="e">
        <f t="shared" si="60"/>
        <v>#VALUE!</v>
      </c>
      <c r="AW407" s="1" t="e">
        <f t="shared" si="61"/>
        <v>#VALUE!</v>
      </c>
    </row>
    <row r="408" spans="1:49" x14ac:dyDescent="0.2">
      <c r="A408">
        <v>406</v>
      </c>
      <c r="B408" t="s">
        <v>3074</v>
      </c>
      <c r="C408" t="s">
        <v>3073</v>
      </c>
      <c r="D408" t="s">
        <v>3072</v>
      </c>
      <c r="F408" t="s">
        <v>3071</v>
      </c>
      <c r="G408" t="s">
        <v>15</v>
      </c>
      <c r="H408" t="s">
        <v>14</v>
      </c>
      <c r="I408" t="s">
        <v>3070</v>
      </c>
      <c r="J408">
        <v>60004176</v>
      </c>
      <c r="K408" t="s">
        <v>3069</v>
      </c>
      <c r="L408" t="s">
        <v>3068</v>
      </c>
      <c r="M408" t="s">
        <v>544</v>
      </c>
      <c r="N408">
        <v>2</v>
      </c>
      <c r="O408" t="s">
        <v>3067</v>
      </c>
      <c r="P408" t="s">
        <v>3066</v>
      </c>
      <c r="Q408" t="s">
        <v>3065</v>
      </c>
      <c r="R408" s="7">
        <v>31048</v>
      </c>
      <c r="S408" s="8">
        <f t="shared" si="56"/>
        <v>1985</v>
      </c>
      <c r="T408" s="8">
        <v>1985</v>
      </c>
      <c r="U408" s="8">
        <f t="shared" si="57"/>
        <v>37</v>
      </c>
      <c r="V408" s="7">
        <v>31229</v>
      </c>
      <c r="W408" t="s">
        <v>294</v>
      </c>
      <c r="X408" s="2" t="s">
        <v>19</v>
      </c>
      <c r="Y408" s="6" t="e">
        <f t="shared" si="54"/>
        <v>#VALUE!</v>
      </c>
      <c r="AA408">
        <v>200891</v>
      </c>
      <c r="AB408">
        <v>33360</v>
      </c>
      <c r="AD408" t="s">
        <v>4</v>
      </c>
      <c r="AE408">
        <v>25</v>
      </c>
      <c r="AF408">
        <v>4</v>
      </c>
      <c r="AH408" t="s">
        <v>3064</v>
      </c>
      <c r="AI408" t="s">
        <v>3063</v>
      </c>
      <c r="AK408" t="s">
        <v>3062</v>
      </c>
      <c r="AL408">
        <v>7</v>
      </c>
      <c r="AM408" s="5">
        <f t="shared" si="58"/>
        <v>0.1891891891891892</v>
      </c>
      <c r="AN408" s="4">
        <f t="shared" si="55"/>
        <v>2.8654174810933616E-4</v>
      </c>
      <c r="AO408" s="3"/>
      <c r="AP408">
        <v>0</v>
      </c>
      <c r="AR408" t="s">
        <v>0</v>
      </c>
      <c r="AT408" s="2" t="s">
        <v>19</v>
      </c>
      <c r="AU408" s="1" t="e">
        <f t="shared" si="59"/>
        <v>#VALUE!</v>
      </c>
      <c r="AV408" s="1" t="e">
        <f t="shared" si="60"/>
        <v>#VALUE!</v>
      </c>
      <c r="AW408" s="1" t="e">
        <f t="shared" si="61"/>
        <v>#VALUE!</v>
      </c>
    </row>
    <row r="409" spans="1:49" x14ac:dyDescent="0.2">
      <c r="A409">
        <v>407</v>
      </c>
      <c r="B409" t="s">
        <v>3061</v>
      </c>
      <c r="C409" t="s">
        <v>3060</v>
      </c>
      <c r="F409" t="s">
        <v>3059</v>
      </c>
      <c r="G409" t="s">
        <v>15</v>
      </c>
      <c r="H409" t="s">
        <v>14</v>
      </c>
      <c r="I409" t="s">
        <v>3058</v>
      </c>
      <c r="J409">
        <v>105180129</v>
      </c>
      <c r="K409" t="s">
        <v>3057</v>
      </c>
      <c r="L409" t="s">
        <v>3056</v>
      </c>
      <c r="M409" t="s">
        <v>530</v>
      </c>
      <c r="N409">
        <v>1</v>
      </c>
      <c r="O409" t="s">
        <v>3055</v>
      </c>
      <c r="P409">
        <v>7202131168</v>
      </c>
      <c r="Q409">
        <v>105180129</v>
      </c>
      <c r="R409" s="7">
        <v>31048</v>
      </c>
      <c r="S409" s="8">
        <f t="shared" si="56"/>
        <v>1985</v>
      </c>
      <c r="T409" s="8">
        <v>1985</v>
      </c>
      <c r="U409" s="8">
        <f t="shared" si="57"/>
        <v>37</v>
      </c>
      <c r="V409" s="7">
        <v>1985</v>
      </c>
      <c r="W409" s="11" t="s">
        <v>2012</v>
      </c>
      <c r="X409" s="2">
        <v>2.383</v>
      </c>
      <c r="Y409" s="6">
        <f t="shared" si="54"/>
        <v>6.3612824003630442E-2</v>
      </c>
      <c r="AA409">
        <v>1437070</v>
      </c>
      <c r="AB409">
        <v>39742</v>
      </c>
      <c r="AD409" t="s">
        <v>4</v>
      </c>
      <c r="AE409">
        <v>132</v>
      </c>
      <c r="AF409">
        <v>4</v>
      </c>
      <c r="AH409" t="s">
        <v>3054</v>
      </c>
      <c r="AI409" t="s">
        <v>3053</v>
      </c>
      <c r="AJ409" t="s">
        <v>3052</v>
      </c>
      <c r="AK409" t="s">
        <v>3051</v>
      </c>
      <c r="AL409">
        <v>19</v>
      </c>
      <c r="AM409" s="5">
        <f t="shared" si="58"/>
        <v>0.51351351351351349</v>
      </c>
      <c r="AN409" s="4">
        <f t="shared" si="55"/>
        <v>7.7775617343962659E-4</v>
      </c>
      <c r="AO409" s="3"/>
      <c r="AP409">
        <v>0</v>
      </c>
      <c r="AR409" t="s">
        <v>0</v>
      </c>
      <c r="AT409" s="2" t="s">
        <v>19</v>
      </c>
      <c r="AU409" s="1">
        <f t="shared" si="59"/>
        <v>4.4762303654573197</v>
      </c>
      <c r="AV409" s="1">
        <f t="shared" si="60"/>
        <v>3.2195290088535033</v>
      </c>
      <c r="AW409" s="1">
        <f t="shared" si="61"/>
        <v>1.9628276522496872</v>
      </c>
    </row>
    <row r="410" spans="1:49" x14ac:dyDescent="0.2">
      <c r="A410">
        <v>408</v>
      </c>
      <c r="B410" t="s">
        <v>3050</v>
      </c>
      <c r="C410" t="s">
        <v>3049</v>
      </c>
      <c r="F410" t="s">
        <v>3048</v>
      </c>
      <c r="G410" t="s">
        <v>15</v>
      </c>
      <c r="H410" t="s">
        <v>14</v>
      </c>
      <c r="I410" t="s">
        <v>3047</v>
      </c>
      <c r="J410">
        <v>60003480</v>
      </c>
      <c r="K410" t="s">
        <v>3046</v>
      </c>
      <c r="L410" t="s">
        <v>3045</v>
      </c>
      <c r="M410" t="s">
        <v>43</v>
      </c>
      <c r="N410">
        <v>1</v>
      </c>
      <c r="O410" t="s">
        <v>3044</v>
      </c>
      <c r="P410">
        <v>57197172731</v>
      </c>
      <c r="Q410">
        <v>60003480</v>
      </c>
      <c r="R410" s="7">
        <v>31048</v>
      </c>
      <c r="S410" s="8">
        <f t="shared" si="56"/>
        <v>1985</v>
      </c>
      <c r="T410" s="8">
        <v>1985</v>
      </c>
      <c r="U410" s="8">
        <f t="shared" si="57"/>
        <v>37</v>
      </c>
      <c r="V410" s="7">
        <v>31229</v>
      </c>
      <c r="W410" t="s">
        <v>2912</v>
      </c>
      <c r="X410" s="2">
        <v>0.752</v>
      </c>
      <c r="Y410" s="6">
        <f t="shared" si="54"/>
        <v>2.0074210512266089E-2</v>
      </c>
      <c r="AA410">
        <v>3649059</v>
      </c>
      <c r="AB410">
        <v>17277</v>
      </c>
      <c r="AC410">
        <v>15581691</v>
      </c>
      <c r="AD410" t="s">
        <v>4</v>
      </c>
      <c r="AE410">
        <v>10</v>
      </c>
      <c r="AF410">
        <v>3</v>
      </c>
      <c r="AH410" t="s">
        <v>3043</v>
      </c>
      <c r="AI410" t="s">
        <v>3042</v>
      </c>
      <c r="AK410" t="s">
        <v>3041</v>
      </c>
      <c r="AL410">
        <v>11</v>
      </c>
      <c r="AM410" s="5">
        <f t="shared" si="58"/>
        <v>0.29729729729729731</v>
      </c>
      <c r="AN410" s="4">
        <f t="shared" si="55"/>
        <v>4.5027988988609969E-4</v>
      </c>
      <c r="AO410" s="3"/>
      <c r="AP410">
        <v>0</v>
      </c>
      <c r="AR410" t="s">
        <v>0</v>
      </c>
      <c r="AT410" s="2">
        <v>3.5539999999999998</v>
      </c>
      <c r="AU410" s="1">
        <f t="shared" si="59"/>
        <v>1.4187031325552091</v>
      </c>
      <c r="AV410" s="1">
        <f t="shared" si="60"/>
        <v>1.0262245201076095</v>
      </c>
      <c r="AW410" s="1">
        <f t="shared" si="61"/>
        <v>0.6337459076600096</v>
      </c>
    </row>
    <row r="411" spans="1:49" x14ac:dyDescent="0.2">
      <c r="A411">
        <v>409</v>
      </c>
      <c r="B411" t="s">
        <v>3040</v>
      </c>
      <c r="C411" t="s">
        <v>3039</v>
      </c>
      <c r="F411" t="s">
        <v>3038</v>
      </c>
      <c r="G411" t="s">
        <v>15</v>
      </c>
      <c r="H411" t="s">
        <v>14</v>
      </c>
      <c r="I411" t="s">
        <v>3037</v>
      </c>
      <c r="J411">
        <v>60013543</v>
      </c>
      <c r="K411" t="s">
        <v>3036</v>
      </c>
      <c r="L411" t="s">
        <v>3035</v>
      </c>
      <c r="M411" t="s">
        <v>434</v>
      </c>
      <c r="N411">
        <v>2</v>
      </c>
      <c r="O411" t="s">
        <v>3034</v>
      </c>
      <c r="P411" t="s">
        <v>3033</v>
      </c>
      <c r="Q411" t="s">
        <v>3032</v>
      </c>
      <c r="R411" s="7">
        <v>31048</v>
      </c>
      <c r="S411" s="8">
        <f t="shared" si="56"/>
        <v>1985</v>
      </c>
      <c r="T411" s="8">
        <v>1985</v>
      </c>
      <c r="U411" s="8">
        <f t="shared" si="57"/>
        <v>37</v>
      </c>
      <c r="V411" s="7" t="s">
        <v>2976</v>
      </c>
      <c r="W411" t="s">
        <v>429</v>
      </c>
      <c r="X411" s="2">
        <v>0.218</v>
      </c>
      <c r="Y411" s="6">
        <f t="shared" si="54"/>
        <v>5.8193854942473512E-3</v>
      </c>
      <c r="AA411">
        <v>3772063</v>
      </c>
      <c r="AB411">
        <v>130012</v>
      </c>
      <c r="AD411" t="s">
        <v>4</v>
      </c>
      <c r="AE411">
        <v>31</v>
      </c>
      <c r="AF411">
        <v>4</v>
      </c>
      <c r="AH411" t="s">
        <v>3031</v>
      </c>
      <c r="AI411" t="s">
        <v>3030</v>
      </c>
      <c r="AK411" t="s">
        <v>3029</v>
      </c>
      <c r="AL411">
        <v>0</v>
      </c>
      <c r="AM411" s="5">
        <f t="shared" si="58"/>
        <v>0</v>
      </c>
      <c r="AN411" s="4">
        <f t="shared" si="55"/>
        <v>0</v>
      </c>
      <c r="AO411" s="3"/>
      <c r="AP411">
        <v>0</v>
      </c>
      <c r="AR411" t="s">
        <v>0</v>
      </c>
      <c r="AT411" s="2">
        <v>2.3330000000000002</v>
      </c>
      <c r="AU411" s="1">
        <f t="shared" si="59"/>
        <v>0.40735698459731456</v>
      </c>
      <c r="AV411" s="1">
        <f t="shared" si="60"/>
        <v>0.29096927471236755</v>
      </c>
      <c r="AW411" s="1">
        <f t="shared" si="61"/>
        <v>0.17458156482742054</v>
      </c>
    </row>
    <row r="412" spans="1:49" x14ac:dyDescent="0.2">
      <c r="A412">
        <v>410</v>
      </c>
      <c r="B412" t="s">
        <v>3028</v>
      </c>
      <c r="C412" t="s">
        <v>3027</v>
      </c>
      <c r="F412" t="s">
        <v>3026</v>
      </c>
      <c r="G412" t="s">
        <v>15</v>
      </c>
      <c r="H412" t="s">
        <v>14</v>
      </c>
      <c r="I412" t="s">
        <v>3025</v>
      </c>
      <c r="J412">
        <v>60012708</v>
      </c>
      <c r="K412" t="s">
        <v>335</v>
      </c>
      <c r="L412" t="s">
        <v>334</v>
      </c>
      <c r="M412" t="s">
        <v>122</v>
      </c>
      <c r="N412">
        <v>2</v>
      </c>
      <c r="O412" t="s">
        <v>3024</v>
      </c>
      <c r="P412" t="s">
        <v>3023</v>
      </c>
      <c r="Q412" t="s">
        <v>2762</v>
      </c>
      <c r="R412" s="7">
        <v>31048</v>
      </c>
      <c r="S412" s="8">
        <f t="shared" si="56"/>
        <v>1985</v>
      </c>
      <c r="T412" s="8">
        <v>1985</v>
      </c>
      <c r="U412" s="8">
        <f t="shared" si="57"/>
        <v>37</v>
      </c>
      <c r="V412" s="7" t="s">
        <v>2964</v>
      </c>
      <c r="W412" t="s">
        <v>1379</v>
      </c>
      <c r="X412" s="2">
        <v>0.66100000000000003</v>
      </c>
      <c r="Y412" s="6">
        <f t="shared" si="54"/>
        <v>1.7645017484850912E-2</v>
      </c>
      <c r="AA412">
        <v>189197</v>
      </c>
      <c r="AB412">
        <v>26022</v>
      </c>
      <c r="AD412" t="s">
        <v>4</v>
      </c>
      <c r="AE412" t="s">
        <v>3022</v>
      </c>
      <c r="AF412">
        <v>7</v>
      </c>
      <c r="AH412" t="s">
        <v>3021</v>
      </c>
      <c r="AI412" t="s">
        <v>3020</v>
      </c>
      <c r="AK412" t="s">
        <v>3019</v>
      </c>
      <c r="AL412">
        <v>13</v>
      </c>
      <c r="AM412" s="5">
        <f t="shared" si="58"/>
        <v>0.35135135135135137</v>
      </c>
      <c r="AN412" s="4">
        <f t="shared" si="55"/>
        <v>5.3214896077448143E-4</v>
      </c>
      <c r="AO412" s="3"/>
      <c r="AP412">
        <v>0</v>
      </c>
      <c r="AR412" t="s">
        <v>0</v>
      </c>
      <c r="AT412" s="2">
        <v>2.3180000000000001</v>
      </c>
      <c r="AU412" s="1">
        <f t="shared" si="59"/>
        <v>1.2511156927627982</v>
      </c>
      <c r="AV412" s="1">
        <f t="shared" si="60"/>
        <v>0.90885832228126961</v>
      </c>
      <c r="AW412" s="1">
        <f t="shared" si="61"/>
        <v>0.56660095179974113</v>
      </c>
    </row>
    <row r="413" spans="1:49" x14ac:dyDescent="0.2">
      <c r="A413">
        <v>411</v>
      </c>
      <c r="B413" t="s">
        <v>3018</v>
      </c>
      <c r="C413" t="s">
        <v>3017</v>
      </c>
      <c r="F413" t="s">
        <v>3016</v>
      </c>
      <c r="G413" t="s">
        <v>15</v>
      </c>
      <c r="H413" t="s">
        <v>14</v>
      </c>
      <c r="I413" t="s">
        <v>3015</v>
      </c>
      <c r="J413">
        <v>60006337</v>
      </c>
      <c r="K413" t="s">
        <v>3014</v>
      </c>
      <c r="L413" t="s">
        <v>3013</v>
      </c>
      <c r="M413" t="s">
        <v>122</v>
      </c>
      <c r="N413">
        <v>15</v>
      </c>
      <c r="O413" t="s">
        <v>3012</v>
      </c>
      <c r="P413" t="s">
        <v>3011</v>
      </c>
      <c r="Q413" t="s">
        <v>3010</v>
      </c>
      <c r="R413" s="7">
        <v>31048</v>
      </c>
      <c r="S413" s="8">
        <f t="shared" si="56"/>
        <v>1985</v>
      </c>
      <c r="T413" s="8">
        <v>1985</v>
      </c>
      <c r="U413" s="8">
        <f t="shared" si="57"/>
        <v>37</v>
      </c>
      <c r="V413" s="7" t="s">
        <v>2964</v>
      </c>
      <c r="W413" t="s">
        <v>660</v>
      </c>
      <c r="X413" s="2">
        <v>2.141</v>
      </c>
      <c r="Y413" s="6">
        <f t="shared" si="54"/>
        <v>5.7152772216438434E-2</v>
      </c>
      <c r="AA413">
        <v>1962892</v>
      </c>
      <c r="AB413">
        <v>17360</v>
      </c>
      <c r="AD413" t="s">
        <v>4</v>
      </c>
      <c r="AE413" t="s">
        <v>659</v>
      </c>
      <c r="AF413">
        <v>4</v>
      </c>
      <c r="AH413" t="s">
        <v>3009</v>
      </c>
      <c r="AI413" t="s">
        <v>3008</v>
      </c>
      <c r="AK413" t="s">
        <v>3007</v>
      </c>
      <c r="AL413">
        <v>70</v>
      </c>
      <c r="AM413" s="5">
        <f t="shared" si="58"/>
        <v>1.8918918918918919</v>
      </c>
      <c r="AN413" s="4">
        <f t="shared" si="55"/>
        <v>2.8654174810933616E-3</v>
      </c>
      <c r="AO413" s="3"/>
      <c r="AP413">
        <v>0</v>
      </c>
      <c r="AR413" t="s">
        <v>0</v>
      </c>
      <c r="AT413" s="2" t="s">
        <v>19</v>
      </c>
      <c r="AU413" s="1">
        <f t="shared" si="59"/>
        <v>4.0866565795834902</v>
      </c>
      <c r="AV413" s="1">
        <f t="shared" si="60"/>
        <v>3.0009094848765896</v>
      </c>
      <c r="AW413" s="1">
        <f t="shared" si="61"/>
        <v>1.9151623901696884</v>
      </c>
    </row>
    <row r="414" spans="1:49" x14ac:dyDescent="0.2">
      <c r="A414">
        <v>412</v>
      </c>
      <c r="B414" t="s">
        <v>3006</v>
      </c>
      <c r="C414" t="s">
        <v>3005</v>
      </c>
      <c r="F414" t="s">
        <v>3004</v>
      </c>
      <c r="G414" t="s">
        <v>15</v>
      </c>
      <c r="H414" t="s">
        <v>14</v>
      </c>
      <c r="I414" t="s">
        <v>3003</v>
      </c>
      <c r="J414">
        <v>60023311</v>
      </c>
      <c r="K414" t="s">
        <v>2981</v>
      </c>
      <c r="L414" t="s">
        <v>2980</v>
      </c>
      <c r="M414" t="s">
        <v>434</v>
      </c>
      <c r="N414">
        <v>2</v>
      </c>
      <c r="O414" t="s">
        <v>3002</v>
      </c>
      <c r="P414" t="s">
        <v>3001</v>
      </c>
      <c r="Q414" t="s">
        <v>2977</v>
      </c>
      <c r="R414" s="7">
        <v>31048</v>
      </c>
      <c r="S414" s="8">
        <f t="shared" si="56"/>
        <v>1985</v>
      </c>
      <c r="T414" s="8">
        <v>1985</v>
      </c>
      <c r="U414" s="8">
        <f t="shared" si="57"/>
        <v>37</v>
      </c>
      <c r="V414" s="7" t="s">
        <v>2964</v>
      </c>
      <c r="W414" t="s">
        <v>2963</v>
      </c>
      <c r="X414" s="2">
        <v>0.19800000000000001</v>
      </c>
      <c r="Y414" s="6">
        <f t="shared" si="54"/>
        <v>5.2854969167934656E-3</v>
      </c>
      <c r="AA414" t="s">
        <v>2962</v>
      </c>
      <c r="AB414">
        <v>17294</v>
      </c>
      <c r="AD414" t="s">
        <v>4</v>
      </c>
      <c r="AE414">
        <v>35</v>
      </c>
      <c r="AF414">
        <v>3</v>
      </c>
      <c r="AH414" t="s">
        <v>3000</v>
      </c>
      <c r="AI414" t="s">
        <v>2999</v>
      </c>
      <c r="AK414" t="s">
        <v>2998</v>
      </c>
      <c r="AL414">
        <v>0</v>
      </c>
      <c r="AM414" s="5">
        <f t="shared" si="58"/>
        <v>0</v>
      </c>
      <c r="AN414" s="4">
        <f t="shared" si="55"/>
        <v>0</v>
      </c>
      <c r="AO414" s="3"/>
      <c r="AP414">
        <v>0</v>
      </c>
      <c r="AR414" t="s">
        <v>0</v>
      </c>
      <c r="AT414" s="2">
        <v>0.70699999999999996</v>
      </c>
      <c r="AU414" s="1">
        <f t="shared" si="59"/>
        <v>0.36998478417554259</v>
      </c>
      <c r="AV414" s="1">
        <f t="shared" si="60"/>
        <v>0.26427484583967326</v>
      </c>
      <c r="AW414" s="1">
        <f t="shared" si="61"/>
        <v>0.15856490750380395</v>
      </c>
    </row>
    <row r="415" spans="1:49" x14ac:dyDescent="0.2">
      <c r="A415">
        <v>413</v>
      </c>
      <c r="B415" t="s">
        <v>2997</v>
      </c>
      <c r="C415" t="s">
        <v>2996</v>
      </c>
      <c r="F415" t="s">
        <v>2995</v>
      </c>
      <c r="G415" t="s">
        <v>15</v>
      </c>
      <c r="H415" t="s">
        <v>14</v>
      </c>
      <c r="I415" t="s">
        <v>2994</v>
      </c>
      <c r="J415">
        <v>60010571</v>
      </c>
      <c r="K415" t="s">
        <v>2993</v>
      </c>
      <c r="L415" t="s">
        <v>2992</v>
      </c>
      <c r="M415" t="s">
        <v>43</v>
      </c>
      <c r="N415">
        <v>2</v>
      </c>
      <c r="O415" t="s">
        <v>2991</v>
      </c>
      <c r="P415" t="s">
        <v>2990</v>
      </c>
      <c r="Q415" t="s">
        <v>2989</v>
      </c>
      <c r="R415" s="7">
        <v>31048</v>
      </c>
      <c r="S415" s="8">
        <f t="shared" si="56"/>
        <v>1985</v>
      </c>
      <c r="T415" s="8">
        <v>1985</v>
      </c>
      <c r="U415" s="8">
        <f t="shared" si="57"/>
        <v>37</v>
      </c>
      <c r="V415" s="7">
        <v>31229</v>
      </c>
      <c r="W415" t="s">
        <v>2912</v>
      </c>
      <c r="X415" s="2">
        <v>0.752</v>
      </c>
      <c r="Y415" s="6">
        <f t="shared" si="54"/>
        <v>2.0074210512266089E-2</v>
      </c>
      <c r="AA415">
        <v>3649059</v>
      </c>
      <c r="AB415">
        <v>17277</v>
      </c>
      <c r="AC415">
        <v>15581691</v>
      </c>
      <c r="AD415" t="s">
        <v>4</v>
      </c>
      <c r="AE415">
        <v>10</v>
      </c>
      <c r="AF415">
        <v>3</v>
      </c>
      <c r="AH415" t="s">
        <v>2988</v>
      </c>
      <c r="AI415" t="s">
        <v>2987</v>
      </c>
      <c r="AK415" t="s">
        <v>2986</v>
      </c>
      <c r="AL415">
        <v>33</v>
      </c>
      <c r="AM415" s="5">
        <f t="shared" si="58"/>
        <v>0.89189189189189189</v>
      </c>
      <c r="AN415" s="4">
        <f t="shared" si="55"/>
        <v>1.350839669658299E-3</v>
      </c>
      <c r="AO415" s="3"/>
      <c r="AP415">
        <v>0</v>
      </c>
      <c r="AR415" t="s">
        <v>0</v>
      </c>
      <c r="AT415" s="2">
        <v>3.5539999999999998</v>
      </c>
      <c r="AU415" s="1">
        <f t="shared" si="59"/>
        <v>1.4457199259483751</v>
      </c>
      <c r="AV415" s="1">
        <f t="shared" si="60"/>
        <v>1.0712525090962195</v>
      </c>
      <c r="AW415" s="1">
        <f t="shared" si="61"/>
        <v>0.69678509224406349</v>
      </c>
    </row>
    <row r="416" spans="1:49" x14ac:dyDescent="0.2">
      <c r="A416">
        <v>414</v>
      </c>
      <c r="B416" t="s">
        <v>2985</v>
      </c>
      <c r="C416" t="s">
        <v>2984</v>
      </c>
      <c r="F416" t="s">
        <v>2983</v>
      </c>
      <c r="G416" t="s">
        <v>15</v>
      </c>
      <c r="H416" t="s">
        <v>14</v>
      </c>
      <c r="I416" t="s">
        <v>2982</v>
      </c>
      <c r="J416">
        <v>60023311</v>
      </c>
      <c r="K416" t="s">
        <v>2981</v>
      </c>
      <c r="L416" t="s">
        <v>2980</v>
      </c>
      <c r="M416" t="s">
        <v>434</v>
      </c>
      <c r="N416">
        <v>2</v>
      </c>
      <c r="O416" t="s">
        <v>2979</v>
      </c>
      <c r="P416" t="s">
        <v>2978</v>
      </c>
      <c r="Q416" t="s">
        <v>2977</v>
      </c>
      <c r="R416" s="7">
        <v>31048</v>
      </c>
      <c r="S416" s="8">
        <f t="shared" si="56"/>
        <v>1985</v>
      </c>
      <c r="T416" s="8">
        <v>1985</v>
      </c>
      <c r="U416" s="8">
        <f t="shared" si="57"/>
        <v>37</v>
      </c>
      <c r="V416" s="7" t="s">
        <v>2976</v>
      </c>
      <c r="W416" t="s">
        <v>429</v>
      </c>
      <c r="X416" s="2">
        <v>0.218</v>
      </c>
      <c r="Y416" s="6">
        <f t="shared" si="54"/>
        <v>5.8193854942473512E-3</v>
      </c>
      <c r="AA416">
        <v>3772063</v>
      </c>
      <c r="AB416">
        <v>130012</v>
      </c>
      <c r="AD416" t="s">
        <v>4</v>
      </c>
      <c r="AE416">
        <v>31</v>
      </c>
      <c r="AF416">
        <v>4</v>
      </c>
      <c r="AH416" t="s">
        <v>2975</v>
      </c>
      <c r="AI416" t="s">
        <v>2974</v>
      </c>
      <c r="AK416" t="s">
        <v>2973</v>
      </c>
      <c r="AL416">
        <v>0</v>
      </c>
      <c r="AM416" s="5">
        <f t="shared" si="58"/>
        <v>0</v>
      </c>
      <c r="AN416" s="4">
        <f t="shared" si="55"/>
        <v>0</v>
      </c>
      <c r="AO416" s="3"/>
      <c r="AP416">
        <v>0</v>
      </c>
      <c r="AR416" t="s">
        <v>0</v>
      </c>
      <c r="AT416" s="2">
        <v>2.3330000000000002</v>
      </c>
      <c r="AU416" s="1">
        <f t="shared" si="59"/>
        <v>0.40735698459731456</v>
      </c>
      <c r="AV416" s="1">
        <f t="shared" si="60"/>
        <v>0.29096927471236755</v>
      </c>
      <c r="AW416" s="1">
        <f t="shared" si="61"/>
        <v>0.17458156482742054</v>
      </c>
    </row>
    <row r="417" spans="1:49" x14ac:dyDescent="0.2">
      <c r="A417">
        <v>415</v>
      </c>
      <c r="B417" t="s">
        <v>2972</v>
      </c>
      <c r="C417" t="s">
        <v>2971</v>
      </c>
      <c r="F417" t="s">
        <v>2970</v>
      </c>
      <c r="G417" t="s">
        <v>15</v>
      </c>
      <c r="H417" t="s">
        <v>14</v>
      </c>
      <c r="I417" t="s">
        <v>2969</v>
      </c>
      <c r="J417">
        <v>60032730</v>
      </c>
      <c r="K417" t="s">
        <v>2968</v>
      </c>
      <c r="L417" t="s">
        <v>435</v>
      </c>
      <c r="M417" t="s">
        <v>434</v>
      </c>
      <c r="N417">
        <v>3</v>
      </c>
      <c r="O417" t="s">
        <v>2967</v>
      </c>
      <c r="P417" t="s">
        <v>2966</v>
      </c>
      <c r="Q417" t="s">
        <v>2965</v>
      </c>
      <c r="R417" s="7">
        <v>31048</v>
      </c>
      <c r="S417" s="8">
        <f t="shared" si="56"/>
        <v>1985</v>
      </c>
      <c r="T417" s="8">
        <v>1985</v>
      </c>
      <c r="U417" s="8">
        <f t="shared" si="57"/>
        <v>37</v>
      </c>
      <c r="V417" s="7" t="s">
        <v>2964</v>
      </c>
      <c r="W417" t="s">
        <v>2963</v>
      </c>
      <c r="X417" s="2">
        <v>0.19800000000000001</v>
      </c>
      <c r="Y417" s="6">
        <f t="shared" si="54"/>
        <v>5.2854969167934656E-3</v>
      </c>
      <c r="AA417" t="s">
        <v>2962</v>
      </c>
      <c r="AB417">
        <v>17294</v>
      </c>
      <c r="AD417" t="s">
        <v>4</v>
      </c>
      <c r="AE417">
        <v>35</v>
      </c>
      <c r="AF417">
        <v>3</v>
      </c>
      <c r="AH417" t="s">
        <v>2961</v>
      </c>
      <c r="AI417" t="s">
        <v>2960</v>
      </c>
      <c r="AK417" t="s">
        <v>2959</v>
      </c>
      <c r="AL417">
        <v>0</v>
      </c>
      <c r="AM417" s="5">
        <f t="shared" si="58"/>
        <v>0</v>
      </c>
      <c r="AN417" s="4">
        <f t="shared" si="55"/>
        <v>0</v>
      </c>
      <c r="AO417" s="3"/>
      <c r="AP417">
        <v>0</v>
      </c>
      <c r="AR417" t="s">
        <v>0</v>
      </c>
      <c r="AT417" s="2">
        <v>0.70699999999999996</v>
      </c>
      <c r="AU417" s="1">
        <f t="shared" si="59"/>
        <v>0.36998478417554259</v>
      </c>
      <c r="AV417" s="1">
        <f t="shared" si="60"/>
        <v>0.26427484583967326</v>
      </c>
      <c r="AW417" s="1">
        <f t="shared" si="61"/>
        <v>0.15856490750380395</v>
      </c>
    </row>
    <row r="418" spans="1:49" x14ac:dyDescent="0.2">
      <c r="A418">
        <v>416</v>
      </c>
      <c r="B418" t="s">
        <v>2958</v>
      </c>
      <c r="C418" t="s">
        <v>2957</v>
      </c>
      <c r="F418" t="s">
        <v>2956</v>
      </c>
      <c r="G418" t="s">
        <v>15</v>
      </c>
      <c r="H418" t="s">
        <v>14</v>
      </c>
      <c r="I418" t="s">
        <v>2955</v>
      </c>
      <c r="J418">
        <v>60022193</v>
      </c>
      <c r="K418" t="s">
        <v>2954</v>
      </c>
      <c r="L418" t="s">
        <v>2953</v>
      </c>
      <c r="M418" t="s">
        <v>43</v>
      </c>
      <c r="N418">
        <v>1</v>
      </c>
      <c r="O418" t="s">
        <v>2952</v>
      </c>
      <c r="P418">
        <v>7003446625</v>
      </c>
      <c r="Q418">
        <v>60022193</v>
      </c>
      <c r="R418" s="7">
        <v>31048</v>
      </c>
      <c r="S418" s="8">
        <f t="shared" si="56"/>
        <v>1985</v>
      </c>
      <c r="T418" s="8">
        <v>1985</v>
      </c>
      <c r="U418" s="8">
        <f t="shared" si="57"/>
        <v>37</v>
      </c>
      <c r="V418" s="7">
        <v>31229</v>
      </c>
      <c r="W418" t="s">
        <v>2912</v>
      </c>
      <c r="X418" s="2">
        <v>0.752</v>
      </c>
      <c r="Y418" s="6">
        <f t="shared" si="54"/>
        <v>2.0074210512266089E-2</v>
      </c>
      <c r="AA418">
        <v>3649059</v>
      </c>
      <c r="AB418">
        <v>17277</v>
      </c>
      <c r="AC418">
        <v>15581691</v>
      </c>
      <c r="AD418" t="s">
        <v>4</v>
      </c>
      <c r="AE418">
        <v>10</v>
      </c>
      <c r="AF418">
        <v>3</v>
      </c>
      <c r="AH418" t="s">
        <v>2951</v>
      </c>
      <c r="AI418" t="s">
        <v>2950</v>
      </c>
      <c r="AK418" t="s">
        <v>2949</v>
      </c>
      <c r="AL418">
        <v>59</v>
      </c>
      <c r="AM418" s="5">
        <f t="shared" si="58"/>
        <v>1.5945945945945945</v>
      </c>
      <c r="AN418" s="4">
        <f t="shared" si="55"/>
        <v>2.4151375912072615E-3</v>
      </c>
      <c r="AO418" s="3"/>
      <c r="AP418">
        <v>0</v>
      </c>
      <c r="AR418" t="s">
        <v>0</v>
      </c>
      <c r="AT418" s="2">
        <v>3.5539999999999998</v>
      </c>
      <c r="AU418" s="1">
        <f t="shared" si="59"/>
        <v>1.4776488635948442</v>
      </c>
      <c r="AV418" s="1">
        <f t="shared" si="60"/>
        <v>1.1244674051736676</v>
      </c>
      <c r="AW418" s="1">
        <f t="shared" si="61"/>
        <v>0.77128594675249096</v>
      </c>
    </row>
    <row r="419" spans="1:49" x14ac:dyDescent="0.2">
      <c r="A419">
        <v>417</v>
      </c>
      <c r="B419" t="s">
        <v>2948</v>
      </c>
      <c r="C419" t="s">
        <v>2947</v>
      </c>
      <c r="F419" t="s">
        <v>2946</v>
      </c>
      <c r="G419" t="s">
        <v>15</v>
      </c>
      <c r="H419" t="s">
        <v>14</v>
      </c>
      <c r="I419" t="s">
        <v>2945</v>
      </c>
      <c r="J419">
        <v>60019983</v>
      </c>
      <c r="K419" t="s">
        <v>2944</v>
      </c>
      <c r="L419" t="s">
        <v>2943</v>
      </c>
      <c r="M419" t="s">
        <v>544</v>
      </c>
      <c r="N419">
        <v>2</v>
      </c>
      <c r="O419" t="s">
        <v>2942</v>
      </c>
      <c r="P419" t="s">
        <v>2941</v>
      </c>
      <c r="Q419" t="s">
        <v>2940</v>
      </c>
      <c r="R419" s="7">
        <v>31048</v>
      </c>
      <c r="S419" s="8">
        <f t="shared" si="56"/>
        <v>1985</v>
      </c>
      <c r="T419" s="8">
        <v>1985</v>
      </c>
      <c r="U419" s="8">
        <f t="shared" si="57"/>
        <v>37</v>
      </c>
      <c r="V419" s="7">
        <v>1985</v>
      </c>
      <c r="W419" t="s">
        <v>590</v>
      </c>
      <c r="X419" s="2">
        <v>0.111</v>
      </c>
      <c r="Y419" s="6">
        <f t="shared" si="54"/>
        <v>2.9630816048690639E-3</v>
      </c>
      <c r="AA419">
        <v>87566621</v>
      </c>
      <c r="AB419">
        <v>24890</v>
      </c>
      <c r="AC419">
        <v>15206424</v>
      </c>
      <c r="AD419" t="s">
        <v>4</v>
      </c>
      <c r="AE419">
        <v>68</v>
      </c>
      <c r="AF419">
        <v>7</v>
      </c>
      <c r="AH419" t="s">
        <v>2939</v>
      </c>
      <c r="AI419" t="s">
        <v>2938</v>
      </c>
      <c r="AK419" t="s">
        <v>2937</v>
      </c>
      <c r="AL419">
        <v>2</v>
      </c>
      <c r="AM419" s="5">
        <f t="shared" si="58"/>
        <v>5.4054054054054057E-2</v>
      </c>
      <c r="AN419" s="4">
        <f t="shared" si="55"/>
        <v>8.1869070888381765E-5</v>
      </c>
      <c r="AO419" s="3"/>
      <c r="AP419">
        <v>0</v>
      </c>
      <c r="AR419" t="s">
        <v>0</v>
      </c>
      <c r="AT419" s="2" t="s">
        <v>19</v>
      </c>
      <c r="AU419" s="1">
        <f t="shared" si="59"/>
        <v>0.20987178446748592</v>
      </c>
      <c r="AV419" s="1">
        <f t="shared" si="60"/>
        <v>0.15224753378787229</v>
      </c>
      <c r="AW419" s="1">
        <f t="shared" si="61"/>
        <v>9.4623283108258627E-2</v>
      </c>
    </row>
    <row r="420" spans="1:49" x14ac:dyDescent="0.2">
      <c r="A420">
        <v>418</v>
      </c>
      <c r="B420" t="s">
        <v>2936</v>
      </c>
      <c r="C420" t="s">
        <v>2935</v>
      </c>
      <c r="F420" t="s">
        <v>2934</v>
      </c>
      <c r="G420" t="s">
        <v>15</v>
      </c>
      <c r="H420" t="s">
        <v>14</v>
      </c>
      <c r="I420" t="s">
        <v>2933</v>
      </c>
      <c r="J420" t="s">
        <v>2932</v>
      </c>
      <c r="K420" t="s">
        <v>2931</v>
      </c>
      <c r="L420" t="s">
        <v>2930</v>
      </c>
      <c r="M420" t="s">
        <v>148</v>
      </c>
      <c r="N420">
        <v>4</v>
      </c>
      <c r="O420" t="s">
        <v>2929</v>
      </c>
      <c r="P420" t="s">
        <v>2928</v>
      </c>
      <c r="Q420" t="s">
        <v>2927</v>
      </c>
      <c r="R420" s="7">
        <v>31048</v>
      </c>
      <c r="S420" s="8">
        <f t="shared" si="56"/>
        <v>1985</v>
      </c>
      <c r="T420" s="8">
        <v>1985</v>
      </c>
      <c r="U420" s="8">
        <f t="shared" si="57"/>
        <v>37</v>
      </c>
      <c r="V420" s="7">
        <v>1985</v>
      </c>
      <c r="W420" t="s">
        <v>2926</v>
      </c>
      <c r="X420" s="2" t="s">
        <v>19</v>
      </c>
      <c r="Y420" s="6" t="e">
        <f t="shared" si="54"/>
        <v>#VALUE!</v>
      </c>
      <c r="AA420">
        <v>8821666</v>
      </c>
      <c r="AB420">
        <v>22883</v>
      </c>
      <c r="AC420" t="s">
        <v>2925</v>
      </c>
      <c r="AD420" t="s">
        <v>4</v>
      </c>
      <c r="AE420">
        <v>16</v>
      </c>
      <c r="AF420">
        <v>4</v>
      </c>
      <c r="AH420" t="s">
        <v>2924</v>
      </c>
      <c r="AI420" t="s">
        <v>2923</v>
      </c>
      <c r="AK420" t="s">
        <v>2922</v>
      </c>
      <c r="AL420">
        <v>0</v>
      </c>
      <c r="AM420" s="5">
        <f t="shared" si="58"/>
        <v>0</v>
      </c>
      <c r="AN420" s="4">
        <f t="shared" si="55"/>
        <v>0</v>
      </c>
      <c r="AO420" s="3"/>
      <c r="AP420">
        <v>0</v>
      </c>
      <c r="AR420" t="s">
        <v>0</v>
      </c>
      <c r="AT420" s="2" t="s">
        <v>19</v>
      </c>
      <c r="AU420" s="1" t="e">
        <f t="shared" si="59"/>
        <v>#VALUE!</v>
      </c>
      <c r="AV420" s="1" t="e">
        <f t="shared" si="60"/>
        <v>#VALUE!</v>
      </c>
      <c r="AW420" s="1" t="e">
        <f t="shared" si="61"/>
        <v>#VALUE!</v>
      </c>
    </row>
    <row r="421" spans="1:49" x14ac:dyDescent="0.2">
      <c r="A421">
        <v>419</v>
      </c>
      <c r="B421" t="s">
        <v>2921</v>
      </c>
      <c r="C421" t="s">
        <v>2920</v>
      </c>
      <c r="F421" t="s">
        <v>2919</v>
      </c>
      <c r="G421" t="s">
        <v>15</v>
      </c>
      <c r="H421" t="s">
        <v>14</v>
      </c>
      <c r="I421" t="s">
        <v>2918</v>
      </c>
      <c r="J421">
        <v>60078402</v>
      </c>
      <c r="K421" t="s">
        <v>2917</v>
      </c>
      <c r="L421" t="s">
        <v>2916</v>
      </c>
      <c r="M421" t="s">
        <v>91</v>
      </c>
      <c r="N421">
        <v>3</v>
      </c>
      <c r="O421" t="s">
        <v>2915</v>
      </c>
      <c r="P421" t="s">
        <v>2914</v>
      </c>
      <c r="Q421" t="s">
        <v>2913</v>
      </c>
      <c r="R421" s="7">
        <v>31048</v>
      </c>
      <c r="S421" s="8">
        <f t="shared" si="56"/>
        <v>1985</v>
      </c>
      <c r="T421" s="8">
        <v>1985</v>
      </c>
      <c r="U421" s="8">
        <f t="shared" si="57"/>
        <v>37</v>
      </c>
      <c r="V421" s="7">
        <v>31229</v>
      </c>
      <c r="W421" t="s">
        <v>2912</v>
      </c>
      <c r="X421" s="2">
        <v>0.752</v>
      </c>
      <c r="Y421" s="6">
        <f t="shared" si="54"/>
        <v>2.0074210512266089E-2</v>
      </c>
      <c r="AA421">
        <v>3649059</v>
      </c>
      <c r="AB421">
        <v>17277</v>
      </c>
      <c r="AC421">
        <v>15581691</v>
      </c>
      <c r="AD421" t="s">
        <v>4</v>
      </c>
      <c r="AE421">
        <v>10</v>
      </c>
      <c r="AF421">
        <v>3</v>
      </c>
      <c r="AH421" t="s">
        <v>2911</v>
      </c>
      <c r="AI421" t="s">
        <v>2910</v>
      </c>
      <c r="AK421" t="s">
        <v>2909</v>
      </c>
      <c r="AL421">
        <v>5</v>
      </c>
      <c r="AM421" s="5">
        <f t="shared" si="58"/>
        <v>0.13513513513513514</v>
      </c>
      <c r="AN421" s="4">
        <f t="shared" si="55"/>
        <v>2.046726772209544E-4</v>
      </c>
      <c r="AO421" s="3"/>
      <c r="AP421">
        <v>0</v>
      </c>
      <c r="AR421" t="s">
        <v>0</v>
      </c>
      <c r="AT421" s="2">
        <v>3.5539999999999998</v>
      </c>
      <c r="AU421" s="1">
        <f t="shared" si="59"/>
        <v>1.4113349161752549</v>
      </c>
      <c r="AV421" s="1">
        <f t="shared" si="60"/>
        <v>1.0139441594743523</v>
      </c>
      <c r="AW421" s="1">
        <f t="shared" si="61"/>
        <v>0.6165534027734495</v>
      </c>
    </row>
    <row r="422" spans="1:49" x14ac:dyDescent="0.2">
      <c r="A422">
        <v>420</v>
      </c>
      <c r="B422" t="s">
        <v>2908</v>
      </c>
      <c r="C422" t="s">
        <v>2907</v>
      </c>
      <c r="F422" t="s">
        <v>2906</v>
      </c>
      <c r="G422" t="s">
        <v>15</v>
      </c>
      <c r="H422" t="s">
        <v>14</v>
      </c>
      <c r="I422" t="s">
        <v>2905</v>
      </c>
      <c r="J422">
        <v>60025997</v>
      </c>
      <c r="K422" t="s">
        <v>2904</v>
      </c>
      <c r="L422" t="s">
        <v>594</v>
      </c>
      <c r="M422" t="s">
        <v>544</v>
      </c>
      <c r="N422">
        <v>2</v>
      </c>
      <c r="O422" t="s">
        <v>2903</v>
      </c>
      <c r="P422" t="s">
        <v>2902</v>
      </c>
      <c r="Q422" t="s">
        <v>2901</v>
      </c>
      <c r="R422" s="7">
        <v>31048</v>
      </c>
      <c r="S422" s="8">
        <f t="shared" si="56"/>
        <v>1985</v>
      </c>
      <c r="T422" s="8">
        <v>1985</v>
      </c>
      <c r="U422" s="8">
        <f t="shared" si="57"/>
        <v>37</v>
      </c>
      <c r="V422" s="7">
        <v>1985</v>
      </c>
      <c r="W422" t="s">
        <v>590</v>
      </c>
      <c r="X422" s="2">
        <v>0.111</v>
      </c>
      <c r="Y422" s="6">
        <f t="shared" si="54"/>
        <v>2.9630816048690639E-3</v>
      </c>
      <c r="AA422">
        <v>87566621</v>
      </c>
      <c r="AB422">
        <v>24890</v>
      </c>
      <c r="AC422">
        <v>15206424</v>
      </c>
      <c r="AD422" t="s">
        <v>4</v>
      </c>
      <c r="AE422">
        <v>68</v>
      </c>
      <c r="AF422">
        <v>7</v>
      </c>
      <c r="AH422" t="s">
        <v>2900</v>
      </c>
      <c r="AI422" t="s">
        <v>2899</v>
      </c>
      <c r="AK422" t="s">
        <v>2898</v>
      </c>
      <c r="AL422">
        <v>0</v>
      </c>
      <c r="AM422" s="5">
        <f t="shared" si="58"/>
        <v>0</v>
      </c>
      <c r="AN422" s="4">
        <f t="shared" si="55"/>
        <v>0</v>
      </c>
      <c r="AO422" s="3"/>
      <c r="AP422">
        <v>0</v>
      </c>
      <c r="AR422" t="s">
        <v>0</v>
      </c>
      <c r="AT422" s="2" t="s">
        <v>19</v>
      </c>
      <c r="AU422" s="1">
        <f t="shared" si="59"/>
        <v>0.20741571234083445</v>
      </c>
      <c r="AV422" s="1">
        <f t="shared" si="60"/>
        <v>0.1481540802434532</v>
      </c>
      <c r="AW422" s="1">
        <f t="shared" si="61"/>
        <v>8.8892448146071903E-2</v>
      </c>
    </row>
    <row r="423" spans="1:49" x14ac:dyDescent="0.2">
      <c r="A423">
        <v>421</v>
      </c>
      <c r="B423" t="s">
        <v>2897</v>
      </c>
      <c r="C423" t="s">
        <v>2896</v>
      </c>
      <c r="F423" t="s">
        <v>2895</v>
      </c>
      <c r="G423" t="s">
        <v>15</v>
      </c>
      <c r="H423" t="s">
        <v>14</v>
      </c>
      <c r="I423" t="s">
        <v>2894</v>
      </c>
      <c r="J423">
        <v>60009697</v>
      </c>
      <c r="K423" t="s">
        <v>2663</v>
      </c>
      <c r="L423" t="s">
        <v>2662</v>
      </c>
      <c r="M423" t="s">
        <v>76</v>
      </c>
      <c r="N423">
        <v>2</v>
      </c>
      <c r="O423" t="s">
        <v>2893</v>
      </c>
      <c r="P423" t="s">
        <v>2892</v>
      </c>
      <c r="Q423" t="s">
        <v>2659</v>
      </c>
      <c r="R423" s="7">
        <v>31048</v>
      </c>
      <c r="S423" s="8">
        <f t="shared" si="56"/>
        <v>1985</v>
      </c>
      <c r="T423" s="8">
        <v>1985</v>
      </c>
      <c r="U423" s="8">
        <f t="shared" si="57"/>
        <v>37</v>
      </c>
      <c r="V423" s="7">
        <v>31199</v>
      </c>
      <c r="W423" t="s">
        <v>1300</v>
      </c>
      <c r="X423" s="2">
        <v>0.251</v>
      </c>
      <c r="Y423" s="6">
        <f t="shared" si="54"/>
        <v>6.7003016470462617E-3</v>
      </c>
      <c r="AA423">
        <v>207217</v>
      </c>
      <c r="AB423">
        <v>26145</v>
      </c>
      <c r="AC423">
        <v>13623060</v>
      </c>
      <c r="AD423" t="s">
        <v>4</v>
      </c>
      <c r="AE423">
        <v>58</v>
      </c>
      <c r="AF423">
        <v>6</v>
      </c>
      <c r="AH423" t="s">
        <v>2891</v>
      </c>
      <c r="AI423" t="s">
        <v>2890</v>
      </c>
      <c r="AK423" t="s">
        <v>2889</v>
      </c>
      <c r="AL423">
        <v>16</v>
      </c>
      <c r="AM423" s="5">
        <f t="shared" si="58"/>
        <v>0.43243243243243246</v>
      </c>
      <c r="AN423" s="4">
        <f t="shared" si="55"/>
        <v>6.5495256710705412E-4</v>
      </c>
      <c r="AO423" s="3"/>
      <c r="AP423">
        <v>0</v>
      </c>
      <c r="AQ423" t="s">
        <v>2668</v>
      </c>
      <c r="AR423" t="s">
        <v>0</v>
      </c>
      <c r="AS423" t="s">
        <v>2663</v>
      </c>
      <c r="AT423" s="2">
        <v>1.3360000000000001</v>
      </c>
      <c r="AU423" s="1">
        <f t="shared" si="59"/>
        <v>0.48866969230644991</v>
      </c>
      <c r="AV423" s="1">
        <f t="shared" si="60"/>
        <v>0.36776271070766581</v>
      </c>
      <c r="AW423" s="1">
        <f t="shared" si="61"/>
        <v>0.24685572910888159</v>
      </c>
    </row>
    <row r="424" spans="1:49" x14ac:dyDescent="0.2">
      <c r="A424">
        <v>422</v>
      </c>
      <c r="B424" t="s">
        <v>2888</v>
      </c>
      <c r="C424" t="s">
        <v>2887</v>
      </c>
      <c r="F424" t="s">
        <v>2886</v>
      </c>
      <c r="G424" t="s">
        <v>15</v>
      </c>
      <c r="H424" t="s">
        <v>14</v>
      </c>
      <c r="I424" t="s">
        <v>2885</v>
      </c>
      <c r="J424">
        <v>116361700</v>
      </c>
      <c r="K424" t="s">
        <v>2884</v>
      </c>
      <c r="L424" t="s">
        <v>531</v>
      </c>
      <c r="M424" t="s">
        <v>530</v>
      </c>
      <c r="N424">
        <v>1</v>
      </c>
      <c r="O424" t="s">
        <v>2883</v>
      </c>
      <c r="P424">
        <v>55435770700</v>
      </c>
      <c r="Q424">
        <v>116361700</v>
      </c>
      <c r="R424" s="7">
        <v>31048</v>
      </c>
      <c r="S424" s="8">
        <f t="shared" si="56"/>
        <v>1985</v>
      </c>
      <c r="T424" s="8">
        <v>1985</v>
      </c>
      <c r="U424" s="8">
        <f t="shared" si="57"/>
        <v>37</v>
      </c>
      <c r="V424" s="7" t="s">
        <v>2627</v>
      </c>
      <c r="W424" t="s">
        <v>2882</v>
      </c>
      <c r="X424" s="2" t="s">
        <v>19</v>
      </c>
      <c r="Y424" s="6" t="e">
        <f t="shared" si="54"/>
        <v>#VALUE!</v>
      </c>
      <c r="AA424">
        <v>135127</v>
      </c>
      <c r="AB424">
        <v>17422</v>
      </c>
      <c r="AD424" t="s">
        <v>4</v>
      </c>
      <c r="AE424">
        <v>31</v>
      </c>
      <c r="AF424">
        <v>6</v>
      </c>
      <c r="AH424" t="s">
        <v>2881</v>
      </c>
      <c r="AI424" t="s">
        <v>2880</v>
      </c>
      <c r="AK424" t="s">
        <v>2879</v>
      </c>
      <c r="AL424">
        <v>11</v>
      </c>
      <c r="AM424" s="5">
        <f t="shared" si="58"/>
        <v>0.29729729729729731</v>
      </c>
      <c r="AN424" s="4">
        <f t="shared" si="55"/>
        <v>4.5027988988609969E-4</v>
      </c>
      <c r="AO424" s="3"/>
      <c r="AP424">
        <v>0</v>
      </c>
      <c r="AR424" t="s">
        <v>0</v>
      </c>
      <c r="AT424" s="2" t="s">
        <v>19</v>
      </c>
      <c r="AU424" s="1" t="e">
        <f t="shared" si="59"/>
        <v>#VALUE!</v>
      </c>
      <c r="AV424" s="1" t="e">
        <f t="shared" si="60"/>
        <v>#VALUE!</v>
      </c>
      <c r="AW424" s="1" t="e">
        <f t="shared" si="61"/>
        <v>#VALUE!</v>
      </c>
    </row>
    <row r="425" spans="1:49" x14ac:dyDescent="0.2">
      <c r="A425">
        <v>423</v>
      </c>
      <c r="B425" t="s">
        <v>2878</v>
      </c>
      <c r="C425" t="s">
        <v>2877</v>
      </c>
      <c r="F425" t="s">
        <v>2876</v>
      </c>
      <c r="G425" t="s">
        <v>15</v>
      </c>
      <c r="H425" t="s">
        <v>14</v>
      </c>
      <c r="I425" t="s">
        <v>2875</v>
      </c>
      <c r="N425">
        <v>1</v>
      </c>
      <c r="O425" t="s">
        <v>2874</v>
      </c>
      <c r="P425">
        <v>24512080300</v>
      </c>
      <c r="R425" s="7">
        <v>31048</v>
      </c>
      <c r="S425" s="8">
        <f t="shared" si="56"/>
        <v>1985</v>
      </c>
      <c r="T425" s="8">
        <v>1985</v>
      </c>
      <c r="U425" s="8">
        <f t="shared" si="57"/>
        <v>37</v>
      </c>
      <c r="V425" s="7">
        <v>31199</v>
      </c>
      <c r="W425" t="s">
        <v>24</v>
      </c>
      <c r="X425" s="2">
        <v>1.6519999999999999</v>
      </c>
      <c r="Y425" s="6">
        <f t="shared" si="54"/>
        <v>4.409919649769093E-2</v>
      </c>
      <c r="AA425" t="s">
        <v>23</v>
      </c>
      <c r="AB425">
        <v>17337</v>
      </c>
      <c r="AC425">
        <v>15582221</v>
      </c>
      <c r="AD425" t="s">
        <v>4</v>
      </c>
      <c r="AE425">
        <v>33</v>
      </c>
      <c r="AF425">
        <v>6</v>
      </c>
      <c r="AH425" t="s">
        <v>2873</v>
      </c>
      <c r="AI425" t="s">
        <v>2872</v>
      </c>
      <c r="AK425" t="s">
        <v>2871</v>
      </c>
      <c r="AL425">
        <v>15</v>
      </c>
      <c r="AM425" s="5">
        <f t="shared" si="58"/>
        <v>0.40540540540540543</v>
      </c>
      <c r="AN425" s="4">
        <f t="shared" si="55"/>
        <v>6.1401803166286322E-4</v>
      </c>
      <c r="AO425" s="3"/>
      <c r="AP425">
        <v>0</v>
      </c>
      <c r="AR425" t="s">
        <v>0</v>
      </c>
      <c r="AT425" s="2" t="s">
        <v>19</v>
      </c>
      <c r="AU425" s="1">
        <f t="shared" si="59"/>
        <v>3.105364295788251</v>
      </c>
      <c r="AV425" s="1">
        <f t="shared" si="60"/>
        <v>2.2356607264676898</v>
      </c>
      <c r="AW425" s="1">
        <f t="shared" si="61"/>
        <v>1.3659571571471283</v>
      </c>
    </row>
    <row r="426" spans="1:49" x14ac:dyDescent="0.2">
      <c r="A426">
        <v>424</v>
      </c>
      <c r="B426" t="s">
        <v>2870</v>
      </c>
      <c r="C426" t="s">
        <v>2869</v>
      </c>
      <c r="F426" t="s">
        <v>2868</v>
      </c>
      <c r="G426" t="s">
        <v>15</v>
      </c>
      <c r="H426" t="s">
        <v>14</v>
      </c>
      <c r="I426" t="s">
        <v>1358</v>
      </c>
      <c r="J426" t="s">
        <v>1357</v>
      </c>
      <c r="K426" t="s">
        <v>1356</v>
      </c>
      <c r="L426" t="s">
        <v>1355</v>
      </c>
      <c r="M426" t="s">
        <v>1354</v>
      </c>
      <c r="N426">
        <v>2</v>
      </c>
      <c r="O426" t="s">
        <v>2867</v>
      </c>
      <c r="P426" t="s">
        <v>2866</v>
      </c>
      <c r="Q426" t="s">
        <v>1357</v>
      </c>
      <c r="R426" s="7">
        <v>31048</v>
      </c>
      <c r="S426" s="8">
        <f t="shared" si="56"/>
        <v>1985</v>
      </c>
      <c r="T426" s="8">
        <v>1985</v>
      </c>
      <c r="U426" s="8">
        <f t="shared" si="57"/>
        <v>37</v>
      </c>
      <c r="V426" s="7">
        <v>31199</v>
      </c>
      <c r="W426" t="s">
        <v>24</v>
      </c>
      <c r="X426" s="2">
        <v>1.6519999999999999</v>
      </c>
      <c r="Y426" s="6">
        <f t="shared" si="54"/>
        <v>4.409919649769093E-2</v>
      </c>
      <c r="AA426" t="s">
        <v>23</v>
      </c>
      <c r="AB426">
        <v>17337</v>
      </c>
      <c r="AC426">
        <v>15582221</v>
      </c>
      <c r="AD426" t="s">
        <v>4</v>
      </c>
      <c r="AE426">
        <v>33</v>
      </c>
      <c r="AF426">
        <v>6</v>
      </c>
      <c r="AH426" t="s">
        <v>2865</v>
      </c>
      <c r="AI426" t="s">
        <v>2864</v>
      </c>
      <c r="AK426" t="s">
        <v>2863</v>
      </c>
      <c r="AL426">
        <v>97</v>
      </c>
      <c r="AM426" s="5">
        <f t="shared" si="58"/>
        <v>2.6216216216216215</v>
      </c>
      <c r="AN426" s="4">
        <f t="shared" si="55"/>
        <v>3.9706499380865153E-3</v>
      </c>
      <c r="AO426" s="3"/>
      <c r="AP426">
        <v>0</v>
      </c>
      <c r="AR426" t="s">
        <v>0</v>
      </c>
      <c r="AT426" s="2" t="s">
        <v>19</v>
      </c>
      <c r="AU426" s="1">
        <f t="shared" si="59"/>
        <v>3.2060632529809605</v>
      </c>
      <c r="AV426" s="1">
        <f t="shared" si="60"/>
        <v>2.4034923217888724</v>
      </c>
      <c r="AW426" s="1">
        <f t="shared" si="61"/>
        <v>1.6009213905967836</v>
      </c>
    </row>
    <row r="427" spans="1:49" x14ac:dyDescent="0.2">
      <c r="A427">
        <v>425</v>
      </c>
      <c r="B427" t="s">
        <v>2862</v>
      </c>
      <c r="C427" t="s">
        <v>2861</v>
      </c>
      <c r="F427" t="s">
        <v>2860</v>
      </c>
      <c r="G427" t="s">
        <v>15</v>
      </c>
      <c r="H427" t="s">
        <v>14</v>
      </c>
      <c r="I427" t="s">
        <v>2859</v>
      </c>
      <c r="J427" t="s">
        <v>2858</v>
      </c>
      <c r="K427" t="s">
        <v>2857</v>
      </c>
      <c r="L427" t="s">
        <v>2856</v>
      </c>
      <c r="M427" t="s">
        <v>2855</v>
      </c>
      <c r="N427">
        <v>3</v>
      </c>
      <c r="O427" t="s">
        <v>2854</v>
      </c>
      <c r="P427" t="s">
        <v>2853</v>
      </c>
      <c r="Q427" t="s">
        <v>2852</v>
      </c>
      <c r="R427" s="7">
        <v>31048</v>
      </c>
      <c r="S427" s="8">
        <f t="shared" si="56"/>
        <v>1985</v>
      </c>
      <c r="T427" s="8">
        <v>1985</v>
      </c>
      <c r="U427" s="8">
        <f t="shared" si="57"/>
        <v>37</v>
      </c>
      <c r="V427" s="7">
        <v>31199</v>
      </c>
      <c r="W427" t="s">
        <v>24</v>
      </c>
      <c r="X427" s="2">
        <v>1.6519999999999999</v>
      </c>
      <c r="Y427" s="6">
        <f t="shared" si="54"/>
        <v>4.409919649769093E-2</v>
      </c>
      <c r="AA427" t="s">
        <v>23</v>
      </c>
      <c r="AB427">
        <v>17337</v>
      </c>
      <c r="AC427">
        <v>15582221</v>
      </c>
      <c r="AD427" t="s">
        <v>4</v>
      </c>
      <c r="AE427">
        <v>33</v>
      </c>
      <c r="AF427">
        <v>6</v>
      </c>
      <c r="AH427" t="s">
        <v>2851</v>
      </c>
      <c r="AI427" t="s">
        <v>2850</v>
      </c>
      <c r="AK427" t="s">
        <v>2849</v>
      </c>
      <c r="AL427">
        <v>3</v>
      </c>
      <c r="AM427" s="5">
        <f t="shared" si="58"/>
        <v>8.1081081081081086E-2</v>
      </c>
      <c r="AN427" s="4">
        <f t="shared" si="55"/>
        <v>1.2280360633257263E-4</v>
      </c>
      <c r="AO427" s="3"/>
      <c r="AP427">
        <v>0</v>
      </c>
      <c r="AR427" t="s">
        <v>0</v>
      </c>
      <c r="AT427" s="2" t="s">
        <v>19</v>
      </c>
      <c r="AU427" s="1">
        <f t="shared" si="59"/>
        <v>3.0906278630283421</v>
      </c>
      <c r="AV427" s="1">
        <f t="shared" si="60"/>
        <v>2.2111000052011751</v>
      </c>
      <c r="AW427" s="1">
        <f t="shared" si="61"/>
        <v>1.3315721473740079</v>
      </c>
    </row>
    <row r="428" spans="1:49" x14ac:dyDescent="0.2">
      <c r="A428">
        <v>426</v>
      </c>
      <c r="B428" t="s">
        <v>2848</v>
      </c>
      <c r="C428" t="s">
        <v>2847</v>
      </c>
      <c r="F428" t="s">
        <v>2846</v>
      </c>
      <c r="G428" t="s">
        <v>15</v>
      </c>
      <c r="H428" t="s">
        <v>14</v>
      </c>
      <c r="I428" t="s">
        <v>2845</v>
      </c>
      <c r="J428">
        <v>60077590</v>
      </c>
      <c r="K428" t="s">
        <v>2844</v>
      </c>
      <c r="L428" t="s">
        <v>358</v>
      </c>
      <c r="M428" t="s">
        <v>122</v>
      </c>
      <c r="N428">
        <v>1</v>
      </c>
      <c r="O428" t="s">
        <v>2843</v>
      </c>
      <c r="P428">
        <v>26643168800</v>
      </c>
      <c r="Q428">
        <v>60077590</v>
      </c>
      <c r="R428" s="7">
        <v>31048</v>
      </c>
      <c r="S428" s="8">
        <f t="shared" si="56"/>
        <v>1985</v>
      </c>
      <c r="T428" s="8">
        <v>1985</v>
      </c>
      <c r="U428" s="8">
        <f t="shared" si="57"/>
        <v>37</v>
      </c>
      <c r="V428" s="7">
        <v>31199</v>
      </c>
      <c r="W428" t="s">
        <v>24</v>
      </c>
      <c r="X428" s="2">
        <v>1.6519999999999999</v>
      </c>
      <c r="Y428" s="6">
        <f t="shared" si="54"/>
        <v>4.409919649769093E-2</v>
      </c>
      <c r="AA428" t="s">
        <v>23</v>
      </c>
      <c r="AB428">
        <v>17337</v>
      </c>
      <c r="AC428">
        <v>15582221</v>
      </c>
      <c r="AD428" t="s">
        <v>4</v>
      </c>
      <c r="AE428">
        <v>33</v>
      </c>
      <c r="AF428">
        <v>6</v>
      </c>
      <c r="AH428" t="s">
        <v>2842</v>
      </c>
      <c r="AI428" t="s">
        <v>2841</v>
      </c>
      <c r="AK428" t="s">
        <v>2840</v>
      </c>
      <c r="AL428">
        <v>21</v>
      </c>
      <c r="AM428" s="5">
        <f t="shared" si="58"/>
        <v>0.56756756756756754</v>
      </c>
      <c r="AN428" s="4">
        <f t="shared" si="55"/>
        <v>8.5962524432800838E-4</v>
      </c>
      <c r="AO428" s="3"/>
      <c r="AP428">
        <v>0</v>
      </c>
      <c r="AR428" t="s">
        <v>0</v>
      </c>
      <c r="AT428" s="2" t="s">
        <v>19</v>
      </c>
      <c r="AU428" s="1">
        <f t="shared" si="59"/>
        <v>3.1127325121682055</v>
      </c>
      <c r="AV428" s="1">
        <f t="shared" si="60"/>
        <v>2.2479410871009469</v>
      </c>
      <c r="AW428" s="1">
        <f t="shared" si="61"/>
        <v>1.3831496620336885</v>
      </c>
    </row>
    <row r="429" spans="1:49" x14ac:dyDescent="0.2">
      <c r="A429">
        <v>427</v>
      </c>
      <c r="B429" t="s">
        <v>2839</v>
      </c>
      <c r="C429" t="s">
        <v>2838</v>
      </c>
      <c r="F429" t="s">
        <v>2837</v>
      </c>
      <c r="G429" t="s">
        <v>15</v>
      </c>
      <c r="H429" t="s">
        <v>14</v>
      </c>
      <c r="I429" t="s">
        <v>2836</v>
      </c>
      <c r="J429">
        <v>100627405</v>
      </c>
      <c r="K429" t="s">
        <v>2835</v>
      </c>
      <c r="L429" t="s">
        <v>2834</v>
      </c>
      <c r="M429" t="s">
        <v>122</v>
      </c>
      <c r="N429">
        <v>1</v>
      </c>
      <c r="O429" t="s">
        <v>2833</v>
      </c>
      <c r="P429">
        <v>7402280217</v>
      </c>
      <c r="Q429">
        <v>100627405</v>
      </c>
      <c r="R429" s="7">
        <v>31048</v>
      </c>
      <c r="S429" s="8">
        <f t="shared" si="56"/>
        <v>1985</v>
      </c>
      <c r="T429" s="8">
        <v>1985</v>
      </c>
      <c r="U429" s="8">
        <f t="shared" si="57"/>
        <v>37</v>
      </c>
      <c r="V429" s="7" t="s">
        <v>2627</v>
      </c>
      <c r="W429" t="s">
        <v>1643</v>
      </c>
      <c r="X429" s="2" t="s">
        <v>19</v>
      </c>
      <c r="Y429" s="6" t="e">
        <f t="shared" si="54"/>
        <v>#VALUE!</v>
      </c>
      <c r="AA429">
        <v>361682</v>
      </c>
      <c r="AB429">
        <v>9500153941</v>
      </c>
      <c r="AD429" t="s">
        <v>4</v>
      </c>
      <c r="AE429">
        <v>94</v>
      </c>
      <c r="AF429">
        <v>6</v>
      </c>
      <c r="AH429" t="s">
        <v>2832</v>
      </c>
      <c r="AI429" t="s">
        <v>2831</v>
      </c>
      <c r="AK429" t="s">
        <v>2830</v>
      </c>
      <c r="AL429">
        <v>0</v>
      </c>
      <c r="AM429" s="5">
        <f t="shared" si="58"/>
        <v>0</v>
      </c>
      <c r="AN429" s="4">
        <f t="shared" si="55"/>
        <v>0</v>
      </c>
      <c r="AO429" s="3"/>
      <c r="AP429">
        <v>0</v>
      </c>
      <c r="AR429" t="s">
        <v>0</v>
      </c>
      <c r="AT429" s="2" t="s">
        <v>19</v>
      </c>
      <c r="AU429" s="1" t="e">
        <f t="shared" si="59"/>
        <v>#VALUE!</v>
      </c>
      <c r="AV429" s="1" t="e">
        <f t="shared" si="60"/>
        <v>#VALUE!</v>
      </c>
      <c r="AW429" s="1" t="e">
        <f t="shared" si="61"/>
        <v>#VALUE!</v>
      </c>
    </row>
    <row r="430" spans="1:49" x14ac:dyDescent="0.2">
      <c r="A430">
        <v>428</v>
      </c>
      <c r="B430" t="s">
        <v>2829</v>
      </c>
      <c r="C430" t="s">
        <v>2828</v>
      </c>
      <c r="F430" t="s">
        <v>2827</v>
      </c>
      <c r="G430" t="s">
        <v>15</v>
      </c>
      <c r="H430" t="s">
        <v>14</v>
      </c>
      <c r="I430" t="s">
        <v>2133</v>
      </c>
      <c r="J430">
        <v>60004750</v>
      </c>
      <c r="K430" t="s">
        <v>1957</v>
      </c>
      <c r="L430" t="s">
        <v>1956</v>
      </c>
      <c r="M430" t="s">
        <v>434</v>
      </c>
      <c r="N430">
        <v>2</v>
      </c>
      <c r="O430" t="s">
        <v>2132</v>
      </c>
      <c r="P430" t="s">
        <v>1954</v>
      </c>
      <c r="Q430" t="s">
        <v>1953</v>
      </c>
      <c r="R430" s="7">
        <v>31048</v>
      </c>
      <c r="S430" s="8">
        <f t="shared" si="56"/>
        <v>1985</v>
      </c>
      <c r="T430" s="8">
        <v>1985</v>
      </c>
      <c r="U430" s="8">
        <f t="shared" si="57"/>
        <v>37</v>
      </c>
      <c r="V430" s="7">
        <v>31199</v>
      </c>
      <c r="W430" t="s">
        <v>24</v>
      </c>
      <c r="X430" s="2">
        <v>1.6519999999999999</v>
      </c>
      <c r="Y430" s="6">
        <f t="shared" si="54"/>
        <v>4.409919649769093E-2</v>
      </c>
      <c r="AA430" t="s">
        <v>23</v>
      </c>
      <c r="AB430">
        <v>17337</v>
      </c>
      <c r="AC430">
        <v>15582221</v>
      </c>
      <c r="AD430" t="s">
        <v>4</v>
      </c>
      <c r="AE430">
        <v>33</v>
      </c>
      <c r="AF430">
        <v>6</v>
      </c>
      <c r="AH430" t="s">
        <v>2826</v>
      </c>
      <c r="AI430" t="s">
        <v>2825</v>
      </c>
      <c r="AK430" t="s">
        <v>2824</v>
      </c>
      <c r="AL430">
        <v>14</v>
      </c>
      <c r="AM430" s="5">
        <f t="shared" si="58"/>
        <v>0.3783783783783784</v>
      </c>
      <c r="AN430" s="4">
        <f t="shared" si="55"/>
        <v>5.7308349621867233E-4</v>
      </c>
      <c r="AO430" s="3"/>
      <c r="AP430">
        <v>0</v>
      </c>
      <c r="AR430" t="s">
        <v>0</v>
      </c>
      <c r="AT430" s="2" t="s">
        <v>19</v>
      </c>
      <c r="AU430" s="1">
        <f t="shared" si="59"/>
        <v>3.1041362597249251</v>
      </c>
      <c r="AV430" s="1">
        <f t="shared" si="60"/>
        <v>2.2336139996954802</v>
      </c>
      <c r="AW430" s="1">
        <f t="shared" si="61"/>
        <v>1.3630917396660347</v>
      </c>
    </row>
    <row r="431" spans="1:49" x14ac:dyDescent="0.2">
      <c r="A431">
        <v>429</v>
      </c>
      <c r="B431" t="s">
        <v>2823</v>
      </c>
      <c r="C431" t="s">
        <v>2822</v>
      </c>
      <c r="F431" t="s">
        <v>2821</v>
      </c>
      <c r="G431" t="s">
        <v>15</v>
      </c>
      <c r="H431" t="s">
        <v>14</v>
      </c>
      <c r="I431" t="s">
        <v>2820</v>
      </c>
      <c r="J431" t="s">
        <v>2819</v>
      </c>
      <c r="K431" t="s">
        <v>2818</v>
      </c>
      <c r="L431" t="s">
        <v>2817</v>
      </c>
      <c r="M431" t="s">
        <v>28</v>
      </c>
      <c r="N431">
        <v>2</v>
      </c>
      <c r="O431" t="s">
        <v>2816</v>
      </c>
      <c r="P431" t="s">
        <v>2815</v>
      </c>
      <c r="Q431" t="s">
        <v>2814</v>
      </c>
      <c r="R431" s="7">
        <v>31048</v>
      </c>
      <c r="S431" s="8">
        <f t="shared" si="56"/>
        <v>1985</v>
      </c>
      <c r="T431" s="8">
        <v>1985</v>
      </c>
      <c r="U431" s="8">
        <f t="shared" si="57"/>
        <v>37</v>
      </c>
      <c r="V431" s="7">
        <v>31199</v>
      </c>
      <c r="W431" t="s">
        <v>24</v>
      </c>
      <c r="X431" s="2">
        <v>1.6519999999999999</v>
      </c>
      <c r="Y431" s="6">
        <f t="shared" si="54"/>
        <v>4.409919649769093E-2</v>
      </c>
      <c r="AA431" t="s">
        <v>23</v>
      </c>
      <c r="AB431">
        <v>17337</v>
      </c>
      <c r="AC431">
        <v>15582221</v>
      </c>
      <c r="AD431" t="s">
        <v>4</v>
      </c>
      <c r="AE431">
        <v>33</v>
      </c>
      <c r="AF431">
        <v>6</v>
      </c>
      <c r="AH431" t="s">
        <v>2813</v>
      </c>
      <c r="AI431" t="s">
        <v>2812</v>
      </c>
      <c r="AK431" t="s">
        <v>2811</v>
      </c>
      <c r="AL431">
        <v>2</v>
      </c>
      <c r="AM431" s="5">
        <f t="shared" si="58"/>
        <v>5.4054054054054057E-2</v>
      </c>
      <c r="AN431" s="4">
        <f t="shared" si="55"/>
        <v>8.1869070888381765E-5</v>
      </c>
      <c r="AO431" s="3"/>
      <c r="AP431">
        <v>0</v>
      </c>
      <c r="AR431" t="s">
        <v>0</v>
      </c>
      <c r="AT431" s="2" t="s">
        <v>19</v>
      </c>
      <c r="AU431" s="1">
        <f t="shared" si="59"/>
        <v>3.0893998269650167</v>
      </c>
      <c r="AV431" s="1">
        <f t="shared" si="60"/>
        <v>2.2090532784289656</v>
      </c>
      <c r="AW431" s="1">
        <f t="shared" si="61"/>
        <v>1.3287067298929145</v>
      </c>
    </row>
    <row r="432" spans="1:49" x14ac:dyDescent="0.2">
      <c r="A432">
        <v>430</v>
      </c>
      <c r="B432" t="s">
        <v>2810</v>
      </c>
      <c r="C432" t="s">
        <v>2809</v>
      </c>
      <c r="F432" t="s">
        <v>2808</v>
      </c>
      <c r="G432" t="s">
        <v>15</v>
      </c>
      <c r="H432" t="s">
        <v>14</v>
      </c>
      <c r="I432" t="s">
        <v>2807</v>
      </c>
      <c r="J432">
        <v>60068815</v>
      </c>
      <c r="K432" t="s">
        <v>2079</v>
      </c>
      <c r="L432" t="s">
        <v>2078</v>
      </c>
      <c r="M432" t="s">
        <v>2077</v>
      </c>
      <c r="N432">
        <v>1</v>
      </c>
      <c r="O432" t="s">
        <v>2806</v>
      </c>
      <c r="P432">
        <v>7005436133</v>
      </c>
      <c r="Q432">
        <v>60068815</v>
      </c>
      <c r="R432" s="7">
        <v>31048</v>
      </c>
      <c r="S432" s="8">
        <f t="shared" si="56"/>
        <v>1985</v>
      </c>
      <c r="T432" s="8">
        <v>1985</v>
      </c>
      <c r="U432" s="8">
        <f t="shared" si="57"/>
        <v>37</v>
      </c>
      <c r="V432" s="7" t="s">
        <v>2627</v>
      </c>
      <c r="W432" t="s">
        <v>24</v>
      </c>
      <c r="X432" s="2">
        <v>1.6519999999999999</v>
      </c>
      <c r="Y432" s="6">
        <f t="shared" si="54"/>
        <v>4.409919649769093E-2</v>
      </c>
      <c r="AA432" t="s">
        <v>23</v>
      </c>
      <c r="AB432">
        <v>17337</v>
      </c>
      <c r="AD432" t="s">
        <v>4</v>
      </c>
      <c r="AE432" t="s">
        <v>2805</v>
      </c>
      <c r="AF432">
        <v>6</v>
      </c>
      <c r="AH432" t="s">
        <v>2804</v>
      </c>
      <c r="AI432" t="s">
        <v>2803</v>
      </c>
      <c r="AK432" t="s">
        <v>2802</v>
      </c>
      <c r="AL432">
        <v>3</v>
      </c>
      <c r="AM432" s="5">
        <f t="shared" si="58"/>
        <v>8.1081081081081086E-2</v>
      </c>
      <c r="AN432" s="4">
        <f t="shared" si="55"/>
        <v>1.2280360633257263E-4</v>
      </c>
      <c r="AO432" s="3"/>
      <c r="AP432">
        <v>0</v>
      </c>
      <c r="AR432" t="s">
        <v>0</v>
      </c>
      <c r="AT432" s="2" t="s">
        <v>19</v>
      </c>
      <c r="AU432" s="1">
        <f t="shared" si="59"/>
        <v>3.0906278630283421</v>
      </c>
      <c r="AV432" s="1">
        <f t="shared" si="60"/>
        <v>2.2111000052011751</v>
      </c>
      <c r="AW432" s="1">
        <f t="shared" si="61"/>
        <v>1.3315721473740079</v>
      </c>
    </row>
    <row r="433" spans="1:49" x14ac:dyDescent="0.2">
      <c r="A433">
        <v>431</v>
      </c>
      <c r="B433" t="s">
        <v>2801</v>
      </c>
      <c r="C433" t="s">
        <v>2800</v>
      </c>
      <c r="F433" t="s">
        <v>2799</v>
      </c>
      <c r="G433" t="s">
        <v>15</v>
      </c>
      <c r="H433" t="s">
        <v>14</v>
      </c>
      <c r="I433" t="s">
        <v>2798</v>
      </c>
      <c r="J433">
        <v>60027844</v>
      </c>
      <c r="K433" t="s">
        <v>2797</v>
      </c>
      <c r="L433" t="s">
        <v>2796</v>
      </c>
      <c r="M433" t="s">
        <v>2795</v>
      </c>
      <c r="N433">
        <v>2</v>
      </c>
      <c r="O433" t="s">
        <v>2794</v>
      </c>
      <c r="P433" t="s">
        <v>2793</v>
      </c>
      <c r="Q433" t="s">
        <v>2792</v>
      </c>
      <c r="R433" s="7">
        <v>31048</v>
      </c>
      <c r="S433" s="8">
        <f t="shared" si="56"/>
        <v>1985</v>
      </c>
      <c r="T433" s="8">
        <v>1985</v>
      </c>
      <c r="U433" s="8">
        <f t="shared" si="57"/>
        <v>37</v>
      </c>
      <c r="V433" s="7">
        <v>31199</v>
      </c>
      <c r="W433" t="s">
        <v>1300</v>
      </c>
      <c r="X433" s="2">
        <v>0.251</v>
      </c>
      <c r="Y433" s="6">
        <f t="shared" si="54"/>
        <v>6.7003016470462617E-3</v>
      </c>
      <c r="AA433">
        <v>207217</v>
      </c>
      <c r="AB433">
        <v>26145</v>
      </c>
      <c r="AC433">
        <v>13623060</v>
      </c>
      <c r="AD433" t="s">
        <v>4</v>
      </c>
      <c r="AE433">
        <v>58</v>
      </c>
      <c r="AF433">
        <v>6</v>
      </c>
      <c r="AH433" t="s">
        <v>2791</v>
      </c>
      <c r="AI433" t="s">
        <v>2790</v>
      </c>
      <c r="AK433" t="s">
        <v>2789</v>
      </c>
      <c r="AL433">
        <v>4</v>
      </c>
      <c r="AM433" s="5">
        <f t="shared" si="58"/>
        <v>0.10810810810810811</v>
      </c>
      <c r="AN433" s="4">
        <f t="shared" si="55"/>
        <v>1.6373814177676353E-4</v>
      </c>
      <c r="AO433" s="3"/>
      <c r="AP433">
        <v>0</v>
      </c>
      <c r="AR433" t="s">
        <v>0</v>
      </c>
      <c r="AT433" s="2">
        <v>1.3360000000000001</v>
      </c>
      <c r="AU433" s="1">
        <f t="shared" si="59"/>
        <v>0.4739332595465412</v>
      </c>
      <c r="AV433" s="1">
        <f t="shared" si="60"/>
        <v>0.34320198944115127</v>
      </c>
      <c r="AW433" s="1">
        <f t="shared" si="61"/>
        <v>0.21247071933576128</v>
      </c>
    </row>
    <row r="434" spans="1:49" x14ac:dyDescent="0.2">
      <c r="A434">
        <v>432</v>
      </c>
      <c r="B434" t="s">
        <v>2788</v>
      </c>
      <c r="C434" t="s">
        <v>2787</v>
      </c>
      <c r="F434" t="s">
        <v>2786</v>
      </c>
      <c r="G434" t="s">
        <v>15</v>
      </c>
      <c r="H434" t="s">
        <v>14</v>
      </c>
      <c r="I434" t="s">
        <v>1979</v>
      </c>
      <c r="J434" t="s">
        <v>2785</v>
      </c>
      <c r="K434" t="s">
        <v>2784</v>
      </c>
      <c r="L434" t="s">
        <v>2783</v>
      </c>
      <c r="M434" t="s">
        <v>2782</v>
      </c>
      <c r="N434">
        <v>3</v>
      </c>
      <c r="O434" t="s">
        <v>2781</v>
      </c>
      <c r="P434" t="s">
        <v>2780</v>
      </c>
      <c r="Q434" t="s">
        <v>2779</v>
      </c>
      <c r="R434" s="7">
        <v>31048</v>
      </c>
      <c r="S434" s="8">
        <f t="shared" si="56"/>
        <v>1985</v>
      </c>
      <c r="T434" s="8">
        <v>1985</v>
      </c>
      <c r="U434" s="8">
        <f t="shared" si="57"/>
        <v>37</v>
      </c>
      <c r="V434" s="7">
        <v>31199</v>
      </c>
      <c r="W434" t="s">
        <v>24</v>
      </c>
      <c r="X434" s="2">
        <v>1.6519999999999999</v>
      </c>
      <c r="Y434" s="6">
        <f t="shared" si="54"/>
        <v>4.409919649769093E-2</v>
      </c>
      <c r="AA434" t="s">
        <v>23</v>
      </c>
      <c r="AB434">
        <v>17337</v>
      </c>
      <c r="AC434">
        <v>15582221</v>
      </c>
      <c r="AD434" t="s">
        <v>4</v>
      </c>
      <c r="AE434">
        <v>33</v>
      </c>
      <c r="AF434">
        <v>6</v>
      </c>
      <c r="AH434" t="s">
        <v>2778</v>
      </c>
      <c r="AI434" t="s">
        <v>2777</v>
      </c>
      <c r="AK434" t="s">
        <v>2776</v>
      </c>
      <c r="AL434">
        <v>8</v>
      </c>
      <c r="AM434" s="5">
        <f t="shared" si="58"/>
        <v>0.21621621621621623</v>
      </c>
      <c r="AN434" s="4">
        <f t="shared" si="55"/>
        <v>3.2747628355352706E-4</v>
      </c>
      <c r="AO434" s="3"/>
      <c r="AP434">
        <v>0</v>
      </c>
      <c r="AR434" t="s">
        <v>0</v>
      </c>
      <c r="AT434" s="2" t="s">
        <v>19</v>
      </c>
      <c r="AU434" s="1">
        <f t="shared" si="59"/>
        <v>3.0967680433449707</v>
      </c>
      <c r="AV434" s="1">
        <f t="shared" si="60"/>
        <v>2.2213336390622231</v>
      </c>
      <c r="AW434" s="1">
        <f t="shared" si="61"/>
        <v>1.3458992347794747</v>
      </c>
    </row>
    <row r="435" spans="1:49" x14ac:dyDescent="0.2">
      <c r="A435">
        <v>433</v>
      </c>
      <c r="B435" t="s">
        <v>2775</v>
      </c>
      <c r="C435" t="s">
        <v>2774</v>
      </c>
      <c r="F435" t="s">
        <v>2773</v>
      </c>
      <c r="G435" t="s">
        <v>15</v>
      </c>
      <c r="H435" t="s">
        <v>14</v>
      </c>
      <c r="I435" t="s">
        <v>2772</v>
      </c>
      <c r="J435">
        <v>60003500</v>
      </c>
      <c r="K435" t="s">
        <v>925</v>
      </c>
      <c r="L435" t="s">
        <v>924</v>
      </c>
      <c r="M435" t="s">
        <v>122</v>
      </c>
      <c r="N435">
        <v>1</v>
      </c>
      <c r="O435" t="s">
        <v>923</v>
      </c>
      <c r="P435">
        <v>7202816808</v>
      </c>
      <c r="Q435">
        <v>60003500</v>
      </c>
      <c r="R435" s="7">
        <v>31048</v>
      </c>
      <c r="S435" s="8">
        <f t="shared" si="56"/>
        <v>1985</v>
      </c>
      <c r="T435" s="8">
        <v>1985</v>
      </c>
      <c r="U435" s="8">
        <f t="shared" si="57"/>
        <v>37</v>
      </c>
      <c r="V435" s="7">
        <v>31199</v>
      </c>
      <c r="W435" t="s">
        <v>24</v>
      </c>
      <c r="X435" s="2">
        <v>1.6519999999999999</v>
      </c>
      <c r="Y435" s="6">
        <f t="shared" si="54"/>
        <v>4.409919649769093E-2</v>
      </c>
      <c r="AA435" t="s">
        <v>23</v>
      </c>
      <c r="AB435">
        <v>17337</v>
      </c>
      <c r="AC435">
        <v>15582221</v>
      </c>
      <c r="AD435" t="s">
        <v>4</v>
      </c>
      <c r="AE435">
        <v>33</v>
      </c>
      <c r="AF435">
        <v>6</v>
      </c>
      <c r="AH435" t="s">
        <v>2771</v>
      </c>
      <c r="AI435" t="s">
        <v>2770</v>
      </c>
      <c r="AK435" t="s">
        <v>2769</v>
      </c>
      <c r="AL435">
        <v>5</v>
      </c>
      <c r="AM435" s="5">
        <f t="shared" si="58"/>
        <v>0.13513513513513514</v>
      </c>
      <c r="AN435" s="4">
        <f t="shared" si="55"/>
        <v>2.046726772209544E-4</v>
      </c>
      <c r="AO435" s="3"/>
      <c r="AP435">
        <v>0</v>
      </c>
      <c r="AR435" t="s">
        <v>0</v>
      </c>
      <c r="AT435" s="2" t="s">
        <v>19</v>
      </c>
      <c r="AU435" s="1">
        <f t="shared" si="59"/>
        <v>3.0930839351549935</v>
      </c>
      <c r="AV435" s="1">
        <f t="shared" si="60"/>
        <v>2.2151934587455941</v>
      </c>
      <c r="AW435" s="1">
        <f t="shared" si="61"/>
        <v>1.3373029823361946</v>
      </c>
    </row>
    <row r="436" spans="1:49" x14ac:dyDescent="0.2">
      <c r="A436">
        <v>434</v>
      </c>
      <c r="B436" t="s">
        <v>2768</v>
      </c>
      <c r="C436" t="s">
        <v>2767</v>
      </c>
      <c r="F436" t="s">
        <v>2766</v>
      </c>
      <c r="G436" t="s">
        <v>15</v>
      </c>
      <c r="H436" t="s">
        <v>14</v>
      </c>
      <c r="I436" t="s">
        <v>2765</v>
      </c>
      <c r="J436">
        <v>60012708</v>
      </c>
      <c r="K436" t="s">
        <v>335</v>
      </c>
      <c r="L436" t="s">
        <v>334</v>
      </c>
      <c r="M436" t="s">
        <v>122</v>
      </c>
      <c r="N436">
        <v>2</v>
      </c>
      <c r="O436" t="s">
        <v>2764</v>
      </c>
      <c r="P436" t="s">
        <v>2763</v>
      </c>
      <c r="Q436" t="s">
        <v>2762</v>
      </c>
      <c r="R436" s="7">
        <v>31048</v>
      </c>
      <c r="S436" s="8">
        <f t="shared" si="56"/>
        <v>1985</v>
      </c>
      <c r="T436" s="8">
        <v>1985</v>
      </c>
      <c r="U436" s="8">
        <f t="shared" si="57"/>
        <v>37</v>
      </c>
      <c r="V436" s="7" t="s">
        <v>2627</v>
      </c>
      <c r="W436" t="s">
        <v>2761</v>
      </c>
      <c r="X436" s="2">
        <v>1.6379999999999999</v>
      </c>
      <c r="Y436" s="6">
        <f t="shared" si="54"/>
        <v>4.3725474493473214E-2</v>
      </c>
      <c r="AA436">
        <v>963518</v>
      </c>
      <c r="AB436">
        <v>31560</v>
      </c>
      <c r="AD436" t="s">
        <v>4</v>
      </c>
      <c r="AE436" t="s">
        <v>2760</v>
      </c>
      <c r="AF436">
        <v>3</v>
      </c>
      <c r="AH436" t="s">
        <v>2759</v>
      </c>
      <c r="AI436" t="s">
        <v>2758</v>
      </c>
      <c r="AK436" t="s">
        <v>2757</v>
      </c>
      <c r="AL436">
        <v>343</v>
      </c>
      <c r="AM436" s="5">
        <f t="shared" si="58"/>
        <v>9.2702702702702702</v>
      </c>
      <c r="AN436" s="4">
        <f t="shared" si="55"/>
        <v>1.404054565735747E-2</v>
      </c>
      <c r="AO436" s="3"/>
      <c r="AP436">
        <v>0</v>
      </c>
      <c r="AR436" t="s">
        <v>0</v>
      </c>
      <c r="AT436" s="2" t="s">
        <v>19</v>
      </c>
      <c r="AU436" s="1">
        <f t="shared" si="59"/>
        <v>3.4819995842638494</v>
      </c>
      <c r="AV436" s="1">
        <f t="shared" si="60"/>
        <v>2.8883010075415343</v>
      </c>
      <c r="AW436" s="1">
        <f t="shared" si="61"/>
        <v>2.2946024308192192</v>
      </c>
    </row>
    <row r="437" spans="1:49" x14ac:dyDescent="0.2">
      <c r="A437">
        <v>435</v>
      </c>
      <c r="B437" t="s">
        <v>2756</v>
      </c>
      <c r="C437" t="s">
        <v>2755</v>
      </c>
      <c r="F437" t="s">
        <v>2754</v>
      </c>
      <c r="G437" t="s">
        <v>15</v>
      </c>
      <c r="H437" t="s">
        <v>14</v>
      </c>
      <c r="I437" t="s">
        <v>770</v>
      </c>
      <c r="J437">
        <v>60009037</v>
      </c>
      <c r="K437" t="s">
        <v>1635</v>
      </c>
      <c r="L437" t="s">
        <v>1634</v>
      </c>
      <c r="M437" t="s">
        <v>122</v>
      </c>
      <c r="N437">
        <v>2</v>
      </c>
      <c r="O437" t="s">
        <v>2753</v>
      </c>
      <c r="P437" t="s">
        <v>2752</v>
      </c>
      <c r="Q437" t="s">
        <v>2751</v>
      </c>
      <c r="R437" s="7">
        <v>31048</v>
      </c>
      <c r="S437" s="8">
        <f t="shared" si="56"/>
        <v>1985</v>
      </c>
      <c r="T437" s="8">
        <v>1985</v>
      </c>
      <c r="U437" s="8">
        <f t="shared" si="57"/>
        <v>37</v>
      </c>
      <c r="V437" s="7">
        <v>31199</v>
      </c>
      <c r="W437" t="s">
        <v>24</v>
      </c>
      <c r="X437" s="2">
        <v>1.6519999999999999</v>
      </c>
      <c r="Y437" s="6">
        <f t="shared" si="54"/>
        <v>4.409919649769093E-2</v>
      </c>
      <c r="AA437" t="s">
        <v>23</v>
      </c>
      <c r="AB437">
        <v>17337</v>
      </c>
      <c r="AC437">
        <v>15582221</v>
      </c>
      <c r="AD437" t="s">
        <v>4</v>
      </c>
      <c r="AE437">
        <v>33</v>
      </c>
      <c r="AF437">
        <v>6</v>
      </c>
      <c r="AH437" t="s">
        <v>2750</v>
      </c>
      <c r="AI437" t="s">
        <v>2749</v>
      </c>
      <c r="AK437" t="s">
        <v>2748</v>
      </c>
      <c r="AL437">
        <v>34</v>
      </c>
      <c r="AM437" s="5">
        <f t="shared" si="58"/>
        <v>0.91891891891891897</v>
      </c>
      <c r="AN437" s="4">
        <f t="shared" si="55"/>
        <v>1.3917742051024898E-3</v>
      </c>
      <c r="AO437" s="3"/>
      <c r="AP437">
        <v>0</v>
      </c>
      <c r="AR437" t="s">
        <v>0</v>
      </c>
      <c r="AT437" s="2" t="s">
        <v>19</v>
      </c>
      <c r="AU437" s="1">
        <f t="shared" si="59"/>
        <v>3.1286969809914398</v>
      </c>
      <c r="AV437" s="1">
        <f t="shared" si="60"/>
        <v>2.274548535139671</v>
      </c>
      <c r="AW437" s="1">
        <f t="shared" si="61"/>
        <v>1.4204000892879021</v>
      </c>
    </row>
    <row r="438" spans="1:49" x14ac:dyDescent="0.2">
      <c r="A438">
        <v>436</v>
      </c>
      <c r="B438" t="s">
        <v>2747</v>
      </c>
      <c r="C438" t="s">
        <v>2746</v>
      </c>
      <c r="F438" t="s">
        <v>2745</v>
      </c>
      <c r="G438" t="s">
        <v>15</v>
      </c>
      <c r="H438" t="s">
        <v>14</v>
      </c>
      <c r="I438" t="s">
        <v>2744</v>
      </c>
      <c r="J438">
        <v>60014313</v>
      </c>
      <c r="K438" t="s">
        <v>480</v>
      </c>
      <c r="L438" t="s">
        <v>479</v>
      </c>
      <c r="M438" t="s">
        <v>122</v>
      </c>
      <c r="N438">
        <v>3</v>
      </c>
      <c r="O438" t="s">
        <v>2743</v>
      </c>
      <c r="P438" t="s">
        <v>2742</v>
      </c>
      <c r="Q438" t="s">
        <v>2741</v>
      </c>
      <c r="R438" s="7">
        <v>31048</v>
      </c>
      <c r="S438" s="8">
        <f t="shared" si="56"/>
        <v>1985</v>
      </c>
      <c r="T438" s="8">
        <v>1985</v>
      </c>
      <c r="U438" s="8">
        <f t="shared" si="57"/>
        <v>37</v>
      </c>
      <c r="V438" s="7">
        <v>31199</v>
      </c>
      <c r="W438" t="s">
        <v>24</v>
      </c>
      <c r="X438" s="2">
        <v>1.6519999999999999</v>
      </c>
      <c r="Y438" s="6">
        <f t="shared" si="54"/>
        <v>4.409919649769093E-2</v>
      </c>
      <c r="AA438" t="s">
        <v>23</v>
      </c>
      <c r="AB438">
        <v>17337</v>
      </c>
      <c r="AC438">
        <v>15582221</v>
      </c>
      <c r="AD438" t="s">
        <v>4</v>
      </c>
      <c r="AE438">
        <v>33</v>
      </c>
      <c r="AF438">
        <v>6</v>
      </c>
      <c r="AH438" t="s">
        <v>2740</v>
      </c>
      <c r="AI438" t="s">
        <v>2739</v>
      </c>
      <c r="AK438" t="s">
        <v>2738</v>
      </c>
      <c r="AL438">
        <v>140</v>
      </c>
      <c r="AM438" s="5">
        <f t="shared" si="58"/>
        <v>3.7837837837837838</v>
      </c>
      <c r="AN438" s="4">
        <f t="shared" si="55"/>
        <v>5.7308349621867233E-3</v>
      </c>
      <c r="AO438" s="3"/>
      <c r="AP438">
        <v>0</v>
      </c>
      <c r="AR438" t="s">
        <v>0</v>
      </c>
      <c r="AT438" s="2" t="s">
        <v>19</v>
      </c>
      <c r="AU438" s="1">
        <f t="shared" si="59"/>
        <v>3.2588688037039666</v>
      </c>
      <c r="AV438" s="1">
        <f t="shared" si="60"/>
        <v>2.4915015729938825</v>
      </c>
      <c r="AW438" s="1">
        <f t="shared" si="61"/>
        <v>1.7241343422837987</v>
      </c>
    </row>
    <row r="439" spans="1:49" x14ac:dyDescent="0.2">
      <c r="A439">
        <v>437</v>
      </c>
      <c r="B439" t="s">
        <v>2737</v>
      </c>
      <c r="C439" t="s">
        <v>2736</v>
      </c>
      <c r="F439" t="s">
        <v>2735</v>
      </c>
      <c r="G439" t="s">
        <v>15</v>
      </c>
      <c r="H439" t="s">
        <v>14</v>
      </c>
      <c r="I439" t="s">
        <v>2734</v>
      </c>
      <c r="J439">
        <v>60028333</v>
      </c>
      <c r="K439" t="s">
        <v>2733</v>
      </c>
      <c r="L439" t="s">
        <v>2732</v>
      </c>
      <c r="M439" t="s">
        <v>43</v>
      </c>
      <c r="N439">
        <v>1</v>
      </c>
      <c r="O439" t="s">
        <v>2731</v>
      </c>
      <c r="P439">
        <v>7102344747</v>
      </c>
      <c r="Q439">
        <v>60028333</v>
      </c>
      <c r="R439" s="7">
        <v>31048</v>
      </c>
      <c r="S439" s="8">
        <f t="shared" si="56"/>
        <v>1985</v>
      </c>
      <c r="T439" s="8">
        <v>1985</v>
      </c>
      <c r="U439" s="8">
        <f t="shared" si="57"/>
        <v>37</v>
      </c>
      <c r="V439" s="7">
        <v>31199</v>
      </c>
      <c r="W439" t="s">
        <v>24</v>
      </c>
      <c r="X439" s="2">
        <v>1.6519999999999999</v>
      </c>
      <c r="Y439" s="6">
        <f t="shared" si="54"/>
        <v>4.409919649769093E-2</v>
      </c>
      <c r="AA439" t="s">
        <v>23</v>
      </c>
      <c r="AB439">
        <v>17337</v>
      </c>
      <c r="AC439">
        <v>15582221</v>
      </c>
      <c r="AD439" t="s">
        <v>4</v>
      </c>
      <c r="AE439">
        <v>33</v>
      </c>
      <c r="AF439">
        <v>6</v>
      </c>
      <c r="AH439" t="s">
        <v>2730</v>
      </c>
      <c r="AI439" t="s">
        <v>2729</v>
      </c>
      <c r="AK439" t="s">
        <v>2728</v>
      </c>
      <c r="AL439">
        <v>14</v>
      </c>
      <c r="AM439" s="5">
        <f t="shared" si="58"/>
        <v>0.3783783783783784</v>
      </c>
      <c r="AN439" s="4">
        <f t="shared" si="55"/>
        <v>5.7308349621867233E-4</v>
      </c>
      <c r="AO439" s="3"/>
      <c r="AP439">
        <v>0</v>
      </c>
      <c r="AR439" t="s">
        <v>0</v>
      </c>
      <c r="AT439" s="2" t="s">
        <v>19</v>
      </c>
      <c r="AU439" s="1">
        <f t="shared" si="59"/>
        <v>3.1041362597249251</v>
      </c>
      <c r="AV439" s="1">
        <f t="shared" si="60"/>
        <v>2.2336139996954802</v>
      </c>
      <c r="AW439" s="1">
        <f t="shared" si="61"/>
        <v>1.3630917396660347</v>
      </c>
    </row>
    <row r="440" spans="1:49" x14ac:dyDescent="0.2">
      <c r="A440">
        <v>438</v>
      </c>
      <c r="B440" t="s">
        <v>2727</v>
      </c>
      <c r="C440" t="s">
        <v>2726</v>
      </c>
      <c r="D440">
        <v>94576585900463</v>
      </c>
      <c r="F440" t="s">
        <v>2725</v>
      </c>
      <c r="G440" t="s">
        <v>15</v>
      </c>
      <c r="H440" t="s">
        <v>14</v>
      </c>
      <c r="I440" t="s">
        <v>2724</v>
      </c>
      <c r="J440">
        <v>60017293</v>
      </c>
      <c r="K440" t="s">
        <v>2723</v>
      </c>
      <c r="L440" t="s">
        <v>2722</v>
      </c>
      <c r="M440" t="s">
        <v>298</v>
      </c>
      <c r="N440">
        <v>2</v>
      </c>
      <c r="O440" t="s">
        <v>2721</v>
      </c>
      <c r="P440" t="s">
        <v>2720</v>
      </c>
      <c r="Q440" t="s">
        <v>2719</v>
      </c>
      <c r="R440" s="7">
        <v>31048</v>
      </c>
      <c r="S440" s="8">
        <f t="shared" si="56"/>
        <v>1985</v>
      </c>
      <c r="T440" s="8">
        <v>1985</v>
      </c>
      <c r="U440" s="8">
        <f t="shared" si="57"/>
        <v>37</v>
      </c>
      <c r="V440" s="7">
        <v>31199</v>
      </c>
      <c r="W440" t="s">
        <v>603</v>
      </c>
      <c r="X440" s="2">
        <v>1.1339999999999999</v>
      </c>
      <c r="Y440" s="6">
        <f t="shared" si="54"/>
        <v>3.0271482341635299E-2</v>
      </c>
      <c r="AA440">
        <v>945765</v>
      </c>
      <c r="AB440">
        <v>12372</v>
      </c>
      <c r="AD440" t="s">
        <v>4</v>
      </c>
      <c r="AE440">
        <v>12</v>
      </c>
      <c r="AF440">
        <v>6</v>
      </c>
      <c r="AH440" t="s">
        <v>2718</v>
      </c>
      <c r="AI440" t="s">
        <v>2717</v>
      </c>
      <c r="AK440" t="s">
        <v>2716</v>
      </c>
      <c r="AL440">
        <v>0</v>
      </c>
      <c r="AM440" s="5">
        <f t="shared" si="58"/>
        <v>0</v>
      </c>
      <c r="AN440" s="4">
        <f t="shared" si="55"/>
        <v>0</v>
      </c>
      <c r="AO440" s="3"/>
      <c r="AP440">
        <v>0</v>
      </c>
      <c r="AR440" t="s">
        <v>0</v>
      </c>
      <c r="AT440" s="2">
        <v>2.4129999999999998</v>
      </c>
      <c r="AU440" s="1">
        <f t="shared" si="59"/>
        <v>2.119003763914471</v>
      </c>
      <c r="AV440" s="1">
        <f t="shared" si="60"/>
        <v>1.5135741170817649</v>
      </c>
      <c r="AW440" s="1">
        <f t="shared" si="61"/>
        <v>0.90814447024905898</v>
      </c>
    </row>
    <row r="441" spans="1:49" x14ac:dyDescent="0.2">
      <c r="A441">
        <v>439</v>
      </c>
      <c r="B441" t="s">
        <v>2715</v>
      </c>
      <c r="C441" t="s">
        <v>2714</v>
      </c>
      <c r="F441" t="s">
        <v>2713</v>
      </c>
      <c r="G441" t="s">
        <v>15</v>
      </c>
      <c r="H441" t="s">
        <v>14</v>
      </c>
      <c r="I441" t="s">
        <v>2712</v>
      </c>
      <c r="J441">
        <v>100400885</v>
      </c>
      <c r="K441" t="s">
        <v>2711</v>
      </c>
      <c r="L441" t="s">
        <v>2710</v>
      </c>
      <c r="M441" t="s">
        <v>122</v>
      </c>
      <c r="N441">
        <v>1</v>
      </c>
      <c r="O441" t="s">
        <v>2709</v>
      </c>
      <c r="P441">
        <v>7101878985</v>
      </c>
      <c r="Q441">
        <v>100400885</v>
      </c>
      <c r="R441" s="7">
        <v>31048</v>
      </c>
      <c r="S441" s="8">
        <f t="shared" si="56"/>
        <v>1985</v>
      </c>
      <c r="T441" s="8">
        <v>1985</v>
      </c>
      <c r="U441" s="8">
        <f t="shared" si="57"/>
        <v>37</v>
      </c>
      <c r="V441" s="7" t="s">
        <v>2695</v>
      </c>
      <c r="W441" t="s">
        <v>2694</v>
      </c>
      <c r="X441" s="2" t="s">
        <v>19</v>
      </c>
      <c r="Y441" s="6" t="e">
        <f t="shared" si="54"/>
        <v>#VALUE!</v>
      </c>
      <c r="AA441">
        <v>281522</v>
      </c>
      <c r="AB441">
        <v>12174</v>
      </c>
      <c r="AC441">
        <v>21614296</v>
      </c>
      <c r="AD441" t="s">
        <v>4</v>
      </c>
      <c r="AE441">
        <v>32</v>
      </c>
      <c r="AF441">
        <v>2</v>
      </c>
      <c r="AH441" t="s">
        <v>2708</v>
      </c>
      <c r="AI441" t="s">
        <v>2707</v>
      </c>
      <c r="AK441" t="s">
        <v>2706</v>
      </c>
      <c r="AL441">
        <v>0</v>
      </c>
      <c r="AM441" s="5">
        <f t="shared" si="58"/>
        <v>0</v>
      </c>
      <c r="AN441" s="4">
        <f t="shared" si="55"/>
        <v>0</v>
      </c>
      <c r="AO441" s="3"/>
      <c r="AP441">
        <v>0</v>
      </c>
      <c r="AR441" t="s">
        <v>0</v>
      </c>
      <c r="AT441" s="2" t="s">
        <v>19</v>
      </c>
      <c r="AU441" s="1" t="e">
        <f t="shared" si="59"/>
        <v>#VALUE!</v>
      </c>
      <c r="AV441" s="1" t="e">
        <f t="shared" si="60"/>
        <v>#VALUE!</v>
      </c>
      <c r="AW441" s="1" t="e">
        <f t="shared" si="61"/>
        <v>#VALUE!</v>
      </c>
    </row>
    <row r="442" spans="1:49" x14ac:dyDescent="0.2">
      <c r="A442">
        <v>440</v>
      </c>
      <c r="B442" t="s">
        <v>2705</v>
      </c>
      <c r="C442" t="s">
        <v>2704</v>
      </c>
      <c r="F442" t="s">
        <v>2703</v>
      </c>
      <c r="G442" t="s">
        <v>15</v>
      </c>
      <c r="H442" t="s">
        <v>14</v>
      </c>
      <c r="I442" t="s">
        <v>2702</v>
      </c>
      <c r="J442" t="s">
        <v>2701</v>
      </c>
      <c r="K442" t="s">
        <v>2700</v>
      </c>
      <c r="L442" t="s">
        <v>2699</v>
      </c>
      <c r="M442" t="s">
        <v>28</v>
      </c>
      <c r="N442">
        <v>5</v>
      </c>
      <c r="O442" t="s">
        <v>2698</v>
      </c>
      <c r="P442" t="s">
        <v>2697</v>
      </c>
      <c r="Q442" t="s">
        <v>2696</v>
      </c>
      <c r="R442" s="7">
        <v>31048</v>
      </c>
      <c r="S442" s="8">
        <f t="shared" si="56"/>
        <v>1985</v>
      </c>
      <c r="T442" s="8">
        <v>1985</v>
      </c>
      <c r="U442" s="8">
        <f t="shared" si="57"/>
        <v>37</v>
      </c>
      <c r="V442" s="7" t="s">
        <v>2695</v>
      </c>
      <c r="W442" t="s">
        <v>2694</v>
      </c>
      <c r="X442" s="2" t="s">
        <v>19</v>
      </c>
      <c r="Y442" s="6" t="e">
        <f t="shared" si="54"/>
        <v>#VALUE!</v>
      </c>
      <c r="AA442">
        <v>281522</v>
      </c>
      <c r="AB442">
        <v>12174</v>
      </c>
      <c r="AC442">
        <v>21614296</v>
      </c>
      <c r="AD442" t="s">
        <v>4</v>
      </c>
      <c r="AE442">
        <v>32</v>
      </c>
      <c r="AF442">
        <v>2</v>
      </c>
      <c r="AH442" t="s">
        <v>2693</v>
      </c>
      <c r="AI442" t="s">
        <v>2692</v>
      </c>
      <c r="AK442" t="s">
        <v>2691</v>
      </c>
      <c r="AL442">
        <v>5</v>
      </c>
      <c r="AM442" s="5">
        <f t="shared" si="58"/>
        <v>0.13513513513513514</v>
      </c>
      <c r="AN442" s="4">
        <f t="shared" si="55"/>
        <v>2.046726772209544E-4</v>
      </c>
      <c r="AO442" s="3"/>
      <c r="AP442">
        <v>0</v>
      </c>
      <c r="AR442" t="s">
        <v>0</v>
      </c>
      <c r="AT442" s="2" t="s">
        <v>19</v>
      </c>
      <c r="AU442" s="1" t="e">
        <f t="shared" si="59"/>
        <v>#VALUE!</v>
      </c>
      <c r="AV442" s="1" t="e">
        <f t="shared" si="60"/>
        <v>#VALUE!</v>
      </c>
      <c r="AW442" s="1" t="e">
        <f t="shared" si="61"/>
        <v>#VALUE!</v>
      </c>
    </row>
    <row r="443" spans="1:49" x14ac:dyDescent="0.2">
      <c r="A443">
        <v>441</v>
      </c>
      <c r="B443" t="s">
        <v>2690</v>
      </c>
      <c r="C443" t="s">
        <v>2689</v>
      </c>
      <c r="F443" t="s">
        <v>2688</v>
      </c>
      <c r="G443" t="s">
        <v>15</v>
      </c>
      <c r="H443" t="s">
        <v>14</v>
      </c>
      <c r="I443" t="s">
        <v>2687</v>
      </c>
      <c r="J443">
        <v>60028868</v>
      </c>
      <c r="K443" t="s">
        <v>2686</v>
      </c>
      <c r="L443" t="s">
        <v>2685</v>
      </c>
      <c r="M443" t="s">
        <v>298</v>
      </c>
      <c r="N443">
        <v>4</v>
      </c>
      <c r="O443" t="s">
        <v>2684</v>
      </c>
      <c r="P443" t="s">
        <v>2683</v>
      </c>
      <c r="Q443" t="s">
        <v>2682</v>
      </c>
      <c r="R443" s="7">
        <v>31048</v>
      </c>
      <c r="S443" s="8">
        <f t="shared" si="56"/>
        <v>1985</v>
      </c>
      <c r="T443" s="8">
        <v>1985</v>
      </c>
      <c r="U443" s="8">
        <f t="shared" si="57"/>
        <v>37</v>
      </c>
      <c r="V443" s="7">
        <v>1985</v>
      </c>
      <c r="W443" s="11" t="s">
        <v>2012</v>
      </c>
      <c r="X443" s="2">
        <v>2.383</v>
      </c>
      <c r="Y443" s="6">
        <f t="shared" si="54"/>
        <v>6.3612824003630442E-2</v>
      </c>
      <c r="AA443">
        <v>1437070</v>
      </c>
      <c r="AB443">
        <v>39742</v>
      </c>
      <c r="AD443" t="s">
        <v>4</v>
      </c>
      <c r="AE443">
        <v>132</v>
      </c>
      <c r="AF443">
        <v>3</v>
      </c>
      <c r="AH443" t="s">
        <v>2681</v>
      </c>
      <c r="AI443" t="s">
        <v>2680</v>
      </c>
      <c r="AJ443" t="s">
        <v>2679</v>
      </c>
      <c r="AK443" t="s">
        <v>2678</v>
      </c>
      <c r="AL443">
        <v>1</v>
      </c>
      <c r="AM443" s="5">
        <f t="shared" si="58"/>
        <v>2.7027027027027029E-2</v>
      </c>
      <c r="AN443" s="4">
        <f t="shared" si="55"/>
        <v>4.0934535444190883E-5</v>
      </c>
      <c r="AO443" s="3"/>
      <c r="AP443">
        <v>0</v>
      </c>
      <c r="AR443" t="s">
        <v>0</v>
      </c>
      <c r="AT443" s="2" t="s">
        <v>19</v>
      </c>
      <c r="AU443" s="1">
        <f t="shared" si="59"/>
        <v>4.4541257163174564</v>
      </c>
      <c r="AV443" s="1">
        <f t="shared" si="60"/>
        <v>3.182687926953732</v>
      </c>
      <c r="AW443" s="1">
        <f t="shared" si="61"/>
        <v>1.9112501375900064</v>
      </c>
    </row>
    <row r="444" spans="1:49" x14ac:dyDescent="0.2">
      <c r="A444">
        <v>442</v>
      </c>
      <c r="B444" t="s">
        <v>2677</v>
      </c>
      <c r="C444" t="s">
        <v>2676</v>
      </c>
      <c r="F444" t="s">
        <v>2675</v>
      </c>
      <c r="G444" t="s">
        <v>15</v>
      </c>
      <c r="H444" t="s">
        <v>14</v>
      </c>
      <c r="I444" t="s">
        <v>2674</v>
      </c>
      <c r="J444">
        <v>60009697</v>
      </c>
      <c r="K444" t="s">
        <v>2663</v>
      </c>
      <c r="L444" t="s">
        <v>2662</v>
      </c>
      <c r="M444" t="s">
        <v>76</v>
      </c>
      <c r="N444">
        <v>2</v>
      </c>
      <c r="O444" t="s">
        <v>2673</v>
      </c>
      <c r="P444" t="s">
        <v>2672</v>
      </c>
      <c r="Q444" t="s">
        <v>2659</v>
      </c>
      <c r="R444" s="7">
        <v>31048</v>
      </c>
      <c r="S444" s="8">
        <f t="shared" si="56"/>
        <v>1985</v>
      </c>
      <c r="T444" s="8">
        <v>1985</v>
      </c>
      <c r="U444" s="8">
        <f t="shared" si="57"/>
        <v>37</v>
      </c>
      <c r="V444" s="7">
        <v>31199</v>
      </c>
      <c r="W444" t="s">
        <v>1300</v>
      </c>
      <c r="X444" s="2">
        <v>0.251</v>
      </c>
      <c r="Y444" s="6">
        <f t="shared" si="54"/>
        <v>6.7003016470462617E-3</v>
      </c>
      <c r="AA444">
        <v>207217</v>
      </c>
      <c r="AB444">
        <v>26145</v>
      </c>
      <c r="AC444">
        <v>13623060</v>
      </c>
      <c r="AD444" t="s">
        <v>4</v>
      </c>
      <c r="AE444">
        <v>58</v>
      </c>
      <c r="AF444">
        <v>6</v>
      </c>
      <c r="AH444" t="s">
        <v>2671</v>
      </c>
      <c r="AI444" t="s">
        <v>2670</v>
      </c>
      <c r="AK444" t="s">
        <v>2669</v>
      </c>
      <c r="AL444">
        <v>1</v>
      </c>
      <c r="AM444" s="5">
        <f t="shared" si="58"/>
        <v>2.7027027027027029E-2</v>
      </c>
      <c r="AN444" s="4">
        <f t="shared" si="55"/>
        <v>4.0934535444190883E-5</v>
      </c>
      <c r="AO444" s="3"/>
      <c r="AP444">
        <v>0</v>
      </c>
      <c r="AQ444" t="s">
        <v>2668</v>
      </c>
      <c r="AR444" t="s">
        <v>0</v>
      </c>
      <c r="AS444" t="s">
        <v>2663</v>
      </c>
      <c r="AT444" s="2">
        <v>1.3360000000000001</v>
      </c>
      <c r="AU444" s="1">
        <f t="shared" si="59"/>
        <v>0.47024915135656403</v>
      </c>
      <c r="AV444" s="1">
        <f t="shared" si="60"/>
        <v>0.33706180912452266</v>
      </c>
      <c r="AW444" s="1">
        <f t="shared" si="61"/>
        <v>0.20387446689248118</v>
      </c>
    </row>
    <row r="445" spans="1:49" x14ac:dyDescent="0.2">
      <c r="A445">
        <v>443</v>
      </c>
      <c r="B445" t="s">
        <v>2667</v>
      </c>
      <c r="C445" t="s">
        <v>2666</v>
      </c>
      <c r="F445" t="s">
        <v>2665</v>
      </c>
      <c r="G445" t="s">
        <v>15</v>
      </c>
      <c r="H445" t="s">
        <v>14</v>
      </c>
      <c r="I445" t="s">
        <v>2664</v>
      </c>
      <c r="J445">
        <v>60009697</v>
      </c>
      <c r="K445" t="s">
        <v>2663</v>
      </c>
      <c r="L445" t="s">
        <v>2662</v>
      </c>
      <c r="M445" t="s">
        <v>76</v>
      </c>
      <c r="N445">
        <v>2</v>
      </c>
      <c r="O445" t="s">
        <v>2661</v>
      </c>
      <c r="P445" t="s">
        <v>2660</v>
      </c>
      <c r="Q445" t="s">
        <v>2659</v>
      </c>
      <c r="R445" s="7">
        <v>31048</v>
      </c>
      <c r="S445" s="8">
        <f t="shared" si="56"/>
        <v>1985</v>
      </c>
      <c r="T445" s="8">
        <v>1985</v>
      </c>
      <c r="U445" s="8">
        <f t="shared" si="57"/>
        <v>37</v>
      </c>
      <c r="V445" s="7" t="s">
        <v>2627</v>
      </c>
      <c r="W445" s="11" t="s">
        <v>1366</v>
      </c>
      <c r="X445" s="2">
        <v>2.383</v>
      </c>
      <c r="Y445" s="6">
        <f t="shared" si="54"/>
        <v>6.3612824003630442E-2</v>
      </c>
      <c r="AA445">
        <v>1437097</v>
      </c>
      <c r="AB445">
        <v>101236</v>
      </c>
      <c r="AD445" t="s">
        <v>4</v>
      </c>
      <c r="AE445">
        <v>132</v>
      </c>
      <c r="AF445">
        <v>3</v>
      </c>
      <c r="AH445" t="s">
        <v>2658</v>
      </c>
      <c r="AI445" t="s">
        <v>2657</v>
      </c>
      <c r="AK445" t="s">
        <v>2656</v>
      </c>
      <c r="AL445">
        <v>13</v>
      </c>
      <c r="AM445" s="5">
        <f t="shared" si="58"/>
        <v>0.35135135135135137</v>
      </c>
      <c r="AN445" s="4">
        <f t="shared" si="55"/>
        <v>5.3214896077448143E-4</v>
      </c>
      <c r="AO445" s="3"/>
      <c r="AP445">
        <v>0</v>
      </c>
      <c r="AR445" t="s">
        <v>0</v>
      </c>
      <c r="AT445" s="2" t="s">
        <v>19</v>
      </c>
      <c r="AU445" s="1">
        <f t="shared" si="59"/>
        <v>4.4688621490773652</v>
      </c>
      <c r="AV445" s="1">
        <f t="shared" si="60"/>
        <v>3.2072486482202462</v>
      </c>
      <c r="AW445" s="1">
        <f t="shared" si="61"/>
        <v>1.945635147363127</v>
      </c>
    </row>
    <row r="446" spans="1:49" x14ac:dyDescent="0.2">
      <c r="A446">
        <v>444</v>
      </c>
      <c r="B446" t="s">
        <v>2655</v>
      </c>
      <c r="C446" t="s">
        <v>2654</v>
      </c>
      <c r="F446" t="s">
        <v>2653</v>
      </c>
      <c r="G446" t="s">
        <v>15</v>
      </c>
      <c r="H446" t="s">
        <v>14</v>
      </c>
      <c r="I446" t="s">
        <v>2652</v>
      </c>
      <c r="J446">
        <v>60010818</v>
      </c>
      <c r="K446" t="s">
        <v>2212</v>
      </c>
      <c r="L446" t="s">
        <v>2211</v>
      </c>
      <c r="M446" t="s">
        <v>530</v>
      </c>
      <c r="N446">
        <v>2</v>
      </c>
      <c r="O446" t="s">
        <v>2651</v>
      </c>
      <c r="P446" t="s">
        <v>2650</v>
      </c>
      <c r="Q446" t="s">
        <v>2208</v>
      </c>
      <c r="R446" s="7">
        <v>31048</v>
      </c>
      <c r="S446" s="8">
        <f t="shared" si="56"/>
        <v>1985</v>
      </c>
      <c r="T446" s="8">
        <v>1985</v>
      </c>
      <c r="U446" s="8">
        <f t="shared" si="57"/>
        <v>37</v>
      </c>
      <c r="V446" s="7" t="s">
        <v>2627</v>
      </c>
      <c r="W446" s="11" t="s">
        <v>1366</v>
      </c>
      <c r="X446" s="2">
        <v>2.383</v>
      </c>
      <c r="Y446" s="6">
        <f t="shared" si="54"/>
        <v>6.3612824003630442E-2</v>
      </c>
      <c r="AA446">
        <v>1437097</v>
      </c>
      <c r="AB446">
        <v>101236</v>
      </c>
      <c r="AD446" t="s">
        <v>4</v>
      </c>
      <c r="AE446">
        <v>132</v>
      </c>
      <c r="AF446">
        <v>3</v>
      </c>
      <c r="AH446" t="s">
        <v>2649</v>
      </c>
      <c r="AI446" t="s">
        <v>2648</v>
      </c>
      <c r="AK446" t="s">
        <v>2647</v>
      </c>
      <c r="AL446">
        <v>40</v>
      </c>
      <c r="AM446" s="5">
        <f t="shared" si="58"/>
        <v>1.0810810810810811</v>
      </c>
      <c r="AN446" s="4">
        <f t="shared" si="55"/>
        <v>1.6373814177676352E-3</v>
      </c>
      <c r="AO446" s="3"/>
      <c r="AP446">
        <v>0</v>
      </c>
      <c r="AR446" t="s">
        <v>0</v>
      </c>
      <c r="AT446" s="2" t="s">
        <v>19</v>
      </c>
      <c r="AU446" s="1">
        <f t="shared" si="59"/>
        <v>4.5020191227871598</v>
      </c>
      <c r="AV446" s="1">
        <f t="shared" si="60"/>
        <v>3.2625102710699037</v>
      </c>
      <c r="AW446" s="1">
        <f t="shared" si="61"/>
        <v>2.0230014193526475</v>
      </c>
    </row>
    <row r="447" spans="1:49" x14ac:dyDescent="0.2">
      <c r="A447">
        <v>445</v>
      </c>
      <c r="B447" t="s">
        <v>2646</v>
      </c>
      <c r="C447" t="s">
        <v>2645</v>
      </c>
      <c r="F447" t="s">
        <v>2644</v>
      </c>
      <c r="G447" t="s">
        <v>15</v>
      </c>
      <c r="H447" t="s">
        <v>14</v>
      </c>
      <c r="I447" t="s">
        <v>2643</v>
      </c>
      <c r="J447">
        <v>120568822</v>
      </c>
      <c r="K447" t="s">
        <v>2642</v>
      </c>
      <c r="L447" t="s">
        <v>134</v>
      </c>
      <c r="M447" t="s">
        <v>544</v>
      </c>
      <c r="N447">
        <v>2</v>
      </c>
      <c r="O447" t="s">
        <v>2641</v>
      </c>
      <c r="P447" t="s">
        <v>2640</v>
      </c>
      <c r="Q447" t="s">
        <v>2639</v>
      </c>
      <c r="R447" s="7">
        <v>31048</v>
      </c>
      <c r="S447" s="8">
        <f t="shared" si="56"/>
        <v>1985</v>
      </c>
      <c r="T447" s="8">
        <v>1985</v>
      </c>
      <c r="U447" s="8">
        <f t="shared" si="57"/>
        <v>37</v>
      </c>
      <c r="V447" s="7" t="s">
        <v>2627</v>
      </c>
      <c r="W447" t="s">
        <v>1087</v>
      </c>
      <c r="X447" s="2" t="s">
        <v>19</v>
      </c>
      <c r="Y447" s="6" t="e">
        <f t="shared" si="54"/>
        <v>#VALUE!</v>
      </c>
      <c r="AA447">
        <v>2671689</v>
      </c>
      <c r="AB447">
        <v>87645</v>
      </c>
      <c r="AD447" t="s">
        <v>4</v>
      </c>
      <c r="AE447">
        <v>55</v>
      </c>
      <c r="AF447">
        <v>6</v>
      </c>
      <c r="AH447" t="s">
        <v>2638</v>
      </c>
      <c r="AI447" t="s">
        <v>2637</v>
      </c>
      <c r="AK447" t="s">
        <v>2636</v>
      </c>
      <c r="AL447">
        <v>1</v>
      </c>
      <c r="AM447" s="5">
        <f t="shared" si="58"/>
        <v>2.7027027027027029E-2</v>
      </c>
      <c r="AN447" s="4">
        <f t="shared" si="55"/>
        <v>4.0934535444190883E-5</v>
      </c>
      <c r="AO447" s="3"/>
      <c r="AP447">
        <v>0</v>
      </c>
      <c r="AR447" t="s">
        <v>0</v>
      </c>
      <c r="AT447" s="2" t="s">
        <v>19</v>
      </c>
      <c r="AU447" s="1" t="e">
        <f t="shared" si="59"/>
        <v>#VALUE!</v>
      </c>
      <c r="AV447" s="1" t="e">
        <f t="shared" si="60"/>
        <v>#VALUE!</v>
      </c>
      <c r="AW447" s="1" t="e">
        <f t="shared" si="61"/>
        <v>#VALUE!</v>
      </c>
    </row>
    <row r="448" spans="1:49" x14ac:dyDescent="0.2">
      <c r="A448">
        <v>446</v>
      </c>
      <c r="B448" t="s">
        <v>2635</v>
      </c>
      <c r="C448" t="s">
        <v>2634</v>
      </c>
      <c r="F448" t="s">
        <v>2633</v>
      </c>
      <c r="G448" t="s">
        <v>15</v>
      </c>
      <c r="H448" t="s">
        <v>14</v>
      </c>
      <c r="I448" t="s">
        <v>2632</v>
      </c>
      <c r="J448">
        <v>60006359</v>
      </c>
      <c r="K448" t="s">
        <v>2631</v>
      </c>
      <c r="L448" t="s">
        <v>1645</v>
      </c>
      <c r="M448" t="s">
        <v>43</v>
      </c>
      <c r="N448">
        <v>3</v>
      </c>
      <c r="O448" t="s">
        <v>2630</v>
      </c>
      <c r="P448" t="s">
        <v>2629</v>
      </c>
      <c r="Q448" t="s">
        <v>2628</v>
      </c>
      <c r="R448" s="7">
        <v>31048</v>
      </c>
      <c r="S448" s="8">
        <f t="shared" si="56"/>
        <v>1985</v>
      </c>
      <c r="T448" s="8">
        <v>1985</v>
      </c>
      <c r="U448" s="8">
        <f t="shared" si="57"/>
        <v>37</v>
      </c>
      <c r="V448" s="7" t="s">
        <v>2627</v>
      </c>
      <c r="W448" s="11" t="s">
        <v>1366</v>
      </c>
      <c r="X448" s="2">
        <v>2.383</v>
      </c>
      <c r="Y448" s="6">
        <f t="shared" si="54"/>
        <v>6.3612824003630442E-2</v>
      </c>
      <c r="AA448">
        <v>1437097</v>
      </c>
      <c r="AB448">
        <v>101236</v>
      </c>
      <c r="AD448" t="s">
        <v>4</v>
      </c>
      <c r="AE448">
        <v>132</v>
      </c>
      <c r="AF448">
        <v>3</v>
      </c>
      <c r="AH448" t="s">
        <v>2626</v>
      </c>
      <c r="AI448" t="s">
        <v>2625</v>
      </c>
      <c r="AK448" t="s">
        <v>2624</v>
      </c>
      <c r="AL448">
        <v>1</v>
      </c>
      <c r="AM448" s="5">
        <f t="shared" si="58"/>
        <v>2.7027027027027029E-2</v>
      </c>
      <c r="AN448" s="4">
        <f t="shared" si="55"/>
        <v>4.0934535444190883E-5</v>
      </c>
      <c r="AO448" s="3"/>
      <c r="AP448">
        <v>0</v>
      </c>
      <c r="AR448" t="s">
        <v>0</v>
      </c>
      <c r="AT448" s="2" t="s">
        <v>19</v>
      </c>
      <c r="AU448" s="1">
        <f t="shared" si="59"/>
        <v>4.4541257163174564</v>
      </c>
      <c r="AV448" s="1">
        <f t="shared" si="60"/>
        <v>3.182687926953732</v>
      </c>
      <c r="AW448" s="1">
        <f t="shared" si="61"/>
        <v>1.9112501375900064</v>
      </c>
    </row>
    <row r="449" spans="1:49" x14ac:dyDescent="0.2">
      <c r="A449">
        <v>447</v>
      </c>
      <c r="B449" t="s">
        <v>2623</v>
      </c>
      <c r="C449" t="s">
        <v>2622</v>
      </c>
      <c r="F449" t="s">
        <v>2621</v>
      </c>
      <c r="G449" t="s">
        <v>15</v>
      </c>
      <c r="H449" t="s">
        <v>14</v>
      </c>
      <c r="I449" t="s">
        <v>2620</v>
      </c>
      <c r="J449" t="s">
        <v>2619</v>
      </c>
      <c r="K449" t="s">
        <v>2618</v>
      </c>
      <c r="L449" t="s">
        <v>2617</v>
      </c>
      <c r="M449" t="s">
        <v>1020</v>
      </c>
      <c r="N449">
        <v>3</v>
      </c>
      <c r="O449" t="s">
        <v>2616</v>
      </c>
      <c r="P449" t="s">
        <v>2615</v>
      </c>
      <c r="Q449" t="s">
        <v>2614</v>
      </c>
      <c r="R449" s="7">
        <v>31048</v>
      </c>
      <c r="S449" s="8">
        <f t="shared" si="56"/>
        <v>1985</v>
      </c>
      <c r="T449" s="8">
        <v>1985</v>
      </c>
      <c r="U449" s="8">
        <f t="shared" si="57"/>
        <v>37</v>
      </c>
      <c r="V449" s="7">
        <v>1985</v>
      </c>
      <c r="W449" s="11" t="s">
        <v>2012</v>
      </c>
      <c r="X449" s="2">
        <v>2.383</v>
      </c>
      <c r="Y449" s="6">
        <f t="shared" si="54"/>
        <v>6.3612824003630442E-2</v>
      </c>
      <c r="AA449">
        <v>1437070</v>
      </c>
      <c r="AB449">
        <v>39742</v>
      </c>
      <c r="AD449" t="s">
        <v>4</v>
      </c>
      <c r="AE449">
        <v>132</v>
      </c>
      <c r="AF449">
        <v>3</v>
      </c>
      <c r="AH449" t="s">
        <v>2613</v>
      </c>
      <c r="AI449" t="s">
        <v>2612</v>
      </c>
      <c r="AJ449" t="s">
        <v>2611</v>
      </c>
      <c r="AK449" t="s">
        <v>2610</v>
      </c>
      <c r="AL449">
        <v>12</v>
      </c>
      <c r="AM449" s="5">
        <f t="shared" si="58"/>
        <v>0.32432432432432434</v>
      </c>
      <c r="AN449" s="4">
        <f t="shared" si="55"/>
        <v>4.9121442533029054E-4</v>
      </c>
      <c r="AO449" s="3"/>
      <c r="AP449">
        <v>0</v>
      </c>
      <c r="AR449" t="s">
        <v>0</v>
      </c>
      <c r="AT449" s="2" t="s">
        <v>19</v>
      </c>
      <c r="AU449" s="1">
        <f t="shared" si="59"/>
        <v>4.4676341130140393</v>
      </c>
      <c r="AV449" s="1">
        <f t="shared" si="60"/>
        <v>3.2052019214480367</v>
      </c>
      <c r="AW449" s="1">
        <f t="shared" si="61"/>
        <v>1.9427697298820337</v>
      </c>
    </row>
    <row r="450" spans="1:49" x14ac:dyDescent="0.2">
      <c r="A450">
        <v>448</v>
      </c>
      <c r="B450" t="s">
        <v>2609</v>
      </c>
      <c r="C450" t="s">
        <v>2608</v>
      </c>
      <c r="F450" t="s">
        <v>2607</v>
      </c>
      <c r="G450" t="s">
        <v>15</v>
      </c>
      <c r="H450" t="s">
        <v>14</v>
      </c>
      <c r="R450" s="7">
        <v>31048</v>
      </c>
      <c r="S450" s="8">
        <f t="shared" si="56"/>
        <v>1985</v>
      </c>
      <c r="T450" s="8">
        <v>1985</v>
      </c>
      <c r="U450" s="8">
        <f t="shared" si="57"/>
        <v>37</v>
      </c>
      <c r="V450" s="7">
        <v>31199</v>
      </c>
      <c r="W450" t="s">
        <v>2593</v>
      </c>
      <c r="X450" s="2">
        <v>0.78200000000000003</v>
      </c>
      <c r="Y450" s="6">
        <f t="shared" ref="Y450:Y513" si="62">(X450-$Z$4)/($Z$3-$Z$4)</f>
        <v>2.0875043378446919E-2</v>
      </c>
      <c r="AA450">
        <v>189316</v>
      </c>
      <c r="AB450">
        <v>19901</v>
      </c>
      <c r="AC450">
        <v>15579611</v>
      </c>
      <c r="AD450" t="s">
        <v>4</v>
      </c>
      <c r="AE450" t="s">
        <v>2592</v>
      </c>
      <c r="AF450">
        <v>2</v>
      </c>
      <c r="AH450" t="s">
        <v>2606</v>
      </c>
      <c r="AI450" t="s">
        <v>2605</v>
      </c>
      <c r="AK450" t="s">
        <v>2604</v>
      </c>
      <c r="AL450">
        <v>0</v>
      </c>
      <c r="AM450" s="5">
        <f t="shared" si="58"/>
        <v>0</v>
      </c>
      <c r="AN450" s="4">
        <f t="shared" ref="AN450:AN513" si="63">(AM450-$AO$4)/($AO$3-$AO$4)</f>
        <v>0</v>
      </c>
      <c r="AO450" s="3"/>
      <c r="AP450">
        <v>0</v>
      </c>
      <c r="AR450" t="s">
        <v>0</v>
      </c>
      <c r="AT450" s="2">
        <v>3.863</v>
      </c>
      <c r="AU450" s="1">
        <f t="shared" si="59"/>
        <v>1.4612530364912841</v>
      </c>
      <c r="AV450" s="1">
        <f t="shared" si="60"/>
        <v>1.0437521689223459</v>
      </c>
      <c r="AW450" s="1">
        <f t="shared" si="61"/>
        <v>0.62625130135340756</v>
      </c>
    </row>
    <row r="451" spans="1:49" x14ac:dyDescent="0.2">
      <c r="A451">
        <v>449</v>
      </c>
      <c r="B451" t="s">
        <v>2603</v>
      </c>
      <c r="C451" t="s">
        <v>2602</v>
      </c>
      <c r="F451" t="s">
        <v>2601</v>
      </c>
      <c r="G451" t="s">
        <v>15</v>
      </c>
      <c r="H451" t="s">
        <v>14</v>
      </c>
      <c r="I451" t="s">
        <v>2600</v>
      </c>
      <c r="J451">
        <v>60026438</v>
      </c>
      <c r="K451" t="s">
        <v>2599</v>
      </c>
      <c r="L451" t="s">
        <v>2598</v>
      </c>
      <c r="M451" t="s">
        <v>2597</v>
      </c>
      <c r="N451">
        <v>2</v>
      </c>
      <c r="O451" t="s">
        <v>2596</v>
      </c>
      <c r="P451" t="s">
        <v>2595</v>
      </c>
      <c r="Q451" t="s">
        <v>2594</v>
      </c>
      <c r="R451" s="7">
        <v>31048</v>
      </c>
      <c r="S451" s="8">
        <f t="shared" si="56"/>
        <v>1985</v>
      </c>
      <c r="T451" s="8">
        <v>1985</v>
      </c>
      <c r="U451" s="8">
        <f t="shared" si="57"/>
        <v>37</v>
      </c>
      <c r="V451" s="7">
        <v>31199</v>
      </c>
      <c r="W451" t="s">
        <v>2593</v>
      </c>
      <c r="X451" s="2">
        <v>0.78200000000000003</v>
      </c>
      <c r="Y451" s="6">
        <f t="shared" si="62"/>
        <v>2.0875043378446919E-2</v>
      </c>
      <c r="AA451">
        <v>189316</v>
      </c>
      <c r="AB451">
        <v>19901</v>
      </c>
      <c r="AC451">
        <v>15579611</v>
      </c>
      <c r="AD451" t="s">
        <v>4</v>
      </c>
      <c r="AE451" t="s">
        <v>2592</v>
      </c>
      <c r="AF451">
        <v>2</v>
      </c>
      <c r="AH451" t="s">
        <v>2591</v>
      </c>
      <c r="AI451" t="s">
        <v>2590</v>
      </c>
      <c r="AK451" t="s">
        <v>2589</v>
      </c>
      <c r="AL451">
        <v>2</v>
      </c>
      <c r="AM451" s="5">
        <f t="shared" si="58"/>
        <v>5.4054054054054057E-2</v>
      </c>
      <c r="AN451" s="4">
        <f t="shared" si="63"/>
        <v>8.1869070888381765E-5</v>
      </c>
      <c r="AO451" s="3"/>
      <c r="AP451">
        <v>0</v>
      </c>
      <c r="AR451" t="s">
        <v>0</v>
      </c>
      <c r="AT451" s="2">
        <v>3.863</v>
      </c>
      <c r="AU451" s="1">
        <f t="shared" si="59"/>
        <v>1.4637091086179357</v>
      </c>
      <c r="AV451" s="1">
        <f t="shared" si="60"/>
        <v>1.0478456224667649</v>
      </c>
      <c r="AW451" s="1">
        <f t="shared" si="61"/>
        <v>0.6319821363155943</v>
      </c>
    </row>
    <row r="452" spans="1:49" x14ac:dyDescent="0.2">
      <c r="A452">
        <v>450</v>
      </c>
      <c r="B452" t="s">
        <v>2588</v>
      </c>
      <c r="C452" t="s">
        <v>2587</v>
      </c>
      <c r="F452" t="s">
        <v>2586</v>
      </c>
      <c r="G452" t="s">
        <v>15</v>
      </c>
      <c r="H452" t="s">
        <v>14</v>
      </c>
      <c r="I452" t="s">
        <v>2585</v>
      </c>
      <c r="N452">
        <v>1</v>
      </c>
      <c r="O452" t="s">
        <v>2584</v>
      </c>
      <c r="P452">
        <v>6603362226</v>
      </c>
      <c r="R452" s="7">
        <v>31048</v>
      </c>
      <c r="S452" s="8">
        <f t="shared" si="56"/>
        <v>1985</v>
      </c>
      <c r="T452" s="8">
        <v>1985</v>
      </c>
      <c r="U452" s="8">
        <f t="shared" si="57"/>
        <v>37</v>
      </c>
      <c r="V452" s="7" t="s">
        <v>2583</v>
      </c>
      <c r="W452" t="s">
        <v>2582</v>
      </c>
      <c r="X452" s="2" t="s">
        <v>19</v>
      </c>
      <c r="Y452" s="6" t="e">
        <f t="shared" si="62"/>
        <v>#VALUE!</v>
      </c>
      <c r="AA452">
        <v>87562324</v>
      </c>
      <c r="AB452">
        <v>20786</v>
      </c>
      <c r="AC452">
        <v>15387305</v>
      </c>
      <c r="AD452" t="s">
        <v>4</v>
      </c>
      <c r="AE452">
        <v>64</v>
      </c>
      <c r="AF452">
        <v>5</v>
      </c>
      <c r="AH452" t="s">
        <v>2581</v>
      </c>
      <c r="AI452" t="s">
        <v>2580</v>
      </c>
      <c r="AK452" t="s">
        <v>2579</v>
      </c>
      <c r="AL452">
        <v>0</v>
      </c>
      <c r="AM452" s="5">
        <f t="shared" si="58"/>
        <v>0</v>
      </c>
      <c r="AN452" s="4">
        <f t="shared" si="63"/>
        <v>0</v>
      </c>
      <c r="AO452" s="3"/>
      <c r="AP452">
        <v>0</v>
      </c>
      <c r="AR452" t="s">
        <v>0</v>
      </c>
      <c r="AT452" s="2" t="s">
        <v>19</v>
      </c>
      <c r="AU452" s="1" t="e">
        <f t="shared" si="59"/>
        <v>#VALUE!</v>
      </c>
      <c r="AV452" s="1" t="e">
        <f t="shared" si="60"/>
        <v>#VALUE!</v>
      </c>
      <c r="AW452" s="1" t="e">
        <f t="shared" si="61"/>
        <v>#VALUE!</v>
      </c>
    </row>
    <row r="453" spans="1:49" x14ac:dyDescent="0.2">
      <c r="A453">
        <v>451</v>
      </c>
      <c r="B453" t="s">
        <v>2578</v>
      </c>
      <c r="C453" t="s">
        <v>2577</v>
      </c>
      <c r="F453" t="s">
        <v>2576</v>
      </c>
      <c r="G453" t="s">
        <v>15</v>
      </c>
      <c r="H453" t="s">
        <v>14</v>
      </c>
      <c r="I453" t="s">
        <v>2575</v>
      </c>
      <c r="J453">
        <v>60009615</v>
      </c>
      <c r="K453" t="s">
        <v>436</v>
      </c>
      <c r="L453" t="s">
        <v>435</v>
      </c>
      <c r="M453" t="s">
        <v>434</v>
      </c>
      <c r="N453">
        <v>4</v>
      </c>
      <c r="O453" t="s">
        <v>2574</v>
      </c>
      <c r="P453" t="s">
        <v>2573</v>
      </c>
      <c r="Q453" t="s">
        <v>431</v>
      </c>
      <c r="R453" s="7">
        <v>31048</v>
      </c>
      <c r="S453" s="8">
        <f t="shared" si="56"/>
        <v>1985</v>
      </c>
      <c r="T453" s="8">
        <v>1985</v>
      </c>
      <c r="U453" s="8">
        <f t="shared" si="57"/>
        <v>37</v>
      </c>
      <c r="V453" s="7" t="s">
        <v>2540</v>
      </c>
      <c r="W453" t="s">
        <v>429</v>
      </c>
      <c r="X453" s="2">
        <v>0.218</v>
      </c>
      <c r="Y453" s="6">
        <f t="shared" si="62"/>
        <v>5.8193854942473512E-3</v>
      </c>
      <c r="AA453">
        <v>3772063</v>
      </c>
      <c r="AB453">
        <v>130012</v>
      </c>
      <c r="AD453" t="s">
        <v>4</v>
      </c>
      <c r="AE453">
        <v>31</v>
      </c>
      <c r="AF453">
        <v>3</v>
      </c>
      <c r="AH453" t="s">
        <v>2572</v>
      </c>
      <c r="AI453" t="s">
        <v>2571</v>
      </c>
      <c r="AK453" t="s">
        <v>2570</v>
      </c>
      <c r="AL453">
        <v>0</v>
      </c>
      <c r="AM453" s="5">
        <f t="shared" si="58"/>
        <v>0</v>
      </c>
      <c r="AN453" s="4">
        <f t="shared" si="63"/>
        <v>0</v>
      </c>
      <c r="AO453" s="3"/>
      <c r="AP453">
        <v>0</v>
      </c>
      <c r="AR453" t="s">
        <v>0</v>
      </c>
      <c r="AT453" s="2">
        <v>2.3330000000000002</v>
      </c>
      <c r="AU453" s="1">
        <f t="shared" si="59"/>
        <v>0.40735698459731456</v>
      </c>
      <c r="AV453" s="1">
        <f t="shared" si="60"/>
        <v>0.29096927471236755</v>
      </c>
      <c r="AW453" s="1">
        <f t="shared" si="61"/>
        <v>0.17458156482742054</v>
      </c>
    </row>
    <row r="454" spans="1:49" x14ac:dyDescent="0.2">
      <c r="A454">
        <v>452</v>
      </c>
      <c r="B454" t="s">
        <v>2569</v>
      </c>
      <c r="C454" t="s">
        <v>2568</v>
      </c>
      <c r="F454" t="s">
        <v>2567</v>
      </c>
      <c r="G454" t="s">
        <v>15</v>
      </c>
      <c r="H454" t="s">
        <v>14</v>
      </c>
      <c r="I454" t="s">
        <v>2566</v>
      </c>
      <c r="J454" t="s">
        <v>2565</v>
      </c>
      <c r="K454" t="s">
        <v>2564</v>
      </c>
      <c r="L454" t="s">
        <v>2563</v>
      </c>
      <c r="M454" t="s">
        <v>1056</v>
      </c>
      <c r="N454">
        <v>3</v>
      </c>
      <c r="O454" t="s">
        <v>2562</v>
      </c>
      <c r="P454" t="s">
        <v>2561</v>
      </c>
      <c r="Q454" t="s">
        <v>2560</v>
      </c>
      <c r="R454" s="7">
        <v>31048</v>
      </c>
      <c r="S454" s="8">
        <f t="shared" ref="S454:S517" si="64">YEAR(R454)</f>
        <v>1985</v>
      </c>
      <c r="T454" s="8">
        <v>1985</v>
      </c>
      <c r="U454" s="8">
        <f t="shared" ref="U454:U517" si="65">2022-T454</f>
        <v>37</v>
      </c>
      <c r="V454" s="7">
        <v>31168</v>
      </c>
      <c r="W454" t="s">
        <v>660</v>
      </c>
      <c r="X454" s="2">
        <v>2.141</v>
      </c>
      <c r="Y454" s="6">
        <f t="shared" si="62"/>
        <v>5.7152772216438434E-2</v>
      </c>
      <c r="AA454">
        <v>1962892</v>
      </c>
      <c r="AB454">
        <v>17360</v>
      </c>
      <c r="AC454">
        <v>15580644</v>
      </c>
      <c r="AD454" t="s">
        <v>4</v>
      </c>
      <c r="AE454" t="s">
        <v>659</v>
      </c>
      <c r="AF454">
        <v>3</v>
      </c>
      <c r="AH454" t="s">
        <v>2559</v>
      </c>
      <c r="AI454" t="s">
        <v>2558</v>
      </c>
      <c r="AK454" t="s">
        <v>2557</v>
      </c>
      <c r="AL454">
        <v>2</v>
      </c>
      <c r="AM454" s="5">
        <f t="shared" ref="AM454:AM517" si="66">AL454/U454</f>
        <v>5.4054054054054057E-2</v>
      </c>
      <c r="AN454" s="4">
        <f t="shared" si="63"/>
        <v>8.1869070888381765E-5</v>
      </c>
      <c r="AO454" s="3"/>
      <c r="AP454">
        <v>0</v>
      </c>
      <c r="AR454" t="s">
        <v>0</v>
      </c>
      <c r="AT454" s="2" t="s">
        <v>19</v>
      </c>
      <c r="AU454" s="1">
        <f t="shared" ref="AU454:AU517" si="67">(Y454*0.7+AN454*0.3)*100</f>
        <v>4.0031501272773413</v>
      </c>
      <c r="AV454" s="1">
        <f t="shared" ref="AV454:AV517" si="68">(Y454*0.5+AN454*0.5)*100</f>
        <v>2.8617320643663411</v>
      </c>
      <c r="AW454" s="1">
        <f t="shared" ref="AW454:AW517" si="69">(Y454*0.3+AN454*0.7)*100</f>
        <v>1.72031400145534</v>
      </c>
    </row>
    <row r="455" spans="1:49" x14ac:dyDescent="0.2">
      <c r="A455">
        <v>453</v>
      </c>
      <c r="B455" t="s">
        <v>2556</v>
      </c>
      <c r="C455" t="s">
        <v>2555</v>
      </c>
      <c r="F455" t="s">
        <v>2554</v>
      </c>
      <c r="G455" t="s">
        <v>15</v>
      </c>
      <c r="H455" t="s">
        <v>14</v>
      </c>
      <c r="I455" t="s">
        <v>2553</v>
      </c>
      <c r="J455">
        <v>60003500</v>
      </c>
      <c r="K455" t="s">
        <v>925</v>
      </c>
      <c r="L455" t="s">
        <v>924</v>
      </c>
      <c r="M455" t="s">
        <v>122</v>
      </c>
      <c r="N455">
        <v>2</v>
      </c>
      <c r="O455" t="s">
        <v>2552</v>
      </c>
      <c r="P455" t="s">
        <v>2551</v>
      </c>
      <c r="Q455" t="s">
        <v>2550</v>
      </c>
      <c r="R455" s="7">
        <v>31048</v>
      </c>
      <c r="S455" s="8">
        <f t="shared" si="64"/>
        <v>1985</v>
      </c>
      <c r="T455" s="8">
        <v>1985</v>
      </c>
      <c r="U455" s="8">
        <f t="shared" si="65"/>
        <v>37</v>
      </c>
      <c r="V455" s="7">
        <v>31168</v>
      </c>
      <c r="W455" t="s">
        <v>994</v>
      </c>
      <c r="X455" s="2">
        <v>1.137</v>
      </c>
      <c r="Y455" s="6">
        <f t="shared" si="62"/>
        <v>3.0351565628253384E-2</v>
      </c>
      <c r="AA455">
        <v>189251</v>
      </c>
      <c r="AB455">
        <v>17336</v>
      </c>
      <c r="AD455" t="s">
        <v>4</v>
      </c>
      <c r="AE455" t="s">
        <v>993</v>
      </c>
      <c r="AF455">
        <v>3</v>
      </c>
      <c r="AH455" t="s">
        <v>2549</v>
      </c>
      <c r="AI455" t="s">
        <v>2548</v>
      </c>
      <c r="AK455" t="s">
        <v>2547</v>
      </c>
      <c r="AL455">
        <v>36</v>
      </c>
      <c r="AM455" s="5">
        <f t="shared" si="66"/>
        <v>0.97297297297297303</v>
      </c>
      <c r="AN455" s="4">
        <f t="shared" si="63"/>
        <v>1.4736432759908716E-3</v>
      </c>
      <c r="AO455" s="3"/>
      <c r="AP455">
        <v>0</v>
      </c>
      <c r="AR455" t="s">
        <v>0</v>
      </c>
      <c r="AT455" s="2" t="s">
        <v>19</v>
      </c>
      <c r="AU455" s="1">
        <f t="shared" si="67"/>
        <v>2.1688188922574629</v>
      </c>
      <c r="AV455" s="1">
        <f t="shared" si="68"/>
        <v>1.5912604452122128</v>
      </c>
      <c r="AW455" s="1">
        <f t="shared" si="69"/>
        <v>1.0137019981669624</v>
      </c>
    </row>
    <row r="456" spans="1:49" x14ac:dyDescent="0.2">
      <c r="A456">
        <v>454</v>
      </c>
      <c r="B456" t="s">
        <v>2546</v>
      </c>
      <c r="C456" t="s">
        <v>2545</v>
      </c>
      <c r="F456" t="s">
        <v>2544</v>
      </c>
      <c r="G456" t="s">
        <v>15</v>
      </c>
      <c r="H456" t="s">
        <v>14</v>
      </c>
      <c r="I456" t="s">
        <v>2543</v>
      </c>
      <c r="J456">
        <v>60023345</v>
      </c>
      <c r="K456" t="s">
        <v>447</v>
      </c>
      <c r="L456" t="s">
        <v>446</v>
      </c>
      <c r="M456" t="s">
        <v>434</v>
      </c>
      <c r="N456">
        <v>2</v>
      </c>
      <c r="O456" t="s">
        <v>2542</v>
      </c>
      <c r="P456" t="s">
        <v>2541</v>
      </c>
      <c r="Q456" t="s">
        <v>443</v>
      </c>
      <c r="R456" s="7">
        <v>31048</v>
      </c>
      <c r="S456" s="8">
        <f t="shared" si="64"/>
        <v>1985</v>
      </c>
      <c r="T456" s="8">
        <v>1985</v>
      </c>
      <c r="U456" s="8">
        <f t="shared" si="65"/>
        <v>37</v>
      </c>
      <c r="V456" s="7" t="s">
        <v>2540</v>
      </c>
      <c r="W456" t="s">
        <v>429</v>
      </c>
      <c r="X456" s="2">
        <v>0.218</v>
      </c>
      <c r="Y456" s="6">
        <f t="shared" si="62"/>
        <v>5.8193854942473512E-3</v>
      </c>
      <c r="AA456">
        <v>3772063</v>
      </c>
      <c r="AB456">
        <v>130012</v>
      </c>
      <c r="AD456" t="s">
        <v>4</v>
      </c>
      <c r="AE456">
        <v>31</v>
      </c>
      <c r="AF456">
        <v>3</v>
      </c>
      <c r="AH456" t="s">
        <v>2539</v>
      </c>
      <c r="AI456" t="s">
        <v>2538</v>
      </c>
      <c r="AK456" t="s">
        <v>2537</v>
      </c>
      <c r="AL456">
        <v>1</v>
      </c>
      <c r="AM456" s="5">
        <f t="shared" si="66"/>
        <v>2.7027027027027029E-2</v>
      </c>
      <c r="AN456" s="4">
        <f t="shared" si="63"/>
        <v>4.0934535444190883E-5</v>
      </c>
      <c r="AO456" s="3"/>
      <c r="AP456">
        <v>0</v>
      </c>
      <c r="AR456" t="s">
        <v>0</v>
      </c>
      <c r="AT456" s="2">
        <v>2.3330000000000002</v>
      </c>
      <c r="AU456" s="1">
        <f t="shared" si="67"/>
        <v>0.40858502066064034</v>
      </c>
      <c r="AV456" s="1">
        <f t="shared" si="68"/>
        <v>0.29301600148457713</v>
      </c>
      <c r="AW456" s="1">
        <f t="shared" si="69"/>
        <v>0.17744698230851391</v>
      </c>
    </row>
    <row r="457" spans="1:49" x14ac:dyDescent="0.2">
      <c r="A457">
        <v>455</v>
      </c>
      <c r="B457" t="s">
        <v>2536</v>
      </c>
      <c r="C457" t="s">
        <v>2535</v>
      </c>
      <c r="D457" t="s">
        <v>2534</v>
      </c>
      <c r="F457" t="s">
        <v>2533</v>
      </c>
      <c r="G457" t="s">
        <v>15</v>
      </c>
      <c r="H457" t="s">
        <v>14</v>
      </c>
      <c r="I457" t="s">
        <v>2532</v>
      </c>
      <c r="J457" t="s">
        <v>2531</v>
      </c>
      <c r="K457" t="s">
        <v>2530</v>
      </c>
      <c r="L457" t="s">
        <v>2529</v>
      </c>
      <c r="M457" t="s">
        <v>148</v>
      </c>
      <c r="N457">
        <v>7</v>
      </c>
      <c r="O457" t="s">
        <v>2528</v>
      </c>
      <c r="P457" t="s">
        <v>2527</v>
      </c>
      <c r="Q457" t="s">
        <v>2526</v>
      </c>
      <c r="R457" s="7">
        <v>31048</v>
      </c>
      <c r="S457" s="8">
        <f t="shared" si="64"/>
        <v>1985</v>
      </c>
      <c r="T457" s="8">
        <v>1985</v>
      </c>
      <c r="U457" s="8">
        <f t="shared" si="65"/>
        <v>37</v>
      </c>
      <c r="V457" s="7">
        <v>31168</v>
      </c>
      <c r="W457" t="s">
        <v>603</v>
      </c>
      <c r="X457" s="2">
        <v>1.1339999999999999</v>
      </c>
      <c r="Y457" s="6">
        <f t="shared" si="62"/>
        <v>3.0271482341635299E-2</v>
      </c>
      <c r="AA457">
        <v>945765</v>
      </c>
      <c r="AB457">
        <v>12372</v>
      </c>
      <c r="AD457" t="s">
        <v>4</v>
      </c>
      <c r="AE457">
        <v>12</v>
      </c>
      <c r="AF457">
        <v>5</v>
      </c>
      <c r="AH457" t="s">
        <v>2525</v>
      </c>
      <c r="AI457" t="s">
        <v>2524</v>
      </c>
      <c r="AK457" t="s">
        <v>2523</v>
      </c>
      <c r="AL457">
        <v>4</v>
      </c>
      <c r="AM457" s="5">
        <f t="shared" si="66"/>
        <v>0.10810810810810811</v>
      </c>
      <c r="AN457" s="4">
        <f t="shared" si="63"/>
        <v>1.6373814177676353E-4</v>
      </c>
      <c r="AO457" s="3"/>
      <c r="AP457">
        <v>0</v>
      </c>
      <c r="AR457" t="s">
        <v>0</v>
      </c>
      <c r="AT457" s="2">
        <v>2.4129999999999998</v>
      </c>
      <c r="AU457" s="1">
        <f t="shared" si="67"/>
        <v>2.1239159081677736</v>
      </c>
      <c r="AV457" s="1">
        <f t="shared" si="68"/>
        <v>1.5217610241706032</v>
      </c>
      <c r="AW457" s="1">
        <f t="shared" si="69"/>
        <v>0.91960614017343234</v>
      </c>
    </row>
    <row r="458" spans="1:49" x14ac:dyDescent="0.2">
      <c r="A458">
        <v>456</v>
      </c>
      <c r="B458" t="s">
        <v>2522</v>
      </c>
      <c r="C458" t="s">
        <v>2521</v>
      </c>
      <c r="F458" t="s">
        <v>2520</v>
      </c>
      <c r="G458" t="s">
        <v>15</v>
      </c>
      <c r="H458" t="s">
        <v>14</v>
      </c>
      <c r="I458" t="s">
        <v>2519</v>
      </c>
      <c r="J458" t="s">
        <v>2518</v>
      </c>
      <c r="K458" t="s">
        <v>2517</v>
      </c>
      <c r="L458" t="s">
        <v>2516</v>
      </c>
      <c r="M458" t="s">
        <v>28</v>
      </c>
      <c r="N458">
        <v>3</v>
      </c>
      <c r="O458" t="s">
        <v>2515</v>
      </c>
      <c r="P458" t="s">
        <v>2514</v>
      </c>
      <c r="Q458" t="s">
        <v>2513</v>
      </c>
      <c r="R458" s="7">
        <v>31048</v>
      </c>
      <c r="S458" s="8">
        <f t="shared" si="64"/>
        <v>1985</v>
      </c>
      <c r="T458" s="8">
        <v>1985</v>
      </c>
      <c r="U458" s="8">
        <f t="shared" si="65"/>
        <v>37</v>
      </c>
      <c r="V458" s="7" t="s">
        <v>368</v>
      </c>
      <c r="W458" t="s">
        <v>842</v>
      </c>
      <c r="X458" s="2">
        <v>1.573</v>
      </c>
      <c r="Y458" s="6">
        <f t="shared" si="62"/>
        <v>4.1990336616748086E-2</v>
      </c>
      <c r="AA458">
        <v>7315090</v>
      </c>
      <c r="AB458">
        <v>29586</v>
      </c>
      <c r="AD458" t="s">
        <v>4</v>
      </c>
      <c r="AE458">
        <v>8</v>
      </c>
      <c r="AF458">
        <v>3</v>
      </c>
      <c r="AH458" t="s">
        <v>2512</v>
      </c>
      <c r="AI458" t="s">
        <v>2511</v>
      </c>
      <c r="AK458" t="s">
        <v>2510</v>
      </c>
      <c r="AL458">
        <v>6</v>
      </c>
      <c r="AM458" s="5">
        <f t="shared" si="66"/>
        <v>0.16216216216216217</v>
      </c>
      <c r="AN458" s="4">
        <f t="shared" si="63"/>
        <v>2.4560721266514527E-4</v>
      </c>
      <c r="AO458" s="3"/>
      <c r="AP458">
        <v>0</v>
      </c>
      <c r="AR458" t="s">
        <v>0</v>
      </c>
      <c r="AT458" s="2" t="s">
        <v>19</v>
      </c>
      <c r="AU458" s="1">
        <f t="shared" si="67"/>
        <v>2.94669177955232</v>
      </c>
      <c r="AV458" s="1">
        <f t="shared" si="68"/>
        <v>2.1117971914706617</v>
      </c>
      <c r="AW458" s="1">
        <f t="shared" si="69"/>
        <v>1.2769026033890027</v>
      </c>
    </row>
    <row r="459" spans="1:49" x14ac:dyDescent="0.2">
      <c r="A459">
        <v>457</v>
      </c>
      <c r="B459" t="s">
        <v>2509</v>
      </c>
      <c r="C459" t="s">
        <v>2508</v>
      </c>
      <c r="F459" t="s">
        <v>2507</v>
      </c>
      <c r="G459" t="s">
        <v>15</v>
      </c>
      <c r="H459" t="s">
        <v>14</v>
      </c>
      <c r="I459" t="s">
        <v>2506</v>
      </c>
      <c r="J459" t="s">
        <v>2505</v>
      </c>
      <c r="K459" t="s">
        <v>2504</v>
      </c>
      <c r="L459" t="s">
        <v>2503</v>
      </c>
      <c r="M459" t="s">
        <v>2502</v>
      </c>
      <c r="N459">
        <v>11</v>
      </c>
      <c r="O459" t="s">
        <v>2501</v>
      </c>
      <c r="P459" t="s">
        <v>2500</v>
      </c>
      <c r="Q459" t="s">
        <v>2499</v>
      </c>
      <c r="R459" s="7">
        <v>31048</v>
      </c>
      <c r="S459" s="8">
        <f t="shared" si="64"/>
        <v>1985</v>
      </c>
      <c r="T459" s="8">
        <v>1985</v>
      </c>
      <c r="U459" s="8">
        <f t="shared" si="65"/>
        <v>37</v>
      </c>
      <c r="V459" s="7">
        <v>31168</v>
      </c>
      <c r="W459" t="s">
        <v>660</v>
      </c>
      <c r="X459" s="2">
        <v>2.141</v>
      </c>
      <c r="Y459" s="6">
        <f t="shared" si="62"/>
        <v>5.7152772216438434E-2</v>
      </c>
      <c r="AA459">
        <v>1962892</v>
      </c>
      <c r="AB459">
        <v>17360</v>
      </c>
      <c r="AC459">
        <v>15580644</v>
      </c>
      <c r="AD459" t="s">
        <v>4</v>
      </c>
      <c r="AE459" t="s">
        <v>659</v>
      </c>
      <c r="AF459">
        <v>3</v>
      </c>
      <c r="AH459" t="s">
        <v>2498</v>
      </c>
      <c r="AI459" t="s">
        <v>2497</v>
      </c>
      <c r="AK459" t="s">
        <v>2496</v>
      </c>
      <c r="AL459">
        <v>16</v>
      </c>
      <c r="AM459" s="5">
        <f t="shared" si="66"/>
        <v>0.43243243243243246</v>
      </c>
      <c r="AN459" s="4">
        <f t="shared" si="63"/>
        <v>6.5495256710705412E-4</v>
      </c>
      <c r="AO459" s="3"/>
      <c r="AP459">
        <v>0</v>
      </c>
      <c r="AR459" t="s">
        <v>0</v>
      </c>
      <c r="AT459" s="2" t="s">
        <v>19</v>
      </c>
      <c r="AU459" s="1">
        <f t="shared" si="67"/>
        <v>4.0203426321639011</v>
      </c>
      <c r="AV459" s="1">
        <f t="shared" si="68"/>
        <v>2.8903862391772743</v>
      </c>
      <c r="AW459" s="1">
        <f t="shared" si="69"/>
        <v>1.7604298461906469</v>
      </c>
    </row>
    <row r="460" spans="1:49" x14ac:dyDescent="0.2">
      <c r="A460">
        <v>458</v>
      </c>
      <c r="B460" t="s">
        <v>2495</v>
      </c>
      <c r="C460" t="s">
        <v>2494</v>
      </c>
      <c r="F460" t="s">
        <v>2493</v>
      </c>
      <c r="G460" t="s">
        <v>15</v>
      </c>
      <c r="H460" t="s">
        <v>14</v>
      </c>
      <c r="I460" t="s">
        <v>2492</v>
      </c>
      <c r="J460">
        <v>60007843</v>
      </c>
      <c r="K460" t="s">
        <v>1862</v>
      </c>
      <c r="L460" t="s">
        <v>1861</v>
      </c>
      <c r="M460" t="s">
        <v>122</v>
      </c>
      <c r="N460">
        <v>1</v>
      </c>
      <c r="O460" t="s">
        <v>2491</v>
      </c>
      <c r="P460">
        <v>7801397870</v>
      </c>
      <c r="Q460">
        <v>60007843</v>
      </c>
      <c r="R460" s="7">
        <v>31048</v>
      </c>
      <c r="S460" s="8">
        <f t="shared" si="64"/>
        <v>1985</v>
      </c>
      <c r="T460" s="8">
        <v>1985</v>
      </c>
      <c r="U460" s="8">
        <f t="shared" si="65"/>
        <v>37</v>
      </c>
      <c r="V460" s="7">
        <v>31168</v>
      </c>
      <c r="W460" t="s">
        <v>24</v>
      </c>
      <c r="X460" s="2">
        <v>1.6519999999999999</v>
      </c>
      <c r="Y460" s="6">
        <f t="shared" si="62"/>
        <v>4.409919649769093E-2</v>
      </c>
      <c r="AA460" t="s">
        <v>23</v>
      </c>
      <c r="AB460">
        <v>17337</v>
      </c>
      <c r="AC460">
        <v>15582221</v>
      </c>
      <c r="AD460" t="s">
        <v>4</v>
      </c>
      <c r="AE460">
        <v>33</v>
      </c>
      <c r="AF460">
        <v>5</v>
      </c>
      <c r="AH460" t="s">
        <v>2490</v>
      </c>
      <c r="AI460" t="s">
        <v>2489</v>
      </c>
      <c r="AK460" t="s">
        <v>2488</v>
      </c>
      <c r="AL460">
        <v>0</v>
      </c>
      <c r="AM460" s="5">
        <f t="shared" si="66"/>
        <v>0</v>
      </c>
      <c r="AN460" s="4">
        <f t="shared" si="63"/>
        <v>0</v>
      </c>
      <c r="AO460" s="3"/>
      <c r="AP460">
        <v>0</v>
      </c>
      <c r="AR460" t="s">
        <v>0</v>
      </c>
      <c r="AT460" s="2" t="s">
        <v>19</v>
      </c>
      <c r="AU460" s="1">
        <f t="shared" si="67"/>
        <v>3.0869437548383649</v>
      </c>
      <c r="AV460" s="1">
        <f t="shared" si="68"/>
        <v>2.2049598248845466</v>
      </c>
      <c r="AW460" s="1">
        <f t="shared" si="69"/>
        <v>1.3229758949307278</v>
      </c>
    </row>
    <row r="461" spans="1:49" x14ac:dyDescent="0.2">
      <c r="A461">
        <v>459</v>
      </c>
      <c r="B461" t="s">
        <v>2487</v>
      </c>
      <c r="C461" t="s">
        <v>2486</v>
      </c>
      <c r="F461" t="s">
        <v>2485</v>
      </c>
      <c r="G461" t="s">
        <v>15</v>
      </c>
      <c r="H461" t="s">
        <v>14</v>
      </c>
      <c r="I461" t="s">
        <v>32</v>
      </c>
      <c r="J461">
        <v>60000745</v>
      </c>
      <c r="K461" t="s">
        <v>2144</v>
      </c>
      <c r="L461" t="s">
        <v>2143</v>
      </c>
      <c r="M461" t="s">
        <v>122</v>
      </c>
      <c r="N461">
        <v>1</v>
      </c>
      <c r="O461" t="s">
        <v>2484</v>
      </c>
      <c r="P461">
        <v>7202365940</v>
      </c>
      <c r="Q461">
        <v>60000745</v>
      </c>
      <c r="R461" s="7">
        <v>31048</v>
      </c>
      <c r="S461" s="8">
        <f t="shared" si="64"/>
        <v>1985</v>
      </c>
      <c r="T461" s="8">
        <v>1985</v>
      </c>
      <c r="U461" s="8">
        <f t="shared" si="65"/>
        <v>37</v>
      </c>
      <c r="V461" s="7">
        <v>31168</v>
      </c>
      <c r="W461" t="s">
        <v>24</v>
      </c>
      <c r="X461" s="2">
        <v>1.6519999999999999</v>
      </c>
      <c r="Y461" s="6">
        <f t="shared" si="62"/>
        <v>4.409919649769093E-2</v>
      </c>
      <c r="AA461" t="s">
        <v>23</v>
      </c>
      <c r="AB461">
        <v>17337</v>
      </c>
      <c r="AC461">
        <v>15582221</v>
      </c>
      <c r="AD461" t="s">
        <v>4</v>
      </c>
      <c r="AE461">
        <v>33</v>
      </c>
      <c r="AF461">
        <v>5</v>
      </c>
      <c r="AH461" t="s">
        <v>2483</v>
      </c>
      <c r="AI461" t="s">
        <v>2482</v>
      </c>
      <c r="AK461" t="s">
        <v>2481</v>
      </c>
      <c r="AL461">
        <v>4</v>
      </c>
      <c r="AM461" s="5">
        <f t="shared" si="66"/>
        <v>0.10810810810810811</v>
      </c>
      <c r="AN461" s="4">
        <f t="shared" si="63"/>
        <v>1.6373814177676353E-4</v>
      </c>
      <c r="AO461" s="3"/>
      <c r="AP461">
        <v>0</v>
      </c>
      <c r="AR461" t="s">
        <v>0</v>
      </c>
      <c r="AT461" s="2" t="s">
        <v>19</v>
      </c>
      <c r="AU461" s="1">
        <f t="shared" si="67"/>
        <v>3.091855899091668</v>
      </c>
      <c r="AV461" s="1">
        <f t="shared" si="68"/>
        <v>2.2131467319733846</v>
      </c>
      <c r="AW461" s="1">
        <f t="shared" si="69"/>
        <v>1.3344375648551012</v>
      </c>
    </row>
    <row r="462" spans="1:49" x14ac:dyDescent="0.2">
      <c r="A462">
        <v>460</v>
      </c>
      <c r="B462" t="s">
        <v>2480</v>
      </c>
      <c r="C462" t="s">
        <v>2479</v>
      </c>
      <c r="F462" t="s">
        <v>2478</v>
      </c>
      <c r="G462" t="s">
        <v>15</v>
      </c>
      <c r="H462" t="s">
        <v>14</v>
      </c>
      <c r="I462" t="s">
        <v>2477</v>
      </c>
      <c r="J462">
        <v>60001777</v>
      </c>
      <c r="K462" t="s">
        <v>2476</v>
      </c>
      <c r="L462" t="s">
        <v>2475</v>
      </c>
      <c r="M462" t="s">
        <v>122</v>
      </c>
      <c r="N462">
        <v>2</v>
      </c>
      <c r="O462" t="s">
        <v>2474</v>
      </c>
      <c r="P462" t="s">
        <v>2473</v>
      </c>
      <c r="Q462" t="s">
        <v>2472</v>
      </c>
      <c r="R462" s="7">
        <v>31048</v>
      </c>
      <c r="S462" s="8">
        <f t="shared" si="64"/>
        <v>1985</v>
      </c>
      <c r="T462" s="8">
        <v>1985</v>
      </c>
      <c r="U462" s="8">
        <f t="shared" si="65"/>
        <v>37</v>
      </c>
      <c r="V462" s="7">
        <v>31168</v>
      </c>
      <c r="W462" t="s">
        <v>24</v>
      </c>
      <c r="X462" s="2">
        <v>1.6519999999999999</v>
      </c>
      <c r="Y462" s="6">
        <f t="shared" si="62"/>
        <v>4.409919649769093E-2</v>
      </c>
      <c r="AA462" t="s">
        <v>23</v>
      </c>
      <c r="AB462">
        <v>17337</v>
      </c>
      <c r="AC462">
        <v>15582221</v>
      </c>
      <c r="AD462" t="s">
        <v>4</v>
      </c>
      <c r="AE462">
        <v>33</v>
      </c>
      <c r="AF462">
        <v>5</v>
      </c>
      <c r="AH462" t="s">
        <v>2471</v>
      </c>
      <c r="AI462" t="s">
        <v>2470</v>
      </c>
      <c r="AK462" t="s">
        <v>2469</v>
      </c>
      <c r="AL462">
        <v>11</v>
      </c>
      <c r="AM462" s="5">
        <f t="shared" si="66"/>
        <v>0.29729729729729731</v>
      </c>
      <c r="AN462" s="4">
        <f t="shared" si="63"/>
        <v>4.5027988988609969E-4</v>
      </c>
      <c r="AO462" s="3"/>
      <c r="AP462">
        <v>0</v>
      </c>
      <c r="AR462" t="s">
        <v>0</v>
      </c>
      <c r="AT462" s="2" t="s">
        <v>19</v>
      </c>
      <c r="AU462" s="1">
        <f t="shared" si="67"/>
        <v>3.1004521515349484</v>
      </c>
      <c r="AV462" s="1">
        <f t="shared" si="68"/>
        <v>2.2274738193788517</v>
      </c>
      <c r="AW462" s="1">
        <f t="shared" si="69"/>
        <v>1.3544954872227548</v>
      </c>
    </row>
    <row r="463" spans="1:49" x14ac:dyDescent="0.2">
      <c r="A463">
        <v>461</v>
      </c>
      <c r="B463" t="s">
        <v>2468</v>
      </c>
      <c r="C463" t="s">
        <v>2467</v>
      </c>
      <c r="F463" t="s">
        <v>2466</v>
      </c>
      <c r="G463" t="s">
        <v>15</v>
      </c>
      <c r="H463" t="s">
        <v>14</v>
      </c>
      <c r="I463" t="s">
        <v>2465</v>
      </c>
      <c r="N463">
        <v>4</v>
      </c>
      <c r="O463" t="s">
        <v>2464</v>
      </c>
      <c r="P463" t="s">
        <v>2463</v>
      </c>
      <c r="Q463" t="s">
        <v>489</v>
      </c>
      <c r="R463" s="7">
        <v>31048</v>
      </c>
      <c r="S463" s="8">
        <f t="shared" si="64"/>
        <v>1985</v>
      </c>
      <c r="T463" s="8">
        <v>1985</v>
      </c>
      <c r="U463" s="8">
        <f t="shared" si="65"/>
        <v>37</v>
      </c>
      <c r="V463" s="7">
        <v>31168</v>
      </c>
      <c r="W463" t="s">
        <v>2462</v>
      </c>
      <c r="X463" s="2">
        <v>0.14899999999999999</v>
      </c>
      <c r="Y463" s="6">
        <f t="shared" si="62"/>
        <v>3.977469902031446E-3</v>
      </c>
      <c r="AA463">
        <v>281425</v>
      </c>
      <c r="AB463">
        <v>21100416801</v>
      </c>
      <c r="AC463">
        <v>15593584</v>
      </c>
      <c r="AD463" t="s">
        <v>4</v>
      </c>
      <c r="AE463">
        <v>97</v>
      </c>
      <c r="AF463">
        <v>4</v>
      </c>
      <c r="AH463" t="s">
        <v>2461</v>
      </c>
      <c r="AI463" t="s">
        <v>2460</v>
      </c>
      <c r="AK463" t="s">
        <v>2459</v>
      </c>
      <c r="AL463">
        <v>1</v>
      </c>
      <c r="AM463" s="5">
        <f t="shared" si="66"/>
        <v>2.7027027027027029E-2</v>
      </c>
      <c r="AN463" s="4">
        <f t="shared" si="63"/>
        <v>4.0934535444190883E-5</v>
      </c>
      <c r="AO463" s="3"/>
      <c r="AP463">
        <v>0</v>
      </c>
      <c r="AR463" t="s">
        <v>0</v>
      </c>
      <c r="AT463" s="2">
        <v>0.24299999999999999</v>
      </c>
      <c r="AU463" s="1">
        <f t="shared" si="67"/>
        <v>0.27965092920552692</v>
      </c>
      <c r="AV463" s="1">
        <f t="shared" si="68"/>
        <v>0.20092022187378186</v>
      </c>
      <c r="AW463" s="1">
        <f t="shared" si="69"/>
        <v>0.12218951454203673</v>
      </c>
    </row>
    <row r="464" spans="1:49" x14ac:dyDescent="0.2">
      <c r="A464">
        <v>462</v>
      </c>
      <c r="B464" t="s">
        <v>2458</v>
      </c>
      <c r="C464" t="s">
        <v>2457</v>
      </c>
      <c r="F464" t="s">
        <v>2456</v>
      </c>
      <c r="G464" t="s">
        <v>15</v>
      </c>
      <c r="H464" t="s">
        <v>14</v>
      </c>
      <c r="I464" t="s">
        <v>2455</v>
      </c>
      <c r="N464">
        <v>2</v>
      </c>
      <c r="O464" t="s">
        <v>2454</v>
      </c>
      <c r="P464" t="s">
        <v>2453</v>
      </c>
      <c r="Q464" t="s">
        <v>895</v>
      </c>
      <c r="R464" s="7">
        <v>31048</v>
      </c>
      <c r="S464" s="8">
        <f t="shared" si="64"/>
        <v>1985</v>
      </c>
      <c r="T464" s="8">
        <v>1985</v>
      </c>
      <c r="U464" s="8">
        <f t="shared" si="65"/>
        <v>37</v>
      </c>
      <c r="V464" s="7" t="s">
        <v>368</v>
      </c>
      <c r="W464" t="s">
        <v>367</v>
      </c>
      <c r="X464" s="2">
        <v>0.371</v>
      </c>
      <c r="Y464" s="6">
        <f t="shared" si="62"/>
        <v>9.9036331117695747E-3</v>
      </c>
      <c r="AA464">
        <v>486604</v>
      </c>
      <c r="AB464">
        <v>28580</v>
      </c>
      <c r="AC464" t="s">
        <v>366</v>
      </c>
      <c r="AD464" t="s">
        <v>4</v>
      </c>
      <c r="AE464">
        <v>20</v>
      </c>
      <c r="AF464">
        <v>3</v>
      </c>
      <c r="AH464" t="s">
        <v>2452</v>
      </c>
      <c r="AI464" t="s">
        <v>2451</v>
      </c>
      <c r="AK464" t="s">
        <v>2450</v>
      </c>
      <c r="AL464">
        <v>2</v>
      </c>
      <c r="AM464" s="5">
        <f t="shared" si="66"/>
        <v>5.4054054054054057E-2</v>
      </c>
      <c r="AN464" s="4">
        <f t="shared" si="63"/>
        <v>8.1869070888381765E-5</v>
      </c>
      <c r="AO464" s="3"/>
      <c r="AP464">
        <v>0</v>
      </c>
      <c r="AR464" t="s">
        <v>0</v>
      </c>
      <c r="AT464" s="2">
        <v>1.431</v>
      </c>
      <c r="AU464" s="1">
        <f t="shared" si="67"/>
        <v>0.69571038995052159</v>
      </c>
      <c r="AV464" s="1">
        <f t="shared" si="68"/>
        <v>0.49927510913289785</v>
      </c>
      <c r="AW464" s="1">
        <f t="shared" si="69"/>
        <v>0.30283982831527401</v>
      </c>
    </row>
    <row r="465" spans="1:49" x14ac:dyDescent="0.2">
      <c r="A465">
        <v>463</v>
      </c>
      <c r="B465" t="s">
        <v>2449</v>
      </c>
      <c r="C465" t="s">
        <v>2448</v>
      </c>
      <c r="F465" t="s">
        <v>2447</v>
      </c>
      <c r="G465" t="s">
        <v>15</v>
      </c>
      <c r="H465" t="s">
        <v>14</v>
      </c>
      <c r="I465" t="s">
        <v>2446</v>
      </c>
      <c r="J465" t="s">
        <v>2445</v>
      </c>
      <c r="K465" t="s">
        <v>2444</v>
      </c>
      <c r="L465" t="s">
        <v>2443</v>
      </c>
      <c r="M465" t="s">
        <v>28</v>
      </c>
      <c r="N465">
        <v>1</v>
      </c>
      <c r="O465" t="s">
        <v>2442</v>
      </c>
      <c r="P465">
        <v>7007100365</v>
      </c>
      <c r="Q465" t="s">
        <v>2441</v>
      </c>
      <c r="R465" s="7">
        <v>31048</v>
      </c>
      <c r="S465" s="8">
        <f t="shared" si="64"/>
        <v>1985</v>
      </c>
      <c r="T465" s="8">
        <v>1985</v>
      </c>
      <c r="U465" s="8">
        <f t="shared" si="65"/>
        <v>37</v>
      </c>
      <c r="V465" s="7">
        <v>31168</v>
      </c>
      <c r="W465" t="s">
        <v>465</v>
      </c>
      <c r="X465" s="2">
        <v>0.75800000000000001</v>
      </c>
      <c r="Y465" s="6">
        <f t="shared" si="62"/>
        <v>2.0234377085502256E-2</v>
      </c>
      <c r="AA465">
        <v>224650</v>
      </c>
      <c r="AB465">
        <v>29589</v>
      </c>
      <c r="AD465" t="s">
        <v>4</v>
      </c>
      <c r="AE465">
        <v>22</v>
      </c>
      <c r="AF465">
        <v>3</v>
      </c>
      <c r="AH465" t="s">
        <v>2440</v>
      </c>
      <c r="AI465" t="s">
        <v>2439</v>
      </c>
      <c r="AK465" t="s">
        <v>2438</v>
      </c>
      <c r="AL465">
        <v>67</v>
      </c>
      <c r="AM465" s="5">
        <f t="shared" si="66"/>
        <v>1.8108108108108107</v>
      </c>
      <c r="AN465" s="4">
        <f t="shared" si="63"/>
        <v>2.7426138747607886E-3</v>
      </c>
      <c r="AO465" s="3"/>
      <c r="AP465">
        <v>0</v>
      </c>
      <c r="AR465" t="s">
        <v>2437</v>
      </c>
      <c r="AT465" s="2">
        <v>1.282</v>
      </c>
      <c r="AU465" s="1">
        <f t="shared" si="67"/>
        <v>1.4986848122279814</v>
      </c>
      <c r="AV465" s="1">
        <f t="shared" si="68"/>
        <v>1.1488495480131522</v>
      </c>
      <c r="AW465" s="1">
        <f t="shared" si="69"/>
        <v>0.79901428379832284</v>
      </c>
    </row>
    <row r="466" spans="1:49" x14ac:dyDescent="0.2">
      <c r="A466">
        <v>464</v>
      </c>
      <c r="B466" t="s">
        <v>2436</v>
      </c>
      <c r="C466" t="s">
        <v>2435</v>
      </c>
      <c r="F466" t="s">
        <v>2434</v>
      </c>
      <c r="G466" t="s">
        <v>15</v>
      </c>
      <c r="H466" t="s">
        <v>14</v>
      </c>
      <c r="I466" t="s">
        <v>2433</v>
      </c>
      <c r="J466">
        <v>115568942</v>
      </c>
      <c r="K466" t="s">
        <v>2432</v>
      </c>
      <c r="L466" t="s">
        <v>2431</v>
      </c>
      <c r="M466" t="s">
        <v>122</v>
      </c>
      <c r="N466">
        <v>2</v>
      </c>
      <c r="O466" t="s">
        <v>2430</v>
      </c>
      <c r="P466" t="s">
        <v>2429</v>
      </c>
      <c r="Q466" t="s">
        <v>2428</v>
      </c>
      <c r="R466" s="7">
        <v>31048</v>
      </c>
      <c r="S466" s="8">
        <f t="shared" si="64"/>
        <v>1985</v>
      </c>
      <c r="T466" s="8">
        <v>1985</v>
      </c>
      <c r="U466" s="8">
        <f t="shared" si="65"/>
        <v>37</v>
      </c>
      <c r="V466" s="7">
        <v>31168</v>
      </c>
      <c r="W466" t="s">
        <v>24</v>
      </c>
      <c r="X466" s="2">
        <v>1.6519999999999999</v>
      </c>
      <c r="Y466" s="6">
        <f t="shared" si="62"/>
        <v>4.409919649769093E-2</v>
      </c>
      <c r="AA466" t="s">
        <v>23</v>
      </c>
      <c r="AB466">
        <v>17337</v>
      </c>
      <c r="AC466">
        <v>15582221</v>
      </c>
      <c r="AD466" t="s">
        <v>4</v>
      </c>
      <c r="AE466">
        <v>33</v>
      </c>
      <c r="AF466">
        <v>5</v>
      </c>
      <c r="AH466" t="s">
        <v>2427</v>
      </c>
      <c r="AI466" t="s">
        <v>2426</v>
      </c>
      <c r="AK466" t="s">
        <v>2425</v>
      </c>
      <c r="AL466">
        <v>16</v>
      </c>
      <c r="AM466" s="5">
        <f t="shared" si="66"/>
        <v>0.43243243243243246</v>
      </c>
      <c r="AN466" s="4">
        <f t="shared" si="63"/>
        <v>6.5495256710705412E-4</v>
      </c>
      <c r="AO466" s="3"/>
      <c r="AP466">
        <v>0</v>
      </c>
      <c r="AR466" t="s">
        <v>0</v>
      </c>
      <c r="AT466" s="2" t="s">
        <v>19</v>
      </c>
      <c r="AU466" s="1">
        <f t="shared" si="67"/>
        <v>3.1065923318515769</v>
      </c>
      <c r="AV466" s="1">
        <f t="shared" si="68"/>
        <v>2.2377074532398993</v>
      </c>
      <c r="AW466" s="1">
        <f t="shared" si="69"/>
        <v>1.3688225746282217</v>
      </c>
    </row>
    <row r="467" spans="1:49" x14ac:dyDescent="0.2">
      <c r="A467">
        <v>465</v>
      </c>
      <c r="B467" t="s">
        <v>2424</v>
      </c>
      <c r="C467" t="s">
        <v>2423</v>
      </c>
      <c r="F467" t="s">
        <v>2422</v>
      </c>
      <c r="G467" t="s">
        <v>15</v>
      </c>
      <c r="H467" t="s">
        <v>14</v>
      </c>
      <c r="I467" t="s">
        <v>2421</v>
      </c>
      <c r="J467">
        <v>60025778</v>
      </c>
      <c r="K467" t="s">
        <v>2420</v>
      </c>
      <c r="L467" t="s">
        <v>2419</v>
      </c>
      <c r="M467" t="s">
        <v>122</v>
      </c>
      <c r="N467">
        <v>1</v>
      </c>
      <c r="O467" t="s">
        <v>2418</v>
      </c>
      <c r="P467">
        <v>7005010859</v>
      </c>
      <c r="Q467">
        <v>60025778</v>
      </c>
      <c r="R467" s="7">
        <v>31048</v>
      </c>
      <c r="S467" s="8">
        <f t="shared" si="64"/>
        <v>1985</v>
      </c>
      <c r="T467" s="8">
        <v>1985</v>
      </c>
      <c r="U467" s="8">
        <f t="shared" si="65"/>
        <v>37</v>
      </c>
      <c r="V467" s="7">
        <v>31168</v>
      </c>
      <c r="W467" t="s">
        <v>24</v>
      </c>
      <c r="X467" s="2">
        <v>1.6519999999999999</v>
      </c>
      <c r="Y467" s="6">
        <f t="shared" si="62"/>
        <v>4.409919649769093E-2</v>
      </c>
      <c r="AA467" t="s">
        <v>23</v>
      </c>
      <c r="AB467">
        <v>17337</v>
      </c>
      <c r="AC467">
        <v>15582221</v>
      </c>
      <c r="AD467" t="s">
        <v>4</v>
      </c>
      <c r="AE467">
        <v>33</v>
      </c>
      <c r="AF467">
        <v>5</v>
      </c>
      <c r="AH467" t="s">
        <v>2417</v>
      </c>
      <c r="AI467" t="s">
        <v>2416</v>
      </c>
      <c r="AK467" t="s">
        <v>2415</v>
      </c>
      <c r="AL467">
        <v>78</v>
      </c>
      <c r="AM467" s="5">
        <f t="shared" si="66"/>
        <v>2.1081081081081079</v>
      </c>
      <c r="AN467" s="4">
        <f t="shared" si="63"/>
        <v>3.1928937646468879E-3</v>
      </c>
      <c r="AO467" s="3"/>
      <c r="AP467">
        <v>0</v>
      </c>
      <c r="AR467" t="s">
        <v>0</v>
      </c>
      <c r="AT467" s="2" t="s">
        <v>19</v>
      </c>
      <c r="AU467" s="1">
        <f t="shared" si="67"/>
        <v>3.1827305677777717</v>
      </c>
      <c r="AV467" s="1">
        <f t="shared" si="68"/>
        <v>2.3646045131168911</v>
      </c>
      <c r="AW467" s="1">
        <f t="shared" si="69"/>
        <v>1.5464784584560101</v>
      </c>
    </row>
    <row r="468" spans="1:49" x14ac:dyDescent="0.2">
      <c r="A468">
        <v>466</v>
      </c>
      <c r="B468" t="s">
        <v>2414</v>
      </c>
      <c r="C468" t="s">
        <v>2413</v>
      </c>
      <c r="F468" t="s">
        <v>2412</v>
      </c>
      <c r="G468" t="s">
        <v>15</v>
      </c>
      <c r="H468" t="s">
        <v>14</v>
      </c>
      <c r="I468" t="s">
        <v>2411</v>
      </c>
      <c r="J468" t="s">
        <v>2410</v>
      </c>
      <c r="K468" t="s">
        <v>2409</v>
      </c>
      <c r="L468" t="s">
        <v>2408</v>
      </c>
      <c r="M468" t="s">
        <v>28</v>
      </c>
      <c r="N468">
        <v>3</v>
      </c>
      <c r="O468" t="s">
        <v>2407</v>
      </c>
      <c r="P468" t="s">
        <v>2406</v>
      </c>
      <c r="Q468" t="s">
        <v>2405</v>
      </c>
      <c r="R468" s="7">
        <v>31048</v>
      </c>
      <c r="S468" s="8">
        <f t="shared" si="64"/>
        <v>1985</v>
      </c>
      <c r="T468" s="8">
        <v>1985</v>
      </c>
      <c r="U468" s="8">
        <f t="shared" si="65"/>
        <v>37</v>
      </c>
      <c r="V468" s="7">
        <v>31168</v>
      </c>
      <c r="W468" t="s">
        <v>24</v>
      </c>
      <c r="X468" s="2">
        <v>1.6519999999999999</v>
      </c>
      <c r="Y468" s="6">
        <f t="shared" si="62"/>
        <v>4.409919649769093E-2</v>
      </c>
      <c r="AA468" t="s">
        <v>23</v>
      </c>
      <c r="AB468">
        <v>17337</v>
      </c>
      <c r="AC468">
        <v>15582221</v>
      </c>
      <c r="AD468" t="s">
        <v>4</v>
      </c>
      <c r="AE468">
        <v>33</v>
      </c>
      <c r="AF468">
        <v>5</v>
      </c>
      <c r="AH468" t="s">
        <v>2404</v>
      </c>
      <c r="AI468" t="s">
        <v>2403</v>
      </c>
      <c r="AK468" t="s">
        <v>2402</v>
      </c>
      <c r="AL468">
        <v>1</v>
      </c>
      <c r="AM468" s="5">
        <f t="shared" si="66"/>
        <v>2.7027027027027029E-2</v>
      </c>
      <c r="AN468" s="4">
        <f t="shared" si="63"/>
        <v>4.0934535444190883E-5</v>
      </c>
      <c r="AO468" s="3"/>
      <c r="AP468">
        <v>0</v>
      </c>
      <c r="AR468" t="s">
        <v>0</v>
      </c>
      <c r="AT468" s="2" t="s">
        <v>19</v>
      </c>
      <c r="AU468" s="1">
        <f t="shared" si="67"/>
        <v>3.0881717909016908</v>
      </c>
      <c r="AV468" s="1">
        <f t="shared" si="68"/>
        <v>2.2070065516567561</v>
      </c>
      <c r="AW468" s="1">
        <f t="shared" si="69"/>
        <v>1.3258413124118213</v>
      </c>
    </row>
    <row r="469" spans="1:49" x14ac:dyDescent="0.2">
      <c r="A469">
        <v>467</v>
      </c>
      <c r="B469" t="s">
        <v>2401</v>
      </c>
      <c r="C469" t="s">
        <v>2400</v>
      </c>
      <c r="F469" t="s">
        <v>2399</v>
      </c>
      <c r="G469" t="s">
        <v>15</v>
      </c>
      <c r="H469" t="s">
        <v>14</v>
      </c>
      <c r="I469" t="s">
        <v>2398</v>
      </c>
      <c r="J469">
        <v>60021378</v>
      </c>
      <c r="K469" t="s">
        <v>1566</v>
      </c>
      <c r="L469" t="s">
        <v>1565</v>
      </c>
      <c r="M469" t="s">
        <v>122</v>
      </c>
      <c r="N469">
        <v>1</v>
      </c>
      <c r="O469" t="s">
        <v>2397</v>
      </c>
      <c r="P469">
        <v>7004551248</v>
      </c>
      <c r="Q469">
        <v>60021378</v>
      </c>
      <c r="R469" s="7">
        <v>31048</v>
      </c>
      <c r="S469" s="8">
        <f t="shared" si="64"/>
        <v>1985</v>
      </c>
      <c r="T469" s="8">
        <v>1985</v>
      </c>
      <c r="U469" s="8">
        <f t="shared" si="65"/>
        <v>37</v>
      </c>
      <c r="V469" s="7">
        <v>31168</v>
      </c>
      <c r="W469" t="s">
        <v>24</v>
      </c>
      <c r="X469" s="2">
        <v>1.6519999999999999</v>
      </c>
      <c r="Y469" s="6">
        <f t="shared" si="62"/>
        <v>4.409919649769093E-2</v>
      </c>
      <c r="AA469" t="s">
        <v>23</v>
      </c>
      <c r="AB469">
        <v>17337</v>
      </c>
      <c r="AC469">
        <v>15582221</v>
      </c>
      <c r="AD469" t="s">
        <v>4</v>
      </c>
      <c r="AE469">
        <v>33</v>
      </c>
      <c r="AF469">
        <v>5</v>
      </c>
      <c r="AH469" t="s">
        <v>2396</v>
      </c>
      <c r="AI469" t="s">
        <v>2395</v>
      </c>
      <c r="AK469" t="s">
        <v>2394</v>
      </c>
      <c r="AL469">
        <v>2</v>
      </c>
      <c r="AM469" s="5">
        <f t="shared" si="66"/>
        <v>5.4054054054054057E-2</v>
      </c>
      <c r="AN469" s="4">
        <f t="shared" si="63"/>
        <v>8.1869070888381765E-5</v>
      </c>
      <c r="AO469" s="3"/>
      <c r="AP469">
        <v>0</v>
      </c>
      <c r="AR469" t="s">
        <v>0</v>
      </c>
      <c r="AT469" s="2" t="s">
        <v>19</v>
      </c>
      <c r="AU469" s="1">
        <f t="shared" si="67"/>
        <v>3.0893998269650167</v>
      </c>
      <c r="AV469" s="1">
        <f t="shared" si="68"/>
        <v>2.2090532784289656</v>
      </c>
      <c r="AW469" s="1">
        <f t="shared" si="69"/>
        <v>1.3287067298929145</v>
      </c>
    </row>
    <row r="470" spans="1:49" x14ac:dyDescent="0.2">
      <c r="A470">
        <v>468</v>
      </c>
      <c r="B470" t="s">
        <v>2393</v>
      </c>
      <c r="C470" t="s">
        <v>2392</v>
      </c>
      <c r="F470" t="s">
        <v>2391</v>
      </c>
      <c r="G470" t="s">
        <v>15</v>
      </c>
      <c r="H470" t="s">
        <v>14</v>
      </c>
      <c r="I470" t="s">
        <v>481</v>
      </c>
      <c r="J470">
        <v>60014313</v>
      </c>
      <c r="K470" t="s">
        <v>480</v>
      </c>
      <c r="L470" t="s">
        <v>479</v>
      </c>
      <c r="M470" t="s">
        <v>122</v>
      </c>
      <c r="N470">
        <v>1</v>
      </c>
      <c r="O470" t="s">
        <v>2390</v>
      </c>
      <c r="P470">
        <v>7006061921</v>
      </c>
      <c r="Q470">
        <v>60014313</v>
      </c>
      <c r="R470" s="7">
        <v>31048</v>
      </c>
      <c r="S470" s="8">
        <f t="shared" si="64"/>
        <v>1985</v>
      </c>
      <c r="T470" s="8">
        <v>1985</v>
      </c>
      <c r="U470" s="8">
        <f t="shared" si="65"/>
        <v>37</v>
      </c>
      <c r="V470" s="7">
        <v>31168</v>
      </c>
      <c r="W470" t="s">
        <v>24</v>
      </c>
      <c r="X470" s="2">
        <v>1.6519999999999999</v>
      </c>
      <c r="Y470" s="6">
        <f t="shared" si="62"/>
        <v>4.409919649769093E-2</v>
      </c>
      <c r="AA470" t="s">
        <v>23</v>
      </c>
      <c r="AB470">
        <v>17337</v>
      </c>
      <c r="AC470">
        <v>15582221</v>
      </c>
      <c r="AD470" t="s">
        <v>4</v>
      </c>
      <c r="AE470">
        <v>33</v>
      </c>
      <c r="AF470">
        <v>5</v>
      </c>
      <c r="AH470" t="s">
        <v>2389</v>
      </c>
      <c r="AI470" t="s">
        <v>2388</v>
      </c>
      <c r="AK470" t="s">
        <v>2387</v>
      </c>
      <c r="AL470">
        <v>27</v>
      </c>
      <c r="AM470" s="5">
        <f t="shared" si="66"/>
        <v>0.72972972972972971</v>
      </c>
      <c r="AN470" s="4">
        <f t="shared" si="63"/>
        <v>1.1052324569931537E-3</v>
      </c>
      <c r="AO470" s="3"/>
      <c r="AP470">
        <v>0</v>
      </c>
      <c r="AR470" t="s">
        <v>0</v>
      </c>
      <c r="AT470" s="2" t="s">
        <v>19</v>
      </c>
      <c r="AU470" s="1">
        <f t="shared" si="67"/>
        <v>3.1201007285481595</v>
      </c>
      <c r="AV470" s="1">
        <f t="shared" si="68"/>
        <v>2.2602214477342044</v>
      </c>
      <c r="AW470" s="1">
        <f t="shared" si="69"/>
        <v>1.4003421669202485</v>
      </c>
    </row>
    <row r="471" spans="1:49" x14ac:dyDescent="0.2">
      <c r="A471">
        <v>469</v>
      </c>
      <c r="B471" t="s">
        <v>2386</v>
      </c>
      <c r="C471" t="s">
        <v>2385</v>
      </c>
      <c r="F471" t="s">
        <v>2384</v>
      </c>
      <c r="G471" t="s">
        <v>15</v>
      </c>
      <c r="H471" t="s">
        <v>14</v>
      </c>
      <c r="I471" t="s">
        <v>2383</v>
      </c>
      <c r="J471">
        <v>60020484</v>
      </c>
      <c r="K471" t="s">
        <v>2382</v>
      </c>
      <c r="L471" t="s">
        <v>2381</v>
      </c>
      <c r="M471" t="s">
        <v>2380</v>
      </c>
      <c r="N471">
        <v>1</v>
      </c>
      <c r="O471" t="s">
        <v>2379</v>
      </c>
      <c r="P471">
        <v>7003884961</v>
      </c>
      <c r="Q471">
        <v>60020484</v>
      </c>
      <c r="R471" s="7">
        <v>31048</v>
      </c>
      <c r="S471" s="8">
        <f t="shared" si="64"/>
        <v>1985</v>
      </c>
      <c r="T471" s="8">
        <v>1985</v>
      </c>
      <c r="U471" s="8">
        <f t="shared" si="65"/>
        <v>37</v>
      </c>
      <c r="V471" s="7">
        <v>31168</v>
      </c>
      <c r="W471" t="s">
        <v>24</v>
      </c>
      <c r="X471" s="2">
        <v>1.6519999999999999</v>
      </c>
      <c r="Y471" s="6">
        <f t="shared" si="62"/>
        <v>4.409919649769093E-2</v>
      </c>
      <c r="AA471" t="s">
        <v>23</v>
      </c>
      <c r="AB471">
        <v>17337</v>
      </c>
      <c r="AC471">
        <v>15582221</v>
      </c>
      <c r="AD471" t="s">
        <v>4</v>
      </c>
      <c r="AE471">
        <v>33</v>
      </c>
      <c r="AF471">
        <v>5</v>
      </c>
      <c r="AH471" t="s">
        <v>2378</v>
      </c>
      <c r="AI471" t="s">
        <v>2377</v>
      </c>
      <c r="AK471" t="s">
        <v>2376</v>
      </c>
      <c r="AL471">
        <v>2</v>
      </c>
      <c r="AM471" s="5">
        <f t="shared" si="66"/>
        <v>5.4054054054054057E-2</v>
      </c>
      <c r="AN471" s="4">
        <f t="shared" si="63"/>
        <v>8.1869070888381765E-5</v>
      </c>
      <c r="AO471" s="3"/>
      <c r="AP471">
        <v>0</v>
      </c>
      <c r="AR471" t="s">
        <v>0</v>
      </c>
      <c r="AT471" s="2" t="s">
        <v>19</v>
      </c>
      <c r="AU471" s="1">
        <f t="shared" si="67"/>
        <v>3.0893998269650167</v>
      </c>
      <c r="AV471" s="1">
        <f t="shared" si="68"/>
        <v>2.2090532784289656</v>
      </c>
      <c r="AW471" s="1">
        <f t="shared" si="69"/>
        <v>1.3287067298929145</v>
      </c>
    </row>
    <row r="472" spans="1:49" x14ac:dyDescent="0.2">
      <c r="A472">
        <v>470</v>
      </c>
      <c r="B472" t="s">
        <v>2375</v>
      </c>
      <c r="C472" t="s">
        <v>2374</v>
      </c>
      <c r="F472" t="s">
        <v>2373</v>
      </c>
      <c r="G472" t="s">
        <v>15</v>
      </c>
      <c r="H472" t="s">
        <v>14</v>
      </c>
      <c r="I472" t="s">
        <v>2372</v>
      </c>
      <c r="J472">
        <v>60005681</v>
      </c>
      <c r="K472" t="s">
        <v>2371</v>
      </c>
      <c r="L472" t="s">
        <v>2370</v>
      </c>
      <c r="M472" t="s">
        <v>812</v>
      </c>
      <c r="N472">
        <v>2</v>
      </c>
      <c r="O472" t="s">
        <v>2369</v>
      </c>
      <c r="P472" t="s">
        <v>2368</v>
      </c>
      <c r="Q472" t="s">
        <v>2367</v>
      </c>
      <c r="R472" s="7">
        <v>31048</v>
      </c>
      <c r="S472" s="8">
        <f t="shared" si="64"/>
        <v>1985</v>
      </c>
      <c r="T472" s="8">
        <v>1985</v>
      </c>
      <c r="U472" s="8">
        <f t="shared" si="65"/>
        <v>37</v>
      </c>
      <c r="V472" s="7" t="s">
        <v>2263</v>
      </c>
      <c r="W472" t="s">
        <v>2193</v>
      </c>
      <c r="X472" s="2">
        <v>1.3720000000000001</v>
      </c>
      <c r="Y472" s="6">
        <f t="shared" si="62"/>
        <v>3.662475641333654E-2</v>
      </c>
      <c r="AA472">
        <v>189480</v>
      </c>
      <c r="AB472">
        <v>17366</v>
      </c>
      <c r="AD472" t="s">
        <v>4</v>
      </c>
      <c r="AE472" t="s">
        <v>2366</v>
      </c>
      <c r="AF472">
        <v>5</v>
      </c>
      <c r="AH472" t="s">
        <v>2365</v>
      </c>
      <c r="AI472" t="s">
        <v>2364</v>
      </c>
      <c r="AK472" t="s">
        <v>2363</v>
      </c>
      <c r="AL472">
        <v>8</v>
      </c>
      <c r="AM472" s="5">
        <f t="shared" si="66"/>
        <v>0.21621621621621623</v>
      </c>
      <c r="AN472" s="4">
        <f t="shared" si="63"/>
        <v>3.2747628355352706E-4</v>
      </c>
      <c r="AO472" s="3"/>
      <c r="AP472">
        <v>0</v>
      </c>
      <c r="AR472" t="s">
        <v>0</v>
      </c>
      <c r="AT472" s="2" t="s">
        <v>19</v>
      </c>
      <c r="AU472" s="1">
        <f t="shared" si="67"/>
        <v>2.5735572374401632</v>
      </c>
      <c r="AV472" s="1">
        <f t="shared" si="68"/>
        <v>1.8476116348445033</v>
      </c>
      <c r="AW472" s="1">
        <f t="shared" si="69"/>
        <v>1.1216660322488432</v>
      </c>
    </row>
    <row r="473" spans="1:49" x14ac:dyDescent="0.2">
      <c r="A473">
        <v>471</v>
      </c>
      <c r="B473" t="s">
        <v>2362</v>
      </c>
      <c r="C473" t="s">
        <v>2361</v>
      </c>
      <c r="F473" t="s">
        <v>2360</v>
      </c>
      <c r="G473" t="s">
        <v>15</v>
      </c>
      <c r="H473" t="s">
        <v>14</v>
      </c>
      <c r="I473" t="s">
        <v>2359</v>
      </c>
      <c r="J473">
        <v>60102562</v>
      </c>
      <c r="K473" t="s">
        <v>2358</v>
      </c>
      <c r="L473" t="s">
        <v>2357</v>
      </c>
      <c r="M473" t="s">
        <v>122</v>
      </c>
      <c r="N473">
        <v>2</v>
      </c>
      <c r="O473" t="s">
        <v>2356</v>
      </c>
      <c r="P473" t="s">
        <v>2355</v>
      </c>
      <c r="Q473" t="s">
        <v>2354</v>
      </c>
      <c r="R473" s="7">
        <v>31048</v>
      </c>
      <c r="S473" s="8">
        <f t="shared" si="64"/>
        <v>1985</v>
      </c>
      <c r="T473" s="8">
        <v>1985</v>
      </c>
      <c r="U473" s="8">
        <f t="shared" si="65"/>
        <v>37</v>
      </c>
      <c r="V473" s="7">
        <v>31168</v>
      </c>
      <c r="W473" t="s">
        <v>24</v>
      </c>
      <c r="X473" s="2">
        <v>1.6519999999999999</v>
      </c>
      <c r="Y473" s="6">
        <f t="shared" si="62"/>
        <v>4.409919649769093E-2</v>
      </c>
      <c r="AA473" t="s">
        <v>23</v>
      </c>
      <c r="AB473">
        <v>17337</v>
      </c>
      <c r="AC473">
        <v>15582221</v>
      </c>
      <c r="AD473" t="s">
        <v>4</v>
      </c>
      <c r="AE473">
        <v>33</v>
      </c>
      <c r="AF473">
        <v>5</v>
      </c>
      <c r="AH473" t="s">
        <v>2353</v>
      </c>
      <c r="AI473" t="s">
        <v>2352</v>
      </c>
      <c r="AK473" t="s">
        <v>2351</v>
      </c>
      <c r="AL473">
        <v>3</v>
      </c>
      <c r="AM473" s="5">
        <f t="shared" si="66"/>
        <v>8.1081081081081086E-2</v>
      </c>
      <c r="AN473" s="4">
        <f t="shared" si="63"/>
        <v>1.2280360633257263E-4</v>
      </c>
      <c r="AO473" s="3"/>
      <c r="AP473">
        <v>0</v>
      </c>
      <c r="AR473" t="s">
        <v>0</v>
      </c>
      <c r="AT473" s="2" t="s">
        <v>19</v>
      </c>
      <c r="AU473" s="1">
        <f t="shared" si="67"/>
        <v>3.0906278630283421</v>
      </c>
      <c r="AV473" s="1">
        <f t="shared" si="68"/>
        <v>2.2111000052011751</v>
      </c>
      <c r="AW473" s="1">
        <f t="shared" si="69"/>
        <v>1.3315721473740079</v>
      </c>
    </row>
    <row r="474" spans="1:49" x14ac:dyDescent="0.2">
      <c r="A474">
        <v>472</v>
      </c>
      <c r="B474" t="s">
        <v>2350</v>
      </c>
      <c r="C474" t="s">
        <v>2349</v>
      </c>
      <c r="F474" t="s">
        <v>2348</v>
      </c>
      <c r="G474" t="s">
        <v>15</v>
      </c>
      <c r="H474" t="s">
        <v>14</v>
      </c>
      <c r="I474" t="s">
        <v>2347</v>
      </c>
      <c r="J474">
        <v>60025272</v>
      </c>
      <c r="K474" t="s">
        <v>2124</v>
      </c>
      <c r="L474" t="s">
        <v>594</v>
      </c>
      <c r="M474" t="s">
        <v>544</v>
      </c>
      <c r="N474">
        <v>4</v>
      </c>
      <c r="O474" t="s">
        <v>2346</v>
      </c>
      <c r="P474" t="s">
        <v>2345</v>
      </c>
      <c r="Q474" t="s">
        <v>2344</v>
      </c>
      <c r="R474" s="7">
        <v>31048</v>
      </c>
      <c r="S474" s="8">
        <f t="shared" si="64"/>
        <v>1985</v>
      </c>
      <c r="T474" s="8">
        <v>1985</v>
      </c>
      <c r="U474" s="8">
        <f t="shared" si="65"/>
        <v>37</v>
      </c>
      <c r="V474" s="7">
        <v>1985</v>
      </c>
      <c r="W474" t="s">
        <v>2120</v>
      </c>
      <c r="X474" s="2">
        <v>0.76</v>
      </c>
      <c r="Y474" s="6">
        <f t="shared" si="62"/>
        <v>2.0287765943247646E-2</v>
      </c>
      <c r="AA474">
        <v>319015</v>
      </c>
      <c r="AB474">
        <v>29173</v>
      </c>
      <c r="AC474">
        <v>13474073</v>
      </c>
      <c r="AD474" t="s">
        <v>4</v>
      </c>
      <c r="AE474">
        <v>54</v>
      </c>
      <c r="AF474">
        <v>5</v>
      </c>
      <c r="AH474" t="s">
        <v>2343</v>
      </c>
      <c r="AI474" t="s">
        <v>2342</v>
      </c>
      <c r="AK474" t="s">
        <v>2341</v>
      </c>
      <c r="AL474">
        <v>2</v>
      </c>
      <c r="AM474" s="5">
        <f t="shared" si="66"/>
        <v>5.4054054054054057E-2</v>
      </c>
      <c r="AN474" s="4">
        <f t="shared" si="63"/>
        <v>8.1869070888381765E-5</v>
      </c>
      <c r="AO474" s="3"/>
      <c r="AP474">
        <v>0</v>
      </c>
      <c r="AR474" t="s">
        <v>0</v>
      </c>
      <c r="AT474" s="2" t="s">
        <v>19</v>
      </c>
      <c r="AU474" s="1">
        <f t="shared" si="67"/>
        <v>1.4225996881539866</v>
      </c>
      <c r="AV474" s="1">
        <f t="shared" si="68"/>
        <v>1.0184817507068014</v>
      </c>
      <c r="AW474" s="1">
        <f t="shared" si="69"/>
        <v>0.61436381325961609</v>
      </c>
    </row>
    <row r="475" spans="1:49" x14ac:dyDescent="0.2">
      <c r="A475">
        <v>473</v>
      </c>
      <c r="B475" t="s">
        <v>2340</v>
      </c>
      <c r="C475" t="s">
        <v>2339</v>
      </c>
      <c r="D475">
        <v>11227585902012</v>
      </c>
      <c r="F475" t="s">
        <v>2338</v>
      </c>
      <c r="G475" t="s">
        <v>15</v>
      </c>
      <c r="H475" t="s">
        <v>14</v>
      </c>
      <c r="I475" t="s">
        <v>2337</v>
      </c>
      <c r="J475" t="s">
        <v>2336</v>
      </c>
      <c r="K475" t="s">
        <v>2335</v>
      </c>
      <c r="L475" t="s">
        <v>2334</v>
      </c>
      <c r="M475" t="s">
        <v>2333</v>
      </c>
      <c r="N475">
        <v>5</v>
      </c>
      <c r="O475" t="s">
        <v>2332</v>
      </c>
      <c r="P475" t="s">
        <v>2331</v>
      </c>
      <c r="Q475" t="s">
        <v>2330</v>
      </c>
      <c r="R475" s="7">
        <v>31048</v>
      </c>
      <c r="S475" s="8">
        <f t="shared" si="64"/>
        <v>1985</v>
      </c>
      <c r="T475" s="8">
        <v>1985</v>
      </c>
      <c r="U475" s="8">
        <f t="shared" si="65"/>
        <v>37</v>
      </c>
      <c r="V475" s="7">
        <v>31168</v>
      </c>
      <c r="W475" t="s">
        <v>2329</v>
      </c>
      <c r="X475" s="2">
        <v>0.66900000000000004</v>
      </c>
      <c r="Y475" s="6">
        <f t="shared" si="62"/>
        <v>1.7858572915832469E-2</v>
      </c>
      <c r="AA475">
        <v>112275</v>
      </c>
      <c r="AB475">
        <v>13713</v>
      </c>
      <c r="AD475" t="s">
        <v>4</v>
      </c>
      <c r="AE475">
        <v>25</v>
      </c>
      <c r="AF475">
        <v>5</v>
      </c>
      <c r="AH475" t="s">
        <v>2328</v>
      </c>
      <c r="AI475" t="s">
        <v>2327</v>
      </c>
      <c r="AJ475" t="s">
        <v>2326</v>
      </c>
      <c r="AK475" t="s">
        <v>2325</v>
      </c>
      <c r="AL475">
        <v>10</v>
      </c>
      <c r="AM475" s="5">
        <f t="shared" si="66"/>
        <v>0.27027027027027029</v>
      </c>
      <c r="AN475" s="4">
        <f t="shared" si="63"/>
        <v>4.093453544419088E-4</v>
      </c>
      <c r="AO475" s="3"/>
      <c r="AP475">
        <v>0</v>
      </c>
      <c r="AR475" t="s">
        <v>0</v>
      </c>
      <c r="AT475" s="2">
        <v>2.226</v>
      </c>
      <c r="AU475" s="1">
        <f t="shared" si="67"/>
        <v>1.26238046474153</v>
      </c>
      <c r="AV475" s="1">
        <f t="shared" si="68"/>
        <v>0.91339591351371885</v>
      </c>
      <c r="AW475" s="1">
        <f t="shared" si="69"/>
        <v>0.56441136228590771</v>
      </c>
    </row>
    <row r="476" spans="1:49" x14ac:dyDescent="0.2">
      <c r="A476">
        <v>474</v>
      </c>
      <c r="B476" t="s">
        <v>2324</v>
      </c>
      <c r="C476" t="s">
        <v>2323</v>
      </c>
      <c r="F476" t="s">
        <v>2322</v>
      </c>
      <c r="G476" t="s">
        <v>15</v>
      </c>
      <c r="H476" t="s">
        <v>14</v>
      </c>
      <c r="I476" t="s">
        <v>2321</v>
      </c>
      <c r="J476">
        <v>60011226</v>
      </c>
      <c r="K476" t="s">
        <v>2320</v>
      </c>
      <c r="L476" t="s">
        <v>2319</v>
      </c>
      <c r="M476" t="s">
        <v>91</v>
      </c>
      <c r="N476">
        <v>1</v>
      </c>
      <c r="O476" t="s">
        <v>2318</v>
      </c>
      <c r="P476">
        <v>56782571500</v>
      </c>
      <c r="Q476">
        <v>60011226</v>
      </c>
      <c r="R476" s="7">
        <v>31048</v>
      </c>
      <c r="S476" s="8">
        <f t="shared" si="64"/>
        <v>1985</v>
      </c>
      <c r="T476" s="8">
        <v>1985</v>
      </c>
      <c r="U476" s="8">
        <f t="shared" si="65"/>
        <v>37</v>
      </c>
      <c r="V476" s="7">
        <v>31168</v>
      </c>
      <c r="W476" t="s">
        <v>24</v>
      </c>
      <c r="X476" s="2">
        <v>1.6519999999999999</v>
      </c>
      <c r="Y476" s="6">
        <f t="shared" si="62"/>
        <v>4.409919649769093E-2</v>
      </c>
      <c r="AA476" t="s">
        <v>23</v>
      </c>
      <c r="AB476">
        <v>17337</v>
      </c>
      <c r="AC476">
        <v>15582221</v>
      </c>
      <c r="AD476" t="s">
        <v>4</v>
      </c>
      <c r="AE476">
        <v>33</v>
      </c>
      <c r="AF476">
        <v>5</v>
      </c>
      <c r="AH476" t="s">
        <v>2317</v>
      </c>
      <c r="AI476" t="s">
        <v>2316</v>
      </c>
      <c r="AK476" t="s">
        <v>2315</v>
      </c>
      <c r="AL476">
        <v>2</v>
      </c>
      <c r="AM476" s="5">
        <f t="shared" si="66"/>
        <v>5.4054054054054057E-2</v>
      </c>
      <c r="AN476" s="4">
        <f t="shared" si="63"/>
        <v>8.1869070888381765E-5</v>
      </c>
      <c r="AO476" s="3"/>
      <c r="AP476">
        <v>0</v>
      </c>
      <c r="AR476" t="s">
        <v>0</v>
      </c>
      <c r="AT476" s="2" t="s">
        <v>19</v>
      </c>
      <c r="AU476" s="1">
        <f t="shared" si="67"/>
        <v>3.0893998269650167</v>
      </c>
      <c r="AV476" s="1">
        <f t="shared" si="68"/>
        <v>2.2090532784289656</v>
      </c>
      <c r="AW476" s="1">
        <f t="shared" si="69"/>
        <v>1.3287067298929145</v>
      </c>
    </row>
    <row r="477" spans="1:49" x14ac:dyDescent="0.2">
      <c r="A477">
        <v>475</v>
      </c>
      <c r="B477" t="s">
        <v>2314</v>
      </c>
      <c r="C477" t="s">
        <v>2313</v>
      </c>
      <c r="F477" t="s">
        <v>2312</v>
      </c>
      <c r="G477" t="s">
        <v>15</v>
      </c>
      <c r="H477" t="s">
        <v>14</v>
      </c>
      <c r="I477" t="s">
        <v>2311</v>
      </c>
      <c r="J477">
        <v>60005837</v>
      </c>
      <c r="K477" t="s">
        <v>2310</v>
      </c>
      <c r="L477" t="s">
        <v>642</v>
      </c>
      <c r="M477" t="s">
        <v>122</v>
      </c>
      <c r="N477">
        <v>3</v>
      </c>
      <c r="O477" t="s">
        <v>2309</v>
      </c>
      <c r="P477" t="s">
        <v>2308</v>
      </c>
      <c r="Q477" t="s">
        <v>2307</v>
      </c>
      <c r="R477" s="7">
        <v>31048</v>
      </c>
      <c r="S477" s="8">
        <f t="shared" si="64"/>
        <v>1985</v>
      </c>
      <c r="T477" s="8">
        <v>1985</v>
      </c>
      <c r="U477" s="8">
        <f t="shared" si="65"/>
        <v>37</v>
      </c>
      <c r="V477" s="7">
        <v>31168</v>
      </c>
      <c r="W477" t="s">
        <v>24</v>
      </c>
      <c r="X477" s="2">
        <v>1.6519999999999999</v>
      </c>
      <c r="Y477" s="6">
        <f t="shared" si="62"/>
        <v>4.409919649769093E-2</v>
      </c>
      <c r="AA477" t="s">
        <v>23</v>
      </c>
      <c r="AB477">
        <v>17337</v>
      </c>
      <c r="AC477">
        <v>15582221</v>
      </c>
      <c r="AD477" t="s">
        <v>4</v>
      </c>
      <c r="AE477">
        <v>33</v>
      </c>
      <c r="AF477">
        <v>5</v>
      </c>
      <c r="AH477" t="s">
        <v>2306</v>
      </c>
      <c r="AI477" t="s">
        <v>2305</v>
      </c>
      <c r="AK477" t="s">
        <v>2304</v>
      </c>
      <c r="AL477">
        <v>114</v>
      </c>
      <c r="AM477" s="5">
        <f t="shared" si="66"/>
        <v>3.0810810810810811</v>
      </c>
      <c r="AN477" s="4">
        <f t="shared" si="63"/>
        <v>4.6665370406377598E-3</v>
      </c>
      <c r="AO477" s="3"/>
      <c r="AP477">
        <v>0</v>
      </c>
      <c r="AR477" t="s">
        <v>0</v>
      </c>
      <c r="AT477" s="2" t="s">
        <v>19</v>
      </c>
      <c r="AU477" s="1">
        <f t="shared" si="67"/>
        <v>3.2269398660574979</v>
      </c>
      <c r="AV477" s="1">
        <f t="shared" si="68"/>
        <v>2.4382866769164346</v>
      </c>
      <c r="AW477" s="1">
        <f t="shared" si="69"/>
        <v>1.6496334877753711</v>
      </c>
    </row>
    <row r="478" spans="1:49" x14ac:dyDescent="0.2">
      <c r="A478">
        <v>476</v>
      </c>
      <c r="B478" t="s">
        <v>2303</v>
      </c>
      <c r="C478" t="s">
        <v>2302</v>
      </c>
      <c r="F478" t="s">
        <v>2301</v>
      </c>
      <c r="G478" t="s">
        <v>15</v>
      </c>
      <c r="H478" t="s">
        <v>14</v>
      </c>
      <c r="I478" t="s">
        <v>2300</v>
      </c>
      <c r="J478">
        <v>60001247</v>
      </c>
      <c r="K478" t="s">
        <v>675</v>
      </c>
      <c r="M478" t="s">
        <v>122</v>
      </c>
      <c r="N478">
        <v>1</v>
      </c>
      <c r="O478" t="s">
        <v>2299</v>
      </c>
      <c r="P478">
        <v>7102186231</v>
      </c>
      <c r="Q478">
        <v>60001247</v>
      </c>
      <c r="R478" s="7">
        <v>31048</v>
      </c>
      <c r="S478" s="8">
        <f t="shared" si="64"/>
        <v>1985</v>
      </c>
      <c r="T478" s="8">
        <v>1985</v>
      </c>
      <c r="U478" s="8">
        <f t="shared" si="65"/>
        <v>37</v>
      </c>
      <c r="V478" s="7">
        <v>31168</v>
      </c>
      <c r="W478" t="s">
        <v>24</v>
      </c>
      <c r="X478" s="2">
        <v>1.6519999999999999</v>
      </c>
      <c r="Y478" s="6">
        <f t="shared" si="62"/>
        <v>4.409919649769093E-2</v>
      </c>
      <c r="AA478" t="s">
        <v>23</v>
      </c>
      <c r="AB478">
        <v>17337</v>
      </c>
      <c r="AC478">
        <v>15582221</v>
      </c>
      <c r="AD478" t="s">
        <v>4</v>
      </c>
      <c r="AE478">
        <v>33</v>
      </c>
      <c r="AF478">
        <v>5</v>
      </c>
      <c r="AH478" t="s">
        <v>2298</v>
      </c>
      <c r="AI478" t="s">
        <v>2297</v>
      </c>
      <c r="AK478" t="s">
        <v>2296</v>
      </c>
      <c r="AL478">
        <v>9</v>
      </c>
      <c r="AM478" s="5">
        <f t="shared" si="66"/>
        <v>0.24324324324324326</v>
      </c>
      <c r="AN478" s="4">
        <f t="shared" si="63"/>
        <v>3.684108189977179E-4</v>
      </c>
      <c r="AO478" s="3"/>
      <c r="AP478">
        <v>0</v>
      </c>
      <c r="AR478" t="s">
        <v>0</v>
      </c>
      <c r="AT478" s="2" t="s">
        <v>19</v>
      </c>
      <c r="AU478" s="1">
        <f t="shared" si="67"/>
        <v>3.0979960794082966</v>
      </c>
      <c r="AV478" s="1">
        <f t="shared" si="68"/>
        <v>2.2233803658344322</v>
      </c>
      <c r="AW478" s="1">
        <f t="shared" si="69"/>
        <v>1.3487646522605681</v>
      </c>
    </row>
    <row r="479" spans="1:49" x14ac:dyDescent="0.2">
      <c r="A479">
        <v>477</v>
      </c>
      <c r="B479" t="s">
        <v>2295</v>
      </c>
      <c r="C479" t="s">
        <v>2294</v>
      </c>
      <c r="F479" t="s">
        <v>2293</v>
      </c>
      <c r="G479" t="s">
        <v>15</v>
      </c>
      <c r="H479" t="s">
        <v>14</v>
      </c>
      <c r="I479" t="s">
        <v>2292</v>
      </c>
      <c r="J479" t="s">
        <v>2291</v>
      </c>
      <c r="K479" t="s">
        <v>2290</v>
      </c>
      <c r="L479" t="s">
        <v>2289</v>
      </c>
      <c r="M479" t="s">
        <v>28</v>
      </c>
      <c r="N479">
        <v>3</v>
      </c>
      <c r="O479" t="s">
        <v>2288</v>
      </c>
      <c r="P479" t="s">
        <v>2287</v>
      </c>
      <c r="Q479" t="s">
        <v>2286</v>
      </c>
      <c r="R479" s="7">
        <v>31048</v>
      </c>
      <c r="S479" s="8">
        <f t="shared" si="64"/>
        <v>1985</v>
      </c>
      <c r="T479" s="8">
        <v>1985</v>
      </c>
      <c r="U479" s="8">
        <f t="shared" si="65"/>
        <v>37</v>
      </c>
      <c r="V479" s="7">
        <v>31168</v>
      </c>
      <c r="W479" t="s">
        <v>1632</v>
      </c>
      <c r="X479" s="2">
        <v>1.365</v>
      </c>
      <c r="Y479" s="6">
        <f t="shared" si="62"/>
        <v>3.6437895411227675E-2</v>
      </c>
      <c r="AA479">
        <v>189545</v>
      </c>
      <c r="AB479">
        <v>17393</v>
      </c>
      <c r="AC479">
        <v>19399359</v>
      </c>
      <c r="AD479" t="s">
        <v>4</v>
      </c>
      <c r="AE479">
        <v>34</v>
      </c>
      <c r="AF479">
        <v>2</v>
      </c>
      <c r="AH479" t="s">
        <v>2285</v>
      </c>
      <c r="AI479" t="s">
        <v>2284</v>
      </c>
      <c r="AK479" t="s">
        <v>2283</v>
      </c>
      <c r="AL479">
        <v>14</v>
      </c>
      <c r="AM479" s="5">
        <f t="shared" si="66"/>
        <v>0.3783783783783784</v>
      </c>
      <c r="AN479" s="4">
        <f t="shared" si="63"/>
        <v>5.7308349621867233E-4</v>
      </c>
      <c r="AO479" s="3"/>
      <c r="AP479">
        <v>0</v>
      </c>
      <c r="AR479" t="s">
        <v>0</v>
      </c>
      <c r="AT479" s="2" t="s">
        <v>19</v>
      </c>
      <c r="AU479" s="1">
        <f t="shared" si="67"/>
        <v>2.5678451836724974</v>
      </c>
      <c r="AV479" s="1">
        <f t="shared" si="68"/>
        <v>1.8505489453723174</v>
      </c>
      <c r="AW479" s="1">
        <f t="shared" si="69"/>
        <v>1.1332527070721372</v>
      </c>
    </row>
    <row r="480" spans="1:49" x14ac:dyDescent="0.2">
      <c r="A480">
        <v>478</v>
      </c>
      <c r="B480" t="s">
        <v>2282</v>
      </c>
      <c r="C480" t="s">
        <v>2281</v>
      </c>
      <c r="F480" t="s">
        <v>2280</v>
      </c>
      <c r="G480" t="s">
        <v>15</v>
      </c>
      <c r="H480" t="s">
        <v>14</v>
      </c>
      <c r="I480" t="s">
        <v>2279</v>
      </c>
      <c r="J480">
        <v>60025488</v>
      </c>
      <c r="K480" t="s">
        <v>2278</v>
      </c>
      <c r="L480" t="s">
        <v>2277</v>
      </c>
      <c r="M480" t="s">
        <v>122</v>
      </c>
      <c r="N480">
        <v>3</v>
      </c>
      <c r="O480" t="s">
        <v>2276</v>
      </c>
      <c r="P480" t="s">
        <v>2275</v>
      </c>
      <c r="Q480" t="s">
        <v>2274</v>
      </c>
      <c r="R480" s="7">
        <v>31048</v>
      </c>
      <c r="S480" s="8">
        <f t="shared" si="64"/>
        <v>1985</v>
      </c>
      <c r="T480" s="8">
        <v>1985</v>
      </c>
      <c r="U480" s="8">
        <f t="shared" si="65"/>
        <v>37</v>
      </c>
      <c r="V480" s="7">
        <v>31168</v>
      </c>
      <c r="W480" t="s">
        <v>1632</v>
      </c>
      <c r="X480" s="2">
        <v>1.365</v>
      </c>
      <c r="Y480" s="6">
        <f t="shared" si="62"/>
        <v>3.6437895411227675E-2</v>
      </c>
      <c r="AA480">
        <v>189545</v>
      </c>
      <c r="AB480">
        <v>17393</v>
      </c>
      <c r="AC480">
        <v>19399359</v>
      </c>
      <c r="AD480" t="s">
        <v>4</v>
      </c>
      <c r="AE480">
        <v>34</v>
      </c>
      <c r="AF480">
        <v>2</v>
      </c>
      <c r="AH480" t="s">
        <v>2273</v>
      </c>
      <c r="AI480" t="s">
        <v>2272</v>
      </c>
      <c r="AK480" t="s">
        <v>2271</v>
      </c>
      <c r="AL480">
        <v>24</v>
      </c>
      <c r="AM480" s="5">
        <f t="shared" si="66"/>
        <v>0.64864864864864868</v>
      </c>
      <c r="AN480" s="4">
        <f t="shared" si="63"/>
        <v>9.8242885066058107E-4</v>
      </c>
      <c r="AO480" s="3"/>
      <c r="AP480">
        <v>0</v>
      </c>
      <c r="AR480" t="s">
        <v>0</v>
      </c>
      <c r="AT480" s="2" t="s">
        <v>19</v>
      </c>
      <c r="AU480" s="1">
        <f t="shared" si="67"/>
        <v>2.5801255443057545</v>
      </c>
      <c r="AV480" s="1">
        <f t="shared" si="68"/>
        <v>1.871016213094413</v>
      </c>
      <c r="AW480" s="1">
        <f t="shared" si="69"/>
        <v>1.1619068818830707</v>
      </c>
    </row>
    <row r="481" spans="1:49" x14ac:dyDescent="0.2">
      <c r="A481">
        <v>479</v>
      </c>
      <c r="B481" t="s">
        <v>2270</v>
      </c>
      <c r="C481" t="s">
        <v>2269</v>
      </c>
      <c r="F481" t="s">
        <v>2268</v>
      </c>
      <c r="G481" t="s">
        <v>15</v>
      </c>
      <c r="H481" t="s">
        <v>14</v>
      </c>
      <c r="I481" t="s">
        <v>2267</v>
      </c>
      <c r="J481">
        <v>60023345</v>
      </c>
      <c r="K481" t="s">
        <v>447</v>
      </c>
      <c r="L481" t="s">
        <v>446</v>
      </c>
      <c r="M481" t="s">
        <v>434</v>
      </c>
      <c r="N481">
        <v>4</v>
      </c>
      <c r="O481" t="s">
        <v>2266</v>
      </c>
      <c r="P481" t="s">
        <v>2265</v>
      </c>
      <c r="Q481" t="s">
        <v>2264</v>
      </c>
      <c r="R481" s="7">
        <v>31048</v>
      </c>
      <c r="S481" s="8">
        <f t="shared" si="64"/>
        <v>1985</v>
      </c>
      <c r="T481" s="8">
        <v>1985</v>
      </c>
      <c r="U481" s="8">
        <f t="shared" si="65"/>
        <v>37</v>
      </c>
      <c r="V481" s="7" t="s">
        <v>2263</v>
      </c>
      <c r="W481" t="s">
        <v>2262</v>
      </c>
      <c r="X481" s="2" t="s">
        <v>19</v>
      </c>
      <c r="Y481" s="6" t="e">
        <f t="shared" si="62"/>
        <v>#VALUE!</v>
      </c>
      <c r="AA481">
        <v>2559609</v>
      </c>
      <c r="AB481">
        <v>18958</v>
      </c>
      <c r="AD481" t="s">
        <v>4</v>
      </c>
      <c r="AE481">
        <v>2</v>
      </c>
      <c r="AF481">
        <v>5</v>
      </c>
      <c r="AH481" t="s">
        <v>2261</v>
      </c>
      <c r="AI481" t="s">
        <v>2260</v>
      </c>
      <c r="AK481" t="s">
        <v>2259</v>
      </c>
      <c r="AL481">
        <v>0</v>
      </c>
      <c r="AM481" s="5">
        <f t="shared" si="66"/>
        <v>0</v>
      </c>
      <c r="AN481" s="4">
        <f t="shared" si="63"/>
        <v>0</v>
      </c>
      <c r="AO481" s="3"/>
      <c r="AP481">
        <v>0</v>
      </c>
      <c r="AR481" t="s">
        <v>0</v>
      </c>
      <c r="AT481" s="2" t="s">
        <v>19</v>
      </c>
      <c r="AU481" s="1" t="e">
        <f t="shared" si="67"/>
        <v>#VALUE!</v>
      </c>
      <c r="AV481" s="1" t="e">
        <f t="shared" si="68"/>
        <v>#VALUE!</v>
      </c>
      <c r="AW481" s="1" t="e">
        <f t="shared" si="69"/>
        <v>#VALUE!</v>
      </c>
    </row>
    <row r="482" spans="1:49" x14ac:dyDescent="0.2">
      <c r="A482">
        <v>480</v>
      </c>
      <c r="B482" t="s">
        <v>2258</v>
      </c>
      <c r="C482" t="s">
        <v>2257</v>
      </c>
      <c r="F482" t="s">
        <v>2256</v>
      </c>
      <c r="G482" t="s">
        <v>15</v>
      </c>
      <c r="H482" t="s">
        <v>14</v>
      </c>
      <c r="I482" t="s">
        <v>2255</v>
      </c>
      <c r="J482">
        <v>60023053</v>
      </c>
      <c r="K482" t="s">
        <v>557</v>
      </c>
      <c r="L482" t="s">
        <v>556</v>
      </c>
      <c r="M482" t="s">
        <v>122</v>
      </c>
      <c r="N482">
        <v>1</v>
      </c>
      <c r="O482" t="s">
        <v>2254</v>
      </c>
      <c r="P482">
        <v>6602212215</v>
      </c>
      <c r="Q482">
        <v>60023053</v>
      </c>
      <c r="R482" s="7">
        <v>31048</v>
      </c>
      <c r="S482" s="8">
        <f t="shared" si="64"/>
        <v>1985</v>
      </c>
      <c r="T482" s="8">
        <v>1985</v>
      </c>
      <c r="U482" s="8">
        <f t="shared" si="65"/>
        <v>37</v>
      </c>
      <c r="V482" s="7">
        <v>31168</v>
      </c>
      <c r="W482" t="s">
        <v>1632</v>
      </c>
      <c r="X482" s="2">
        <v>1.365</v>
      </c>
      <c r="Y482" s="6">
        <f t="shared" si="62"/>
        <v>3.6437895411227675E-2</v>
      </c>
      <c r="AA482">
        <v>189545</v>
      </c>
      <c r="AB482">
        <v>17393</v>
      </c>
      <c r="AC482">
        <v>19399359</v>
      </c>
      <c r="AD482" t="s">
        <v>4</v>
      </c>
      <c r="AE482">
        <v>34</v>
      </c>
      <c r="AF482">
        <v>2</v>
      </c>
      <c r="AH482" t="s">
        <v>2206</v>
      </c>
      <c r="AI482" t="s">
        <v>2253</v>
      </c>
      <c r="AK482" t="s">
        <v>2252</v>
      </c>
      <c r="AL482">
        <v>11</v>
      </c>
      <c r="AM482" s="5">
        <f t="shared" si="66"/>
        <v>0.29729729729729731</v>
      </c>
      <c r="AN482" s="4">
        <f t="shared" si="63"/>
        <v>4.5027988988609969E-4</v>
      </c>
      <c r="AO482" s="3"/>
      <c r="AP482">
        <v>0</v>
      </c>
      <c r="AR482" t="s">
        <v>0</v>
      </c>
      <c r="AT482" s="2" t="s">
        <v>19</v>
      </c>
      <c r="AU482" s="1">
        <f t="shared" si="67"/>
        <v>2.5641610754825201</v>
      </c>
      <c r="AV482" s="1">
        <f t="shared" si="68"/>
        <v>1.8444087650556888</v>
      </c>
      <c r="AW482" s="1">
        <f t="shared" si="69"/>
        <v>1.1246564546288573</v>
      </c>
    </row>
    <row r="483" spans="1:49" x14ac:dyDescent="0.2">
      <c r="A483">
        <v>481</v>
      </c>
      <c r="B483" t="s">
        <v>2251</v>
      </c>
      <c r="C483" t="s">
        <v>2250</v>
      </c>
      <c r="F483" t="s">
        <v>2249</v>
      </c>
      <c r="G483" t="s">
        <v>15</v>
      </c>
      <c r="H483" t="s">
        <v>14</v>
      </c>
      <c r="I483" t="s">
        <v>2248</v>
      </c>
      <c r="J483">
        <v>60010294</v>
      </c>
      <c r="K483" t="s">
        <v>2247</v>
      </c>
      <c r="L483" t="s">
        <v>2246</v>
      </c>
      <c r="M483" t="s">
        <v>2245</v>
      </c>
      <c r="N483">
        <v>1</v>
      </c>
      <c r="O483" t="s">
        <v>2244</v>
      </c>
      <c r="P483">
        <v>7006843696</v>
      </c>
      <c r="Q483">
        <v>60010294</v>
      </c>
      <c r="R483" s="7">
        <v>31048</v>
      </c>
      <c r="S483" s="8">
        <f t="shared" si="64"/>
        <v>1985</v>
      </c>
      <c r="T483" s="8">
        <v>1985</v>
      </c>
      <c r="U483" s="8">
        <f t="shared" si="65"/>
        <v>37</v>
      </c>
      <c r="V483" s="7" t="s">
        <v>1942</v>
      </c>
      <c r="W483" s="11" t="s">
        <v>1366</v>
      </c>
      <c r="X483" s="2">
        <v>2.383</v>
      </c>
      <c r="Y483" s="6">
        <f t="shared" si="62"/>
        <v>6.3612824003630442E-2</v>
      </c>
      <c r="AA483">
        <v>1437097</v>
      </c>
      <c r="AB483">
        <v>101236</v>
      </c>
      <c r="AD483" t="s">
        <v>4</v>
      </c>
      <c r="AE483">
        <v>132</v>
      </c>
      <c r="AF483">
        <v>2</v>
      </c>
      <c r="AH483" t="s">
        <v>2243</v>
      </c>
      <c r="AI483" t="s">
        <v>2242</v>
      </c>
      <c r="AK483" t="s">
        <v>2241</v>
      </c>
      <c r="AL483">
        <v>0</v>
      </c>
      <c r="AM483" s="5">
        <f t="shared" si="66"/>
        <v>0</v>
      </c>
      <c r="AN483" s="4">
        <f t="shared" si="63"/>
        <v>0</v>
      </c>
      <c r="AO483" s="3"/>
      <c r="AP483">
        <v>0</v>
      </c>
      <c r="AR483" t="s">
        <v>0</v>
      </c>
      <c r="AT483" s="2" t="s">
        <v>19</v>
      </c>
      <c r="AU483" s="1">
        <f t="shared" si="67"/>
        <v>4.4528976802541305</v>
      </c>
      <c r="AV483" s="1">
        <f t="shared" si="68"/>
        <v>3.1806412001815221</v>
      </c>
      <c r="AW483" s="1">
        <f t="shared" si="69"/>
        <v>1.9083847201089132</v>
      </c>
    </row>
    <row r="484" spans="1:49" x14ac:dyDescent="0.2">
      <c r="A484">
        <v>482</v>
      </c>
      <c r="B484" t="s">
        <v>2240</v>
      </c>
      <c r="C484" t="s">
        <v>2239</v>
      </c>
      <c r="F484" t="s">
        <v>2238</v>
      </c>
      <c r="G484" t="s">
        <v>15</v>
      </c>
      <c r="H484" t="s">
        <v>14</v>
      </c>
      <c r="I484" t="s">
        <v>2237</v>
      </c>
      <c r="J484" t="s">
        <v>2232</v>
      </c>
      <c r="K484" t="s">
        <v>2236</v>
      </c>
      <c r="L484" t="s">
        <v>2235</v>
      </c>
      <c r="M484" t="s">
        <v>28</v>
      </c>
      <c r="N484">
        <v>2</v>
      </c>
      <c r="O484" t="s">
        <v>2234</v>
      </c>
      <c r="P484" t="s">
        <v>2233</v>
      </c>
      <c r="Q484" t="s">
        <v>2232</v>
      </c>
      <c r="R484" s="7">
        <v>31048</v>
      </c>
      <c r="S484" s="8">
        <f t="shared" si="64"/>
        <v>1985</v>
      </c>
      <c r="T484" s="8">
        <v>1985</v>
      </c>
      <c r="U484" s="8">
        <f t="shared" si="65"/>
        <v>37</v>
      </c>
      <c r="V484" s="7">
        <v>31138</v>
      </c>
      <c r="W484" t="s">
        <v>2231</v>
      </c>
      <c r="X484" s="2">
        <v>1.3460000000000001</v>
      </c>
      <c r="Y484" s="6">
        <f t="shared" si="62"/>
        <v>3.593070126264649E-2</v>
      </c>
      <c r="AA484">
        <v>7338724</v>
      </c>
      <c r="AB484">
        <v>12178</v>
      </c>
      <c r="AC484">
        <v>15582213</v>
      </c>
      <c r="AD484" t="s">
        <v>4</v>
      </c>
      <c r="AE484">
        <v>3</v>
      </c>
      <c r="AF484">
        <v>2</v>
      </c>
      <c r="AG484">
        <v>1074173</v>
      </c>
      <c r="AH484" t="s">
        <v>2230</v>
      </c>
      <c r="AI484" t="s">
        <v>2229</v>
      </c>
      <c r="AJ484" t="s">
        <v>2228</v>
      </c>
      <c r="AK484" t="s">
        <v>2227</v>
      </c>
      <c r="AL484">
        <v>0</v>
      </c>
      <c r="AM484" s="5">
        <f t="shared" si="66"/>
        <v>0</v>
      </c>
      <c r="AN484" s="4">
        <f t="shared" si="63"/>
        <v>0</v>
      </c>
      <c r="AO484" s="3"/>
      <c r="AP484">
        <v>0</v>
      </c>
      <c r="AR484" t="s">
        <v>0</v>
      </c>
      <c r="AT484" s="2">
        <v>4.1420000000000003</v>
      </c>
      <c r="AU484" s="1">
        <f t="shared" si="67"/>
        <v>2.5151490883852543</v>
      </c>
      <c r="AV484" s="1">
        <f t="shared" si="68"/>
        <v>1.7965350631323245</v>
      </c>
      <c r="AW484" s="1">
        <f t="shared" si="69"/>
        <v>1.0779210378793946</v>
      </c>
    </row>
    <row r="485" spans="1:49" x14ac:dyDescent="0.2">
      <c r="A485">
        <v>483</v>
      </c>
      <c r="B485" t="s">
        <v>2226</v>
      </c>
      <c r="C485" t="s">
        <v>2225</v>
      </c>
      <c r="F485" t="s">
        <v>2224</v>
      </c>
      <c r="G485" t="s">
        <v>15</v>
      </c>
      <c r="H485" t="s">
        <v>14</v>
      </c>
      <c r="I485" t="s">
        <v>2223</v>
      </c>
      <c r="J485">
        <v>60031126</v>
      </c>
      <c r="K485" t="s">
        <v>2222</v>
      </c>
      <c r="L485" t="s">
        <v>594</v>
      </c>
      <c r="M485" t="s">
        <v>544</v>
      </c>
      <c r="N485">
        <v>1</v>
      </c>
      <c r="O485" t="s">
        <v>2221</v>
      </c>
      <c r="P485">
        <v>35495699200</v>
      </c>
      <c r="Q485">
        <v>60031126</v>
      </c>
      <c r="R485" s="7">
        <v>31048</v>
      </c>
      <c r="S485" s="8">
        <f t="shared" si="64"/>
        <v>1985</v>
      </c>
      <c r="T485" s="8">
        <v>1985</v>
      </c>
      <c r="U485" s="8">
        <f t="shared" si="65"/>
        <v>37</v>
      </c>
      <c r="V485" s="7">
        <v>31138</v>
      </c>
      <c r="W485" t="s">
        <v>590</v>
      </c>
      <c r="X485" s="2">
        <v>0.111</v>
      </c>
      <c r="Y485" s="6">
        <f t="shared" si="62"/>
        <v>2.9630816048690639E-3</v>
      </c>
      <c r="AA485">
        <v>87566621</v>
      </c>
      <c r="AB485">
        <v>24890</v>
      </c>
      <c r="AC485">
        <v>15206424</v>
      </c>
      <c r="AD485" t="s">
        <v>4</v>
      </c>
      <c r="AE485">
        <v>68</v>
      </c>
      <c r="AF485">
        <v>4</v>
      </c>
      <c r="AH485" t="s">
        <v>2220</v>
      </c>
      <c r="AI485" t="s">
        <v>2219</v>
      </c>
      <c r="AK485" t="s">
        <v>2218</v>
      </c>
      <c r="AL485">
        <v>11</v>
      </c>
      <c r="AM485" s="5">
        <f t="shared" si="66"/>
        <v>0.29729729729729731</v>
      </c>
      <c r="AN485" s="4">
        <f t="shared" si="63"/>
        <v>4.5027988988609969E-4</v>
      </c>
      <c r="AO485" s="3"/>
      <c r="AP485">
        <v>0</v>
      </c>
      <c r="AR485" t="s">
        <v>0</v>
      </c>
      <c r="AT485" s="2" t="s">
        <v>19</v>
      </c>
      <c r="AU485" s="1">
        <f t="shared" si="67"/>
        <v>0.22092410903741741</v>
      </c>
      <c r="AV485" s="1">
        <f t="shared" si="68"/>
        <v>0.17066807473775819</v>
      </c>
      <c r="AW485" s="1">
        <f t="shared" si="69"/>
        <v>0.12041204043809889</v>
      </c>
    </row>
    <row r="486" spans="1:49" x14ac:dyDescent="0.2">
      <c r="A486">
        <v>484</v>
      </c>
      <c r="B486" t="s">
        <v>2217</v>
      </c>
      <c r="C486" t="s">
        <v>2216</v>
      </c>
      <c r="D486" t="s">
        <v>2215</v>
      </c>
      <c r="F486" t="s">
        <v>2214</v>
      </c>
      <c r="G486" t="s">
        <v>15</v>
      </c>
      <c r="H486" t="s">
        <v>14</v>
      </c>
      <c r="I486" t="s">
        <v>2213</v>
      </c>
      <c r="J486">
        <v>60010818</v>
      </c>
      <c r="K486" t="s">
        <v>2212</v>
      </c>
      <c r="L486" t="s">
        <v>2211</v>
      </c>
      <c r="M486" t="s">
        <v>530</v>
      </c>
      <c r="N486">
        <v>2</v>
      </c>
      <c r="O486" t="s">
        <v>2210</v>
      </c>
      <c r="P486" t="s">
        <v>2209</v>
      </c>
      <c r="Q486" t="s">
        <v>2208</v>
      </c>
      <c r="R486" s="7">
        <v>31048</v>
      </c>
      <c r="S486" s="8">
        <f t="shared" si="64"/>
        <v>1985</v>
      </c>
      <c r="T486" s="8">
        <v>1985</v>
      </c>
      <c r="U486" s="8">
        <f t="shared" si="65"/>
        <v>37</v>
      </c>
      <c r="V486" s="7">
        <v>31138</v>
      </c>
      <c r="W486" t="s">
        <v>2207</v>
      </c>
      <c r="X486" s="2" t="s">
        <v>19</v>
      </c>
      <c r="Y486" s="6" t="e">
        <f t="shared" si="62"/>
        <v>#VALUE!</v>
      </c>
      <c r="AA486">
        <v>7457138</v>
      </c>
      <c r="AB486">
        <v>38351</v>
      </c>
      <c r="AD486" t="s">
        <v>4</v>
      </c>
      <c r="AE486">
        <v>8</v>
      </c>
      <c r="AF486">
        <v>2</v>
      </c>
      <c r="AH486" t="s">
        <v>2206</v>
      </c>
      <c r="AI486" t="s">
        <v>2205</v>
      </c>
      <c r="AK486" t="s">
        <v>2204</v>
      </c>
      <c r="AL486">
        <v>0</v>
      </c>
      <c r="AM486" s="5">
        <f t="shared" si="66"/>
        <v>0</v>
      </c>
      <c r="AN486" s="4">
        <f t="shared" si="63"/>
        <v>0</v>
      </c>
      <c r="AO486" s="3"/>
      <c r="AP486">
        <v>0</v>
      </c>
      <c r="AR486" t="s">
        <v>0</v>
      </c>
      <c r="AT486" s="2" t="s">
        <v>19</v>
      </c>
      <c r="AU486" s="1" t="e">
        <f t="shared" si="67"/>
        <v>#VALUE!</v>
      </c>
      <c r="AV486" s="1" t="e">
        <f t="shared" si="68"/>
        <v>#VALUE!</v>
      </c>
      <c r="AW486" s="1" t="e">
        <f t="shared" si="69"/>
        <v>#VALUE!</v>
      </c>
    </row>
    <row r="487" spans="1:49" x14ac:dyDescent="0.2">
      <c r="A487">
        <v>485</v>
      </c>
      <c r="B487" t="s">
        <v>2203</v>
      </c>
      <c r="C487" t="s">
        <v>2202</v>
      </c>
      <c r="F487" t="s">
        <v>2201</v>
      </c>
      <c r="G487" t="s">
        <v>15</v>
      </c>
      <c r="H487" t="s">
        <v>14</v>
      </c>
      <c r="I487" t="s">
        <v>2200</v>
      </c>
      <c r="J487" t="s">
        <v>2199</v>
      </c>
      <c r="K487" t="s">
        <v>2198</v>
      </c>
      <c r="L487" t="s">
        <v>2197</v>
      </c>
      <c r="M487" t="s">
        <v>28</v>
      </c>
      <c r="N487">
        <v>3</v>
      </c>
      <c r="O487" t="s">
        <v>2196</v>
      </c>
      <c r="P487" t="s">
        <v>2195</v>
      </c>
      <c r="Q487" t="s">
        <v>2194</v>
      </c>
      <c r="R487" s="7">
        <v>31048</v>
      </c>
      <c r="S487" s="8">
        <f t="shared" si="64"/>
        <v>1985</v>
      </c>
      <c r="T487" s="8">
        <v>1985</v>
      </c>
      <c r="U487" s="8">
        <f t="shared" si="65"/>
        <v>37</v>
      </c>
      <c r="V487" s="7">
        <v>31138</v>
      </c>
      <c r="W487" t="s">
        <v>2193</v>
      </c>
      <c r="X487" s="2">
        <v>1.3720000000000001</v>
      </c>
      <c r="Y487" s="6">
        <f t="shared" si="62"/>
        <v>3.662475641333654E-2</v>
      </c>
      <c r="AA487">
        <v>189480</v>
      </c>
      <c r="AB487">
        <v>17366</v>
      </c>
      <c r="AC487">
        <v>15579670</v>
      </c>
      <c r="AD487" t="s">
        <v>4</v>
      </c>
      <c r="AE487">
        <v>33</v>
      </c>
      <c r="AF487">
        <v>4</v>
      </c>
      <c r="AH487" t="s">
        <v>2192</v>
      </c>
      <c r="AI487" t="s">
        <v>2191</v>
      </c>
      <c r="AK487" t="s">
        <v>2190</v>
      </c>
      <c r="AL487">
        <v>35</v>
      </c>
      <c r="AM487" s="5">
        <f t="shared" si="66"/>
        <v>0.94594594594594594</v>
      </c>
      <c r="AN487" s="4">
        <f t="shared" si="63"/>
        <v>1.4327087405466808E-3</v>
      </c>
      <c r="AO487" s="3"/>
      <c r="AP487">
        <v>0</v>
      </c>
      <c r="AR487" t="s">
        <v>0</v>
      </c>
      <c r="AT487" s="2" t="s">
        <v>19</v>
      </c>
      <c r="AU487" s="1">
        <f t="shared" si="67"/>
        <v>2.6067142111499582</v>
      </c>
      <c r="AV487" s="1">
        <f t="shared" si="68"/>
        <v>1.9028732576941612</v>
      </c>
      <c r="AW487" s="1">
        <f t="shared" si="69"/>
        <v>1.1990323042383639</v>
      </c>
    </row>
    <row r="488" spans="1:49" x14ac:dyDescent="0.2">
      <c r="A488">
        <v>486</v>
      </c>
      <c r="B488" t="s">
        <v>2189</v>
      </c>
      <c r="C488" t="s">
        <v>2188</v>
      </c>
      <c r="F488" t="s">
        <v>2187</v>
      </c>
      <c r="G488" t="s">
        <v>15</v>
      </c>
      <c r="H488" t="s">
        <v>14</v>
      </c>
      <c r="I488" t="s">
        <v>1685</v>
      </c>
      <c r="J488">
        <v>60025757</v>
      </c>
      <c r="K488" t="s">
        <v>1684</v>
      </c>
      <c r="L488" t="s">
        <v>1683</v>
      </c>
      <c r="M488" t="s">
        <v>434</v>
      </c>
      <c r="N488">
        <v>2</v>
      </c>
      <c r="O488" t="s">
        <v>2186</v>
      </c>
      <c r="P488" t="s">
        <v>2185</v>
      </c>
      <c r="Q488" t="s">
        <v>2184</v>
      </c>
      <c r="R488" s="7">
        <v>31048</v>
      </c>
      <c r="S488" s="8">
        <f t="shared" si="64"/>
        <v>1985</v>
      </c>
      <c r="T488" s="8">
        <v>1985</v>
      </c>
      <c r="U488" s="8">
        <f t="shared" si="65"/>
        <v>37</v>
      </c>
      <c r="V488" s="7">
        <v>1985</v>
      </c>
      <c r="W488" t="s">
        <v>24</v>
      </c>
      <c r="X488" s="2">
        <v>1.6519999999999999</v>
      </c>
      <c r="Y488" s="6">
        <f t="shared" si="62"/>
        <v>4.409919649769093E-2</v>
      </c>
      <c r="AA488" t="s">
        <v>23</v>
      </c>
      <c r="AB488">
        <v>17337</v>
      </c>
      <c r="AC488">
        <v>15582221</v>
      </c>
      <c r="AD488" t="s">
        <v>4</v>
      </c>
      <c r="AE488">
        <v>33</v>
      </c>
      <c r="AF488">
        <v>4</v>
      </c>
      <c r="AH488" t="s">
        <v>2183</v>
      </c>
      <c r="AI488" t="s">
        <v>2182</v>
      </c>
      <c r="AK488" t="s">
        <v>2181</v>
      </c>
      <c r="AL488">
        <v>3</v>
      </c>
      <c r="AM488" s="5">
        <f t="shared" si="66"/>
        <v>8.1081081081081086E-2</v>
      </c>
      <c r="AN488" s="4">
        <f t="shared" si="63"/>
        <v>1.2280360633257263E-4</v>
      </c>
      <c r="AO488" s="3"/>
      <c r="AP488">
        <v>0</v>
      </c>
      <c r="AR488" t="s">
        <v>0</v>
      </c>
      <c r="AT488" s="2" t="s">
        <v>19</v>
      </c>
      <c r="AU488" s="1">
        <f t="shared" si="67"/>
        <v>3.0906278630283421</v>
      </c>
      <c r="AV488" s="1">
        <f t="shared" si="68"/>
        <v>2.2111000052011751</v>
      </c>
      <c r="AW488" s="1">
        <f t="shared" si="69"/>
        <v>1.3315721473740079</v>
      </c>
    </row>
    <row r="489" spans="1:49" x14ac:dyDescent="0.2">
      <c r="A489">
        <v>487</v>
      </c>
      <c r="B489" t="s">
        <v>2180</v>
      </c>
      <c r="C489" t="s">
        <v>2179</v>
      </c>
      <c r="F489" t="s">
        <v>2178</v>
      </c>
      <c r="G489" t="s">
        <v>15</v>
      </c>
      <c r="H489" t="s">
        <v>14</v>
      </c>
      <c r="I489" t="s">
        <v>2177</v>
      </c>
      <c r="J489">
        <v>60001881</v>
      </c>
      <c r="K489" t="s">
        <v>2176</v>
      </c>
      <c r="L489" t="s">
        <v>2175</v>
      </c>
      <c r="M489" t="s">
        <v>530</v>
      </c>
      <c r="N489">
        <v>1</v>
      </c>
      <c r="O489" t="s">
        <v>2174</v>
      </c>
      <c r="P489">
        <v>7404251432</v>
      </c>
      <c r="Q489">
        <v>60001881</v>
      </c>
      <c r="R489" s="7">
        <v>31048</v>
      </c>
      <c r="S489" s="8">
        <f t="shared" si="64"/>
        <v>1985</v>
      </c>
      <c r="T489" s="8">
        <v>1985</v>
      </c>
      <c r="U489" s="8">
        <f t="shared" si="65"/>
        <v>37</v>
      </c>
      <c r="V489" s="7">
        <v>1985</v>
      </c>
      <c r="W489" t="s">
        <v>540</v>
      </c>
      <c r="X489" s="2">
        <v>0.375</v>
      </c>
      <c r="Y489" s="6">
        <f t="shared" si="62"/>
        <v>1.0010410827260351E-2</v>
      </c>
      <c r="AA489">
        <v>135194</v>
      </c>
      <c r="AB489">
        <v>24918</v>
      </c>
      <c r="AD489" t="s">
        <v>4</v>
      </c>
      <c r="AE489">
        <v>21</v>
      </c>
      <c r="AF489">
        <v>8</v>
      </c>
      <c r="AH489" t="s">
        <v>2173</v>
      </c>
      <c r="AI489" t="s">
        <v>2172</v>
      </c>
      <c r="AJ489" t="s">
        <v>2171</v>
      </c>
      <c r="AK489" t="s">
        <v>2170</v>
      </c>
      <c r="AL489">
        <v>1</v>
      </c>
      <c r="AM489" s="5">
        <f t="shared" si="66"/>
        <v>2.7027027027027029E-2</v>
      </c>
      <c r="AN489" s="4">
        <f t="shared" si="63"/>
        <v>4.0934535444190883E-5</v>
      </c>
      <c r="AO489" s="3"/>
      <c r="AP489">
        <v>0</v>
      </c>
      <c r="AR489" t="s">
        <v>0</v>
      </c>
      <c r="AT489" s="2">
        <v>1.3140000000000001</v>
      </c>
      <c r="AU489" s="1">
        <f t="shared" si="67"/>
        <v>0.70195679397155031</v>
      </c>
      <c r="AV489" s="1">
        <f t="shared" si="68"/>
        <v>0.50256726813522712</v>
      </c>
      <c r="AW489" s="1">
        <f t="shared" si="69"/>
        <v>0.30317774229890387</v>
      </c>
    </row>
    <row r="490" spans="1:49" x14ac:dyDescent="0.2">
      <c r="A490">
        <v>488</v>
      </c>
      <c r="B490" t="s">
        <v>2169</v>
      </c>
      <c r="C490" t="s">
        <v>2168</v>
      </c>
      <c r="F490" t="s">
        <v>2167</v>
      </c>
      <c r="G490" t="s">
        <v>15</v>
      </c>
      <c r="H490" t="s">
        <v>14</v>
      </c>
      <c r="I490" t="s">
        <v>2166</v>
      </c>
      <c r="J490">
        <v>60022195</v>
      </c>
      <c r="K490" t="s">
        <v>1852</v>
      </c>
      <c r="L490" t="s">
        <v>358</v>
      </c>
      <c r="M490" t="s">
        <v>122</v>
      </c>
      <c r="N490">
        <v>1</v>
      </c>
      <c r="O490" t="s">
        <v>2165</v>
      </c>
      <c r="P490">
        <v>7005553277</v>
      </c>
      <c r="Q490">
        <v>60022195</v>
      </c>
      <c r="R490" s="7">
        <v>31048</v>
      </c>
      <c r="S490" s="8">
        <f t="shared" si="64"/>
        <v>1985</v>
      </c>
      <c r="T490" s="8">
        <v>1985</v>
      </c>
      <c r="U490" s="8">
        <f t="shared" si="65"/>
        <v>37</v>
      </c>
      <c r="V490" s="7">
        <v>1985</v>
      </c>
      <c r="W490" t="s">
        <v>24</v>
      </c>
      <c r="X490" s="2">
        <v>1.6519999999999999</v>
      </c>
      <c r="Y490" s="6">
        <f t="shared" si="62"/>
        <v>4.409919649769093E-2</v>
      </c>
      <c r="AA490" t="s">
        <v>23</v>
      </c>
      <c r="AB490">
        <v>17337</v>
      </c>
      <c r="AC490">
        <v>15582221</v>
      </c>
      <c r="AD490" t="s">
        <v>4</v>
      </c>
      <c r="AE490">
        <v>33</v>
      </c>
      <c r="AF490">
        <v>4</v>
      </c>
      <c r="AH490" t="s">
        <v>2164</v>
      </c>
      <c r="AI490" t="s">
        <v>2163</v>
      </c>
      <c r="AK490" t="s">
        <v>2162</v>
      </c>
      <c r="AL490">
        <v>7</v>
      </c>
      <c r="AM490" s="5">
        <f t="shared" si="66"/>
        <v>0.1891891891891892</v>
      </c>
      <c r="AN490" s="4">
        <f t="shared" si="63"/>
        <v>2.8654174810933616E-4</v>
      </c>
      <c r="AO490" s="3"/>
      <c r="AP490">
        <v>0</v>
      </c>
      <c r="AR490" t="s">
        <v>0</v>
      </c>
      <c r="AT490" s="2" t="s">
        <v>19</v>
      </c>
      <c r="AU490" s="1">
        <f t="shared" si="67"/>
        <v>3.0955400072816452</v>
      </c>
      <c r="AV490" s="1">
        <f t="shared" si="68"/>
        <v>2.2192869122900132</v>
      </c>
      <c r="AW490" s="1">
        <f t="shared" si="69"/>
        <v>1.3430338172983813</v>
      </c>
    </row>
    <row r="491" spans="1:49" x14ac:dyDescent="0.2">
      <c r="A491">
        <v>489</v>
      </c>
      <c r="B491" t="s">
        <v>2161</v>
      </c>
      <c r="C491" t="s">
        <v>2160</v>
      </c>
      <c r="F491" t="s">
        <v>2159</v>
      </c>
      <c r="G491" t="s">
        <v>15</v>
      </c>
      <c r="H491" t="s">
        <v>14</v>
      </c>
      <c r="I491" t="s">
        <v>2158</v>
      </c>
      <c r="J491" t="s">
        <v>2157</v>
      </c>
      <c r="K491" t="s">
        <v>2156</v>
      </c>
      <c r="L491" t="s">
        <v>2155</v>
      </c>
      <c r="M491" t="s">
        <v>28</v>
      </c>
      <c r="N491">
        <v>2</v>
      </c>
      <c r="O491" t="s">
        <v>2154</v>
      </c>
      <c r="P491" t="s">
        <v>2153</v>
      </c>
      <c r="Q491" t="s">
        <v>2152</v>
      </c>
      <c r="R491" s="7">
        <v>31048</v>
      </c>
      <c r="S491" s="8">
        <f t="shared" si="64"/>
        <v>1985</v>
      </c>
      <c r="T491" s="8">
        <v>1985</v>
      </c>
      <c r="U491" s="8">
        <f t="shared" si="65"/>
        <v>37</v>
      </c>
      <c r="V491" s="7">
        <v>1985</v>
      </c>
      <c r="W491" t="s">
        <v>24</v>
      </c>
      <c r="X491" s="2">
        <v>1.6519999999999999</v>
      </c>
      <c r="Y491" s="6">
        <f t="shared" si="62"/>
        <v>4.409919649769093E-2</v>
      </c>
      <c r="AA491" t="s">
        <v>23</v>
      </c>
      <c r="AB491">
        <v>17337</v>
      </c>
      <c r="AC491">
        <v>15582221</v>
      </c>
      <c r="AD491" t="s">
        <v>4</v>
      </c>
      <c r="AE491">
        <v>33</v>
      </c>
      <c r="AF491">
        <v>4</v>
      </c>
      <c r="AH491" t="s">
        <v>2151</v>
      </c>
      <c r="AI491" t="s">
        <v>2150</v>
      </c>
      <c r="AK491" t="s">
        <v>2149</v>
      </c>
      <c r="AL491">
        <v>17</v>
      </c>
      <c r="AM491" s="5">
        <f t="shared" si="66"/>
        <v>0.45945945945945948</v>
      </c>
      <c r="AN491" s="4">
        <f t="shared" si="63"/>
        <v>6.9588710255124491E-4</v>
      </c>
      <c r="AO491" s="3"/>
      <c r="AP491">
        <v>0</v>
      </c>
      <c r="AR491" t="s">
        <v>0</v>
      </c>
      <c r="AT491" s="2" t="s">
        <v>19</v>
      </c>
      <c r="AU491" s="1">
        <f t="shared" si="67"/>
        <v>3.1078203679149023</v>
      </c>
      <c r="AV491" s="1">
        <f t="shared" si="68"/>
        <v>2.2397541800121088</v>
      </c>
      <c r="AW491" s="1">
        <f t="shared" si="69"/>
        <v>1.371687992109315</v>
      </c>
    </row>
    <row r="492" spans="1:49" x14ac:dyDescent="0.2">
      <c r="A492">
        <v>490</v>
      </c>
      <c r="B492" t="s">
        <v>2148</v>
      </c>
      <c r="C492" t="s">
        <v>2147</v>
      </c>
      <c r="F492" t="s">
        <v>2146</v>
      </c>
      <c r="G492" t="s">
        <v>15</v>
      </c>
      <c r="H492" t="s">
        <v>14</v>
      </c>
      <c r="I492" t="s">
        <v>2145</v>
      </c>
      <c r="J492">
        <v>60000745</v>
      </c>
      <c r="K492" t="s">
        <v>2144</v>
      </c>
      <c r="L492" t="s">
        <v>2143</v>
      </c>
      <c r="M492" t="s">
        <v>122</v>
      </c>
      <c r="N492">
        <v>2</v>
      </c>
      <c r="O492" t="s">
        <v>2142</v>
      </c>
      <c r="P492" t="s">
        <v>2141</v>
      </c>
      <c r="Q492" t="s">
        <v>2140</v>
      </c>
      <c r="R492" s="7">
        <v>31048</v>
      </c>
      <c r="S492" s="8">
        <f t="shared" si="64"/>
        <v>1985</v>
      </c>
      <c r="T492" s="8">
        <v>1985</v>
      </c>
      <c r="U492" s="8">
        <f t="shared" si="65"/>
        <v>37</v>
      </c>
      <c r="V492" s="7">
        <v>1985</v>
      </c>
      <c r="W492" t="s">
        <v>24</v>
      </c>
      <c r="X492" s="2">
        <v>1.6519999999999999</v>
      </c>
      <c r="Y492" s="6">
        <f t="shared" si="62"/>
        <v>4.409919649769093E-2</v>
      </c>
      <c r="AA492" t="s">
        <v>23</v>
      </c>
      <c r="AB492">
        <v>17337</v>
      </c>
      <c r="AC492">
        <v>15582221</v>
      </c>
      <c r="AD492" t="s">
        <v>4</v>
      </c>
      <c r="AE492">
        <v>33</v>
      </c>
      <c r="AF492">
        <v>4</v>
      </c>
      <c r="AH492" t="s">
        <v>2139</v>
      </c>
      <c r="AI492" t="s">
        <v>2138</v>
      </c>
      <c r="AK492" t="s">
        <v>2137</v>
      </c>
      <c r="AL492">
        <v>1</v>
      </c>
      <c r="AM492" s="5">
        <f t="shared" si="66"/>
        <v>2.7027027027027029E-2</v>
      </c>
      <c r="AN492" s="4">
        <f t="shared" si="63"/>
        <v>4.0934535444190883E-5</v>
      </c>
      <c r="AO492" s="3"/>
      <c r="AP492">
        <v>0</v>
      </c>
      <c r="AR492" t="s">
        <v>0</v>
      </c>
      <c r="AT492" s="2" t="s">
        <v>19</v>
      </c>
      <c r="AU492" s="1">
        <f t="shared" si="67"/>
        <v>3.0881717909016908</v>
      </c>
      <c r="AV492" s="1">
        <f t="shared" si="68"/>
        <v>2.2070065516567561</v>
      </c>
      <c r="AW492" s="1">
        <f t="shared" si="69"/>
        <v>1.3258413124118213</v>
      </c>
    </row>
    <row r="493" spans="1:49" x14ac:dyDescent="0.2">
      <c r="A493">
        <v>491</v>
      </c>
      <c r="B493" t="s">
        <v>2136</v>
      </c>
      <c r="C493" t="s">
        <v>2135</v>
      </c>
      <c r="F493" t="s">
        <v>2134</v>
      </c>
      <c r="G493" t="s">
        <v>15</v>
      </c>
      <c r="H493" t="s">
        <v>14</v>
      </c>
      <c r="I493" t="s">
        <v>2133</v>
      </c>
      <c r="J493">
        <v>60004750</v>
      </c>
      <c r="K493" t="s">
        <v>1957</v>
      </c>
      <c r="L493" t="s">
        <v>1956</v>
      </c>
      <c r="M493" t="s">
        <v>434</v>
      </c>
      <c r="N493">
        <v>2</v>
      </c>
      <c r="O493" t="s">
        <v>2132</v>
      </c>
      <c r="P493" t="s">
        <v>1954</v>
      </c>
      <c r="Q493" t="s">
        <v>1953</v>
      </c>
      <c r="R493" s="7">
        <v>31048</v>
      </c>
      <c r="S493" s="8">
        <f t="shared" si="64"/>
        <v>1985</v>
      </c>
      <c r="T493" s="8">
        <v>1985</v>
      </c>
      <c r="U493" s="8">
        <f t="shared" si="65"/>
        <v>37</v>
      </c>
      <c r="V493" s="7">
        <v>1985</v>
      </c>
      <c r="W493" t="s">
        <v>24</v>
      </c>
      <c r="X493" s="2">
        <v>1.6519999999999999</v>
      </c>
      <c r="Y493" s="6">
        <f t="shared" si="62"/>
        <v>4.409919649769093E-2</v>
      </c>
      <c r="AA493" t="s">
        <v>23</v>
      </c>
      <c r="AB493">
        <v>17337</v>
      </c>
      <c r="AC493">
        <v>15582221</v>
      </c>
      <c r="AD493" t="s">
        <v>4</v>
      </c>
      <c r="AE493">
        <v>33</v>
      </c>
      <c r="AF493">
        <v>4</v>
      </c>
      <c r="AH493" t="s">
        <v>2131</v>
      </c>
      <c r="AI493" t="s">
        <v>2130</v>
      </c>
      <c r="AK493" t="s">
        <v>2129</v>
      </c>
      <c r="AL493">
        <v>82</v>
      </c>
      <c r="AM493" s="5">
        <f t="shared" si="66"/>
        <v>2.2162162162162162</v>
      </c>
      <c r="AN493" s="4">
        <f t="shared" si="63"/>
        <v>3.356631906423652E-3</v>
      </c>
      <c r="AO493" s="3"/>
      <c r="AP493">
        <v>0</v>
      </c>
      <c r="AR493" t="s">
        <v>0</v>
      </c>
      <c r="AT493" s="2" t="s">
        <v>19</v>
      </c>
      <c r="AU493" s="1">
        <f t="shared" si="67"/>
        <v>3.1876427120310744</v>
      </c>
      <c r="AV493" s="1">
        <f t="shared" si="68"/>
        <v>2.3727914202057292</v>
      </c>
      <c r="AW493" s="1">
        <f t="shared" si="69"/>
        <v>1.5579401283803835</v>
      </c>
    </row>
    <row r="494" spans="1:49" x14ac:dyDescent="0.2">
      <c r="A494">
        <v>492</v>
      </c>
      <c r="B494" t="s">
        <v>2128</v>
      </c>
      <c r="C494" t="s">
        <v>2127</v>
      </c>
      <c r="F494" t="s">
        <v>2126</v>
      </c>
      <c r="G494" t="s">
        <v>15</v>
      </c>
      <c r="H494" t="s">
        <v>14</v>
      </c>
      <c r="I494" t="s">
        <v>2125</v>
      </c>
      <c r="J494">
        <v>60025272</v>
      </c>
      <c r="K494" t="s">
        <v>2124</v>
      </c>
      <c r="L494" t="s">
        <v>594</v>
      </c>
      <c r="M494" t="s">
        <v>544</v>
      </c>
      <c r="N494">
        <v>3</v>
      </c>
      <c r="O494" t="s">
        <v>2123</v>
      </c>
      <c r="P494" t="s">
        <v>2122</v>
      </c>
      <c r="Q494" t="s">
        <v>2121</v>
      </c>
      <c r="R494" s="7">
        <v>31048</v>
      </c>
      <c r="S494" s="8">
        <f t="shared" si="64"/>
        <v>1985</v>
      </c>
      <c r="T494" s="8">
        <v>1985</v>
      </c>
      <c r="U494" s="8">
        <f t="shared" si="65"/>
        <v>37</v>
      </c>
      <c r="V494" s="7">
        <v>1985</v>
      </c>
      <c r="W494" t="s">
        <v>2120</v>
      </c>
      <c r="X494" s="2">
        <v>0.76</v>
      </c>
      <c r="Y494" s="6">
        <f t="shared" si="62"/>
        <v>2.0287765943247646E-2</v>
      </c>
      <c r="AA494">
        <v>319015</v>
      </c>
      <c r="AB494">
        <v>29173</v>
      </c>
      <c r="AC494">
        <v>13474073</v>
      </c>
      <c r="AD494" t="s">
        <v>4</v>
      </c>
      <c r="AE494">
        <v>54</v>
      </c>
      <c r="AF494">
        <v>4</v>
      </c>
      <c r="AH494" t="s">
        <v>2119</v>
      </c>
      <c r="AI494" t="s">
        <v>2118</v>
      </c>
      <c r="AK494" t="s">
        <v>2117</v>
      </c>
      <c r="AL494">
        <v>2</v>
      </c>
      <c r="AM494" s="5">
        <f t="shared" si="66"/>
        <v>5.4054054054054057E-2</v>
      </c>
      <c r="AN494" s="4">
        <f t="shared" si="63"/>
        <v>8.1869070888381765E-5</v>
      </c>
      <c r="AO494" s="3"/>
      <c r="AP494">
        <v>0</v>
      </c>
      <c r="AR494" t="s">
        <v>0</v>
      </c>
      <c r="AT494" s="2" t="s">
        <v>19</v>
      </c>
      <c r="AU494" s="1">
        <f t="shared" si="67"/>
        <v>1.4225996881539866</v>
      </c>
      <c r="AV494" s="1">
        <f t="shared" si="68"/>
        <v>1.0184817507068014</v>
      </c>
      <c r="AW494" s="1">
        <f t="shared" si="69"/>
        <v>0.61436381325961609</v>
      </c>
    </row>
    <row r="495" spans="1:49" x14ac:dyDescent="0.2">
      <c r="A495">
        <v>493</v>
      </c>
      <c r="B495" t="s">
        <v>2116</v>
      </c>
      <c r="C495" t="s">
        <v>2115</v>
      </c>
      <c r="F495" t="s">
        <v>2114</v>
      </c>
      <c r="G495" t="s">
        <v>15</v>
      </c>
      <c r="H495" t="s">
        <v>14</v>
      </c>
      <c r="I495" t="s">
        <v>2113</v>
      </c>
      <c r="J495">
        <v>60010065</v>
      </c>
      <c r="K495" t="s">
        <v>2112</v>
      </c>
      <c r="L495" t="s">
        <v>2111</v>
      </c>
      <c r="M495" t="s">
        <v>122</v>
      </c>
      <c r="N495">
        <v>2</v>
      </c>
      <c r="O495" t="s">
        <v>2110</v>
      </c>
      <c r="P495" t="s">
        <v>2109</v>
      </c>
      <c r="Q495" t="s">
        <v>2108</v>
      </c>
      <c r="R495" s="7">
        <v>31048</v>
      </c>
      <c r="S495" s="8">
        <f t="shared" si="64"/>
        <v>1985</v>
      </c>
      <c r="T495" s="8">
        <v>1985</v>
      </c>
      <c r="U495" s="8">
        <f t="shared" si="65"/>
        <v>37</v>
      </c>
      <c r="V495" s="7">
        <v>1985</v>
      </c>
      <c r="W495" t="s">
        <v>24</v>
      </c>
      <c r="X495" s="2">
        <v>1.6519999999999999</v>
      </c>
      <c r="Y495" s="6">
        <f t="shared" si="62"/>
        <v>4.409919649769093E-2</v>
      </c>
      <c r="AA495" t="s">
        <v>23</v>
      </c>
      <c r="AB495">
        <v>17337</v>
      </c>
      <c r="AC495">
        <v>15582221</v>
      </c>
      <c r="AD495" t="s">
        <v>4</v>
      </c>
      <c r="AE495">
        <v>33</v>
      </c>
      <c r="AF495">
        <v>4</v>
      </c>
      <c r="AH495" t="s">
        <v>2107</v>
      </c>
      <c r="AI495" t="s">
        <v>2106</v>
      </c>
      <c r="AK495" t="s">
        <v>2105</v>
      </c>
      <c r="AL495">
        <v>1</v>
      </c>
      <c r="AM495" s="5">
        <f t="shared" si="66"/>
        <v>2.7027027027027029E-2</v>
      </c>
      <c r="AN495" s="4">
        <f t="shared" si="63"/>
        <v>4.0934535444190883E-5</v>
      </c>
      <c r="AO495" s="3"/>
      <c r="AP495">
        <v>0</v>
      </c>
      <c r="AR495" t="s">
        <v>0</v>
      </c>
      <c r="AT495" s="2" t="s">
        <v>19</v>
      </c>
      <c r="AU495" s="1">
        <f t="shared" si="67"/>
        <v>3.0881717909016908</v>
      </c>
      <c r="AV495" s="1">
        <f t="shared" si="68"/>
        <v>2.2070065516567561</v>
      </c>
      <c r="AW495" s="1">
        <f t="shared" si="69"/>
        <v>1.3258413124118213</v>
      </c>
    </row>
    <row r="496" spans="1:49" x14ac:dyDescent="0.2">
      <c r="A496">
        <v>494</v>
      </c>
      <c r="B496" t="s">
        <v>2104</v>
      </c>
      <c r="C496" t="s">
        <v>2103</v>
      </c>
      <c r="F496" t="s">
        <v>2102</v>
      </c>
      <c r="G496" t="s">
        <v>15</v>
      </c>
      <c r="H496" t="s">
        <v>14</v>
      </c>
      <c r="I496" t="s">
        <v>2101</v>
      </c>
      <c r="J496">
        <v>60008524</v>
      </c>
      <c r="K496" t="s">
        <v>2100</v>
      </c>
      <c r="L496" t="s">
        <v>2099</v>
      </c>
      <c r="M496" t="s">
        <v>530</v>
      </c>
      <c r="N496">
        <v>2</v>
      </c>
      <c r="O496" t="s">
        <v>2098</v>
      </c>
      <c r="P496" t="s">
        <v>2097</v>
      </c>
      <c r="Q496" t="s">
        <v>2096</v>
      </c>
      <c r="R496" s="7">
        <v>31048</v>
      </c>
      <c r="S496" s="8">
        <f t="shared" si="64"/>
        <v>1985</v>
      </c>
      <c r="T496" s="8">
        <v>1985</v>
      </c>
      <c r="U496" s="8">
        <f t="shared" si="65"/>
        <v>37</v>
      </c>
      <c r="V496" s="7">
        <v>1985</v>
      </c>
      <c r="W496" t="s">
        <v>540</v>
      </c>
      <c r="X496" s="2">
        <v>0.375</v>
      </c>
      <c r="Y496" s="6">
        <f t="shared" si="62"/>
        <v>1.0010410827260351E-2</v>
      </c>
      <c r="AA496">
        <v>135194</v>
      </c>
      <c r="AB496">
        <v>24918</v>
      </c>
      <c r="AD496" t="s">
        <v>4</v>
      </c>
      <c r="AE496">
        <v>21</v>
      </c>
      <c r="AF496">
        <v>9</v>
      </c>
      <c r="AH496" t="s">
        <v>2095</v>
      </c>
      <c r="AI496" t="s">
        <v>2094</v>
      </c>
      <c r="AJ496" t="s">
        <v>2093</v>
      </c>
      <c r="AK496" t="s">
        <v>2092</v>
      </c>
      <c r="AL496">
        <v>7</v>
      </c>
      <c r="AM496" s="5">
        <f t="shared" si="66"/>
        <v>0.1891891891891892</v>
      </c>
      <c r="AN496" s="4">
        <f t="shared" si="63"/>
        <v>2.8654174810933616E-4</v>
      </c>
      <c r="AO496" s="3"/>
      <c r="AP496">
        <v>0</v>
      </c>
      <c r="AR496" t="s">
        <v>0</v>
      </c>
      <c r="AT496" s="2">
        <v>1.3140000000000001</v>
      </c>
      <c r="AU496" s="1">
        <f t="shared" si="67"/>
        <v>0.70932501035150475</v>
      </c>
      <c r="AV496" s="1">
        <f t="shared" si="68"/>
        <v>0.51484762876848433</v>
      </c>
      <c r="AW496" s="1">
        <f t="shared" si="69"/>
        <v>0.32037024718546403</v>
      </c>
    </row>
    <row r="497" spans="1:49" x14ac:dyDescent="0.2">
      <c r="A497">
        <v>495</v>
      </c>
      <c r="B497" t="s">
        <v>2091</v>
      </c>
      <c r="F497" t="s">
        <v>2090</v>
      </c>
      <c r="G497" t="s">
        <v>15</v>
      </c>
      <c r="H497" t="s">
        <v>14</v>
      </c>
      <c r="I497" t="s">
        <v>2089</v>
      </c>
      <c r="J497">
        <v>60019987</v>
      </c>
      <c r="K497" t="s">
        <v>2088</v>
      </c>
      <c r="L497" t="s">
        <v>2087</v>
      </c>
      <c r="M497" t="s">
        <v>2086</v>
      </c>
      <c r="N497">
        <v>1</v>
      </c>
      <c r="O497" t="s">
        <v>2085</v>
      </c>
      <c r="P497">
        <v>55301786100</v>
      </c>
      <c r="Q497">
        <v>60019987</v>
      </c>
      <c r="R497" s="7">
        <v>31048</v>
      </c>
      <c r="S497" s="8">
        <f t="shared" si="64"/>
        <v>1985</v>
      </c>
      <c r="T497" s="8">
        <v>1985</v>
      </c>
      <c r="U497" s="8">
        <f t="shared" si="65"/>
        <v>37</v>
      </c>
      <c r="V497" s="7">
        <v>1985</v>
      </c>
      <c r="W497" s="11" t="s">
        <v>1366</v>
      </c>
      <c r="X497" s="2">
        <v>2.383</v>
      </c>
      <c r="Y497" s="6">
        <f t="shared" si="62"/>
        <v>6.3612824003630442E-2</v>
      </c>
      <c r="AA497">
        <v>1437097</v>
      </c>
      <c r="AB497">
        <v>101236</v>
      </c>
      <c r="AD497" t="s">
        <v>4</v>
      </c>
      <c r="AE497">
        <v>132</v>
      </c>
      <c r="AF497">
        <v>2</v>
      </c>
      <c r="AH497" t="s">
        <v>2084</v>
      </c>
      <c r="AL497">
        <v>0</v>
      </c>
      <c r="AM497" s="5">
        <f t="shared" si="66"/>
        <v>0</v>
      </c>
      <c r="AN497" s="4">
        <f t="shared" si="63"/>
        <v>0</v>
      </c>
      <c r="AO497" s="3"/>
      <c r="AP497">
        <v>0</v>
      </c>
      <c r="AR497" t="s">
        <v>0</v>
      </c>
      <c r="AT497" s="2" t="s">
        <v>19</v>
      </c>
      <c r="AU497" s="1">
        <f t="shared" si="67"/>
        <v>4.4528976802541305</v>
      </c>
      <c r="AV497" s="1">
        <f t="shared" si="68"/>
        <v>3.1806412001815221</v>
      </c>
      <c r="AW497" s="1">
        <f t="shared" si="69"/>
        <v>1.9083847201089132</v>
      </c>
    </row>
    <row r="498" spans="1:49" x14ac:dyDescent="0.2">
      <c r="A498">
        <v>496</v>
      </c>
      <c r="B498" t="s">
        <v>2083</v>
      </c>
      <c r="C498" t="s">
        <v>2082</v>
      </c>
      <c r="F498" t="s">
        <v>2081</v>
      </c>
      <c r="G498" t="s">
        <v>15</v>
      </c>
      <c r="H498" t="s">
        <v>14</v>
      </c>
      <c r="I498" t="s">
        <v>2080</v>
      </c>
      <c r="J498">
        <v>60068815</v>
      </c>
      <c r="K498" t="s">
        <v>2079</v>
      </c>
      <c r="L498" t="s">
        <v>2078</v>
      </c>
      <c r="M498" t="s">
        <v>2077</v>
      </c>
      <c r="N498">
        <v>2</v>
      </c>
      <c r="O498" t="s">
        <v>2076</v>
      </c>
      <c r="P498" t="s">
        <v>2075</v>
      </c>
      <c r="Q498" t="s">
        <v>2074</v>
      </c>
      <c r="R498" s="7">
        <v>31048</v>
      </c>
      <c r="S498" s="8">
        <f t="shared" si="64"/>
        <v>1985</v>
      </c>
      <c r="T498" s="8">
        <v>1985</v>
      </c>
      <c r="U498" s="8">
        <f t="shared" si="65"/>
        <v>37</v>
      </c>
      <c r="V498" s="7" t="s">
        <v>1942</v>
      </c>
      <c r="W498" s="11" t="s">
        <v>1366</v>
      </c>
      <c r="X498" s="2">
        <v>2.383</v>
      </c>
      <c r="Y498" s="6">
        <f t="shared" si="62"/>
        <v>6.3612824003630442E-2</v>
      </c>
      <c r="AA498">
        <v>1437097</v>
      </c>
      <c r="AB498">
        <v>101236</v>
      </c>
      <c r="AD498" t="s">
        <v>4</v>
      </c>
      <c r="AE498">
        <v>132</v>
      </c>
      <c r="AF498">
        <v>2</v>
      </c>
      <c r="AH498" t="s">
        <v>1526</v>
      </c>
      <c r="AI498" t="s">
        <v>2073</v>
      </c>
      <c r="AK498" t="s">
        <v>2072</v>
      </c>
      <c r="AL498">
        <v>7</v>
      </c>
      <c r="AM498" s="5">
        <f t="shared" si="66"/>
        <v>0.1891891891891892</v>
      </c>
      <c r="AN498" s="4">
        <f t="shared" si="63"/>
        <v>2.8654174810933616E-4</v>
      </c>
      <c r="AO498" s="3"/>
      <c r="AP498">
        <v>0</v>
      </c>
      <c r="AR498" t="s">
        <v>0</v>
      </c>
      <c r="AT498" s="2" t="s">
        <v>19</v>
      </c>
      <c r="AU498" s="1">
        <f t="shared" si="67"/>
        <v>4.4614939326974108</v>
      </c>
      <c r="AV498" s="1">
        <f t="shared" si="68"/>
        <v>3.1949682875869891</v>
      </c>
      <c r="AW498" s="1">
        <f t="shared" si="69"/>
        <v>1.9284426424765668</v>
      </c>
    </row>
    <row r="499" spans="1:49" x14ac:dyDescent="0.2">
      <c r="A499">
        <v>497</v>
      </c>
      <c r="B499" t="s">
        <v>2071</v>
      </c>
      <c r="C499" t="s">
        <v>2070</v>
      </c>
      <c r="F499" t="s">
        <v>2069</v>
      </c>
      <c r="G499" t="s">
        <v>15</v>
      </c>
      <c r="H499" t="s">
        <v>14</v>
      </c>
      <c r="I499" t="s">
        <v>2068</v>
      </c>
      <c r="J499" t="s">
        <v>2067</v>
      </c>
      <c r="K499" t="s">
        <v>2066</v>
      </c>
      <c r="L499" t="s">
        <v>2065</v>
      </c>
      <c r="M499" t="s">
        <v>148</v>
      </c>
      <c r="N499">
        <v>3</v>
      </c>
      <c r="O499" t="s">
        <v>2064</v>
      </c>
      <c r="P499" t="s">
        <v>2063</v>
      </c>
      <c r="Q499" t="s">
        <v>2062</v>
      </c>
      <c r="R499" s="7">
        <v>31048</v>
      </c>
      <c r="S499" s="8">
        <f t="shared" si="64"/>
        <v>1985</v>
      </c>
      <c r="T499" s="8">
        <v>1985</v>
      </c>
      <c r="U499" s="8">
        <f t="shared" si="65"/>
        <v>37</v>
      </c>
      <c r="V499" s="7">
        <v>1985</v>
      </c>
      <c r="W499" t="s">
        <v>24</v>
      </c>
      <c r="X499" s="2">
        <v>1.6519999999999999</v>
      </c>
      <c r="Y499" s="6">
        <f t="shared" si="62"/>
        <v>4.409919649769093E-2</v>
      </c>
      <c r="AA499" t="s">
        <v>23</v>
      </c>
      <c r="AB499">
        <v>17337</v>
      </c>
      <c r="AC499">
        <v>15582221</v>
      </c>
      <c r="AD499" t="s">
        <v>4</v>
      </c>
      <c r="AE499">
        <v>33</v>
      </c>
      <c r="AF499">
        <v>4</v>
      </c>
      <c r="AH499" t="s">
        <v>2061</v>
      </c>
      <c r="AI499" t="s">
        <v>2060</v>
      </c>
      <c r="AK499" t="s">
        <v>2059</v>
      </c>
      <c r="AL499">
        <v>8</v>
      </c>
      <c r="AM499" s="5">
        <f t="shared" si="66"/>
        <v>0.21621621621621623</v>
      </c>
      <c r="AN499" s="4">
        <f t="shared" si="63"/>
        <v>3.2747628355352706E-4</v>
      </c>
      <c r="AO499" s="3"/>
      <c r="AP499">
        <v>0</v>
      </c>
      <c r="AR499" t="s">
        <v>0</v>
      </c>
      <c r="AT499" s="2" t="s">
        <v>19</v>
      </c>
      <c r="AU499" s="1">
        <f t="shared" si="67"/>
        <v>3.0967680433449707</v>
      </c>
      <c r="AV499" s="1">
        <f t="shared" si="68"/>
        <v>2.2213336390622231</v>
      </c>
      <c r="AW499" s="1">
        <f t="shared" si="69"/>
        <v>1.3458992347794747</v>
      </c>
    </row>
    <row r="500" spans="1:49" x14ac:dyDescent="0.2">
      <c r="A500">
        <v>498</v>
      </c>
      <c r="B500" t="s">
        <v>2058</v>
      </c>
      <c r="C500" t="s">
        <v>2057</v>
      </c>
      <c r="F500" t="s">
        <v>2056</v>
      </c>
      <c r="G500" t="s">
        <v>15</v>
      </c>
      <c r="H500" t="s">
        <v>14</v>
      </c>
      <c r="I500" t="s">
        <v>2055</v>
      </c>
      <c r="J500">
        <v>60017965</v>
      </c>
      <c r="K500" t="s">
        <v>2054</v>
      </c>
      <c r="L500" t="s">
        <v>2053</v>
      </c>
      <c r="M500" t="s">
        <v>122</v>
      </c>
      <c r="N500">
        <v>1</v>
      </c>
      <c r="O500" t="s">
        <v>2052</v>
      </c>
      <c r="P500">
        <v>7004504343</v>
      </c>
      <c r="Q500">
        <v>60017965</v>
      </c>
      <c r="R500" s="7">
        <v>31048</v>
      </c>
      <c r="S500" s="8">
        <f t="shared" si="64"/>
        <v>1985</v>
      </c>
      <c r="T500" s="8">
        <v>1985</v>
      </c>
      <c r="U500" s="8">
        <f t="shared" si="65"/>
        <v>37</v>
      </c>
      <c r="V500" s="7">
        <v>1985</v>
      </c>
      <c r="W500" t="s">
        <v>540</v>
      </c>
      <c r="X500" s="2">
        <v>0.375</v>
      </c>
      <c r="Y500" s="6">
        <f t="shared" si="62"/>
        <v>1.0010410827260351E-2</v>
      </c>
      <c r="AA500">
        <v>135194</v>
      </c>
      <c r="AB500">
        <v>24918</v>
      </c>
      <c r="AD500" t="s">
        <v>4</v>
      </c>
      <c r="AE500">
        <v>21</v>
      </c>
      <c r="AF500">
        <v>9</v>
      </c>
      <c r="AH500" t="s">
        <v>2051</v>
      </c>
      <c r="AI500" t="s">
        <v>2050</v>
      </c>
      <c r="AJ500" t="s">
        <v>2049</v>
      </c>
      <c r="AK500" t="s">
        <v>2048</v>
      </c>
      <c r="AL500">
        <v>1</v>
      </c>
      <c r="AM500" s="5">
        <f t="shared" si="66"/>
        <v>2.7027027027027029E-2</v>
      </c>
      <c r="AN500" s="4">
        <f t="shared" si="63"/>
        <v>4.0934535444190883E-5</v>
      </c>
      <c r="AO500" s="3"/>
      <c r="AP500">
        <v>0</v>
      </c>
      <c r="AR500" t="s">
        <v>0</v>
      </c>
      <c r="AT500" s="2">
        <v>1.3140000000000001</v>
      </c>
      <c r="AU500" s="1">
        <f t="shared" si="67"/>
        <v>0.70195679397155031</v>
      </c>
      <c r="AV500" s="1">
        <f t="shared" si="68"/>
        <v>0.50256726813522712</v>
      </c>
      <c r="AW500" s="1">
        <f t="shared" si="69"/>
        <v>0.30317774229890387</v>
      </c>
    </row>
    <row r="501" spans="1:49" x14ac:dyDescent="0.2">
      <c r="A501">
        <v>499</v>
      </c>
      <c r="B501" t="s">
        <v>2047</v>
      </c>
      <c r="C501" t="s">
        <v>2046</v>
      </c>
      <c r="F501" t="s">
        <v>2045</v>
      </c>
      <c r="G501" t="s">
        <v>15</v>
      </c>
      <c r="H501" t="s">
        <v>14</v>
      </c>
      <c r="I501" t="s">
        <v>2044</v>
      </c>
      <c r="J501">
        <v>60009658</v>
      </c>
      <c r="K501" t="s">
        <v>2043</v>
      </c>
      <c r="L501" t="s">
        <v>2042</v>
      </c>
      <c r="M501" t="s">
        <v>530</v>
      </c>
      <c r="N501">
        <v>3</v>
      </c>
      <c r="O501" t="s">
        <v>2041</v>
      </c>
      <c r="P501" t="s">
        <v>2040</v>
      </c>
      <c r="Q501" t="s">
        <v>2039</v>
      </c>
      <c r="R501" s="7">
        <v>31048</v>
      </c>
      <c r="S501" s="8">
        <f t="shared" si="64"/>
        <v>1985</v>
      </c>
      <c r="T501" s="8">
        <v>1985</v>
      </c>
      <c r="U501" s="8">
        <f t="shared" si="65"/>
        <v>37</v>
      </c>
      <c r="V501" s="7">
        <v>1985</v>
      </c>
      <c r="W501" t="s">
        <v>540</v>
      </c>
      <c r="X501" s="2">
        <v>0.375</v>
      </c>
      <c r="Y501" s="6">
        <f t="shared" si="62"/>
        <v>1.0010410827260351E-2</v>
      </c>
      <c r="AA501">
        <v>135194</v>
      </c>
      <c r="AB501">
        <v>24918</v>
      </c>
      <c r="AD501" t="s">
        <v>4</v>
      </c>
      <c r="AE501">
        <v>21</v>
      </c>
      <c r="AF501">
        <v>8</v>
      </c>
      <c r="AH501" t="s">
        <v>2038</v>
      </c>
      <c r="AI501" t="s">
        <v>2037</v>
      </c>
      <c r="AJ501" t="s">
        <v>2036</v>
      </c>
      <c r="AK501" t="s">
        <v>2035</v>
      </c>
      <c r="AL501">
        <v>2</v>
      </c>
      <c r="AM501" s="5">
        <f t="shared" si="66"/>
        <v>5.4054054054054057E-2</v>
      </c>
      <c r="AN501" s="4">
        <f t="shared" si="63"/>
        <v>8.1869070888381765E-5</v>
      </c>
      <c r="AO501" s="3"/>
      <c r="AP501">
        <v>0</v>
      </c>
      <c r="AR501" t="s">
        <v>0</v>
      </c>
      <c r="AT501" s="2">
        <v>1.3140000000000001</v>
      </c>
      <c r="AU501" s="1">
        <f t="shared" si="67"/>
        <v>0.70318483003487597</v>
      </c>
      <c r="AV501" s="1">
        <f t="shared" si="68"/>
        <v>0.50461399490743664</v>
      </c>
      <c r="AW501" s="1">
        <f t="shared" si="69"/>
        <v>0.30604315977999724</v>
      </c>
    </row>
    <row r="502" spans="1:49" x14ac:dyDescent="0.2">
      <c r="A502">
        <v>500</v>
      </c>
      <c r="B502" t="s">
        <v>2034</v>
      </c>
      <c r="C502" t="s">
        <v>2033</v>
      </c>
      <c r="F502" t="s">
        <v>2032</v>
      </c>
      <c r="G502" t="s">
        <v>15</v>
      </c>
      <c r="H502" t="s">
        <v>14</v>
      </c>
      <c r="I502" t="s">
        <v>2031</v>
      </c>
      <c r="J502">
        <v>60001754</v>
      </c>
      <c r="K502" t="s">
        <v>2030</v>
      </c>
      <c r="L502" t="s">
        <v>2029</v>
      </c>
      <c r="M502" t="s">
        <v>91</v>
      </c>
      <c r="N502">
        <v>3</v>
      </c>
      <c r="O502" t="s">
        <v>2028</v>
      </c>
      <c r="P502" t="s">
        <v>2027</v>
      </c>
      <c r="Q502" t="s">
        <v>2026</v>
      </c>
      <c r="R502" s="7">
        <v>31048</v>
      </c>
      <c r="S502" s="8">
        <f t="shared" si="64"/>
        <v>1985</v>
      </c>
      <c r="T502" s="8">
        <v>1985</v>
      </c>
      <c r="U502" s="8">
        <f t="shared" si="65"/>
        <v>37</v>
      </c>
      <c r="V502" s="7" t="s">
        <v>1942</v>
      </c>
      <c r="W502" s="11" t="s">
        <v>1366</v>
      </c>
      <c r="X502" s="2">
        <v>2.383</v>
      </c>
      <c r="Y502" s="6">
        <f t="shared" si="62"/>
        <v>6.3612824003630442E-2</v>
      </c>
      <c r="AA502">
        <v>1437097</v>
      </c>
      <c r="AB502">
        <v>101236</v>
      </c>
      <c r="AD502" t="s">
        <v>4</v>
      </c>
      <c r="AE502">
        <v>132</v>
      </c>
      <c r="AF502">
        <v>2</v>
      </c>
      <c r="AH502" t="s">
        <v>2025</v>
      </c>
      <c r="AI502" t="s">
        <v>2024</v>
      </c>
      <c r="AK502" t="s">
        <v>2023</v>
      </c>
      <c r="AL502">
        <v>6</v>
      </c>
      <c r="AM502" s="5">
        <f t="shared" si="66"/>
        <v>0.16216216216216217</v>
      </c>
      <c r="AN502" s="4">
        <f t="shared" si="63"/>
        <v>2.4560721266514527E-4</v>
      </c>
      <c r="AO502" s="3"/>
      <c r="AP502">
        <v>0</v>
      </c>
      <c r="AR502" t="s">
        <v>0</v>
      </c>
      <c r="AT502" s="2" t="s">
        <v>19</v>
      </c>
      <c r="AU502" s="1">
        <f t="shared" si="67"/>
        <v>4.4602658966340849</v>
      </c>
      <c r="AV502" s="1">
        <f t="shared" si="68"/>
        <v>3.1929215608147792</v>
      </c>
      <c r="AW502" s="1">
        <f t="shared" si="69"/>
        <v>1.9255772249954735</v>
      </c>
    </row>
    <row r="503" spans="1:49" x14ac:dyDescent="0.2">
      <c r="A503">
        <v>501</v>
      </c>
      <c r="B503" t="s">
        <v>2022</v>
      </c>
      <c r="C503" t="s">
        <v>2021</v>
      </c>
      <c r="F503" t="s">
        <v>2020</v>
      </c>
      <c r="G503" t="s">
        <v>15</v>
      </c>
      <c r="H503" t="s">
        <v>14</v>
      </c>
      <c r="I503" t="s">
        <v>2019</v>
      </c>
      <c r="J503" t="s">
        <v>2018</v>
      </c>
      <c r="K503" t="s">
        <v>2017</v>
      </c>
      <c r="L503" t="s">
        <v>2016</v>
      </c>
      <c r="M503" t="s">
        <v>2015</v>
      </c>
      <c r="N503">
        <v>2</v>
      </c>
      <c r="O503" t="s">
        <v>2014</v>
      </c>
      <c r="P503">
        <v>7102488472</v>
      </c>
      <c r="Q503" t="s">
        <v>2013</v>
      </c>
      <c r="R503" s="7">
        <v>31048</v>
      </c>
      <c r="S503" s="8">
        <f t="shared" si="64"/>
        <v>1985</v>
      </c>
      <c r="T503" s="8">
        <v>1985</v>
      </c>
      <c r="U503" s="8">
        <f t="shared" si="65"/>
        <v>37</v>
      </c>
      <c r="V503" s="7">
        <v>1985</v>
      </c>
      <c r="W503" s="11" t="s">
        <v>2012</v>
      </c>
      <c r="X503" s="2">
        <v>2.383</v>
      </c>
      <c r="Y503" s="6">
        <f t="shared" si="62"/>
        <v>6.3612824003630442E-2</v>
      </c>
      <c r="AA503">
        <v>1437070</v>
      </c>
      <c r="AB503">
        <v>39742</v>
      </c>
      <c r="AD503" t="s">
        <v>4</v>
      </c>
      <c r="AE503">
        <v>132</v>
      </c>
      <c r="AF503">
        <v>2</v>
      </c>
      <c r="AH503" t="s">
        <v>2011</v>
      </c>
      <c r="AI503" t="s">
        <v>2010</v>
      </c>
      <c r="AJ503" t="s">
        <v>2009</v>
      </c>
      <c r="AK503" t="s">
        <v>2008</v>
      </c>
      <c r="AL503">
        <v>0</v>
      </c>
      <c r="AM503" s="5">
        <f t="shared" si="66"/>
        <v>0</v>
      </c>
      <c r="AN503" s="4">
        <f t="shared" si="63"/>
        <v>0</v>
      </c>
      <c r="AO503" s="3"/>
      <c r="AP503">
        <v>0</v>
      </c>
      <c r="AR503" t="s">
        <v>0</v>
      </c>
      <c r="AT503" s="2" t="s">
        <v>19</v>
      </c>
      <c r="AU503" s="1">
        <f t="shared" si="67"/>
        <v>4.4528976802541305</v>
      </c>
      <c r="AV503" s="1">
        <f t="shared" si="68"/>
        <v>3.1806412001815221</v>
      </c>
      <c r="AW503" s="1">
        <f t="shared" si="69"/>
        <v>1.9083847201089132</v>
      </c>
    </row>
    <row r="504" spans="1:49" x14ac:dyDescent="0.2">
      <c r="A504">
        <v>502</v>
      </c>
      <c r="B504" t="s">
        <v>2007</v>
      </c>
      <c r="C504" t="s">
        <v>2006</v>
      </c>
      <c r="F504" t="s">
        <v>2005</v>
      </c>
      <c r="G504" t="s">
        <v>15</v>
      </c>
      <c r="H504" t="s">
        <v>14</v>
      </c>
      <c r="I504" t="s">
        <v>2004</v>
      </c>
      <c r="J504" t="s">
        <v>2003</v>
      </c>
      <c r="K504" t="s">
        <v>2002</v>
      </c>
      <c r="L504" t="s">
        <v>2001</v>
      </c>
      <c r="M504" t="s">
        <v>28</v>
      </c>
      <c r="N504">
        <v>5</v>
      </c>
      <c r="O504" t="s">
        <v>2000</v>
      </c>
      <c r="P504" t="s">
        <v>1999</v>
      </c>
      <c r="Q504" t="s">
        <v>1998</v>
      </c>
      <c r="R504" s="7">
        <v>31048</v>
      </c>
      <c r="S504" s="8">
        <f t="shared" si="64"/>
        <v>1985</v>
      </c>
      <c r="T504" s="8">
        <v>1985</v>
      </c>
      <c r="U504" s="8">
        <f t="shared" si="65"/>
        <v>37</v>
      </c>
      <c r="V504" s="7">
        <v>1985</v>
      </c>
      <c r="W504" t="s">
        <v>24</v>
      </c>
      <c r="X504" s="2">
        <v>1.6519999999999999</v>
      </c>
      <c r="Y504" s="6">
        <f t="shared" si="62"/>
        <v>4.409919649769093E-2</v>
      </c>
      <c r="AA504" t="s">
        <v>23</v>
      </c>
      <c r="AB504">
        <v>17337</v>
      </c>
      <c r="AC504">
        <v>15582221</v>
      </c>
      <c r="AD504" t="s">
        <v>4</v>
      </c>
      <c r="AE504">
        <v>33</v>
      </c>
      <c r="AF504">
        <v>4</v>
      </c>
      <c r="AH504" t="s">
        <v>1997</v>
      </c>
      <c r="AI504" t="s">
        <v>1996</v>
      </c>
      <c r="AK504" t="s">
        <v>1995</v>
      </c>
      <c r="AL504">
        <v>15</v>
      </c>
      <c r="AM504" s="5">
        <f t="shared" si="66"/>
        <v>0.40540540540540543</v>
      </c>
      <c r="AN504" s="4">
        <f t="shared" si="63"/>
        <v>6.1401803166286322E-4</v>
      </c>
      <c r="AO504" s="3"/>
      <c r="AP504">
        <v>0</v>
      </c>
      <c r="AR504" t="s">
        <v>0</v>
      </c>
      <c r="AT504" s="2" t="s">
        <v>19</v>
      </c>
      <c r="AU504" s="1">
        <f t="shared" si="67"/>
        <v>3.105364295788251</v>
      </c>
      <c r="AV504" s="1">
        <f t="shared" si="68"/>
        <v>2.2356607264676898</v>
      </c>
      <c r="AW504" s="1">
        <f t="shared" si="69"/>
        <v>1.3659571571471283</v>
      </c>
    </row>
    <row r="505" spans="1:49" x14ac:dyDescent="0.2">
      <c r="A505">
        <v>503</v>
      </c>
      <c r="B505" t="s">
        <v>1994</v>
      </c>
      <c r="C505" t="s">
        <v>1993</v>
      </c>
      <c r="F505" t="s">
        <v>1992</v>
      </c>
      <c r="G505" t="s">
        <v>15</v>
      </c>
      <c r="H505" t="s">
        <v>14</v>
      </c>
      <c r="I505" t="s">
        <v>1991</v>
      </c>
      <c r="J505">
        <v>60002787</v>
      </c>
      <c r="K505" t="s">
        <v>1990</v>
      </c>
      <c r="L505" t="s">
        <v>1989</v>
      </c>
      <c r="M505" t="s">
        <v>544</v>
      </c>
      <c r="N505">
        <v>2</v>
      </c>
      <c r="O505" t="s">
        <v>1988</v>
      </c>
      <c r="P505" t="s">
        <v>1987</v>
      </c>
      <c r="Q505" t="s">
        <v>1986</v>
      </c>
      <c r="R505" s="7">
        <v>31048</v>
      </c>
      <c r="S505" s="8">
        <f t="shared" si="64"/>
        <v>1985</v>
      </c>
      <c r="T505" s="8">
        <v>1985</v>
      </c>
      <c r="U505" s="8">
        <f t="shared" si="65"/>
        <v>37</v>
      </c>
      <c r="V505" s="7">
        <v>1985</v>
      </c>
      <c r="W505" t="s">
        <v>24</v>
      </c>
      <c r="X505" s="2">
        <v>1.6519999999999999</v>
      </c>
      <c r="Y505" s="6">
        <f t="shared" si="62"/>
        <v>4.409919649769093E-2</v>
      </c>
      <c r="AA505" t="s">
        <v>23</v>
      </c>
      <c r="AB505">
        <v>17337</v>
      </c>
      <c r="AC505">
        <v>15582221</v>
      </c>
      <c r="AD505" t="s">
        <v>4</v>
      </c>
      <c r="AE505">
        <v>33</v>
      </c>
      <c r="AF505">
        <v>4</v>
      </c>
      <c r="AH505" t="s">
        <v>1985</v>
      </c>
      <c r="AI505" t="s">
        <v>1984</v>
      </c>
      <c r="AK505" t="s">
        <v>1983</v>
      </c>
      <c r="AL505">
        <v>59</v>
      </c>
      <c r="AM505" s="5">
        <f t="shared" si="66"/>
        <v>1.5945945945945945</v>
      </c>
      <c r="AN505" s="4">
        <f t="shared" si="63"/>
        <v>2.4151375912072615E-3</v>
      </c>
      <c r="AO505" s="3"/>
      <c r="AP505">
        <v>0</v>
      </c>
      <c r="AR505" t="s">
        <v>0</v>
      </c>
      <c r="AT505" s="2" t="s">
        <v>19</v>
      </c>
      <c r="AU505" s="1">
        <f t="shared" si="67"/>
        <v>3.1593978825745825</v>
      </c>
      <c r="AV505" s="1">
        <f t="shared" si="68"/>
        <v>2.3257167044449094</v>
      </c>
      <c r="AW505" s="1">
        <f t="shared" si="69"/>
        <v>1.4920355263152361</v>
      </c>
    </row>
    <row r="506" spans="1:49" x14ac:dyDescent="0.2">
      <c r="A506">
        <v>504</v>
      </c>
      <c r="B506" t="s">
        <v>1982</v>
      </c>
      <c r="C506" t="s">
        <v>1981</v>
      </c>
      <c r="F506" t="s">
        <v>1980</v>
      </c>
      <c r="G506" t="s">
        <v>15</v>
      </c>
      <c r="H506" t="s">
        <v>14</v>
      </c>
      <c r="I506" t="s">
        <v>1979</v>
      </c>
      <c r="J506">
        <v>60030526</v>
      </c>
      <c r="K506" t="s">
        <v>1978</v>
      </c>
      <c r="L506" t="s">
        <v>594</v>
      </c>
      <c r="M506" t="s">
        <v>544</v>
      </c>
      <c r="N506">
        <v>3</v>
      </c>
      <c r="O506" t="s">
        <v>1977</v>
      </c>
      <c r="P506" t="s">
        <v>1976</v>
      </c>
      <c r="Q506" t="s">
        <v>1975</v>
      </c>
      <c r="R506" s="7">
        <v>31048</v>
      </c>
      <c r="S506" s="8">
        <f t="shared" si="64"/>
        <v>1985</v>
      </c>
      <c r="T506" s="8">
        <v>1985</v>
      </c>
      <c r="U506" s="8">
        <f t="shared" si="65"/>
        <v>37</v>
      </c>
      <c r="V506" s="7">
        <v>1985</v>
      </c>
      <c r="W506" t="s">
        <v>24</v>
      </c>
      <c r="X506" s="2">
        <v>1.6519999999999999</v>
      </c>
      <c r="Y506" s="6">
        <f t="shared" si="62"/>
        <v>4.409919649769093E-2</v>
      </c>
      <c r="AA506" t="s">
        <v>23</v>
      </c>
      <c r="AB506">
        <v>17337</v>
      </c>
      <c r="AC506">
        <v>15582221</v>
      </c>
      <c r="AD506" t="s">
        <v>4</v>
      </c>
      <c r="AE506">
        <v>33</v>
      </c>
      <c r="AF506">
        <v>4</v>
      </c>
      <c r="AH506" t="s">
        <v>1974</v>
      </c>
      <c r="AI506" t="s">
        <v>1973</v>
      </c>
      <c r="AK506" t="s">
        <v>1972</v>
      </c>
      <c r="AL506">
        <v>1</v>
      </c>
      <c r="AM506" s="5">
        <f t="shared" si="66"/>
        <v>2.7027027027027029E-2</v>
      </c>
      <c r="AN506" s="4">
        <f t="shared" si="63"/>
        <v>4.0934535444190883E-5</v>
      </c>
      <c r="AO506" s="3"/>
      <c r="AP506">
        <v>0</v>
      </c>
      <c r="AR506" t="s">
        <v>0</v>
      </c>
      <c r="AT506" s="2" t="s">
        <v>19</v>
      </c>
      <c r="AU506" s="1">
        <f t="shared" si="67"/>
        <v>3.0881717909016908</v>
      </c>
      <c r="AV506" s="1">
        <f t="shared" si="68"/>
        <v>2.2070065516567561</v>
      </c>
      <c r="AW506" s="1">
        <f t="shared" si="69"/>
        <v>1.3258413124118213</v>
      </c>
    </row>
    <row r="507" spans="1:49" x14ac:dyDescent="0.2">
      <c r="A507">
        <v>505</v>
      </c>
      <c r="B507" t="s">
        <v>1971</v>
      </c>
      <c r="C507" t="s">
        <v>1970</v>
      </c>
      <c r="F507" t="s">
        <v>1969</v>
      </c>
      <c r="G507" t="s">
        <v>15</v>
      </c>
      <c r="H507" t="s">
        <v>14</v>
      </c>
      <c r="I507" t="s">
        <v>1968</v>
      </c>
      <c r="J507">
        <v>60031855</v>
      </c>
      <c r="K507" t="s">
        <v>1967</v>
      </c>
      <c r="L507" t="s">
        <v>1966</v>
      </c>
      <c r="M507" t="s">
        <v>434</v>
      </c>
      <c r="N507">
        <v>1</v>
      </c>
      <c r="O507" t="s">
        <v>1965</v>
      </c>
      <c r="P507">
        <v>55958130700</v>
      </c>
      <c r="Q507">
        <v>60031855</v>
      </c>
      <c r="R507" s="7">
        <v>31048</v>
      </c>
      <c r="S507" s="8">
        <f t="shared" si="64"/>
        <v>1985</v>
      </c>
      <c r="T507" s="8">
        <v>1985</v>
      </c>
      <c r="U507" s="8">
        <f t="shared" si="65"/>
        <v>37</v>
      </c>
      <c r="V507" s="7">
        <v>1985</v>
      </c>
      <c r="W507" t="s">
        <v>24</v>
      </c>
      <c r="X507" s="2">
        <v>1.6519999999999999</v>
      </c>
      <c r="Y507" s="6">
        <f t="shared" si="62"/>
        <v>4.409919649769093E-2</v>
      </c>
      <c r="AA507" t="s">
        <v>23</v>
      </c>
      <c r="AB507">
        <v>17337</v>
      </c>
      <c r="AC507">
        <v>15582221</v>
      </c>
      <c r="AD507" t="s">
        <v>4</v>
      </c>
      <c r="AE507">
        <v>33</v>
      </c>
      <c r="AF507">
        <v>4</v>
      </c>
      <c r="AH507" t="s">
        <v>1964</v>
      </c>
      <c r="AI507" t="s">
        <v>1963</v>
      </c>
      <c r="AK507" t="s">
        <v>1962</v>
      </c>
      <c r="AL507">
        <v>1</v>
      </c>
      <c r="AM507" s="5">
        <f t="shared" si="66"/>
        <v>2.7027027027027029E-2</v>
      </c>
      <c r="AN507" s="4">
        <f t="shared" si="63"/>
        <v>4.0934535444190883E-5</v>
      </c>
      <c r="AO507" s="3"/>
      <c r="AP507">
        <v>0</v>
      </c>
      <c r="AR507" t="s">
        <v>0</v>
      </c>
      <c r="AT507" s="2" t="s">
        <v>19</v>
      </c>
      <c r="AU507" s="1">
        <f t="shared" si="67"/>
        <v>3.0881717909016908</v>
      </c>
      <c r="AV507" s="1">
        <f t="shared" si="68"/>
        <v>2.2070065516567561</v>
      </c>
      <c r="AW507" s="1">
        <f t="shared" si="69"/>
        <v>1.3258413124118213</v>
      </c>
    </row>
    <row r="508" spans="1:49" x14ac:dyDescent="0.2">
      <c r="A508">
        <v>506</v>
      </c>
      <c r="B508" t="s">
        <v>1961</v>
      </c>
      <c r="C508" t="s">
        <v>1960</v>
      </c>
      <c r="F508" t="s">
        <v>1959</v>
      </c>
      <c r="G508" t="s">
        <v>15</v>
      </c>
      <c r="H508" t="s">
        <v>14</v>
      </c>
      <c r="I508" t="s">
        <v>1958</v>
      </c>
      <c r="J508">
        <v>60004750</v>
      </c>
      <c r="K508" t="s">
        <v>1957</v>
      </c>
      <c r="L508" t="s">
        <v>1956</v>
      </c>
      <c r="M508" t="s">
        <v>434</v>
      </c>
      <c r="N508">
        <v>2</v>
      </c>
      <c r="O508" t="s">
        <v>1955</v>
      </c>
      <c r="P508" t="s">
        <v>1954</v>
      </c>
      <c r="Q508" t="s">
        <v>1953</v>
      </c>
      <c r="R508" s="7">
        <v>31048</v>
      </c>
      <c r="S508" s="8">
        <f t="shared" si="64"/>
        <v>1985</v>
      </c>
      <c r="T508" s="8">
        <v>1985</v>
      </c>
      <c r="U508" s="8">
        <f t="shared" si="65"/>
        <v>37</v>
      </c>
      <c r="V508" s="7" t="s">
        <v>1942</v>
      </c>
      <c r="W508" s="11" t="s">
        <v>1366</v>
      </c>
      <c r="X508" s="2">
        <v>2.383</v>
      </c>
      <c r="Y508" s="6">
        <f t="shared" si="62"/>
        <v>6.3612824003630442E-2</v>
      </c>
      <c r="AA508">
        <v>1437097</v>
      </c>
      <c r="AB508">
        <v>101236</v>
      </c>
      <c r="AD508" t="s">
        <v>4</v>
      </c>
      <c r="AE508">
        <v>132</v>
      </c>
      <c r="AF508">
        <v>2</v>
      </c>
      <c r="AH508" t="s">
        <v>1952</v>
      </c>
      <c r="AI508" t="s">
        <v>1951</v>
      </c>
      <c r="AK508" t="s">
        <v>1950</v>
      </c>
      <c r="AL508">
        <v>59</v>
      </c>
      <c r="AM508" s="5">
        <f t="shared" si="66"/>
        <v>1.5945945945945945</v>
      </c>
      <c r="AN508" s="4">
        <f t="shared" si="63"/>
        <v>2.4151375912072615E-3</v>
      </c>
      <c r="AO508" s="3"/>
      <c r="AP508">
        <v>0</v>
      </c>
      <c r="AR508" t="s">
        <v>0</v>
      </c>
      <c r="AT508" s="2" t="s">
        <v>19</v>
      </c>
      <c r="AU508" s="1">
        <f t="shared" si="67"/>
        <v>4.525351807990349</v>
      </c>
      <c r="AV508" s="1">
        <f t="shared" si="68"/>
        <v>3.3013980797418849</v>
      </c>
      <c r="AW508" s="1">
        <f t="shared" si="69"/>
        <v>2.0774443514934218</v>
      </c>
    </row>
    <row r="509" spans="1:49" x14ac:dyDescent="0.2">
      <c r="A509">
        <v>507</v>
      </c>
      <c r="B509" t="s">
        <v>1949</v>
      </c>
      <c r="C509" t="s">
        <v>1948</v>
      </c>
      <c r="F509" t="s">
        <v>1947</v>
      </c>
      <c r="G509" t="s">
        <v>15</v>
      </c>
      <c r="H509" t="s">
        <v>14</v>
      </c>
      <c r="I509" t="s">
        <v>1946</v>
      </c>
      <c r="J509">
        <v>60079984</v>
      </c>
      <c r="K509" t="s">
        <v>1945</v>
      </c>
      <c r="L509" t="s">
        <v>1944</v>
      </c>
      <c r="M509" t="s">
        <v>191</v>
      </c>
      <c r="N509">
        <v>1</v>
      </c>
      <c r="O509" t="s">
        <v>1943</v>
      </c>
      <c r="P509">
        <v>7004643438</v>
      </c>
      <c r="Q509">
        <v>60079984</v>
      </c>
      <c r="R509" s="7">
        <v>31048</v>
      </c>
      <c r="S509" s="8">
        <f t="shared" si="64"/>
        <v>1985</v>
      </c>
      <c r="T509" s="8">
        <v>1985</v>
      </c>
      <c r="U509" s="8">
        <f t="shared" si="65"/>
        <v>37</v>
      </c>
      <c r="V509" s="7" t="s">
        <v>1942</v>
      </c>
      <c r="W509" t="s">
        <v>1941</v>
      </c>
      <c r="X509" s="2" t="s">
        <v>19</v>
      </c>
      <c r="Y509" s="6" t="e">
        <f t="shared" si="62"/>
        <v>#VALUE!</v>
      </c>
      <c r="AA509">
        <v>84204</v>
      </c>
      <c r="AB509">
        <v>27420</v>
      </c>
      <c r="AD509" t="s">
        <v>4</v>
      </c>
      <c r="AE509">
        <v>63</v>
      </c>
      <c r="AF509">
        <v>4</v>
      </c>
      <c r="AH509" t="s">
        <v>1940</v>
      </c>
      <c r="AI509" t="s">
        <v>1939</v>
      </c>
      <c r="AK509" t="s">
        <v>1938</v>
      </c>
      <c r="AL509">
        <v>7</v>
      </c>
      <c r="AM509" s="5">
        <f t="shared" si="66"/>
        <v>0.1891891891891892</v>
      </c>
      <c r="AN509" s="4">
        <f t="shared" si="63"/>
        <v>2.8654174810933616E-4</v>
      </c>
      <c r="AO509" s="3"/>
      <c r="AP509">
        <v>0</v>
      </c>
      <c r="AR509" t="s">
        <v>0</v>
      </c>
      <c r="AT509" s="2">
        <v>1.24</v>
      </c>
      <c r="AU509" s="1" t="e">
        <f t="shared" si="67"/>
        <v>#VALUE!</v>
      </c>
      <c r="AV509" s="1" t="e">
        <f t="shared" si="68"/>
        <v>#VALUE!</v>
      </c>
      <c r="AW509" s="1" t="e">
        <f t="shared" si="69"/>
        <v>#VALUE!</v>
      </c>
    </row>
    <row r="510" spans="1:49" x14ac:dyDescent="0.2">
      <c r="A510">
        <v>508</v>
      </c>
      <c r="B510" t="s">
        <v>1937</v>
      </c>
      <c r="C510" t="s">
        <v>1936</v>
      </c>
      <c r="F510" t="s">
        <v>1935</v>
      </c>
      <c r="G510" t="s">
        <v>15</v>
      </c>
      <c r="H510" t="s">
        <v>14</v>
      </c>
      <c r="I510" t="s">
        <v>1934</v>
      </c>
      <c r="J510">
        <v>60014097</v>
      </c>
      <c r="K510" t="s">
        <v>1695</v>
      </c>
      <c r="L510" t="s">
        <v>446</v>
      </c>
      <c r="M510" t="s">
        <v>434</v>
      </c>
      <c r="N510">
        <v>2</v>
      </c>
      <c r="O510" t="s">
        <v>1933</v>
      </c>
      <c r="P510" t="s">
        <v>1932</v>
      </c>
      <c r="Q510" t="s">
        <v>1692</v>
      </c>
      <c r="R510" s="7">
        <v>31048</v>
      </c>
      <c r="S510" s="8">
        <f t="shared" si="64"/>
        <v>1985</v>
      </c>
      <c r="T510" s="8">
        <v>1985</v>
      </c>
      <c r="U510" s="8">
        <f t="shared" si="65"/>
        <v>37</v>
      </c>
      <c r="V510" s="7" t="s">
        <v>1919</v>
      </c>
      <c r="W510" t="s">
        <v>429</v>
      </c>
      <c r="X510" s="2">
        <v>0.218</v>
      </c>
      <c r="Y510" s="6">
        <f t="shared" si="62"/>
        <v>5.8193854942473512E-3</v>
      </c>
      <c r="AA510">
        <v>3772063</v>
      </c>
      <c r="AB510">
        <v>130012</v>
      </c>
      <c r="AD510" t="s">
        <v>4</v>
      </c>
      <c r="AE510">
        <v>31</v>
      </c>
      <c r="AF510">
        <v>2</v>
      </c>
      <c r="AH510" t="s">
        <v>1931</v>
      </c>
      <c r="AI510" t="s">
        <v>1930</v>
      </c>
      <c r="AK510" t="s">
        <v>1929</v>
      </c>
      <c r="AL510">
        <v>1</v>
      </c>
      <c r="AM510" s="5">
        <f t="shared" si="66"/>
        <v>2.7027027027027029E-2</v>
      </c>
      <c r="AN510" s="4">
        <f t="shared" si="63"/>
        <v>4.0934535444190883E-5</v>
      </c>
      <c r="AO510" s="3"/>
      <c r="AP510">
        <v>0</v>
      </c>
      <c r="AR510" t="s">
        <v>0</v>
      </c>
      <c r="AT510" s="2">
        <v>2.3330000000000002</v>
      </c>
      <c r="AU510" s="1">
        <f t="shared" si="67"/>
        <v>0.40858502066064034</v>
      </c>
      <c r="AV510" s="1">
        <f t="shared" si="68"/>
        <v>0.29301600148457713</v>
      </c>
      <c r="AW510" s="1">
        <f t="shared" si="69"/>
        <v>0.17744698230851391</v>
      </c>
    </row>
    <row r="511" spans="1:49" x14ac:dyDescent="0.2">
      <c r="A511">
        <v>509</v>
      </c>
      <c r="B511" t="s">
        <v>1928</v>
      </c>
      <c r="C511" t="s">
        <v>1927</v>
      </c>
      <c r="F511" t="s">
        <v>1926</v>
      </c>
      <c r="G511" t="s">
        <v>15</v>
      </c>
      <c r="H511" t="s">
        <v>14</v>
      </c>
      <c r="I511" t="s">
        <v>1925</v>
      </c>
      <c r="J511">
        <v>101363702</v>
      </c>
      <c r="K511" t="s">
        <v>1924</v>
      </c>
      <c r="L511" t="s">
        <v>1923</v>
      </c>
      <c r="M511" t="s">
        <v>434</v>
      </c>
      <c r="N511">
        <v>4</v>
      </c>
      <c r="O511" t="s">
        <v>1922</v>
      </c>
      <c r="P511" t="s">
        <v>1921</v>
      </c>
      <c r="Q511" t="s">
        <v>1920</v>
      </c>
      <c r="R511" s="7">
        <v>31048</v>
      </c>
      <c r="S511" s="8">
        <f t="shared" si="64"/>
        <v>1985</v>
      </c>
      <c r="T511" s="8">
        <v>1985</v>
      </c>
      <c r="U511" s="8">
        <f t="shared" si="65"/>
        <v>37</v>
      </c>
      <c r="V511" s="7" t="s">
        <v>1919</v>
      </c>
      <c r="W511" t="s">
        <v>429</v>
      </c>
      <c r="X511" s="2">
        <v>0.218</v>
      </c>
      <c r="Y511" s="6">
        <f t="shared" si="62"/>
        <v>5.8193854942473512E-3</v>
      </c>
      <c r="AA511">
        <v>3772063</v>
      </c>
      <c r="AB511">
        <v>130012</v>
      </c>
      <c r="AD511" t="s">
        <v>4</v>
      </c>
      <c r="AE511">
        <v>31</v>
      </c>
      <c r="AF511">
        <v>2</v>
      </c>
      <c r="AH511" t="s">
        <v>1918</v>
      </c>
      <c r="AI511" t="s">
        <v>1917</v>
      </c>
      <c r="AK511" t="s">
        <v>1916</v>
      </c>
      <c r="AL511">
        <v>0</v>
      </c>
      <c r="AM511" s="5">
        <f t="shared" si="66"/>
        <v>0</v>
      </c>
      <c r="AN511" s="4">
        <f t="shared" si="63"/>
        <v>0</v>
      </c>
      <c r="AO511" s="3"/>
      <c r="AP511">
        <v>0</v>
      </c>
      <c r="AR511" t="s">
        <v>0</v>
      </c>
      <c r="AT511" s="2">
        <v>2.3330000000000002</v>
      </c>
      <c r="AU511" s="1">
        <f t="shared" si="67"/>
        <v>0.40735698459731456</v>
      </c>
      <c r="AV511" s="1">
        <f t="shared" si="68"/>
        <v>0.29096927471236755</v>
      </c>
      <c r="AW511" s="1">
        <f t="shared" si="69"/>
        <v>0.17458156482742054</v>
      </c>
    </row>
    <row r="512" spans="1:49" x14ac:dyDescent="0.2">
      <c r="A512">
        <v>510</v>
      </c>
      <c r="B512" t="s">
        <v>1915</v>
      </c>
      <c r="C512" t="s">
        <v>1914</v>
      </c>
      <c r="F512" t="s">
        <v>1913</v>
      </c>
      <c r="G512" t="s">
        <v>15</v>
      </c>
      <c r="H512" t="s">
        <v>14</v>
      </c>
      <c r="I512" t="s">
        <v>815</v>
      </c>
      <c r="J512">
        <v>60017563</v>
      </c>
      <c r="K512" t="s">
        <v>814</v>
      </c>
      <c r="L512" t="s">
        <v>813</v>
      </c>
      <c r="M512" t="s">
        <v>812</v>
      </c>
      <c r="N512">
        <v>3</v>
      </c>
      <c r="O512" t="s">
        <v>1912</v>
      </c>
      <c r="P512" t="s">
        <v>1911</v>
      </c>
      <c r="Q512" t="s">
        <v>809</v>
      </c>
      <c r="R512" s="7">
        <v>31048</v>
      </c>
      <c r="S512" s="8">
        <f t="shared" si="64"/>
        <v>1985</v>
      </c>
      <c r="T512" s="8">
        <v>1985</v>
      </c>
      <c r="U512" s="8">
        <f t="shared" si="65"/>
        <v>37</v>
      </c>
      <c r="V512" s="7">
        <v>31107</v>
      </c>
      <c r="W512" t="s">
        <v>24</v>
      </c>
      <c r="X512" s="2">
        <v>1.6519999999999999</v>
      </c>
      <c r="Y512" s="6">
        <f t="shared" si="62"/>
        <v>4.409919649769093E-2</v>
      </c>
      <c r="AA512" t="s">
        <v>23</v>
      </c>
      <c r="AB512">
        <v>17337</v>
      </c>
      <c r="AC512">
        <v>15582221</v>
      </c>
      <c r="AD512" t="s">
        <v>4</v>
      </c>
      <c r="AE512">
        <v>33</v>
      </c>
      <c r="AF512">
        <v>3</v>
      </c>
      <c r="AH512" t="s">
        <v>1910</v>
      </c>
      <c r="AI512" t="s">
        <v>1909</v>
      </c>
      <c r="AK512" t="s">
        <v>1908</v>
      </c>
      <c r="AL512">
        <v>97</v>
      </c>
      <c r="AM512" s="5">
        <f t="shared" si="66"/>
        <v>2.6216216216216215</v>
      </c>
      <c r="AN512" s="4">
        <f t="shared" si="63"/>
        <v>3.9706499380865153E-3</v>
      </c>
      <c r="AO512" s="3"/>
      <c r="AP512">
        <v>0</v>
      </c>
      <c r="AR512" t="s">
        <v>0</v>
      </c>
      <c r="AT512" s="2" t="s">
        <v>19</v>
      </c>
      <c r="AU512" s="1">
        <f t="shared" si="67"/>
        <v>3.2060632529809605</v>
      </c>
      <c r="AV512" s="1">
        <f t="shared" si="68"/>
        <v>2.4034923217888724</v>
      </c>
      <c r="AW512" s="1">
        <f t="shared" si="69"/>
        <v>1.6009213905967836</v>
      </c>
    </row>
    <row r="513" spans="1:49" x14ac:dyDescent="0.2">
      <c r="A513">
        <v>511</v>
      </c>
      <c r="B513" t="s">
        <v>1907</v>
      </c>
      <c r="C513" t="s">
        <v>1906</v>
      </c>
      <c r="F513" t="s">
        <v>1905</v>
      </c>
      <c r="G513" t="s">
        <v>15</v>
      </c>
      <c r="H513" t="s">
        <v>14</v>
      </c>
      <c r="I513" t="s">
        <v>1904</v>
      </c>
      <c r="J513">
        <v>60018714</v>
      </c>
      <c r="K513" t="s">
        <v>1903</v>
      </c>
      <c r="L513" t="s">
        <v>607</v>
      </c>
      <c r="M513" t="s">
        <v>76</v>
      </c>
      <c r="N513">
        <v>3</v>
      </c>
      <c r="O513" t="s">
        <v>1902</v>
      </c>
      <c r="P513" t="s">
        <v>1901</v>
      </c>
      <c r="Q513" t="s">
        <v>1900</v>
      </c>
      <c r="R513" s="7">
        <v>31048</v>
      </c>
      <c r="S513" s="8">
        <f t="shared" si="64"/>
        <v>1985</v>
      </c>
      <c r="T513" s="8">
        <v>1985</v>
      </c>
      <c r="U513" s="8">
        <f t="shared" si="65"/>
        <v>37</v>
      </c>
      <c r="V513" s="7">
        <v>31107</v>
      </c>
      <c r="W513" t="s">
        <v>24</v>
      </c>
      <c r="X513" s="2">
        <v>1.6519999999999999</v>
      </c>
      <c r="Y513" s="6">
        <f t="shared" si="62"/>
        <v>4.409919649769093E-2</v>
      </c>
      <c r="AA513" t="s">
        <v>23</v>
      </c>
      <c r="AB513">
        <v>17337</v>
      </c>
      <c r="AC513">
        <v>15582221</v>
      </c>
      <c r="AD513" t="s">
        <v>4</v>
      </c>
      <c r="AE513">
        <v>33</v>
      </c>
      <c r="AF513">
        <v>3</v>
      </c>
      <c r="AH513" t="s">
        <v>1899</v>
      </c>
      <c r="AI513" t="s">
        <v>1898</v>
      </c>
      <c r="AK513" t="s">
        <v>1897</v>
      </c>
      <c r="AL513">
        <v>0</v>
      </c>
      <c r="AM513" s="5">
        <f t="shared" si="66"/>
        <v>0</v>
      </c>
      <c r="AN513" s="4">
        <f t="shared" si="63"/>
        <v>0</v>
      </c>
      <c r="AO513" s="3"/>
      <c r="AP513">
        <v>0</v>
      </c>
      <c r="AR513" t="s">
        <v>0</v>
      </c>
      <c r="AT513" s="2" t="s">
        <v>19</v>
      </c>
      <c r="AU513" s="1">
        <f t="shared" si="67"/>
        <v>3.0869437548383649</v>
      </c>
      <c r="AV513" s="1">
        <f t="shared" si="68"/>
        <v>2.2049598248845466</v>
      </c>
      <c r="AW513" s="1">
        <f t="shared" si="69"/>
        <v>1.3229758949307278</v>
      </c>
    </row>
    <row r="514" spans="1:49" x14ac:dyDescent="0.2">
      <c r="A514">
        <v>512</v>
      </c>
      <c r="B514" t="s">
        <v>1896</v>
      </c>
      <c r="C514" t="s">
        <v>1895</v>
      </c>
      <c r="F514" t="s">
        <v>1894</v>
      </c>
      <c r="G514" t="s">
        <v>15</v>
      </c>
      <c r="H514" t="s">
        <v>14</v>
      </c>
      <c r="I514" t="s">
        <v>1752</v>
      </c>
      <c r="J514" t="s">
        <v>1751</v>
      </c>
      <c r="K514" t="s">
        <v>1750</v>
      </c>
      <c r="L514" t="s">
        <v>1749</v>
      </c>
      <c r="M514" t="s">
        <v>1056</v>
      </c>
      <c r="N514">
        <v>3</v>
      </c>
      <c r="O514" t="s">
        <v>1748</v>
      </c>
      <c r="P514" t="s">
        <v>1747</v>
      </c>
      <c r="Q514" t="s">
        <v>1746</v>
      </c>
      <c r="R514" s="7">
        <v>31048</v>
      </c>
      <c r="S514" s="8">
        <f t="shared" si="64"/>
        <v>1985</v>
      </c>
      <c r="T514" s="8">
        <v>1985</v>
      </c>
      <c r="U514" s="8">
        <f t="shared" si="65"/>
        <v>37</v>
      </c>
      <c r="V514" s="7">
        <v>31107</v>
      </c>
      <c r="W514" t="s">
        <v>24</v>
      </c>
      <c r="X514" s="2">
        <v>1.6519999999999999</v>
      </c>
      <c r="Y514" s="6">
        <f t="shared" ref="Y514:Y577" si="70">(X514-$Z$4)/($Z$3-$Z$4)</f>
        <v>4.409919649769093E-2</v>
      </c>
      <c r="AA514" t="s">
        <v>23</v>
      </c>
      <c r="AB514">
        <v>17337</v>
      </c>
      <c r="AC514">
        <v>15582221</v>
      </c>
      <c r="AD514" t="s">
        <v>4</v>
      </c>
      <c r="AE514">
        <v>33</v>
      </c>
      <c r="AF514">
        <v>3</v>
      </c>
      <c r="AH514" t="s">
        <v>1893</v>
      </c>
      <c r="AI514" t="s">
        <v>1892</v>
      </c>
      <c r="AK514" t="s">
        <v>1891</v>
      </c>
      <c r="AL514">
        <v>26</v>
      </c>
      <c r="AM514" s="5">
        <f t="shared" si="66"/>
        <v>0.70270270270270274</v>
      </c>
      <c r="AN514" s="4">
        <f t="shared" ref="AN514:AN577" si="71">(AM514-$AO$4)/($AO$3-$AO$4)</f>
        <v>1.0642979215489629E-3</v>
      </c>
      <c r="AO514" s="3"/>
      <c r="AP514">
        <v>0</v>
      </c>
      <c r="AR514" t="s">
        <v>0</v>
      </c>
      <c r="AT514" s="2" t="s">
        <v>19</v>
      </c>
      <c r="AU514" s="1">
        <f t="shared" si="67"/>
        <v>3.118872692484834</v>
      </c>
      <c r="AV514" s="1">
        <f t="shared" si="68"/>
        <v>2.2581747209619945</v>
      </c>
      <c r="AW514" s="1">
        <f t="shared" si="69"/>
        <v>1.3974767494391553</v>
      </c>
    </row>
    <row r="515" spans="1:49" x14ac:dyDescent="0.2">
      <c r="A515">
        <v>513</v>
      </c>
      <c r="B515" t="s">
        <v>1890</v>
      </c>
      <c r="C515" t="s">
        <v>1889</v>
      </c>
      <c r="F515" t="s">
        <v>1888</v>
      </c>
      <c r="G515" t="s">
        <v>15</v>
      </c>
      <c r="H515" t="s">
        <v>14</v>
      </c>
      <c r="I515" t="s">
        <v>1887</v>
      </c>
      <c r="J515" t="s">
        <v>1886</v>
      </c>
      <c r="K515" t="s">
        <v>1885</v>
      </c>
      <c r="L515" t="s">
        <v>1884</v>
      </c>
      <c r="M515" t="s">
        <v>1883</v>
      </c>
      <c r="N515">
        <v>2</v>
      </c>
      <c r="O515" t="s">
        <v>1882</v>
      </c>
      <c r="P515" t="s">
        <v>1881</v>
      </c>
      <c r="Q515" t="s">
        <v>1880</v>
      </c>
      <c r="R515" s="7">
        <v>31048</v>
      </c>
      <c r="S515" s="8">
        <f t="shared" si="64"/>
        <v>1985</v>
      </c>
      <c r="T515" s="8">
        <v>1985</v>
      </c>
      <c r="U515" s="8">
        <f t="shared" si="65"/>
        <v>37</v>
      </c>
      <c r="V515" s="7">
        <v>31107</v>
      </c>
      <c r="W515" t="s">
        <v>994</v>
      </c>
      <c r="X515" s="2">
        <v>1.137</v>
      </c>
      <c r="Y515" s="6">
        <f t="shared" si="70"/>
        <v>3.0351565628253384E-2</v>
      </c>
      <c r="AA515">
        <v>189251</v>
      </c>
      <c r="AB515">
        <v>17336</v>
      </c>
      <c r="AD515" t="s">
        <v>4</v>
      </c>
      <c r="AE515" t="s">
        <v>993</v>
      </c>
      <c r="AF515">
        <v>2</v>
      </c>
      <c r="AH515" t="s">
        <v>1879</v>
      </c>
      <c r="AI515" t="s">
        <v>1878</v>
      </c>
      <c r="AK515" t="s">
        <v>1877</v>
      </c>
      <c r="AL515">
        <v>27</v>
      </c>
      <c r="AM515" s="5">
        <f t="shared" si="66"/>
        <v>0.72972972972972971</v>
      </c>
      <c r="AN515" s="4">
        <f t="shared" si="71"/>
        <v>1.1052324569931537E-3</v>
      </c>
      <c r="AO515" s="3"/>
      <c r="AP515">
        <v>0</v>
      </c>
      <c r="AR515" t="s">
        <v>0</v>
      </c>
      <c r="AT515" s="2" t="s">
        <v>19</v>
      </c>
      <c r="AU515" s="1">
        <f t="shared" si="67"/>
        <v>2.1577665676875313</v>
      </c>
      <c r="AV515" s="1">
        <f t="shared" si="68"/>
        <v>1.5728399042623269</v>
      </c>
      <c r="AW515" s="1">
        <f t="shared" si="69"/>
        <v>0.98791324083712229</v>
      </c>
    </row>
    <row r="516" spans="1:49" x14ac:dyDescent="0.2">
      <c r="A516">
        <v>514</v>
      </c>
      <c r="B516" t="s">
        <v>1876</v>
      </c>
      <c r="C516" t="s">
        <v>1875</v>
      </c>
      <c r="F516" t="s">
        <v>1874</v>
      </c>
      <c r="G516" t="s">
        <v>15</v>
      </c>
      <c r="H516" t="s">
        <v>14</v>
      </c>
      <c r="I516" t="s">
        <v>1873</v>
      </c>
      <c r="J516">
        <v>60011273</v>
      </c>
      <c r="K516" t="s">
        <v>1872</v>
      </c>
      <c r="L516" t="s">
        <v>1871</v>
      </c>
      <c r="M516" t="s">
        <v>122</v>
      </c>
      <c r="N516">
        <v>1</v>
      </c>
      <c r="O516" t="s">
        <v>1870</v>
      </c>
      <c r="P516">
        <v>57198134020</v>
      </c>
      <c r="Q516">
        <v>60011273</v>
      </c>
      <c r="R516" s="7">
        <v>31048</v>
      </c>
      <c r="S516" s="8">
        <f t="shared" si="64"/>
        <v>1985</v>
      </c>
      <c r="T516" s="8">
        <v>1985</v>
      </c>
      <c r="U516" s="8">
        <f t="shared" si="65"/>
        <v>37</v>
      </c>
      <c r="V516" s="7" t="s">
        <v>310</v>
      </c>
      <c r="W516" t="s">
        <v>1726</v>
      </c>
      <c r="X516" s="2" t="s">
        <v>19</v>
      </c>
      <c r="Y516" s="6" t="e">
        <f t="shared" si="70"/>
        <v>#VALUE!</v>
      </c>
      <c r="AA516">
        <v>7481896</v>
      </c>
      <c r="AB516">
        <v>78193</v>
      </c>
      <c r="AD516" t="s">
        <v>4</v>
      </c>
      <c r="AE516">
        <v>7</v>
      </c>
      <c r="AF516">
        <v>2</v>
      </c>
      <c r="AH516" t="s">
        <v>1869</v>
      </c>
      <c r="AI516" t="s">
        <v>1868</v>
      </c>
      <c r="AK516" t="s">
        <v>1867</v>
      </c>
      <c r="AL516">
        <v>0</v>
      </c>
      <c r="AM516" s="5">
        <f t="shared" si="66"/>
        <v>0</v>
      </c>
      <c r="AN516" s="4">
        <f t="shared" si="71"/>
        <v>0</v>
      </c>
      <c r="AO516" s="3"/>
      <c r="AP516">
        <v>0</v>
      </c>
      <c r="AR516" t="s">
        <v>0</v>
      </c>
      <c r="AT516" s="2" t="s">
        <v>19</v>
      </c>
      <c r="AU516" s="1" t="e">
        <f t="shared" si="67"/>
        <v>#VALUE!</v>
      </c>
      <c r="AV516" s="1" t="e">
        <f t="shared" si="68"/>
        <v>#VALUE!</v>
      </c>
      <c r="AW516" s="1" t="e">
        <f t="shared" si="69"/>
        <v>#VALUE!</v>
      </c>
    </row>
    <row r="517" spans="1:49" x14ac:dyDescent="0.2">
      <c r="A517">
        <v>515</v>
      </c>
      <c r="B517" t="s">
        <v>1866</v>
      </c>
      <c r="C517" t="s">
        <v>1865</v>
      </c>
      <c r="F517" t="s">
        <v>1864</v>
      </c>
      <c r="G517" t="s">
        <v>15</v>
      </c>
      <c r="H517" t="s">
        <v>14</v>
      </c>
      <c r="I517" t="s">
        <v>1863</v>
      </c>
      <c r="J517">
        <v>60007843</v>
      </c>
      <c r="K517" t="s">
        <v>1862</v>
      </c>
      <c r="L517" t="s">
        <v>1861</v>
      </c>
      <c r="M517" t="s">
        <v>122</v>
      </c>
      <c r="N517">
        <v>1</v>
      </c>
      <c r="O517" t="s">
        <v>1860</v>
      </c>
      <c r="P517">
        <v>7410237435</v>
      </c>
      <c r="Q517">
        <v>60007843</v>
      </c>
      <c r="R517" s="7">
        <v>31048</v>
      </c>
      <c r="S517" s="8">
        <f t="shared" si="64"/>
        <v>1985</v>
      </c>
      <c r="T517" s="8">
        <v>1985</v>
      </c>
      <c r="U517" s="8">
        <f t="shared" si="65"/>
        <v>37</v>
      </c>
      <c r="V517" s="7">
        <v>31107</v>
      </c>
      <c r="W517" t="s">
        <v>24</v>
      </c>
      <c r="X517" s="2">
        <v>1.6519999999999999</v>
      </c>
      <c r="Y517" s="6">
        <f t="shared" si="70"/>
        <v>4.409919649769093E-2</v>
      </c>
      <c r="AA517" t="s">
        <v>23</v>
      </c>
      <c r="AB517">
        <v>17337</v>
      </c>
      <c r="AC517">
        <v>15582221</v>
      </c>
      <c r="AD517" t="s">
        <v>4</v>
      </c>
      <c r="AE517">
        <v>33</v>
      </c>
      <c r="AF517">
        <v>3</v>
      </c>
      <c r="AH517" t="s">
        <v>1859</v>
      </c>
      <c r="AI517" t="s">
        <v>1858</v>
      </c>
      <c r="AK517" t="s">
        <v>1857</v>
      </c>
      <c r="AL517">
        <v>11</v>
      </c>
      <c r="AM517" s="5">
        <f t="shared" si="66"/>
        <v>0.29729729729729731</v>
      </c>
      <c r="AN517" s="4">
        <f t="shared" si="71"/>
        <v>4.5027988988609969E-4</v>
      </c>
      <c r="AO517" s="3"/>
      <c r="AP517">
        <v>0</v>
      </c>
      <c r="AR517" t="s">
        <v>0</v>
      </c>
      <c r="AT517" s="2" t="s">
        <v>19</v>
      </c>
      <c r="AU517" s="1">
        <f t="shared" si="67"/>
        <v>3.1004521515349484</v>
      </c>
      <c r="AV517" s="1">
        <f t="shared" si="68"/>
        <v>2.2274738193788517</v>
      </c>
      <c r="AW517" s="1">
        <f t="shared" si="69"/>
        <v>1.3544954872227548</v>
      </c>
    </row>
    <row r="518" spans="1:49" x14ac:dyDescent="0.2">
      <c r="A518">
        <v>516</v>
      </c>
      <c r="B518" t="s">
        <v>1856</v>
      </c>
      <c r="C518" t="s">
        <v>1855</v>
      </c>
      <c r="F518" t="s">
        <v>1854</v>
      </c>
      <c r="G518" t="s">
        <v>15</v>
      </c>
      <c r="H518" t="s">
        <v>14</v>
      </c>
      <c r="I518" t="s">
        <v>1853</v>
      </c>
      <c r="J518">
        <v>60022195</v>
      </c>
      <c r="K518" t="s">
        <v>1852</v>
      </c>
      <c r="L518" t="s">
        <v>358</v>
      </c>
      <c r="M518" t="s">
        <v>122</v>
      </c>
      <c r="N518">
        <v>2</v>
      </c>
      <c r="O518" t="s">
        <v>1851</v>
      </c>
      <c r="P518" t="s">
        <v>1850</v>
      </c>
      <c r="Q518" t="s">
        <v>1849</v>
      </c>
      <c r="R518" s="7">
        <v>31048</v>
      </c>
      <c r="S518" s="8">
        <f t="shared" ref="S518:S581" si="72">YEAR(R518)</f>
        <v>1985</v>
      </c>
      <c r="T518" s="8">
        <v>1985</v>
      </c>
      <c r="U518" s="8">
        <f t="shared" ref="U518:U581" si="73">2022-T518</f>
        <v>37</v>
      </c>
      <c r="V518" s="7">
        <v>31107</v>
      </c>
      <c r="W518" t="s">
        <v>309</v>
      </c>
      <c r="X518" s="2">
        <v>0.62</v>
      </c>
      <c r="Y518" s="6">
        <f t="shared" si="70"/>
        <v>1.6550545901070447E-2</v>
      </c>
      <c r="AA518">
        <v>189464</v>
      </c>
      <c r="AB518">
        <v>17364</v>
      </c>
      <c r="AC518">
        <v>19410069</v>
      </c>
      <c r="AD518" t="s">
        <v>4</v>
      </c>
      <c r="AE518">
        <v>21</v>
      </c>
      <c r="AF518">
        <v>2</v>
      </c>
      <c r="AH518" t="s">
        <v>1848</v>
      </c>
      <c r="AI518" t="s">
        <v>1847</v>
      </c>
      <c r="AK518" t="s">
        <v>1846</v>
      </c>
      <c r="AL518">
        <v>0</v>
      </c>
      <c r="AM518" s="5">
        <f t="shared" ref="AM518:AM581" si="74">AL518/U518</f>
        <v>0</v>
      </c>
      <c r="AN518" s="4">
        <f t="shared" si="71"/>
        <v>0</v>
      </c>
      <c r="AO518" s="3"/>
      <c r="AP518">
        <v>0</v>
      </c>
      <c r="AR518" t="s">
        <v>0</v>
      </c>
      <c r="AT518" s="2">
        <v>1.7</v>
      </c>
      <c r="AU518" s="1">
        <f t="shared" ref="AU518:AU581" si="75">(Y518*0.7+AN518*0.3)*100</f>
        <v>1.1585382130749313</v>
      </c>
      <c r="AV518" s="1">
        <f t="shared" ref="AV518:AV581" si="76">(Y518*0.5+AN518*0.5)*100</f>
        <v>0.8275272950535224</v>
      </c>
      <c r="AW518" s="1">
        <f t="shared" ref="AW518:AW581" si="77">(Y518*0.3+AN518*0.7)*100</f>
        <v>0.49651637703211338</v>
      </c>
    </row>
    <row r="519" spans="1:49" x14ac:dyDescent="0.2">
      <c r="A519">
        <v>517</v>
      </c>
      <c r="B519" t="s">
        <v>1845</v>
      </c>
      <c r="C519" t="s">
        <v>1844</v>
      </c>
      <c r="F519" t="s">
        <v>1843</v>
      </c>
      <c r="G519" t="s">
        <v>15</v>
      </c>
      <c r="H519" t="s">
        <v>14</v>
      </c>
      <c r="I519" t="s">
        <v>1842</v>
      </c>
      <c r="J519">
        <v>60014171</v>
      </c>
      <c r="K519" t="s">
        <v>1841</v>
      </c>
      <c r="L519" t="s">
        <v>1840</v>
      </c>
      <c r="M519" t="s">
        <v>76</v>
      </c>
      <c r="N519">
        <v>2</v>
      </c>
      <c r="O519" t="s">
        <v>1839</v>
      </c>
      <c r="P519" t="s">
        <v>1838</v>
      </c>
      <c r="Q519" t="s">
        <v>1837</v>
      </c>
      <c r="R519" s="7">
        <v>31048</v>
      </c>
      <c r="S519" s="8">
        <f t="shared" si="72"/>
        <v>1985</v>
      </c>
      <c r="T519" s="8">
        <v>1985</v>
      </c>
      <c r="U519" s="8">
        <f t="shared" si="73"/>
        <v>37</v>
      </c>
      <c r="V519" s="7">
        <v>31107</v>
      </c>
      <c r="W519" t="s">
        <v>24</v>
      </c>
      <c r="X519" s="2">
        <v>1.6519999999999999</v>
      </c>
      <c r="Y519" s="6">
        <f t="shared" si="70"/>
        <v>4.409919649769093E-2</v>
      </c>
      <c r="AA519" t="s">
        <v>23</v>
      </c>
      <c r="AB519">
        <v>17337</v>
      </c>
      <c r="AC519">
        <v>15582221</v>
      </c>
      <c r="AD519" t="s">
        <v>4</v>
      </c>
      <c r="AE519">
        <v>33</v>
      </c>
      <c r="AF519">
        <v>3</v>
      </c>
      <c r="AH519" t="s">
        <v>1836</v>
      </c>
      <c r="AI519" t="s">
        <v>1835</v>
      </c>
      <c r="AK519" t="s">
        <v>1834</v>
      </c>
      <c r="AL519">
        <v>4</v>
      </c>
      <c r="AM519" s="5">
        <f t="shared" si="74"/>
        <v>0.10810810810810811</v>
      </c>
      <c r="AN519" s="4">
        <f t="shared" si="71"/>
        <v>1.6373814177676353E-4</v>
      </c>
      <c r="AO519" s="3"/>
      <c r="AP519">
        <v>0</v>
      </c>
      <c r="AR519" t="s">
        <v>0</v>
      </c>
      <c r="AT519" s="2" t="s">
        <v>19</v>
      </c>
      <c r="AU519" s="1">
        <f t="shared" si="75"/>
        <v>3.091855899091668</v>
      </c>
      <c r="AV519" s="1">
        <f t="shared" si="76"/>
        <v>2.2131467319733846</v>
      </c>
      <c r="AW519" s="1">
        <f t="shared" si="77"/>
        <v>1.3344375648551012</v>
      </c>
    </row>
    <row r="520" spans="1:49" x14ac:dyDescent="0.2">
      <c r="A520">
        <v>518</v>
      </c>
      <c r="B520" t="s">
        <v>1833</v>
      </c>
      <c r="C520" t="s">
        <v>1832</v>
      </c>
      <c r="F520" t="s">
        <v>1831</v>
      </c>
      <c r="G520" t="s">
        <v>15</v>
      </c>
      <c r="H520" t="s">
        <v>14</v>
      </c>
      <c r="I520" t="s">
        <v>1830</v>
      </c>
      <c r="J520">
        <v>60006662</v>
      </c>
      <c r="K520" t="s">
        <v>1829</v>
      </c>
      <c r="L520" t="s">
        <v>1291</v>
      </c>
      <c r="M520" t="s">
        <v>272</v>
      </c>
      <c r="N520">
        <v>3</v>
      </c>
      <c r="O520" t="s">
        <v>1828</v>
      </c>
      <c r="P520" t="s">
        <v>1827</v>
      </c>
      <c r="Q520" t="s">
        <v>1826</v>
      </c>
      <c r="R520" s="7">
        <v>31048</v>
      </c>
      <c r="S520" s="8">
        <f t="shared" si="72"/>
        <v>1985</v>
      </c>
      <c r="T520" s="8">
        <v>1985</v>
      </c>
      <c r="U520" s="8">
        <f t="shared" si="73"/>
        <v>37</v>
      </c>
      <c r="V520" s="7">
        <v>31107</v>
      </c>
      <c r="W520" t="s">
        <v>24</v>
      </c>
      <c r="X520" s="2">
        <v>1.6519999999999999</v>
      </c>
      <c r="Y520" s="6">
        <f t="shared" si="70"/>
        <v>4.409919649769093E-2</v>
      </c>
      <c r="AA520" t="s">
        <v>23</v>
      </c>
      <c r="AB520">
        <v>17337</v>
      </c>
      <c r="AC520">
        <v>15582221</v>
      </c>
      <c r="AD520" t="s">
        <v>4</v>
      </c>
      <c r="AE520">
        <v>33</v>
      </c>
      <c r="AF520">
        <v>3</v>
      </c>
      <c r="AH520" t="s">
        <v>1825</v>
      </c>
      <c r="AI520" t="s">
        <v>1824</v>
      </c>
      <c r="AK520" t="s">
        <v>1823</v>
      </c>
      <c r="AL520">
        <v>9</v>
      </c>
      <c r="AM520" s="5">
        <f t="shared" si="74"/>
        <v>0.24324324324324326</v>
      </c>
      <c r="AN520" s="4">
        <f t="shared" si="71"/>
        <v>3.684108189977179E-4</v>
      </c>
      <c r="AO520" s="3"/>
      <c r="AP520">
        <v>0</v>
      </c>
      <c r="AR520" t="s">
        <v>0</v>
      </c>
      <c r="AT520" s="2" t="s">
        <v>19</v>
      </c>
      <c r="AU520" s="1">
        <f t="shared" si="75"/>
        <v>3.0979960794082966</v>
      </c>
      <c r="AV520" s="1">
        <f t="shared" si="76"/>
        <v>2.2233803658344322</v>
      </c>
      <c r="AW520" s="1">
        <f t="shared" si="77"/>
        <v>1.3487646522605681</v>
      </c>
    </row>
    <row r="521" spans="1:49" x14ac:dyDescent="0.2">
      <c r="A521">
        <v>519</v>
      </c>
      <c r="B521" t="s">
        <v>1822</v>
      </c>
      <c r="C521" t="s">
        <v>1821</v>
      </c>
      <c r="F521" t="s">
        <v>1820</v>
      </c>
      <c r="G521" t="s">
        <v>15</v>
      </c>
      <c r="H521" t="s">
        <v>14</v>
      </c>
      <c r="I521" t="s">
        <v>1819</v>
      </c>
      <c r="J521">
        <v>60025475</v>
      </c>
      <c r="K521" t="s">
        <v>1818</v>
      </c>
      <c r="L521" t="s">
        <v>1817</v>
      </c>
      <c r="M521" t="s">
        <v>530</v>
      </c>
      <c r="N521">
        <v>4</v>
      </c>
      <c r="O521" t="s">
        <v>1816</v>
      </c>
      <c r="P521" t="s">
        <v>1815</v>
      </c>
      <c r="Q521" t="s">
        <v>1814</v>
      </c>
      <c r="R521" s="7">
        <v>31048</v>
      </c>
      <c r="S521" s="8">
        <f t="shared" si="72"/>
        <v>1985</v>
      </c>
      <c r="T521" s="8">
        <v>1985</v>
      </c>
      <c r="U521" s="8">
        <f t="shared" si="73"/>
        <v>37</v>
      </c>
      <c r="V521" s="7" t="s">
        <v>310</v>
      </c>
      <c r="W521" t="s">
        <v>1087</v>
      </c>
      <c r="X521" s="2" t="s">
        <v>19</v>
      </c>
      <c r="Y521" s="6" t="e">
        <f t="shared" si="70"/>
        <v>#VALUE!</v>
      </c>
      <c r="AA521">
        <v>2671689</v>
      </c>
      <c r="AB521">
        <v>87645</v>
      </c>
      <c r="AD521" t="s">
        <v>4</v>
      </c>
      <c r="AE521">
        <v>55</v>
      </c>
      <c r="AF521">
        <v>3</v>
      </c>
      <c r="AH521" t="s">
        <v>1813</v>
      </c>
      <c r="AI521" t="s">
        <v>1812</v>
      </c>
      <c r="AK521" t="s">
        <v>1811</v>
      </c>
      <c r="AL521">
        <v>13</v>
      </c>
      <c r="AM521" s="5">
        <f t="shared" si="74"/>
        <v>0.35135135135135137</v>
      </c>
      <c r="AN521" s="4">
        <f t="shared" si="71"/>
        <v>5.3214896077448143E-4</v>
      </c>
      <c r="AO521" s="3"/>
      <c r="AP521">
        <v>0</v>
      </c>
      <c r="AR521" t="s">
        <v>0</v>
      </c>
      <c r="AT521" s="2" t="s">
        <v>19</v>
      </c>
      <c r="AU521" s="1" t="e">
        <f t="shared" si="75"/>
        <v>#VALUE!</v>
      </c>
      <c r="AV521" s="1" t="e">
        <f t="shared" si="76"/>
        <v>#VALUE!</v>
      </c>
      <c r="AW521" s="1" t="e">
        <f t="shared" si="77"/>
        <v>#VALUE!</v>
      </c>
    </row>
    <row r="522" spans="1:49" x14ac:dyDescent="0.2">
      <c r="A522">
        <v>520</v>
      </c>
      <c r="B522" t="s">
        <v>1810</v>
      </c>
      <c r="C522" t="s">
        <v>1809</v>
      </c>
      <c r="F522" t="s">
        <v>1808</v>
      </c>
      <c r="G522" t="s">
        <v>15</v>
      </c>
      <c r="H522" t="s">
        <v>14</v>
      </c>
      <c r="I522" t="s">
        <v>1807</v>
      </c>
      <c r="J522">
        <v>60009386</v>
      </c>
      <c r="K522" t="s">
        <v>1806</v>
      </c>
      <c r="L522" t="s">
        <v>1805</v>
      </c>
      <c r="M522" t="s">
        <v>272</v>
      </c>
      <c r="N522">
        <v>2</v>
      </c>
      <c r="O522" t="s">
        <v>1804</v>
      </c>
      <c r="P522" t="s">
        <v>1803</v>
      </c>
      <c r="Q522" t="s">
        <v>1802</v>
      </c>
      <c r="R522" s="7">
        <v>31048</v>
      </c>
      <c r="S522" s="8">
        <f t="shared" si="72"/>
        <v>1985</v>
      </c>
      <c r="T522" s="8">
        <v>1985</v>
      </c>
      <c r="U522" s="8">
        <f t="shared" si="73"/>
        <v>37</v>
      </c>
      <c r="V522" s="7">
        <v>31107</v>
      </c>
      <c r="W522" t="s">
        <v>1801</v>
      </c>
      <c r="X522" s="2">
        <v>1.774</v>
      </c>
      <c r="Y522" s="6">
        <f t="shared" si="70"/>
        <v>4.7355916820159633E-2</v>
      </c>
      <c r="AA522">
        <v>295515</v>
      </c>
      <c r="AB522">
        <v>29066</v>
      </c>
      <c r="AC522">
        <v>17414326</v>
      </c>
      <c r="AD522" t="s">
        <v>4</v>
      </c>
      <c r="AE522">
        <v>25</v>
      </c>
      <c r="AF522">
        <v>3</v>
      </c>
      <c r="AH522" t="s">
        <v>1800</v>
      </c>
      <c r="AI522" t="s">
        <v>1799</v>
      </c>
      <c r="AK522" t="s">
        <v>1798</v>
      </c>
      <c r="AL522">
        <v>70</v>
      </c>
      <c r="AM522" s="5">
        <f t="shared" si="74"/>
        <v>1.8918918918918919</v>
      </c>
      <c r="AN522" s="4">
        <f t="shared" si="71"/>
        <v>2.8654174810933616E-3</v>
      </c>
      <c r="AO522" s="3"/>
      <c r="AP522">
        <v>0</v>
      </c>
      <c r="AR522" t="s">
        <v>0</v>
      </c>
      <c r="AT522" s="2">
        <v>3.1789999999999998</v>
      </c>
      <c r="AU522" s="1">
        <f t="shared" si="75"/>
        <v>3.4008767018439743</v>
      </c>
      <c r="AV522" s="1">
        <f t="shared" si="76"/>
        <v>2.5110667150626496</v>
      </c>
      <c r="AW522" s="1">
        <f t="shared" si="77"/>
        <v>1.6212567282813242</v>
      </c>
    </row>
    <row r="523" spans="1:49" x14ac:dyDescent="0.2">
      <c r="A523">
        <v>521</v>
      </c>
      <c r="B523" t="s">
        <v>1797</v>
      </c>
      <c r="C523" t="s">
        <v>1796</v>
      </c>
      <c r="F523" t="s">
        <v>1795</v>
      </c>
      <c r="G523" t="s">
        <v>15</v>
      </c>
      <c r="H523" t="s">
        <v>14</v>
      </c>
      <c r="I523" t="s">
        <v>1794</v>
      </c>
      <c r="J523">
        <v>60017695</v>
      </c>
      <c r="K523" t="s">
        <v>1658</v>
      </c>
      <c r="L523" t="s">
        <v>285</v>
      </c>
      <c r="M523" t="s">
        <v>91</v>
      </c>
      <c r="N523">
        <v>8</v>
      </c>
      <c r="O523" t="s">
        <v>1793</v>
      </c>
      <c r="P523" t="s">
        <v>1792</v>
      </c>
      <c r="Q523" t="s">
        <v>1791</v>
      </c>
      <c r="R523" s="7">
        <v>31048</v>
      </c>
      <c r="S523" s="8">
        <f t="shared" si="72"/>
        <v>1985</v>
      </c>
      <c r="T523" s="8">
        <v>1985</v>
      </c>
      <c r="U523" s="8">
        <f t="shared" si="73"/>
        <v>37</v>
      </c>
      <c r="V523" s="7">
        <v>36951</v>
      </c>
      <c r="W523" t="s">
        <v>1040</v>
      </c>
      <c r="X523" s="2">
        <v>1.67</v>
      </c>
      <c r="Y523" s="6">
        <f t="shared" si="70"/>
        <v>4.4579696217399427E-2</v>
      </c>
      <c r="AA523">
        <v>1480227</v>
      </c>
      <c r="AB523">
        <v>28428</v>
      </c>
      <c r="AD523" t="s">
        <v>4</v>
      </c>
      <c r="AE523">
        <v>90</v>
      </c>
      <c r="AF523" t="s">
        <v>1654</v>
      </c>
      <c r="AH523" t="s">
        <v>1790</v>
      </c>
      <c r="AI523" t="s">
        <v>1789</v>
      </c>
      <c r="AK523" t="s">
        <v>1788</v>
      </c>
      <c r="AL523">
        <v>20</v>
      </c>
      <c r="AM523" s="5">
        <f t="shared" si="74"/>
        <v>0.54054054054054057</v>
      </c>
      <c r="AN523" s="4">
        <f t="shared" si="71"/>
        <v>8.186907088838176E-4</v>
      </c>
      <c r="AO523" s="3"/>
      <c r="AP523">
        <v>0</v>
      </c>
      <c r="AR523" t="s">
        <v>0</v>
      </c>
      <c r="AT523" s="2" t="s">
        <v>19</v>
      </c>
      <c r="AU523" s="1">
        <f t="shared" si="75"/>
        <v>3.1451394564844741</v>
      </c>
      <c r="AV523" s="1">
        <f t="shared" si="76"/>
        <v>2.269919346314162</v>
      </c>
      <c r="AW523" s="1">
        <f t="shared" si="77"/>
        <v>1.3946992361438502</v>
      </c>
    </row>
    <row r="524" spans="1:49" x14ac:dyDescent="0.2">
      <c r="A524">
        <v>522</v>
      </c>
      <c r="B524" t="s">
        <v>1787</v>
      </c>
      <c r="C524" t="s">
        <v>1786</v>
      </c>
      <c r="F524" t="s">
        <v>1785</v>
      </c>
      <c r="G524" t="s">
        <v>15</v>
      </c>
      <c r="H524" t="s">
        <v>14</v>
      </c>
      <c r="I524" t="s">
        <v>1784</v>
      </c>
      <c r="J524">
        <v>60017563</v>
      </c>
      <c r="K524" t="s">
        <v>814</v>
      </c>
      <c r="L524" t="s">
        <v>813</v>
      </c>
      <c r="M524" t="s">
        <v>812</v>
      </c>
      <c r="N524">
        <v>3</v>
      </c>
      <c r="O524" t="s">
        <v>1783</v>
      </c>
      <c r="P524" t="s">
        <v>1782</v>
      </c>
      <c r="Q524" t="s">
        <v>809</v>
      </c>
      <c r="R524" s="7">
        <v>31048</v>
      </c>
      <c r="S524" s="8">
        <f t="shared" si="72"/>
        <v>1985</v>
      </c>
      <c r="T524" s="8">
        <v>1985</v>
      </c>
      <c r="U524" s="8">
        <f t="shared" si="73"/>
        <v>37</v>
      </c>
      <c r="V524" s="7">
        <v>31107</v>
      </c>
      <c r="W524" t="s">
        <v>24</v>
      </c>
      <c r="X524" s="2">
        <v>1.6519999999999999</v>
      </c>
      <c r="Y524" s="6">
        <f t="shared" si="70"/>
        <v>4.409919649769093E-2</v>
      </c>
      <c r="AA524" t="s">
        <v>23</v>
      </c>
      <c r="AB524">
        <v>17337</v>
      </c>
      <c r="AC524">
        <v>15582221</v>
      </c>
      <c r="AD524" t="s">
        <v>4</v>
      </c>
      <c r="AE524">
        <v>33</v>
      </c>
      <c r="AF524">
        <v>3</v>
      </c>
      <c r="AH524" t="s">
        <v>1781</v>
      </c>
      <c r="AI524" t="s">
        <v>1780</v>
      </c>
      <c r="AK524" t="s">
        <v>1779</v>
      </c>
      <c r="AL524">
        <v>79</v>
      </c>
      <c r="AM524" s="5">
        <f t="shared" si="74"/>
        <v>2.1351351351351351</v>
      </c>
      <c r="AN524" s="4">
        <f t="shared" si="71"/>
        <v>3.2338283000910794E-3</v>
      </c>
      <c r="AO524" s="3"/>
      <c r="AP524">
        <v>0</v>
      </c>
      <c r="AR524" t="s">
        <v>0</v>
      </c>
      <c r="AT524" s="2" t="s">
        <v>19</v>
      </c>
      <c r="AU524" s="1">
        <f t="shared" si="75"/>
        <v>3.1839586038410972</v>
      </c>
      <c r="AV524" s="1">
        <f t="shared" si="76"/>
        <v>2.3666512398891006</v>
      </c>
      <c r="AW524" s="1">
        <f t="shared" si="77"/>
        <v>1.5493438759371032</v>
      </c>
    </row>
    <row r="525" spans="1:49" x14ac:dyDescent="0.2">
      <c r="A525">
        <v>523</v>
      </c>
      <c r="B525" t="s">
        <v>1778</v>
      </c>
      <c r="C525" t="s">
        <v>1777</v>
      </c>
      <c r="F525" t="s">
        <v>1776</v>
      </c>
      <c r="G525" t="s">
        <v>15</v>
      </c>
      <c r="H525" t="s">
        <v>14</v>
      </c>
      <c r="I525" t="s">
        <v>1775</v>
      </c>
      <c r="J525">
        <v>60007801</v>
      </c>
      <c r="K525" t="s">
        <v>1774</v>
      </c>
      <c r="L525" t="s">
        <v>1773</v>
      </c>
      <c r="M525" t="s">
        <v>122</v>
      </c>
      <c r="N525">
        <v>1</v>
      </c>
      <c r="O525" t="s">
        <v>1772</v>
      </c>
      <c r="P525">
        <v>57213084631</v>
      </c>
      <c r="Q525">
        <v>60007801</v>
      </c>
      <c r="R525" s="7">
        <v>31048</v>
      </c>
      <c r="S525" s="8">
        <f t="shared" si="72"/>
        <v>1985</v>
      </c>
      <c r="T525" s="8">
        <v>1985</v>
      </c>
      <c r="U525" s="8">
        <f t="shared" si="73"/>
        <v>37</v>
      </c>
      <c r="V525" s="7">
        <v>31107</v>
      </c>
      <c r="W525" t="s">
        <v>24</v>
      </c>
      <c r="X525" s="2">
        <v>1.6519999999999999</v>
      </c>
      <c r="Y525" s="6">
        <f t="shared" si="70"/>
        <v>4.409919649769093E-2</v>
      </c>
      <c r="AA525" t="s">
        <v>23</v>
      </c>
      <c r="AB525">
        <v>17337</v>
      </c>
      <c r="AC525">
        <v>15582221</v>
      </c>
      <c r="AD525" t="s">
        <v>4</v>
      </c>
      <c r="AE525">
        <v>33</v>
      </c>
      <c r="AF525">
        <v>3</v>
      </c>
      <c r="AH525" t="s">
        <v>1771</v>
      </c>
      <c r="AI525" t="s">
        <v>1770</v>
      </c>
      <c r="AK525" t="s">
        <v>1769</v>
      </c>
      <c r="AL525">
        <v>1</v>
      </c>
      <c r="AM525" s="5">
        <f t="shared" si="74"/>
        <v>2.7027027027027029E-2</v>
      </c>
      <c r="AN525" s="4">
        <f t="shared" si="71"/>
        <v>4.0934535444190883E-5</v>
      </c>
      <c r="AO525" s="3"/>
      <c r="AP525">
        <v>0</v>
      </c>
      <c r="AR525" t="s">
        <v>0</v>
      </c>
      <c r="AT525" s="2" t="s">
        <v>19</v>
      </c>
      <c r="AU525" s="1">
        <f t="shared" si="75"/>
        <v>3.0881717909016908</v>
      </c>
      <c r="AV525" s="1">
        <f t="shared" si="76"/>
        <v>2.2070065516567561</v>
      </c>
      <c r="AW525" s="1">
        <f t="shared" si="77"/>
        <v>1.3258413124118213</v>
      </c>
    </row>
    <row r="526" spans="1:49" x14ac:dyDescent="0.2">
      <c r="A526">
        <v>524</v>
      </c>
      <c r="B526" t="s">
        <v>1768</v>
      </c>
      <c r="C526" t="s">
        <v>1767</v>
      </c>
      <c r="F526" t="s">
        <v>1766</v>
      </c>
      <c r="G526" t="s">
        <v>15</v>
      </c>
      <c r="H526" t="s">
        <v>14</v>
      </c>
      <c r="I526" t="s">
        <v>1765</v>
      </c>
      <c r="J526" t="s">
        <v>1764</v>
      </c>
      <c r="K526" t="s">
        <v>1763</v>
      </c>
      <c r="L526" t="s">
        <v>1762</v>
      </c>
      <c r="M526" t="s">
        <v>28</v>
      </c>
      <c r="N526">
        <v>2</v>
      </c>
      <c r="O526" t="s">
        <v>1761</v>
      </c>
      <c r="P526" t="s">
        <v>1760</v>
      </c>
      <c r="Q526" t="s">
        <v>1759</v>
      </c>
      <c r="R526" s="7">
        <v>31048</v>
      </c>
      <c r="S526" s="8">
        <f t="shared" si="72"/>
        <v>1985</v>
      </c>
      <c r="T526" s="8">
        <v>1985</v>
      </c>
      <c r="U526" s="8">
        <f t="shared" si="73"/>
        <v>37</v>
      </c>
      <c r="V526" s="7">
        <v>31107</v>
      </c>
      <c r="W526" t="s">
        <v>24</v>
      </c>
      <c r="X526" s="2">
        <v>1.6519999999999999</v>
      </c>
      <c r="Y526" s="6">
        <f t="shared" si="70"/>
        <v>4.409919649769093E-2</v>
      </c>
      <c r="AA526" t="s">
        <v>23</v>
      </c>
      <c r="AB526">
        <v>17337</v>
      </c>
      <c r="AC526">
        <v>15582221</v>
      </c>
      <c r="AD526" t="s">
        <v>4</v>
      </c>
      <c r="AE526">
        <v>33</v>
      </c>
      <c r="AF526">
        <v>3</v>
      </c>
      <c r="AH526" t="s">
        <v>1758</v>
      </c>
      <c r="AI526" t="s">
        <v>1757</v>
      </c>
      <c r="AK526" t="s">
        <v>1756</v>
      </c>
      <c r="AL526">
        <v>8</v>
      </c>
      <c r="AM526" s="5">
        <f t="shared" si="74"/>
        <v>0.21621621621621623</v>
      </c>
      <c r="AN526" s="4">
        <f t="shared" si="71"/>
        <v>3.2747628355352706E-4</v>
      </c>
      <c r="AO526" s="3"/>
      <c r="AP526">
        <v>0</v>
      </c>
      <c r="AR526" t="s">
        <v>0</v>
      </c>
      <c r="AT526" s="2" t="s">
        <v>19</v>
      </c>
      <c r="AU526" s="1">
        <f t="shared" si="75"/>
        <v>3.0967680433449707</v>
      </c>
      <c r="AV526" s="1">
        <f t="shared" si="76"/>
        <v>2.2213336390622231</v>
      </c>
      <c r="AW526" s="1">
        <f t="shared" si="77"/>
        <v>1.3458992347794747</v>
      </c>
    </row>
    <row r="527" spans="1:49" x14ac:dyDescent="0.2">
      <c r="A527">
        <v>525</v>
      </c>
      <c r="B527" t="s">
        <v>1755</v>
      </c>
      <c r="C527" t="s">
        <v>1754</v>
      </c>
      <c r="F527" t="s">
        <v>1753</v>
      </c>
      <c r="G527" t="s">
        <v>15</v>
      </c>
      <c r="H527" t="s">
        <v>14</v>
      </c>
      <c r="I527" t="s">
        <v>1752</v>
      </c>
      <c r="J527" t="s">
        <v>1751</v>
      </c>
      <c r="K527" t="s">
        <v>1750</v>
      </c>
      <c r="L527" t="s">
        <v>1749</v>
      </c>
      <c r="M527" t="s">
        <v>1056</v>
      </c>
      <c r="N527">
        <v>3</v>
      </c>
      <c r="O527" t="s">
        <v>1748</v>
      </c>
      <c r="P527" t="s">
        <v>1747</v>
      </c>
      <c r="Q527" t="s">
        <v>1746</v>
      </c>
      <c r="R527" s="7">
        <v>31048</v>
      </c>
      <c r="S527" s="8">
        <f t="shared" si="72"/>
        <v>1985</v>
      </c>
      <c r="T527" s="8">
        <v>1985</v>
      </c>
      <c r="U527" s="8">
        <f t="shared" si="73"/>
        <v>37</v>
      </c>
      <c r="V527" s="7">
        <v>31107</v>
      </c>
      <c r="W527" t="s">
        <v>24</v>
      </c>
      <c r="X527" s="2">
        <v>1.6519999999999999</v>
      </c>
      <c r="Y527" s="6">
        <f t="shared" si="70"/>
        <v>4.409919649769093E-2</v>
      </c>
      <c r="AA527" t="s">
        <v>23</v>
      </c>
      <c r="AB527">
        <v>17337</v>
      </c>
      <c r="AC527">
        <v>15582221</v>
      </c>
      <c r="AD527" t="s">
        <v>4</v>
      </c>
      <c r="AE527">
        <v>33</v>
      </c>
      <c r="AF527">
        <v>3</v>
      </c>
      <c r="AH527" t="s">
        <v>1745</v>
      </c>
      <c r="AI527" t="s">
        <v>1744</v>
      </c>
      <c r="AK527" t="s">
        <v>1743</v>
      </c>
      <c r="AL527">
        <v>7</v>
      </c>
      <c r="AM527" s="5">
        <f t="shared" si="74"/>
        <v>0.1891891891891892</v>
      </c>
      <c r="AN527" s="4">
        <f t="shared" si="71"/>
        <v>2.8654174810933616E-4</v>
      </c>
      <c r="AO527" s="3"/>
      <c r="AP527">
        <v>0</v>
      </c>
      <c r="AR527" t="s">
        <v>0</v>
      </c>
      <c r="AT527" s="2" t="s">
        <v>19</v>
      </c>
      <c r="AU527" s="1">
        <f t="shared" si="75"/>
        <v>3.0955400072816452</v>
      </c>
      <c r="AV527" s="1">
        <f t="shared" si="76"/>
        <v>2.2192869122900132</v>
      </c>
      <c r="AW527" s="1">
        <f t="shared" si="77"/>
        <v>1.3430338172983813</v>
      </c>
    </row>
    <row r="528" spans="1:49" x14ac:dyDescent="0.2">
      <c r="A528">
        <v>526</v>
      </c>
      <c r="B528" t="s">
        <v>1742</v>
      </c>
      <c r="C528" t="s">
        <v>1741</v>
      </c>
      <c r="F528" t="s">
        <v>1740</v>
      </c>
      <c r="G528" t="s">
        <v>15</v>
      </c>
      <c r="H528" t="s">
        <v>14</v>
      </c>
      <c r="I528" t="s">
        <v>424</v>
      </c>
      <c r="J528" t="s">
        <v>419</v>
      </c>
      <c r="K528" t="s">
        <v>423</v>
      </c>
      <c r="L528" t="s">
        <v>422</v>
      </c>
      <c r="M528" t="s">
        <v>28</v>
      </c>
      <c r="N528">
        <v>2</v>
      </c>
      <c r="O528" t="s">
        <v>421</v>
      </c>
      <c r="P528" t="s">
        <v>420</v>
      </c>
      <c r="Q528" t="s">
        <v>419</v>
      </c>
      <c r="R528" s="7">
        <v>31048</v>
      </c>
      <c r="S528" s="8">
        <f t="shared" si="72"/>
        <v>1985</v>
      </c>
      <c r="T528" s="8">
        <v>1985</v>
      </c>
      <c r="U528" s="8">
        <f t="shared" si="73"/>
        <v>37</v>
      </c>
      <c r="V528" s="7">
        <v>31107</v>
      </c>
      <c r="W528" t="s">
        <v>1739</v>
      </c>
      <c r="X528" s="2">
        <v>0.82799999999999996</v>
      </c>
      <c r="Y528" s="6">
        <f t="shared" si="70"/>
        <v>2.2102987106590855E-2</v>
      </c>
      <c r="AA528">
        <v>11452</v>
      </c>
      <c r="AB528">
        <v>29964</v>
      </c>
      <c r="AD528" t="s">
        <v>4</v>
      </c>
      <c r="AE528">
        <v>23</v>
      </c>
      <c r="AF528">
        <v>3</v>
      </c>
      <c r="AH528" t="s">
        <v>1738</v>
      </c>
      <c r="AI528" t="s">
        <v>1737</v>
      </c>
      <c r="AK528" t="s">
        <v>1736</v>
      </c>
      <c r="AL528">
        <v>128</v>
      </c>
      <c r="AM528" s="5">
        <f t="shared" si="74"/>
        <v>3.4594594594594597</v>
      </c>
      <c r="AN528" s="4">
        <f t="shared" si="71"/>
        <v>5.239620536856433E-3</v>
      </c>
      <c r="AO528" s="3"/>
      <c r="AP528">
        <v>0</v>
      </c>
      <c r="AR528" t="s">
        <v>0</v>
      </c>
      <c r="AT528" s="2">
        <v>2.1269999999999998</v>
      </c>
      <c r="AU528" s="1">
        <f t="shared" si="75"/>
        <v>1.7043977135670529</v>
      </c>
      <c r="AV528" s="1">
        <f t="shared" si="76"/>
        <v>1.3671303821723644</v>
      </c>
      <c r="AW528" s="1">
        <f t="shared" si="77"/>
        <v>1.029863050777676</v>
      </c>
    </row>
    <row r="529" spans="1:49" x14ac:dyDescent="0.2">
      <c r="A529">
        <v>527</v>
      </c>
      <c r="B529" t="s">
        <v>1735</v>
      </c>
      <c r="C529" t="s">
        <v>1734</v>
      </c>
      <c r="F529" t="s">
        <v>1733</v>
      </c>
      <c r="G529" t="s">
        <v>15</v>
      </c>
      <c r="H529" t="s">
        <v>14</v>
      </c>
      <c r="I529" t="s">
        <v>1732</v>
      </c>
      <c r="J529">
        <v>60015658</v>
      </c>
      <c r="K529" t="s">
        <v>1731</v>
      </c>
      <c r="L529" t="s">
        <v>1730</v>
      </c>
      <c r="M529" t="s">
        <v>544</v>
      </c>
      <c r="N529">
        <v>3</v>
      </c>
      <c r="O529" t="s">
        <v>1729</v>
      </c>
      <c r="P529" t="s">
        <v>1728</v>
      </c>
      <c r="Q529" t="s">
        <v>1727</v>
      </c>
      <c r="R529" s="7">
        <v>31048</v>
      </c>
      <c r="S529" s="8">
        <f t="shared" si="72"/>
        <v>1985</v>
      </c>
      <c r="T529" s="8">
        <v>1985</v>
      </c>
      <c r="U529" s="8">
        <f t="shared" si="73"/>
        <v>37</v>
      </c>
      <c r="V529" s="7" t="s">
        <v>310</v>
      </c>
      <c r="W529" t="s">
        <v>1726</v>
      </c>
      <c r="X529" s="2" t="s">
        <v>19</v>
      </c>
      <c r="Y529" s="6" t="e">
        <f t="shared" si="70"/>
        <v>#VALUE!</v>
      </c>
      <c r="AA529">
        <v>7481896</v>
      </c>
      <c r="AB529">
        <v>78193</v>
      </c>
      <c r="AD529" t="s">
        <v>4</v>
      </c>
      <c r="AE529">
        <v>7</v>
      </c>
      <c r="AF529">
        <v>2</v>
      </c>
      <c r="AH529" t="s">
        <v>1725</v>
      </c>
      <c r="AI529" t="s">
        <v>1724</v>
      </c>
      <c r="AK529" t="s">
        <v>1723</v>
      </c>
      <c r="AL529">
        <v>1</v>
      </c>
      <c r="AM529" s="5">
        <f t="shared" si="74"/>
        <v>2.7027027027027029E-2</v>
      </c>
      <c r="AN529" s="4">
        <f t="shared" si="71"/>
        <v>4.0934535444190883E-5</v>
      </c>
      <c r="AO529" s="3"/>
      <c r="AP529">
        <v>0</v>
      </c>
      <c r="AR529" t="s">
        <v>0</v>
      </c>
      <c r="AT529" s="2" t="s">
        <v>19</v>
      </c>
      <c r="AU529" s="1" t="e">
        <f t="shared" si="75"/>
        <v>#VALUE!</v>
      </c>
      <c r="AV529" s="1" t="e">
        <f t="shared" si="76"/>
        <v>#VALUE!</v>
      </c>
      <c r="AW529" s="1" t="e">
        <f t="shared" si="77"/>
        <v>#VALUE!</v>
      </c>
    </row>
    <row r="530" spans="1:49" x14ac:dyDescent="0.2">
      <c r="A530">
        <v>528</v>
      </c>
      <c r="B530" t="s">
        <v>1722</v>
      </c>
      <c r="C530" t="s">
        <v>1721</v>
      </c>
      <c r="F530" t="s">
        <v>1720</v>
      </c>
      <c r="G530" t="s">
        <v>15</v>
      </c>
      <c r="H530" t="s">
        <v>14</v>
      </c>
      <c r="I530" t="s">
        <v>1719</v>
      </c>
      <c r="N530">
        <v>2</v>
      </c>
      <c r="O530" t="s">
        <v>1718</v>
      </c>
      <c r="P530" t="s">
        <v>1717</v>
      </c>
      <c r="Q530" t="s">
        <v>895</v>
      </c>
      <c r="R530" s="7">
        <v>31048</v>
      </c>
      <c r="S530" s="8">
        <f t="shared" si="72"/>
        <v>1985</v>
      </c>
      <c r="T530" s="8">
        <v>1985</v>
      </c>
      <c r="U530" s="8">
        <f t="shared" si="73"/>
        <v>37</v>
      </c>
      <c r="V530" s="7">
        <v>31107</v>
      </c>
      <c r="W530" t="s">
        <v>24</v>
      </c>
      <c r="X530" s="2">
        <v>1.6519999999999999</v>
      </c>
      <c r="Y530" s="6">
        <f t="shared" si="70"/>
        <v>4.409919649769093E-2</v>
      </c>
      <c r="AA530" t="s">
        <v>23</v>
      </c>
      <c r="AB530">
        <v>17337</v>
      </c>
      <c r="AC530">
        <v>15582221</v>
      </c>
      <c r="AD530" t="s">
        <v>4</v>
      </c>
      <c r="AE530">
        <v>33</v>
      </c>
      <c r="AF530">
        <v>3</v>
      </c>
      <c r="AH530" t="s">
        <v>1716</v>
      </c>
      <c r="AI530" t="s">
        <v>1715</v>
      </c>
      <c r="AK530" t="s">
        <v>1714</v>
      </c>
      <c r="AL530">
        <v>17</v>
      </c>
      <c r="AM530" s="5">
        <f t="shared" si="74"/>
        <v>0.45945945945945948</v>
      </c>
      <c r="AN530" s="4">
        <f t="shared" si="71"/>
        <v>6.9588710255124491E-4</v>
      </c>
      <c r="AO530" s="3"/>
      <c r="AP530">
        <v>0</v>
      </c>
      <c r="AR530" t="s">
        <v>0</v>
      </c>
      <c r="AT530" s="2" t="s">
        <v>19</v>
      </c>
      <c r="AU530" s="1">
        <f t="shared" si="75"/>
        <v>3.1078203679149023</v>
      </c>
      <c r="AV530" s="1">
        <f t="shared" si="76"/>
        <v>2.2397541800121088</v>
      </c>
      <c r="AW530" s="1">
        <f t="shared" si="77"/>
        <v>1.371687992109315</v>
      </c>
    </row>
    <row r="531" spans="1:49" x14ac:dyDescent="0.2">
      <c r="A531">
        <v>529</v>
      </c>
      <c r="B531" t="s">
        <v>1713</v>
      </c>
      <c r="C531" t="s">
        <v>1712</v>
      </c>
      <c r="F531" t="s">
        <v>1711</v>
      </c>
      <c r="G531" t="s">
        <v>15</v>
      </c>
      <c r="H531" t="s">
        <v>14</v>
      </c>
      <c r="I531" t="s">
        <v>1710</v>
      </c>
      <c r="J531" t="s">
        <v>1709</v>
      </c>
      <c r="K531" t="s">
        <v>1708</v>
      </c>
      <c r="L531" t="s">
        <v>1707</v>
      </c>
      <c r="M531" t="s">
        <v>61</v>
      </c>
      <c r="N531">
        <v>3</v>
      </c>
      <c r="O531" t="s">
        <v>1706</v>
      </c>
      <c r="P531" t="s">
        <v>1705</v>
      </c>
      <c r="Q531" t="s">
        <v>1704</v>
      </c>
      <c r="R531" s="7">
        <v>31048</v>
      </c>
      <c r="S531" s="8">
        <f t="shared" si="72"/>
        <v>1985</v>
      </c>
      <c r="T531" s="8">
        <v>1985</v>
      </c>
      <c r="U531" s="8">
        <f t="shared" si="73"/>
        <v>37</v>
      </c>
      <c r="V531" s="7">
        <v>1985</v>
      </c>
      <c r="W531" t="s">
        <v>540</v>
      </c>
      <c r="X531" s="2">
        <v>0.375</v>
      </c>
      <c r="Y531" s="6">
        <f t="shared" si="70"/>
        <v>1.0010410827260351E-2</v>
      </c>
      <c r="AA531">
        <v>135194</v>
      </c>
      <c r="AB531">
        <v>24918</v>
      </c>
      <c r="AD531" t="s">
        <v>4</v>
      </c>
      <c r="AE531">
        <v>21</v>
      </c>
      <c r="AF531">
        <v>7</v>
      </c>
      <c r="AH531" t="s">
        <v>1703</v>
      </c>
      <c r="AI531" t="s">
        <v>1702</v>
      </c>
      <c r="AJ531" t="s">
        <v>1701</v>
      </c>
      <c r="AK531" t="s">
        <v>1700</v>
      </c>
      <c r="AL531">
        <v>4</v>
      </c>
      <c r="AM531" s="5">
        <f t="shared" si="74"/>
        <v>0.10810810810810811</v>
      </c>
      <c r="AN531" s="4">
        <f t="shared" si="71"/>
        <v>1.6373814177676353E-4</v>
      </c>
      <c r="AO531" s="3"/>
      <c r="AP531">
        <v>0</v>
      </c>
      <c r="AR531" t="s">
        <v>0</v>
      </c>
      <c r="AT531" s="2">
        <v>1.3140000000000001</v>
      </c>
      <c r="AU531" s="1">
        <f t="shared" si="75"/>
        <v>0.70564090216152753</v>
      </c>
      <c r="AV531" s="1">
        <f t="shared" si="76"/>
        <v>0.50870744845185578</v>
      </c>
      <c r="AW531" s="1">
        <f t="shared" si="77"/>
        <v>0.31177399474218398</v>
      </c>
    </row>
    <row r="532" spans="1:49" x14ac:dyDescent="0.2">
      <c r="A532">
        <v>530</v>
      </c>
      <c r="B532" t="s">
        <v>1699</v>
      </c>
      <c r="C532" t="s">
        <v>1698</v>
      </c>
      <c r="F532" t="s">
        <v>1697</v>
      </c>
      <c r="G532" t="s">
        <v>15</v>
      </c>
      <c r="H532" t="s">
        <v>14</v>
      </c>
      <c r="I532" t="s">
        <v>1696</v>
      </c>
      <c r="J532">
        <v>60014097</v>
      </c>
      <c r="K532" t="s">
        <v>1695</v>
      </c>
      <c r="L532" t="s">
        <v>446</v>
      </c>
      <c r="M532" t="s">
        <v>434</v>
      </c>
      <c r="N532">
        <v>2</v>
      </c>
      <c r="O532" t="s">
        <v>1694</v>
      </c>
      <c r="P532" t="s">
        <v>1693</v>
      </c>
      <c r="Q532" t="s">
        <v>1692</v>
      </c>
      <c r="R532" s="7">
        <v>31048</v>
      </c>
      <c r="S532" s="8">
        <f t="shared" si="72"/>
        <v>1985</v>
      </c>
      <c r="T532" s="8">
        <v>1985</v>
      </c>
      <c r="U532" s="8">
        <f t="shared" si="73"/>
        <v>37</v>
      </c>
      <c r="V532" s="7">
        <v>31107</v>
      </c>
      <c r="W532" t="s">
        <v>24</v>
      </c>
      <c r="X532" s="2">
        <v>1.6519999999999999</v>
      </c>
      <c r="Y532" s="6">
        <f t="shared" si="70"/>
        <v>4.409919649769093E-2</v>
      </c>
      <c r="AA532" t="s">
        <v>23</v>
      </c>
      <c r="AB532">
        <v>17337</v>
      </c>
      <c r="AC532">
        <v>15582221</v>
      </c>
      <c r="AD532" t="s">
        <v>4</v>
      </c>
      <c r="AE532">
        <v>33</v>
      </c>
      <c r="AF532">
        <v>3</v>
      </c>
      <c r="AH532" t="s">
        <v>1691</v>
      </c>
      <c r="AI532" t="s">
        <v>1690</v>
      </c>
      <c r="AK532" t="s">
        <v>1689</v>
      </c>
      <c r="AL532">
        <v>10</v>
      </c>
      <c r="AM532" s="5">
        <f t="shared" si="74"/>
        <v>0.27027027027027029</v>
      </c>
      <c r="AN532" s="4">
        <f t="shared" si="71"/>
        <v>4.093453544419088E-4</v>
      </c>
      <c r="AO532" s="3"/>
      <c r="AP532">
        <v>0</v>
      </c>
      <c r="AR532" t="s">
        <v>0</v>
      </c>
      <c r="AT532" s="2" t="s">
        <v>19</v>
      </c>
      <c r="AU532" s="1">
        <f t="shared" si="75"/>
        <v>3.0992241154716225</v>
      </c>
      <c r="AV532" s="1">
        <f t="shared" si="76"/>
        <v>2.2254270926066422</v>
      </c>
      <c r="AW532" s="1">
        <f t="shared" si="77"/>
        <v>1.3516300697416614</v>
      </c>
    </row>
    <row r="533" spans="1:49" x14ac:dyDescent="0.2">
      <c r="A533">
        <v>531</v>
      </c>
      <c r="B533" t="s">
        <v>1688</v>
      </c>
      <c r="C533" t="s">
        <v>1687</v>
      </c>
      <c r="F533" t="s">
        <v>1686</v>
      </c>
      <c r="G533" t="s">
        <v>15</v>
      </c>
      <c r="H533" t="s">
        <v>14</v>
      </c>
      <c r="I533" t="s">
        <v>1685</v>
      </c>
      <c r="J533">
        <v>60025757</v>
      </c>
      <c r="K533" t="s">
        <v>1684</v>
      </c>
      <c r="L533" t="s">
        <v>1683</v>
      </c>
      <c r="M533" t="s">
        <v>434</v>
      </c>
      <c r="N533">
        <v>3</v>
      </c>
      <c r="O533" t="s">
        <v>1682</v>
      </c>
      <c r="P533" t="s">
        <v>1681</v>
      </c>
      <c r="Q533" t="s">
        <v>1680</v>
      </c>
      <c r="R533" s="7">
        <v>31048</v>
      </c>
      <c r="S533" s="8">
        <f t="shared" si="72"/>
        <v>1985</v>
      </c>
      <c r="T533" s="8">
        <v>1985</v>
      </c>
      <c r="U533" s="8">
        <f t="shared" si="73"/>
        <v>37</v>
      </c>
      <c r="V533" s="7">
        <v>31107</v>
      </c>
      <c r="W533" t="s">
        <v>24</v>
      </c>
      <c r="X533" s="2">
        <v>1.6519999999999999</v>
      </c>
      <c r="Y533" s="6">
        <f t="shared" si="70"/>
        <v>4.409919649769093E-2</v>
      </c>
      <c r="AA533" t="s">
        <v>23</v>
      </c>
      <c r="AB533">
        <v>17337</v>
      </c>
      <c r="AC533">
        <v>15582221</v>
      </c>
      <c r="AD533" t="s">
        <v>4</v>
      </c>
      <c r="AE533">
        <v>33</v>
      </c>
      <c r="AF533">
        <v>3</v>
      </c>
      <c r="AH533" t="s">
        <v>1679</v>
      </c>
      <c r="AI533" t="s">
        <v>1678</v>
      </c>
      <c r="AK533" t="s">
        <v>1677</v>
      </c>
      <c r="AL533">
        <v>13</v>
      </c>
      <c r="AM533" s="5">
        <f t="shared" si="74"/>
        <v>0.35135135135135137</v>
      </c>
      <c r="AN533" s="4">
        <f t="shared" si="71"/>
        <v>5.3214896077448143E-4</v>
      </c>
      <c r="AO533" s="3"/>
      <c r="AP533">
        <v>0</v>
      </c>
      <c r="AR533" t="s">
        <v>0</v>
      </c>
      <c r="AT533" s="2" t="s">
        <v>19</v>
      </c>
      <c r="AU533" s="1">
        <f t="shared" si="75"/>
        <v>3.1029082236615992</v>
      </c>
      <c r="AV533" s="1">
        <f t="shared" si="76"/>
        <v>2.2315672729232707</v>
      </c>
      <c r="AW533" s="1">
        <f t="shared" si="77"/>
        <v>1.3602263221849415</v>
      </c>
    </row>
    <row r="534" spans="1:49" x14ac:dyDescent="0.2">
      <c r="A534">
        <v>532</v>
      </c>
      <c r="B534" t="s">
        <v>1676</v>
      </c>
      <c r="C534" t="s">
        <v>1675</v>
      </c>
      <c r="F534" t="s">
        <v>1674</v>
      </c>
      <c r="G534" t="s">
        <v>15</v>
      </c>
      <c r="H534" t="s">
        <v>14</v>
      </c>
      <c r="I534" t="s">
        <v>1673</v>
      </c>
      <c r="J534" t="s">
        <v>1672</v>
      </c>
      <c r="K534" t="s">
        <v>1671</v>
      </c>
      <c r="L534" t="s">
        <v>1670</v>
      </c>
      <c r="M534" t="s">
        <v>148</v>
      </c>
      <c r="N534">
        <v>3</v>
      </c>
      <c r="O534" t="s">
        <v>1669</v>
      </c>
      <c r="P534" t="s">
        <v>1668</v>
      </c>
      <c r="Q534" t="s">
        <v>1667</v>
      </c>
      <c r="R534" s="7">
        <v>31048</v>
      </c>
      <c r="S534" s="8">
        <f t="shared" si="72"/>
        <v>1985</v>
      </c>
      <c r="T534" s="8">
        <v>1985</v>
      </c>
      <c r="U534" s="8">
        <f t="shared" si="73"/>
        <v>37</v>
      </c>
      <c r="V534" s="7">
        <v>1985</v>
      </c>
      <c r="W534" t="s">
        <v>540</v>
      </c>
      <c r="X534" s="2">
        <v>0.375</v>
      </c>
      <c r="Y534" s="6">
        <f t="shared" si="70"/>
        <v>1.0010410827260351E-2</v>
      </c>
      <c r="AA534">
        <v>135194</v>
      </c>
      <c r="AB534">
        <v>24918</v>
      </c>
      <c r="AD534" t="s">
        <v>4</v>
      </c>
      <c r="AE534">
        <v>21</v>
      </c>
      <c r="AF534">
        <v>7</v>
      </c>
      <c r="AH534" t="s">
        <v>1666</v>
      </c>
      <c r="AI534" t="s">
        <v>1665</v>
      </c>
      <c r="AJ534" t="s">
        <v>1664</v>
      </c>
      <c r="AK534" t="s">
        <v>1663</v>
      </c>
      <c r="AL534">
        <v>3</v>
      </c>
      <c r="AM534" s="5">
        <f t="shared" si="74"/>
        <v>8.1081081081081086E-2</v>
      </c>
      <c r="AN534" s="4">
        <f t="shared" si="71"/>
        <v>1.2280360633257263E-4</v>
      </c>
      <c r="AO534" s="3"/>
      <c r="AP534">
        <v>0</v>
      </c>
      <c r="AR534" t="s">
        <v>0</v>
      </c>
      <c r="AT534" s="2">
        <v>1.3140000000000001</v>
      </c>
      <c r="AU534" s="1">
        <f t="shared" si="75"/>
        <v>0.70441286609820175</v>
      </c>
      <c r="AV534" s="1">
        <f t="shared" si="76"/>
        <v>0.50666072167964615</v>
      </c>
      <c r="AW534" s="1">
        <f t="shared" si="77"/>
        <v>0.30890857726109061</v>
      </c>
    </row>
    <row r="535" spans="1:49" x14ac:dyDescent="0.2">
      <c r="A535">
        <v>533</v>
      </c>
      <c r="B535" t="s">
        <v>1662</v>
      </c>
      <c r="C535" t="s">
        <v>1661</v>
      </c>
      <c r="F535" t="s">
        <v>1660</v>
      </c>
      <c r="G535" t="s">
        <v>15</v>
      </c>
      <c r="H535" t="s">
        <v>14</v>
      </c>
      <c r="I535" t="s">
        <v>1659</v>
      </c>
      <c r="J535">
        <v>60017695</v>
      </c>
      <c r="K535" t="s">
        <v>1658</v>
      </c>
      <c r="L535" t="s">
        <v>285</v>
      </c>
      <c r="M535" t="s">
        <v>91</v>
      </c>
      <c r="N535">
        <v>4</v>
      </c>
      <c r="O535" t="s">
        <v>1657</v>
      </c>
      <c r="P535" t="s">
        <v>1656</v>
      </c>
      <c r="Q535" t="s">
        <v>1655</v>
      </c>
      <c r="R535" s="7">
        <v>31048</v>
      </c>
      <c r="S535" s="8">
        <f t="shared" si="72"/>
        <v>1985</v>
      </c>
      <c r="T535" s="8">
        <v>1985</v>
      </c>
      <c r="U535" s="8">
        <f t="shared" si="73"/>
        <v>37</v>
      </c>
      <c r="V535" s="7">
        <v>36951</v>
      </c>
      <c r="W535" t="s">
        <v>1040</v>
      </c>
      <c r="X535" s="2">
        <v>1.67</v>
      </c>
      <c r="Y535" s="6">
        <f t="shared" si="70"/>
        <v>4.4579696217399427E-2</v>
      </c>
      <c r="AA535">
        <v>1480227</v>
      </c>
      <c r="AB535">
        <v>28428</v>
      </c>
      <c r="AD535" t="s">
        <v>4</v>
      </c>
      <c r="AE535">
        <v>90</v>
      </c>
      <c r="AF535" t="s">
        <v>1654</v>
      </c>
      <c r="AH535" t="s">
        <v>1653</v>
      </c>
      <c r="AI535" t="s">
        <v>1652</v>
      </c>
      <c r="AK535" t="s">
        <v>1651</v>
      </c>
      <c r="AL535">
        <v>29</v>
      </c>
      <c r="AM535" s="5">
        <f t="shared" si="74"/>
        <v>0.78378378378378377</v>
      </c>
      <c r="AN535" s="4">
        <f t="shared" si="71"/>
        <v>1.1871015278815354E-3</v>
      </c>
      <c r="AO535" s="3"/>
      <c r="AP535">
        <v>0</v>
      </c>
      <c r="AR535" t="s">
        <v>0</v>
      </c>
      <c r="AT535" s="2" t="s">
        <v>19</v>
      </c>
      <c r="AU535" s="1">
        <f t="shared" si="75"/>
        <v>3.1561917810544058</v>
      </c>
      <c r="AV535" s="1">
        <f t="shared" si="76"/>
        <v>2.2883398872640481</v>
      </c>
      <c r="AW535" s="1">
        <f t="shared" si="77"/>
        <v>1.4204879934736903</v>
      </c>
    </row>
    <row r="536" spans="1:49" x14ac:dyDescent="0.2">
      <c r="A536">
        <v>534</v>
      </c>
      <c r="B536" t="s">
        <v>1650</v>
      </c>
      <c r="C536" t="s">
        <v>1649</v>
      </c>
      <c r="F536" t="s">
        <v>1648</v>
      </c>
      <c r="G536" t="s">
        <v>15</v>
      </c>
      <c r="H536" t="s">
        <v>14</v>
      </c>
      <c r="I536" t="s">
        <v>1647</v>
      </c>
      <c r="J536">
        <v>101065187</v>
      </c>
      <c r="K536" t="s">
        <v>1646</v>
      </c>
      <c r="L536" t="s">
        <v>1645</v>
      </c>
      <c r="M536" t="s">
        <v>122</v>
      </c>
      <c r="N536">
        <v>1</v>
      </c>
      <c r="O536" t="s">
        <v>1644</v>
      </c>
      <c r="P536">
        <v>7102482316</v>
      </c>
      <c r="Q536">
        <v>101065187</v>
      </c>
      <c r="R536" s="7">
        <v>31048</v>
      </c>
      <c r="S536" s="8">
        <f t="shared" si="72"/>
        <v>1985</v>
      </c>
      <c r="T536" s="8">
        <v>1985</v>
      </c>
      <c r="U536" s="8">
        <f t="shared" si="73"/>
        <v>37</v>
      </c>
      <c r="V536" s="7" t="s">
        <v>310</v>
      </c>
      <c r="W536" t="s">
        <v>1643</v>
      </c>
      <c r="X536" s="2" t="s">
        <v>19</v>
      </c>
      <c r="Y536" s="6" t="e">
        <f t="shared" si="70"/>
        <v>#VALUE!</v>
      </c>
      <c r="AA536">
        <v>361682</v>
      </c>
      <c r="AB536">
        <v>9500153941</v>
      </c>
      <c r="AD536" t="s">
        <v>4</v>
      </c>
      <c r="AE536">
        <v>94</v>
      </c>
      <c r="AF536">
        <v>3</v>
      </c>
      <c r="AH536" t="s">
        <v>1642</v>
      </c>
      <c r="AI536" t="s">
        <v>1641</v>
      </c>
      <c r="AK536" t="s">
        <v>1640</v>
      </c>
      <c r="AL536">
        <v>0</v>
      </c>
      <c r="AM536" s="5">
        <f t="shared" si="74"/>
        <v>0</v>
      </c>
      <c r="AN536" s="4">
        <f t="shared" si="71"/>
        <v>0</v>
      </c>
      <c r="AO536" s="3"/>
      <c r="AP536">
        <v>0</v>
      </c>
      <c r="AR536" t="s">
        <v>0</v>
      </c>
      <c r="AT536" s="2" t="s">
        <v>19</v>
      </c>
      <c r="AU536" s="1" t="e">
        <f t="shared" si="75"/>
        <v>#VALUE!</v>
      </c>
      <c r="AV536" s="1" t="e">
        <f t="shared" si="76"/>
        <v>#VALUE!</v>
      </c>
      <c r="AW536" s="1" t="e">
        <f t="shared" si="77"/>
        <v>#VALUE!</v>
      </c>
    </row>
    <row r="537" spans="1:49" x14ac:dyDescent="0.2">
      <c r="A537">
        <v>535</v>
      </c>
      <c r="B537" t="s">
        <v>1639</v>
      </c>
      <c r="C537" t="s">
        <v>1638</v>
      </c>
      <c r="F537" t="s">
        <v>1637</v>
      </c>
      <c r="G537" t="s">
        <v>15</v>
      </c>
      <c r="H537" t="s">
        <v>14</v>
      </c>
      <c r="I537" t="s">
        <v>1636</v>
      </c>
      <c r="J537">
        <v>60009037</v>
      </c>
      <c r="K537" t="s">
        <v>1635</v>
      </c>
      <c r="L537" t="s">
        <v>1634</v>
      </c>
      <c r="M537" t="s">
        <v>122</v>
      </c>
      <c r="N537">
        <v>1</v>
      </c>
      <c r="O537" t="s">
        <v>1633</v>
      </c>
      <c r="P537">
        <v>7003405596</v>
      </c>
      <c r="Q537">
        <v>60009037</v>
      </c>
      <c r="R537" s="7">
        <v>31048</v>
      </c>
      <c r="S537" s="8">
        <f t="shared" si="72"/>
        <v>1985</v>
      </c>
      <c r="T537" s="8">
        <v>1985</v>
      </c>
      <c r="U537" s="8">
        <f t="shared" si="73"/>
        <v>37</v>
      </c>
      <c r="V537" s="7">
        <v>31079</v>
      </c>
      <c r="W537" t="s">
        <v>1632</v>
      </c>
      <c r="X537" s="2">
        <v>1.365</v>
      </c>
      <c r="Y537" s="6">
        <f t="shared" si="70"/>
        <v>3.6437895411227675E-2</v>
      </c>
      <c r="AA537">
        <v>189545</v>
      </c>
      <c r="AB537">
        <v>17393</v>
      </c>
      <c r="AC537">
        <v>19399359</v>
      </c>
      <c r="AD537" t="s">
        <v>4</v>
      </c>
      <c r="AE537">
        <v>34</v>
      </c>
      <c r="AF537">
        <v>1</v>
      </c>
      <c r="AH537" t="s">
        <v>1631</v>
      </c>
      <c r="AI537" t="s">
        <v>1630</v>
      </c>
      <c r="AK537" t="s">
        <v>1629</v>
      </c>
      <c r="AL537">
        <v>26</v>
      </c>
      <c r="AM537" s="5">
        <f t="shared" si="74"/>
        <v>0.70270270270270274</v>
      </c>
      <c r="AN537" s="4">
        <f t="shared" si="71"/>
        <v>1.0642979215489629E-3</v>
      </c>
      <c r="AO537" s="3"/>
      <c r="AP537">
        <v>0</v>
      </c>
      <c r="AR537" t="s">
        <v>0</v>
      </c>
      <c r="AT537" s="2" t="s">
        <v>19</v>
      </c>
      <c r="AU537" s="1">
        <f t="shared" si="75"/>
        <v>2.5825816164324058</v>
      </c>
      <c r="AV537" s="1">
        <f t="shared" si="76"/>
        <v>1.8751096666388318</v>
      </c>
      <c r="AW537" s="1">
        <f t="shared" si="77"/>
        <v>1.1676377168452576</v>
      </c>
    </row>
    <row r="538" spans="1:49" x14ac:dyDescent="0.2">
      <c r="A538">
        <v>536</v>
      </c>
      <c r="B538" t="s">
        <v>1628</v>
      </c>
      <c r="C538" t="s">
        <v>1627</v>
      </c>
      <c r="F538" t="s">
        <v>1626</v>
      </c>
      <c r="G538" t="s">
        <v>15</v>
      </c>
      <c r="H538" t="s">
        <v>14</v>
      </c>
      <c r="I538" t="s">
        <v>1625</v>
      </c>
      <c r="J538">
        <v>60019947</v>
      </c>
      <c r="K538" t="s">
        <v>410</v>
      </c>
      <c r="L538" t="s">
        <v>409</v>
      </c>
      <c r="M538" t="s">
        <v>122</v>
      </c>
      <c r="N538">
        <v>1</v>
      </c>
      <c r="O538" t="s">
        <v>1624</v>
      </c>
      <c r="P538">
        <v>7006842497</v>
      </c>
      <c r="Q538">
        <v>60019947</v>
      </c>
      <c r="R538" s="7">
        <v>31048</v>
      </c>
      <c r="S538" s="8">
        <f t="shared" si="72"/>
        <v>1985</v>
      </c>
      <c r="T538" s="8">
        <v>1985</v>
      </c>
      <c r="U538" s="8">
        <f t="shared" si="73"/>
        <v>37</v>
      </c>
      <c r="V538" s="7">
        <v>31079</v>
      </c>
      <c r="W538" t="s">
        <v>24</v>
      </c>
      <c r="X538" s="2">
        <v>1.6519999999999999</v>
      </c>
      <c r="Y538" s="6">
        <f t="shared" si="70"/>
        <v>4.409919649769093E-2</v>
      </c>
      <c r="AA538" t="s">
        <v>23</v>
      </c>
      <c r="AB538">
        <v>17337</v>
      </c>
      <c r="AC538">
        <v>15582221</v>
      </c>
      <c r="AD538" t="s">
        <v>4</v>
      </c>
      <c r="AE538">
        <v>33</v>
      </c>
      <c r="AF538">
        <v>2</v>
      </c>
      <c r="AH538" t="s">
        <v>1623</v>
      </c>
      <c r="AI538" t="s">
        <v>1622</v>
      </c>
      <c r="AK538" t="s">
        <v>1621</v>
      </c>
      <c r="AL538">
        <v>5</v>
      </c>
      <c r="AM538" s="5">
        <f t="shared" si="74"/>
        <v>0.13513513513513514</v>
      </c>
      <c r="AN538" s="4">
        <f t="shared" si="71"/>
        <v>2.046726772209544E-4</v>
      </c>
      <c r="AO538" s="3"/>
      <c r="AP538">
        <v>0</v>
      </c>
      <c r="AR538" t="s">
        <v>0</v>
      </c>
      <c r="AT538" s="2" t="s">
        <v>19</v>
      </c>
      <c r="AU538" s="1">
        <f t="shared" si="75"/>
        <v>3.0930839351549935</v>
      </c>
      <c r="AV538" s="1">
        <f t="shared" si="76"/>
        <v>2.2151934587455941</v>
      </c>
      <c r="AW538" s="1">
        <f t="shared" si="77"/>
        <v>1.3373029823361946</v>
      </c>
    </row>
    <row r="539" spans="1:49" x14ac:dyDescent="0.2">
      <c r="A539">
        <v>537</v>
      </c>
      <c r="B539" t="s">
        <v>1620</v>
      </c>
      <c r="C539" t="s">
        <v>1619</v>
      </c>
      <c r="F539" t="s">
        <v>1618</v>
      </c>
      <c r="G539" t="s">
        <v>15</v>
      </c>
      <c r="H539" t="s">
        <v>14</v>
      </c>
      <c r="I539" t="s">
        <v>1617</v>
      </c>
      <c r="J539">
        <v>60007742</v>
      </c>
      <c r="K539" t="s">
        <v>1483</v>
      </c>
      <c r="L539" t="s">
        <v>1482</v>
      </c>
      <c r="M539" t="s">
        <v>122</v>
      </c>
      <c r="N539">
        <v>1</v>
      </c>
      <c r="O539" t="s">
        <v>1616</v>
      </c>
      <c r="P539">
        <v>7007059212</v>
      </c>
      <c r="Q539">
        <v>60007742</v>
      </c>
      <c r="R539" s="7">
        <v>31048</v>
      </c>
      <c r="S539" s="8">
        <f t="shared" si="72"/>
        <v>1985</v>
      </c>
      <c r="T539" s="8">
        <v>1985</v>
      </c>
      <c r="U539" s="8">
        <f t="shared" si="73"/>
        <v>37</v>
      </c>
      <c r="V539" s="7">
        <v>31079</v>
      </c>
      <c r="W539" t="s">
        <v>24</v>
      </c>
      <c r="X539" s="2">
        <v>1.6519999999999999</v>
      </c>
      <c r="Y539" s="6">
        <f t="shared" si="70"/>
        <v>4.409919649769093E-2</v>
      </c>
      <c r="AA539" t="s">
        <v>23</v>
      </c>
      <c r="AB539">
        <v>17337</v>
      </c>
      <c r="AC539">
        <v>15582221</v>
      </c>
      <c r="AD539" t="s">
        <v>4</v>
      </c>
      <c r="AE539">
        <v>33</v>
      </c>
      <c r="AF539">
        <v>2</v>
      </c>
      <c r="AH539" t="s">
        <v>1615</v>
      </c>
      <c r="AI539" t="s">
        <v>1614</v>
      </c>
      <c r="AK539" t="s">
        <v>1613</v>
      </c>
      <c r="AL539">
        <v>7</v>
      </c>
      <c r="AM539" s="5">
        <f t="shared" si="74"/>
        <v>0.1891891891891892</v>
      </c>
      <c r="AN539" s="4">
        <f t="shared" si="71"/>
        <v>2.8654174810933616E-4</v>
      </c>
      <c r="AO539" s="3"/>
      <c r="AP539">
        <v>0</v>
      </c>
      <c r="AR539" t="s">
        <v>0</v>
      </c>
      <c r="AT539" s="2" t="s">
        <v>19</v>
      </c>
      <c r="AU539" s="1">
        <f t="shared" si="75"/>
        <v>3.0955400072816452</v>
      </c>
      <c r="AV539" s="1">
        <f t="shared" si="76"/>
        <v>2.2192869122900132</v>
      </c>
      <c r="AW539" s="1">
        <f t="shared" si="77"/>
        <v>1.3430338172983813</v>
      </c>
    </row>
    <row r="540" spans="1:49" x14ac:dyDescent="0.2">
      <c r="A540">
        <v>538</v>
      </c>
      <c r="B540" t="s">
        <v>1612</v>
      </c>
      <c r="C540" t="s">
        <v>1611</v>
      </c>
      <c r="F540" t="s">
        <v>1610</v>
      </c>
      <c r="G540" t="s">
        <v>15</v>
      </c>
      <c r="H540" t="s">
        <v>14</v>
      </c>
      <c r="I540" t="s">
        <v>1609</v>
      </c>
      <c r="J540" t="s">
        <v>1608</v>
      </c>
      <c r="K540" t="s">
        <v>1607</v>
      </c>
      <c r="L540" t="s">
        <v>1606</v>
      </c>
      <c r="M540" t="s">
        <v>28</v>
      </c>
      <c r="N540">
        <v>3</v>
      </c>
      <c r="O540" t="s">
        <v>1605</v>
      </c>
      <c r="P540" t="s">
        <v>1604</v>
      </c>
      <c r="Q540" t="s">
        <v>1603</v>
      </c>
      <c r="R540" s="7">
        <v>31048</v>
      </c>
      <c r="S540" s="8">
        <f t="shared" si="72"/>
        <v>1985</v>
      </c>
      <c r="T540" s="8">
        <v>1985</v>
      </c>
      <c r="U540" s="8">
        <f t="shared" si="73"/>
        <v>37</v>
      </c>
      <c r="V540" s="7">
        <v>1985</v>
      </c>
      <c r="W540" t="s">
        <v>201</v>
      </c>
      <c r="X540" s="2">
        <v>1.1879999999999999</v>
      </c>
      <c r="Y540" s="6">
        <f t="shared" si="70"/>
        <v>3.1712981500760788E-2</v>
      </c>
      <c r="AA540">
        <v>10706631</v>
      </c>
      <c r="AB540">
        <v>29210</v>
      </c>
      <c r="AD540" t="s">
        <v>4</v>
      </c>
      <c r="AE540">
        <v>28</v>
      </c>
      <c r="AF540">
        <v>2</v>
      </c>
      <c r="AH540" t="s">
        <v>1602</v>
      </c>
      <c r="AI540" t="s">
        <v>1601</v>
      </c>
      <c r="AK540" t="s">
        <v>1600</v>
      </c>
      <c r="AL540">
        <v>6</v>
      </c>
      <c r="AM540" s="5">
        <f t="shared" si="74"/>
        <v>0.16216216216216217</v>
      </c>
      <c r="AN540" s="4">
        <f t="shared" si="71"/>
        <v>2.4560721266514527E-4</v>
      </c>
      <c r="AO540" s="3"/>
      <c r="AP540">
        <v>0</v>
      </c>
      <c r="AR540" t="s">
        <v>0</v>
      </c>
      <c r="AT540" s="2">
        <v>3.5209999999999999</v>
      </c>
      <c r="AU540" s="1">
        <f t="shared" si="75"/>
        <v>2.2272769214332091</v>
      </c>
      <c r="AV540" s="1">
        <f t="shared" si="76"/>
        <v>1.5979294356712965</v>
      </c>
      <c r="AW540" s="1">
        <f t="shared" si="77"/>
        <v>0.96858194990938395</v>
      </c>
    </row>
    <row r="541" spans="1:49" x14ac:dyDescent="0.2">
      <c r="A541">
        <v>539</v>
      </c>
      <c r="B541" t="s">
        <v>1599</v>
      </c>
      <c r="C541" t="s">
        <v>1598</v>
      </c>
      <c r="F541" t="s">
        <v>1597</v>
      </c>
      <c r="G541" t="s">
        <v>15</v>
      </c>
      <c r="H541" t="s">
        <v>14</v>
      </c>
      <c r="I541" t="s">
        <v>1101</v>
      </c>
      <c r="J541">
        <v>60085421</v>
      </c>
      <c r="K541" t="s">
        <v>1100</v>
      </c>
      <c r="L541" t="s">
        <v>1099</v>
      </c>
      <c r="M541" t="s">
        <v>218</v>
      </c>
      <c r="N541">
        <v>1</v>
      </c>
      <c r="O541" t="s">
        <v>1098</v>
      </c>
      <c r="P541">
        <v>56231868400</v>
      </c>
      <c r="Q541">
        <v>60085421</v>
      </c>
      <c r="R541" s="7">
        <v>31048</v>
      </c>
      <c r="S541" s="8">
        <f t="shared" si="72"/>
        <v>1985</v>
      </c>
      <c r="T541" s="8">
        <v>1985</v>
      </c>
      <c r="U541" s="8">
        <f t="shared" si="73"/>
        <v>37</v>
      </c>
      <c r="V541" s="7">
        <v>1985</v>
      </c>
      <c r="W541" t="s">
        <v>540</v>
      </c>
      <c r="X541" s="2">
        <v>0.375</v>
      </c>
      <c r="Y541" s="6">
        <f t="shared" si="70"/>
        <v>1.0010410827260351E-2</v>
      </c>
      <c r="AA541">
        <v>135194</v>
      </c>
      <c r="AB541">
        <v>24918</v>
      </c>
      <c r="AD541" t="s">
        <v>4</v>
      </c>
      <c r="AE541">
        <v>21</v>
      </c>
      <c r="AF541">
        <v>5</v>
      </c>
      <c r="AH541" t="s">
        <v>1596</v>
      </c>
      <c r="AI541" t="s">
        <v>1595</v>
      </c>
      <c r="AJ541" t="s">
        <v>1594</v>
      </c>
      <c r="AK541" t="s">
        <v>1593</v>
      </c>
      <c r="AL541">
        <v>5</v>
      </c>
      <c r="AM541" s="5">
        <f t="shared" si="74"/>
        <v>0.13513513513513514</v>
      </c>
      <c r="AN541" s="4">
        <f t="shared" si="71"/>
        <v>2.046726772209544E-4</v>
      </c>
      <c r="AO541" s="3"/>
      <c r="AP541">
        <v>0</v>
      </c>
      <c r="AR541" t="s">
        <v>0</v>
      </c>
      <c r="AT541" s="2">
        <v>1.3140000000000001</v>
      </c>
      <c r="AU541" s="1">
        <f t="shared" si="75"/>
        <v>0.70686893822485319</v>
      </c>
      <c r="AV541" s="1">
        <f t="shared" si="76"/>
        <v>0.5107541752240653</v>
      </c>
      <c r="AW541" s="1">
        <f t="shared" si="77"/>
        <v>0.31463941222327735</v>
      </c>
    </row>
    <row r="542" spans="1:49" x14ac:dyDescent="0.2">
      <c r="A542">
        <v>540</v>
      </c>
      <c r="B542" t="s">
        <v>1592</v>
      </c>
      <c r="C542" t="s">
        <v>1591</v>
      </c>
      <c r="F542" t="s">
        <v>1590</v>
      </c>
      <c r="G542" t="s">
        <v>15</v>
      </c>
      <c r="H542" t="s">
        <v>14</v>
      </c>
      <c r="I542" t="s">
        <v>1589</v>
      </c>
      <c r="J542">
        <v>60030821</v>
      </c>
      <c r="K542" t="s">
        <v>1588</v>
      </c>
      <c r="L542" t="s">
        <v>1587</v>
      </c>
      <c r="M542" t="s">
        <v>122</v>
      </c>
      <c r="N542">
        <v>2</v>
      </c>
      <c r="O542" t="s">
        <v>1586</v>
      </c>
      <c r="P542" t="s">
        <v>1585</v>
      </c>
      <c r="Q542" t="s">
        <v>1584</v>
      </c>
      <c r="R542" s="7">
        <v>31048</v>
      </c>
      <c r="S542" s="8">
        <f t="shared" si="72"/>
        <v>1985</v>
      </c>
      <c r="T542" s="8">
        <v>1985</v>
      </c>
      <c r="U542" s="8">
        <f t="shared" si="73"/>
        <v>37</v>
      </c>
      <c r="V542" s="7">
        <v>31079</v>
      </c>
      <c r="W542" t="s">
        <v>24</v>
      </c>
      <c r="X542" s="2">
        <v>1.6519999999999999</v>
      </c>
      <c r="Y542" s="6">
        <f t="shared" si="70"/>
        <v>4.409919649769093E-2</v>
      </c>
      <c r="AA542" t="s">
        <v>23</v>
      </c>
      <c r="AB542">
        <v>17337</v>
      </c>
      <c r="AC542">
        <v>15582221</v>
      </c>
      <c r="AD542" t="s">
        <v>4</v>
      </c>
      <c r="AE542">
        <v>33</v>
      </c>
      <c r="AF542">
        <v>2</v>
      </c>
      <c r="AH542" t="s">
        <v>1583</v>
      </c>
      <c r="AI542" t="s">
        <v>1582</v>
      </c>
      <c r="AK542" t="s">
        <v>1581</v>
      </c>
      <c r="AL542">
        <v>73</v>
      </c>
      <c r="AM542" s="5">
        <f t="shared" si="74"/>
        <v>1.972972972972973</v>
      </c>
      <c r="AN542" s="4">
        <f t="shared" si="71"/>
        <v>2.9882210874259342E-3</v>
      </c>
      <c r="AO542" s="3"/>
      <c r="AP542">
        <v>0</v>
      </c>
      <c r="AR542" t="s">
        <v>0</v>
      </c>
      <c r="AT542" s="2" t="s">
        <v>19</v>
      </c>
      <c r="AU542" s="1">
        <f t="shared" si="75"/>
        <v>3.1765903874611432</v>
      </c>
      <c r="AV542" s="1">
        <f t="shared" si="76"/>
        <v>2.3543708792558431</v>
      </c>
      <c r="AW542" s="1">
        <f t="shared" si="77"/>
        <v>1.5321513710505432</v>
      </c>
    </row>
    <row r="543" spans="1:49" x14ac:dyDescent="0.2">
      <c r="A543">
        <v>541</v>
      </c>
      <c r="B543" t="s">
        <v>1580</v>
      </c>
      <c r="C543" t="s">
        <v>1579</v>
      </c>
      <c r="F543" t="s">
        <v>1578</v>
      </c>
      <c r="G543" t="s">
        <v>15</v>
      </c>
      <c r="H543" t="s">
        <v>14</v>
      </c>
      <c r="I543" t="s">
        <v>1577</v>
      </c>
      <c r="J543">
        <v>118847978</v>
      </c>
      <c r="K543" t="s">
        <v>1576</v>
      </c>
      <c r="L543" t="s">
        <v>134</v>
      </c>
      <c r="M543" t="s">
        <v>91</v>
      </c>
      <c r="N543">
        <v>1</v>
      </c>
      <c r="O543" t="s">
        <v>1575</v>
      </c>
      <c r="P543">
        <v>7006344749</v>
      </c>
      <c r="Q543">
        <v>118847978</v>
      </c>
      <c r="R543" s="7">
        <v>31048</v>
      </c>
      <c r="S543" s="8">
        <f t="shared" si="72"/>
        <v>1985</v>
      </c>
      <c r="T543" s="8">
        <v>1985</v>
      </c>
      <c r="U543" s="8">
        <f t="shared" si="73"/>
        <v>37</v>
      </c>
      <c r="V543" s="7">
        <v>1985</v>
      </c>
      <c r="W543" t="s">
        <v>540</v>
      </c>
      <c r="X543" s="2">
        <v>0.375</v>
      </c>
      <c r="Y543" s="6">
        <f t="shared" si="70"/>
        <v>1.0010410827260351E-2</v>
      </c>
      <c r="AA543">
        <v>135194</v>
      </c>
      <c r="AB543">
        <v>24918</v>
      </c>
      <c r="AD543" t="s">
        <v>4</v>
      </c>
      <c r="AE543">
        <v>21</v>
      </c>
      <c r="AF543">
        <v>5</v>
      </c>
      <c r="AH543" t="s">
        <v>1574</v>
      </c>
      <c r="AI543" t="s">
        <v>1573</v>
      </c>
      <c r="AJ543" t="s">
        <v>1572</v>
      </c>
      <c r="AK543" t="s">
        <v>1571</v>
      </c>
      <c r="AL543">
        <v>0</v>
      </c>
      <c r="AM543" s="5">
        <f t="shared" si="74"/>
        <v>0</v>
      </c>
      <c r="AN543" s="4">
        <f t="shared" si="71"/>
        <v>0</v>
      </c>
      <c r="AO543" s="3"/>
      <c r="AP543">
        <v>0</v>
      </c>
      <c r="AR543" t="s">
        <v>0</v>
      </c>
      <c r="AT543" s="2">
        <v>1.3140000000000001</v>
      </c>
      <c r="AU543" s="1">
        <f t="shared" si="75"/>
        <v>0.70072875790822453</v>
      </c>
      <c r="AV543" s="1">
        <f t="shared" si="76"/>
        <v>0.5005205413630176</v>
      </c>
      <c r="AW543" s="1">
        <f t="shared" si="77"/>
        <v>0.30031232481781051</v>
      </c>
    </row>
    <row r="544" spans="1:49" x14ac:dyDescent="0.2">
      <c r="A544">
        <v>542</v>
      </c>
      <c r="B544" t="s">
        <v>1570</v>
      </c>
      <c r="C544" t="s">
        <v>1569</v>
      </c>
      <c r="F544" t="s">
        <v>1568</v>
      </c>
      <c r="G544" t="s">
        <v>15</v>
      </c>
      <c r="H544" t="s">
        <v>14</v>
      </c>
      <c r="I544" t="s">
        <v>1567</v>
      </c>
      <c r="J544">
        <v>60021378</v>
      </c>
      <c r="K544" t="s">
        <v>1566</v>
      </c>
      <c r="L544" t="s">
        <v>1565</v>
      </c>
      <c r="M544" t="s">
        <v>122</v>
      </c>
      <c r="N544">
        <v>1</v>
      </c>
      <c r="O544" t="s">
        <v>1564</v>
      </c>
      <c r="P544">
        <v>7005699797</v>
      </c>
      <c r="Q544">
        <v>60021378</v>
      </c>
      <c r="R544" s="7">
        <v>31048</v>
      </c>
      <c r="S544" s="8">
        <f t="shared" si="72"/>
        <v>1985</v>
      </c>
      <c r="T544" s="8">
        <v>1985</v>
      </c>
      <c r="U544" s="8">
        <f t="shared" si="73"/>
        <v>37</v>
      </c>
      <c r="V544" s="7">
        <v>31079</v>
      </c>
      <c r="W544" t="s">
        <v>24</v>
      </c>
      <c r="X544" s="2">
        <v>1.6519999999999999</v>
      </c>
      <c r="Y544" s="6">
        <f t="shared" si="70"/>
        <v>4.409919649769093E-2</v>
      </c>
      <c r="AA544" t="s">
        <v>23</v>
      </c>
      <c r="AB544">
        <v>17337</v>
      </c>
      <c r="AC544">
        <v>15582221</v>
      </c>
      <c r="AD544" t="s">
        <v>4</v>
      </c>
      <c r="AE544">
        <v>33</v>
      </c>
      <c r="AF544">
        <v>2</v>
      </c>
      <c r="AH544" t="s">
        <v>1563</v>
      </c>
      <c r="AI544" t="s">
        <v>1562</v>
      </c>
      <c r="AK544" t="s">
        <v>1561</v>
      </c>
      <c r="AL544">
        <v>9</v>
      </c>
      <c r="AM544" s="5">
        <f t="shared" si="74"/>
        <v>0.24324324324324326</v>
      </c>
      <c r="AN544" s="4">
        <f t="shared" si="71"/>
        <v>3.684108189977179E-4</v>
      </c>
      <c r="AO544" s="3"/>
      <c r="AP544">
        <v>0</v>
      </c>
      <c r="AR544" t="s">
        <v>0</v>
      </c>
      <c r="AT544" s="2" t="s">
        <v>19</v>
      </c>
      <c r="AU544" s="1">
        <f t="shared" si="75"/>
        <v>3.0979960794082966</v>
      </c>
      <c r="AV544" s="1">
        <f t="shared" si="76"/>
        <v>2.2233803658344322</v>
      </c>
      <c r="AW544" s="1">
        <f t="shared" si="77"/>
        <v>1.3487646522605681</v>
      </c>
    </row>
    <row r="545" spans="1:49" x14ac:dyDescent="0.2">
      <c r="A545">
        <v>543</v>
      </c>
      <c r="B545" t="s">
        <v>1560</v>
      </c>
      <c r="C545" t="s">
        <v>1559</v>
      </c>
      <c r="F545" t="s">
        <v>1558</v>
      </c>
      <c r="G545" t="s">
        <v>15</v>
      </c>
      <c r="H545" t="s">
        <v>14</v>
      </c>
      <c r="I545" t="s">
        <v>1557</v>
      </c>
      <c r="J545">
        <v>60000689</v>
      </c>
      <c r="K545" t="s">
        <v>1556</v>
      </c>
      <c r="L545" t="s">
        <v>1555</v>
      </c>
      <c r="M545" t="s">
        <v>122</v>
      </c>
      <c r="N545">
        <v>1</v>
      </c>
      <c r="O545" t="s">
        <v>1554</v>
      </c>
      <c r="P545">
        <v>22998392100</v>
      </c>
      <c r="Q545">
        <v>60000689</v>
      </c>
      <c r="R545" s="7">
        <v>31048</v>
      </c>
      <c r="S545" s="8">
        <f t="shared" si="72"/>
        <v>1985</v>
      </c>
      <c r="T545" s="8">
        <v>1985</v>
      </c>
      <c r="U545" s="8">
        <f t="shared" si="73"/>
        <v>37</v>
      </c>
      <c r="V545" s="7">
        <v>31079</v>
      </c>
      <c r="W545" t="s">
        <v>24</v>
      </c>
      <c r="X545" s="2">
        <v>1.6519999999999999</v>
      </c>
      <c r="Y545" s="6">
        <f t="shared" si="70"/>
        <v>4.409919649769093E-2</v>
      </c>
      <c r="AA545" t="s">
        <v>23</v>
      </c>
      <c r="AB545">
        <v>17337</v>
      </c>
      <c r="AC545">
        <v>15582221</v>
      </c>
      <c r="AD545" t="s">
        <v>4</v>
      </c>
      <c r="AE545">
        <v>33</v>
      </c>
      <c r="AF545">
        <v>2</v>
      </c>
      <c r="AH545" t="s">
        <v>1553</v>
      </c>
      <c r="AI545" t="s">
        <v>1552</v>
      </c>
      <c r="AK545" t="s">
        <v>1551</v>
      </c>
      <c r="AL545">
        <v>6</v>
      </c>
      <c r="AM545" s="5">
        <f t="shared" si="74"/>
        <v>0.16216216216216217</v>
      </c>
      <c r="AN545" s="4">
        <f t="shared" si="71"/>
        <v>2.4560721266514527E-4</v>
      </c>
      <c r="AO545" s="3"/>
      <c r="AP545">
        <v>0</v>
      </c>
      <c r="AR545" t="s">
        <v>0</v>
      </c>
      <c r="AT545" s="2" t="s">
        <v>19</v>
      </c>
      <c r="AU545" s="1">
        <f t="shared" si="75"/>
        <v>3.0943119712183194</v>
      </c>
      <c r="AV545" s="1">
        <f t="shared" si="76"/>
        <v>2.2172401855178037</v>
      </c>
      <c r="AW545" s="1">
        <f t="shared" si="77"/>
        <v>1.340168399817288</v>
      </c>
    </row>
    <row r="546" spans="1:49" x14ac:dyDescent="0.2">
      <c r="A546">
        <v>544</v>
      </c>
      <c r="B546" t="s">
        <v>1550</v>
      </c>
      <c r="C546" t="s">
        <v>1549</v>
      </c>
      <c r="F546" t="s">
        <v>1548</v>
      </c>
      <c r="G546" t="s">
        <v>15</v>
      </c>
      <c r="H546" t="s">
        <v>14</v>
      </c>
      <c r="I546" t="s">
        <v>1547</v>
      </c>
      <c r="N546">
        <v>1</v>
      </c>
      <c r="O546" t="s">
        <v>1546</v>
      </c>
      <c r="P546">
        <v>7004066834</v>
      </c>
      <c r="R546" s="7">
        <v>31048</v>
      </c>
      <c r="S546" s="8">
        <f t="shared" si="72"/>
        <v>1985</v>
      </c>
      <c r="T546" s="8">
        <v>1985</v>
      </c>
      <c r="U546" s="8">
        <f t="shared" si="73"/>
        <v>37</v>
      </c>
      <c r="V546" s="7" t="s">
        <v>1367</v>
      </c>
      <c r="W546" t="s">
        <v>1545</v>
      </c>
      <c r="X546" s="2">
        <v>0.13</v>
      </c>
      <c r="Y546" s="6">
        <f t="shared" si="70"/>
        <v>3.470275753450255E-3</v>
      </c>
      <c r="AA546">
        <v>368733</v>
      </c>
      <c r="AB546">
        <v>24197</v>
      </c>
      <c r="AD546" t="s">
        <v>4</v>
      </c>
      <c r="AE546">
        <v>252</v>
      </c>
      <c r="AF546">
        <v>2</v>
      </c>
      <c r="AH546" t="s">
        <v>1544</v>
      </c>
      <c r="AI546" t="s">
        <v>1543</v>
      </c>
      <c r="AK546" t="s">
        <v>1542</v>
      </c>
      <c r="AL546">
        <v>72</v>
      </c>
      <c r="AM546" s="5">
        <f t="shared" si="74"/>
        <v>1.9459459459459461</v>
      </c>
      <c r="AN546" s="4">
        <f t="shared" si="71"/>
        <v>2.9472865519817432E-3</v>
      </c>
      <c r="AO546" s="3"/>
      <c r="AP546">
        <v>0</v>
      </c>
      <c r="AR546" t="s">
        <v>0</v>
      </c>
      <c r="AT546" s="2">
        <v>2.1419999999999999</v>
      </c>
      <c r="AU546" s="1">
        <f t="shared" si="75"/>
        <v>0.33133789930097013</v>
      </c>
      <c r="AV546" s="1">
        <f t="shared" si="76"/>
        <v>0.32087811527159993</v>
      </c>
      <c r="AW546" s="1">
        <f t="shared" si="77"/>
        <v>0.31041833124222962</v>
      </c>
    </row>
    <row r="547" spans="1:49" x14ac:dyDescent="0.2">
      <c r="A547">
        <v>545</v>
      </c>
      <c r="B547" t="s">
        <v>1541</v>
      </c>
      <c r="C547" t="s">
        <v>1540</v>
      </c>
      <c r="F547" t="s">
        <v>1539</v>
      </c>
      <c r="G547" t="s">
        <v>15</v>
      </c>
      <c r="H547" t="s">
        <v>14</v>
      </c>
      <c r="I547" t="s">
        <v>1538</v>
      </c>
      <c r="J547">
        <v>60002947</v>
      </c>
      <c r="K547" t="s">
        <v>582</v>
      </c>
      <c r="L547" t="s">
        <v>581</v>
      </c>
      <c r="M547" t="s">
        <v>580</v>
      </c>
      <c r="N547">
        <v>2</v>
      </c>
      <c r="O547" t="s">
        <v>1537</v>
      </c>
      <c r="P547" t="s">
        <v>1536</v>
      </c>
      <c r="Q547" t="s">
        <v>1535</v>
      </c>
      <c r="R547" s="7">
        <v>31048</v>
      </c>
      <c r="S547" s="8">
        <f t="shared" si="72"/>
        <v>1985</v>
      </c>
      <c r="T547" s="8">
        <v>1985</v>
      </c>
      <c r="U547" s="8">
        <f t="shared" si="73"/>
        <v>37</v>
      </c>
      <c r="V547" s="7">
        <v>31079</v>
      </c>
      <c r="W547" t="s">
        <v>24</v>
      </c>
      <c r="X547" s="2">
        <v>1.6519999999999999</v>
      </c>
      <c r="Y547" s="6">
        <f t="shared" si="70"/>
        <v>4.409919649769093E-2</v>
      </c>
      <c r="AA547" t="s">
        <v>23</v>
      </c>
      <c r="AB547">
        <v>17337</v>
      </c>
      <c r="AC547">
        <v>15582221</v>
      </c>
      <c r="AD547" t="s">
        <v>4</v>
      </c>
      <c r="AE547">
        <v>33</v>
      </c>
      <c r="AF547">
        <v>2</v>
      </c>
      <c r="AH547" t="s">
        <v>1534</v>
      </c>
      <c r="AI547" t="s">
        <v>1533</v>
      </c>
      <c r="AK547" t="s">
        <v>1532</v>
      </c>
      <c r="AL547">
        <v>61</v>
      </c>
      <c r="AM547" s="5">
        <f t="shared" si="74"/>
        <v>1.6486486486486487</v>
      </c>
      <c r="AN547" s="4">
        <f t="shared" si="71"/>
        <v>2.4970066620956435E-3</v>
      </c>
      <c r="AO547" s="3"/>
      <c r="AP547">
        <v>0</v>
      </c>
      <c r="AR547" t="s">
        <v>0</v>
      </c>
      <c r="AT547" s="2" t="s">
        <v>19</v>
      </c>
      <c r="AU547" s="1">
        <f t="shared" si="75"/>
        <v>3.1618539547012348</v>
      </c>
      <c r="AV547" s="1">
        <f t="shared" si="76"/>
        <v>2.3298101579893289</v>
      </c>
      <c r="AW547" s="1">
        <f t="shared" si="77"/>
        <v>1.4977663612774228</v>
      </c>
    </row>
    <row r="548" spans="1:49" x14ac:dyDescent="0.2">
      <c r="A548">
        <v>546</v>
      </c>
      <c r="B548" t="s">
        <v>1531</v>
      </c>
      <c r="C548" t="s">
        <v>1530</v>
      </c>
      <c r="F548" t="s">
        <v>1529</v>
      </c>
      <c r="G548" t="s">
        <v>15</v>
      </c>
      <c r="H548" t="s">
        <v>14</v>
      </c>
      <c r="I548" t="s">
        <v>1528</v>
      </c>
      <c r="J548">
        <v>60003500</v>
      </c>
      <c r="K548" t="s">
        <v>925</v>
      </c>
      <c r="L548" t="s">
        <v>924</v>
      </c>
      <c r="M548" t="s">
        <v>122</v>
      </c>
      <c r="N548">
        <v>1</v>
      </c>
      <c r="O548" t="s">
        <v>1527</v>
      </c>
      <c r="P548">
        <v>7201572254</v>
      </c>
      <c r="Q548">
        <v>60003500</v>
      </c>
      <c r="R548" s="7">
        <v>31048</v>
      </c>
      <c r="S548" s="8">
        <f t="shared" si="72"/>
        <v>1985</v>
      </c>
      <c r="T548" s="8">
        <v>1985</v>
      </c>
      <c r="U548" s="8">
        <f t="shared" si="73"/>
        <v>37</v>
      </c>
      <c r="V548" s="7">
        <v>31079</v>
      </c>
      <c r="W548" t="s">
        <v>24</v>
      </c>
      <c r="X548" s="2">
        <v>1.6519999999999999</v>
      </c>
      <c r="Y548" s="6">
        <f t="shared" si="70"/>
        <v>4.409919649769093E-2</v>
      </c>
      <c r="AA548" t="s">
        <v>23</v>
      </c>
      <c r="AB548">
        <v>17337</v>
      </c>
      <c r="AC548">
        <v>15582221</v>
      </c>
      <c r="AD548" t="s">
        <v>4</v>
      </c>
      <c r="AE548">
        <v>33</v>
      </c>
      <c r="AF548">
        <v>2</v>
      </c>
      <c r="AH548" t="s">
        <v>1526</v>
      </c>
      <c r="AL548">
        <v>8</v>
      </c>
      <c r="AM548" s="5">
        <f t="shared" si="74"/>
        <v>0.21621621621621623</v>
      </c>
      <c r="AN548" s="4">
        <f t="shared" si="71"/>
        <v>3.2747628355352706E-4</v>
      </c>
      <c r="AO548" s="3"/>
      <c r="AP548">
        <v>0</v>
      </c>
      <c r="AR548" t="s">
        <v>0</v>
      </c>
      <c r="AT548" s="2" t="s">
        <v>19</v>
      </c>
      <c r="AU548" s="1">
        <f t="shared" si="75"/>
        <v>3.0967680433449707</v>
      </c>
      <c r="AV548" s="1">
        <f t="shared" si="76"/>
        <v>2.2213336390622231</v>
      </c>
      <c r="AW548" s="1">
        <f t="shared" si="77"/>
        <v>1.3458992347794747</v>
      </c>
    </row>
    <row r="549" spans="1:49" x14ac:dyDescent="0.2">
      <c r="A549">
        <v>547</v>
      </c>
      <c r="B549" t="s">
        <v>1525</v>
      </c>
      <c r="C549" t="s">
        <v>1524</v>
      </c>
      <c r="F549" t="s">
        <v>1523</v>
      </c>
      <c r="G549" t="s">
        <v>15</v>
      </c>
      <c r="H549" t="s">
        <v>14</v>
      </c>
      <c r="I549" t="s">
        <v>1522</v>
      </c>
      <c r="J549">
        <v>60007887</v>
      </c>
      <c r="K549" t="s">
        <v>1521</v>
      </c>
      <c r="L549" t="s">
        <v>1520</v>
      </c>
      <c r="M549" t="s">
        <v>544</v>
      </c>
      <c r="N549">
        <v>2</v>
      </c>
      <c r="O549" t="s">
        <v>1519</v>
      </c>
      <c r="P549" t="s">
        <v>1518</v>
      </c>
      <c r="Q549" t="s">
        <v>1517</v>
      </c>
      <c r="R549" s="7">
        <v>31048</v>
      </c>
      <c r="S549" s="8">
        <f t="shared" si="72"/>
        <v>1985</v>
      </c>
      <c r="T549" s="8">
        <v>1985</v>
      </c>
      <c r="U549" s="8">
        <f t="shared" si="73"/>
        <v>37</v>
      </c>
      <c r="V549" s="7">
        <v>31079</v>
      </c>
      <c r="W549" t="s">
        <v>24</v>
      </c>
      <c r="X549" s="2">
        <v>1.6519999999999999</v>
      </c>
      <c r="Y549" s="6">
        <f t="shared" si="70"/>
        <v>4.409919649769093E-2</v>
      </c>
      <c r="AA549" t="s">
        <v>23</v>
      </c>
      <c r="AB549">
        <v>17337</v>
      </c>
      <c r="AC549">
        <v>15582221</v>
      </c>
      <c r="AD549" t="s">
        <v>4</v>
      </c>
      <c r="AE549">
        <v>33</v>
      </c>
      <c r="AF549">
        <v>2</v>
      </c>
      <c r="AH549" t="s">
        <v>1516</v>
      </c>
      <c r="AI549" t="s">
        <v>1515</v>
      </c>
      <c r="AK549" t="s">
        <v>1514</v>
      </c>
      <c r="AL549">
        <v>58</v>
      </c>
      <c r="AM549" s="5">
        <f t="shared" si="74"/>
        <v>1.5675675675675675</v>
      </c>
      <c r="AN549" s="4">
        <f t="shared" si="71"/>
        <v>2.3742030557630709E-3</v>
      </c>
      <c r="AO549" s="3"/>
      <c r="AP549">
        <v>0</v>
      </c>
      <c r="AR549" t="s">
        <v>0</v>
      </c>
      <c r="AT549" s="2" t="s">
        <v>19</v>
      </c>
      <c r="AU549" s="1">
        <f t="shared" si="75"/>
        <v>3.1581698465112571</v>
      </c>
      <c r="AV549" s="1">
        <f t="shared" si="76"/>
        <v>2.3236699776727003</v>
      </c>
      <c r="AW549" s="1">
        <f t="shared" si="77"/>
        <v>1.4891701088341429</v>
      </c>
    </row>
    <row r="550" spans="1:49" x14ac:dyDescent="0.2">
      <c r="A550">
        <v>548</v>
      </c>
      <c r="B550" t="s">
        <v>1513</v>
      </c>
      <c r="C550" t="s">
        <v>1512</v>
      </c>
      <c r="F550" t="s">
        <v>1511</v>
      </c>
      <c r="G550" t="s">
        <v>15</v>
      </c>
      <c r="H550" t="s">
        <v>14</v>
      </c>
      <c r="I550" t="s">
        <v>1510</v>
      </c>
      <c r="J550" t="s">
        <v>1509</v>
      </c>
      <c r="K550" t="s">
        <v>1508</v>
      </c>
      <c r="L550" t="s">
        <v>1507</v>
      </c>
      <c r="M550" t="s">
        <v>28</v>
      </c>
      <c r="N550">
        <v>2</v>
      </c>
      <c r="O550" t="s">
        <v>1506</v>
      </c>
      <c r="P550" t="s">
        <v>1505</v>
      </c>
      <c r="Q550" t="s">
        <v>1504</v>
      </c>
      <c r="R550" s="7">
        <v>31048</v>
      </c>
      <c r="S550" s="8">
        <f t="shared" si="72"/>
        <v>1985</v>
      </c>
      <c r="T550" s="8">
        <v>1985</v>
      </c>
      <c r="U550" s="8">
        <f t="shared" si="73"/>
        <v>37</v>
      </c>
      <c r="V550" s="7">
        <v>31079</v>
      </c>
      <c r="W550" t="s">
        <v>24</v>
      </c>
      <c r="X550" s="2">
        <v>1.6519999999999999</v>
      </c>
      <c r="Y550" s="6">
        <f t="shared" si="70"/>
        <v>4.409919649769093E-2</v>
      </c>
      <c r="AA550" t="s">
        <v>23</v>
      </c>
      <c r="AB550">
        <v>17337</v>
      </c>
      <c r="AC550">
        <v>15582221</v>
      </c>
      <c r="AD550" t="s">
        <v>4</v>
      </c>
      <c r="AE550">
        <v>33</v>
      </c>
      <c r="AF550">
        <v>2</v>
      </c>
      <c r="AH550" t="s">
        <v>1503</v>
      </c>
      <c r="AI550" t="s">
        <v>1502</v>
      </c>
      <c r="AK550" t="s">
        <v>1501</v>
      </c>
      <c r="AL550">
        <v>27</v>
      </c>
      <c r="AM550" s="5">
        <f t="shared" si="74"/>
        <v>0.72972972972972971</v>
      </c>
      <c r="AN550" s="4">
        <f t="shared" si="71"/>
        <v>1.1052324569931537E-3</v>
      </c>
      <c r="AO550" s="3"/>
      <c r="AP550">
        <v>0</v>
      </c>
      <c r="AR550" t="s">
        <v>0</v>
      </c>
      <c r="AT550" s="2" t="s">
        <v>19</v>
      </c>
      <c r="AU550" s="1">
        <f t="shared" si="75"/>
        <v>3.1201007285481595</v>
      </c>
      <c r="AV550" s="1">
        <f t="shared" si="76"/>
        <v>2.2602214477342044</v>
      </c>
      <c r="AW550" s="1">
        <f t="shared" si="77"/>
        <v>1.4003421669202485</v>
      </c>
    </row>
    <row r="551" spans="1:49" x14ac:dyDescent="0.2">
      <c r="A551">
        <v>549</v>
      </c>
      <c r="B551" t="s">
        <v>1500</v>
      </c>
      <c r="C551" t="s">
        <v>1499</v>
      </c>
      <c r="F551" t="s">
        <v>1498</v>
      </c>
      <c r="G551" t="s">
        <v>15</v>
      </c>
      <c r="H551" t="s">
        <v>14</v>
      </c>
      <c r="I551" t="s">
        <v>1497</v>
      </c>
      <c r="J551" t="s">
        <v>1496</v>
      </c>
      <c r="K551" t="s">
        <v>1495</v>
      </c>
      <c r="L551" t="s">
        <v>1494</v>
      </c>
      <c r="M551" t="s">
        <v>1056</v>
      </c>
      <c r="N551">
        <v>7</v>
      </c>
      <c r="O551" t="s">
        <v>1493</v>
      </c>
      <c r="P551" t="s">
        <v>1492</v>
      </c>
      <c r="Q551" t="s">
        <v>1491</v>
      </c>
      <c r="R551" s="7">
        <v>31048</v>
      </c>
      <c r="S551" s="8">
        <f t="shared" si="72"/>
        <v>1985</v>
      </c>
      <c r="T551" s="8">
        <v>1985</v>
      </c>
      <c r="U551" s="8">
        <f t="shared" si="73"/>
        <v>37</v>
      </c>
      <c r="V551" s="7">
        <v>1985</v>
      </c>
      <c r="W551" t="s">
        <v>201</v>
      </c>
      <c r="X551" s="2">
        <v>1.1879999999999999</v>
      </c>
      <c r="Y551" s="6">
        <f t="shared" si="70"/>
        <v>3.1712981500760788E-2</v>
      </c>
      <c r="AA551">
        <v>10706631</v>
      </c>
      <c r="AB551">
        <v>29210</v>
      </c>
      <c r="AD551" t="s">
        <v>4</v>
      </c>
      <c r="AE551">
        <v>28</v>
      </c>
      <c r="AF551">
        <v>2</v>
      </c>
      <c r="AH551" t="s">
        <v>1490</v>
      </c>
      <c r="AI551" t="s">
        <v>1489</v>
      </c>
      <c r="AK551" t="s">
        <v>1488</v>
      </c>
      <c r="AL551">
        <v>17</v>
      </c>
      <c r="AM551" s="5">
        <f t="shared" si="74"/>
        <v>0.45945945945945948</v>
      </c>
      <c r="AN551" s="4">
        <f t="shared" si="71"/>
        <v>6.9588710255124491E-4</v>
      </c>
      <c r="AO551" s="3"/>
      <c r="AP551">
        <v>0</v>
      </c>
      <c r="AR551" t="s">
        <v>0</v>
      </c>
      <c r="AT551" s="2">
        <v>3.5209999999999999</v>
      </c>
      <c r="AU551" s="1">
        <f t="shared" si="75"/>
        <v>2.2407853181297921</v>
      </c>
      <c r="AV551" s="1">
        <f t="shared" si="76"/>
        <v>1.6204434301656017</v>
      </c>
      <c r="AW551" s="1">
        <f t="shared" si="77"/>
        <v>1.0001015422014108</v>
      </c>
    </row>
    <row r="552" spans="1:49" x14ac:dyDescent="0.2">
      <c r="A552">
        <v>550</v>
      </c>
      <c r="B552" t="s">
        <v>1487</v>
      </c>
      <c r="C552" t="s">
        <v>1486</v>
      </c>
      <c r="F552" t="s">
        <v>1485</v>
      </c>
      <c r="G552" t="s">
        <v>15</v>
      </c>
      <c r="H552" t="s">
        <v>14</v>
      </c>
      <c r="I552" t="s">
        <v>1484</v>
      </c>
      <c r="J552">
        <v>60007742</v>
      </c>
      <c r="K552" t="s">
        <v>1483</v>
      </c>
      <c r="L552" t="s">
        <v>1482</v>
      </c>
      <c r="M552" t="s">
        <v>122</v>
      </c>
      <c r="N552">
        <v>2</v>
      </c>
      <c r="O552" t="s">
        <v>1481</v>
      </c>
      <c r="P552" t="s">
        <v>1480</v>
      </c>
      <c r="Q552" t="s">
        <v>1479</v>
      </c>
      <c r="R552" s="7">
        <v>31048</v>
      </c>
      <c r="S552" s="8">
        <f t="shared" si="72"/>
        <v>1985</v>
      </c>
      <c r="T552" s="8">
        <v>1985</v>
      </c>
      <c r="U552" s="8">
        <f t="shared" si="73"/>
        <v>37</v>
      </c>
      <c r="V552" s="7">
        <v>31079</v>
      </c>
      <c r="W552" t="s">
        <v>24</v>
      </c>
      <c r="X552" s="2">
        <v>1.6519999999999999</v>
      </c>
      <c r="Y552" s="6">
        <f t="shared" si="70"/>
        <v>4.409919649769093E-2</v>
      </c>
      <c r="AA552" t="s">
        <v>23</v>
      </c>
      <c r="AB552">
        <v>17337</v>
      </c>
      <c r="AC552">
        <v>15582221</v>
      </c>
      <c r="AD552" t="s">
        <v>4</v>
      </c>
      <c r="AE552">
        <v>33</v>
      </c>
      <c r="AF552">
        <v>2</v>
      </c>
      <c r="AH552" t="s">
        <v>1478</v>
      </c>
      <c r="AI552" t="s">
        <v>1477</v>
      </c>
      <c r="AK552" t="s">
        <v>1476</v>
      </c>
      <c r="AL552">
        <v>11</v>
      </c>
      <c r="AM552" s="5">
        <f t="shared" si="74"/>
        <v>0.29729729729729731</v>
      </c>
      <c r="AN552" s="4">
        <f t="shared" si="71"/>
        <v>4.5027988988609969E-4</v>
      </c>
      <c r="AO552" s="3"/>
      <c r="AP552">
        <v>0</v>
      </c>
      <c r="AR552" t="s">
        <v>0</v>
      </c>
      <c r="AT552" s="2" t="s">
        <v>19</v>
      </c>
      <c r="AU552" s="1">
        <f t="shared" si="75"/>
        <v>3.1004521515349484</v>
      </c>
      <c r="AV552" s="1">
        <f t="shared" si="76"/>
        <v>2.2274738193788517</v>
      </c>
      <c r="AW552" s="1">
        <f t="shared" si="77"/>
        <v>1.3544954872227548</v>
      </c>
    </row>
    <row r="553" spans="1:49" x14ac:dyDescent="0.2">
      <c r="A553">
        <v>551</v>
      </c>
      <c r="B553" t="s">
        <v>1475</v>
      </c>
      <c r="C553" t="s">
        <v>1474</v>
      </c>
      <c r="F553" t="s">
        <v>1473</v>
      </c>
      <c r="G553" t="s">
        <v>15</v>
      </c>
      <c r="H553" t="s">
        <v>14</v>
      </c>
      <c r="I553" t="s">
        <v>1472</v>
      </c>
      <c r="J553">
        <v>60026340</v>
      </c>
      <c r="K553" t="s">
        <v>1471</v>
      </c>
      <c r="L553" t="s">
        <v>1470</v>
      </c>
      <c r="M553" t="s">
        <v>812</v>
      </c>
      <c r="N553">
        <v>1</v>
      </c>
      <c r="O553" t="s">
        <v>1469</v>
      </c>
      <c r="P553">
        <v>7003895972</v>
      </c>
      <c r="Q553">
        <v>60026340</v>
      </c>
      <c r="R553" s="7">
        <v>31048</v>
      </c>
      <c r="S553" s="8">
        <f t="shared" si="72"/>
        <v>1985</v>
      </c>
      <c r="T553" s="8">
        <v>1985</v>
      </c>
      <c r="U553" s="8">
        <f t="shared" si="73"/>
        <v>37</v>
      </c>
      <c r="V553" s="7">
        <v>31079</v>
      </c>
      <c r="W553" t="s">
        <v>24</v>
      </c>
      <c r="X553" s="2">
        <v>1.6519999999999999</v>
      </c>
      <c r="Y553" s="6">
        <f t="shared" si="70"/>
        <v>4.409919649769093E-2</v>
      </c>
      <c r="AA553" t="s">
        <v>23</v>
      </c>
      <c r="AB553">
        <v>17337</v>
      </c>
      <c r="AC553">
        <v>15582221</v>
      </c>
      <c r="AD553" t="s">
        <v>4</v>
      </c>
      <c r="AE553">
        <v>33</v>
      </c>
      <c r="AF553">
        <v>2</v>
      </c>
      <c r="AH553" t="s">
        <v>1468</v>
      </c>
      <c r="AI553" t="s">
        <v>1467</v>
      </c>
      <c r="AK553" t="s">
        <v>1466</v>
      </c>
      <c r="AL553">
        <v>13</v>
      </c>
      <c r="AM553" s="5">
        <f t="shared" si="74"/>
        <v>0.35135135135135137</v>
      </c>
      <c r="AN553" s="4">
        <f t="shared" si="71"/>
        <v>5.3214896077448143E-4</v>
      </c>
      <c r="AO553" s="3"/>
      <c r="AP553">
        <v>0</v>
      </c>
      <c r="AR553" t="s">
        <v>0</v>
      </c>
      <c r="AT553" s="2" t="s">
        <v>19</v>
      </c>
      <c r="AU553" s="1">
        <f t="shared" si="75"/>
        <v>3.1029082236615992</v>
      </c>
      <c r="AV553" s="1">
        <f t="shared" si="76"/>
        <v>2.2315672729232707</v>
      </c>
      <c r="AW553" s="1">
        <f t="shared" si="77"/>
        <v>1.3602263221849415</v>
      </c>
    </row>
    <row r="554" spans="1:49" x14ac:dyDescent="0.2">
      <c r="A554">
        <v>552</v>
      </c>
      <c r="B554" t="s">
        <v>1465</v>
      </c>
      <c r="C554" t="s">
        <v>1464</v>
      </c>
      <c r="F554" t="s">
        <v>1463</v>
      </c>
      <c r="G554" t="s">
        <v>15</v>
      </c>
      <c r="H554" t="s">
        <v>14</v>
      </c>
      <c r="I554" t="s">
        <v>1462</v>
      </c>
      <c r="J554">
        <v>115596927</v>
      </c>
      <c r="K554" t="s">
        <v>1461</v>
      </c>
      <c r="L554" t="s">
        <v>1460</v>
      </c>
      <c r="M554" t="s">
        <v>76</v>
      </c>
      <c r="N554">
        <v>1</v>
      </c>
      <c r="O554" t="s">
        <v>1459</v>
      </c>
      <c r="P554">
        <v>56697426200</v>
      </c>
      <c r="Q554">
        <v>115596927</v>
      </c>
      <c r="R554" s="7">
        <v>31048</v>
      </c>
      <c r="S554" s="8">
        <f t="shared" si="72"/>
        <v>1985</v>
      </c>
      <c r="T554" s="8">
        <v>1985</v>
      </c>
      <c r="U554" s="8">
        <f t="shared" si="73"/>
        <v>37</v>
      </c>
      <c r="V554" s="7">
        <v>31079</v>
      </c>
      <c r="W554" t="s">
        <v>24</v>
      </c>
      <c r="X554" s="2">
        <v>1.6519999999999999</v>
      </c>
      <c r="Y554" s="6">
        <f t="shared" si="70"/>
        <v>4.409919649769093E-2</v>
      </c>
      <c r="AA554" t="s">
        <v>23</v>
      </c>
      <c r="AB554">
        <v>17337</v>
      </c>
      <c r="AC554">
        <v>15582221</v>
      </c>
      <c r="AD554" t="s">
        <v>4</v>
      </c>
      <c r="AE554">
        <v>33</v>
      </c>
      <c r="AF554">
        <v>2</v>
      </c>
      <c r="AH554" t="s">
        <v>1458</v>
      </c>
      <c r="AI554" t="s">
        <v>1457</v>
      </c>
      <c r="AK554" t="s">
        <v>1456</v>
      </c>
      <c r="AL554">
        <v>4</v>
      </c>
      <c r="AM554" s="5">
        <f t="shared" si="74"/>
        <v>0.10810810810810811</v>
      </c>
      <c r="AN554" s="4">
        <f t="shared" si="71"/>
        <v>1.6373814177676353E-4</v>
      </c>
      <c r="AO554" s="3"/>
      <c r="AP554">
        <v>0</v>
      </c>
      <c r="AR554" t="s">
        <v>0</v>
      </c>
      <c r="AT554" s="2" t="s">
        <v>19</v>
      </c>
      <c r="AU554" s="1">
        <f t="shared" si="75"/>
        <v>3.091855899091668</v>
      </c>
      <c r="AV554" s="1">
        <f t="shared" si="76"/>
        <v>2.2131467319733846</v>
      </c>
      <c r="AW554" s="1">
        <f t="shared" si="77"/>
        <v>1.3344375648551012</v>
      </c>
    </row>
    <row r="555" spans="1:49" x14ac:dyDescent="0.2">
      <c r="A555">
        <v>553</v>
      </c>
      <c r="B555" t="s">
        <v>1455</v>
      </c>
      <c r="C555" t="s">
        <v>1454</v>
      </c>
      <c r="F555" t="s">
        <v>1453</v>
      </c>
      <c r="G555" t="s">
        <v>15</v>
      </c>
      <c r="H555" t="s">
        <v>14</v>
      </c>
      <c r="I555" t="s">
        <v>1452</v>
      </c>
      <c r="J555" t="s">
        <v>1451</v>
      </c>
      <c r="K555" t="s">
        <v>1450</v>
      </c>
      <c r="L555" t="s">
        <v>1449</v>
      </c>
      <c r="M555" t="s">
        <v>1448</v>
      </c>
      <c r="N555">
        <v>2</v>
      </c>
      <c r="O555" t="s">
        <v>1447</v>
      </c>
      <c r="P555" t="s">
        <v>1446</v>
      </c>
      <c r="Q555" t="s">
        <v>1445</v>
      </c>
      <c r="R555" s="7">
        <v>31048</v>
      </c>
      <c r="S555" s="8">
        <f t="shared" si="72"/>
        <v>1985</v>
      </c>
      <c r="T555" s="8">
        <v>1985</v>
      </c>
      <c r="U555" s="8">
        <f t="shared" si="73"/>
        <v>37</v>
      </c>
      <c r="V555" s="7">
        <v>31079</v>
      </c>
      <c r="W555" t="s">
        <v>24</v>
      </c>
      <c r="X555" s="2">
        <v>1.6519999999999999</v>
      </c>
      <c r="Y555" s="6">
        <f t="shared" si="70"/>
        <v>4.409919649769093E-2</v>
      </c>
      <c r="AA555" t="s">
        <v>23</v>
      </c>
      <c r="AB555">
        <v>17337</v>
      </c>
      <c r="AC555">
        <v>15582221</v>
      </c>
      <c r="AD555" t="s">
        <v>4</v>
      </c>
      <c r="AE555">
        <v>33</v>
      </c>
      <c r="AF555">
        <v>2</v>
      </c>
      <c r="AH555" t="s">
        <v>1444</v>
      </c>
      <c r="AI555" t="s">
        <v>1443</v>
      </c>
      <c r="AK555" t="s">
        <v>1442</v>
      </c>
      <c r="AL555">
        <v>17</v>
      </c>
      <c r="AM555" s="5">
        <f t="shared" si="74"/>
        <v>0.45945945945945948</v>
      </c>
      <c r="AN555" s="4">
        <f t="shared" si="71"/>
        <v>6.9588710255124491E-4</v>
      </c>
      <c r="AO555" s="3"/>
      <c r="AP555">
        <v>0</v>
      </c>
      <c r="AR555" t="s">
        <v>0</v>
      </c>
      <c r="AT555" s="2" t="s">
        <v>19</v>
      </c>
      <c r="AU555" s="1">
        <f t="shared" si="75"/>
        <v>3.1078203679149023</v>
      </c>
      <c r="AV555" s="1">
        <f t="shared" si="76"/>
        <v>2.2397541800121088</v>
      </c>
      <c r="AW555" s="1">
        <f t="shared" si="77"/>
        <v>1.371687992109315</v>
      </c>
    </row>
    <row r="556" spans="1:49" x14ac:dyDescent="0.2">
      <c r="A556">
        <v>554</v>
      </c>
      <c r="B556" t="s">
        <v>1441</v>
      </c>
      <c r="C556" t="s">
        <v>1440</v>
      </c>
      <c r="F556" t="s">
        <v>1439</v>
      </c>
      <c r="G556" t="s">
        <v>15</v>
      </c>
      <c r="H556" t="s">
        <v>14</v>
      </c>
      <c r="I556" t="s">
        <v>1438</v>
      </c>
      <c r="J556">
        <v>60018829</v>
      </c>
      <c r="K556" t="s">
        <v>1183</v>
      </c>
      <c r="L556" t="s">
        <v>1182</v>
      </c>
      <c r="M556" t="s">
        <v>530</v>
      </c>
      <c r="N556">
        <v>1</v>
      </c>
      <c r="O556" t="s">
        <v>1437</v>
      </c>
      <c r="P556">
        <v>56697421900</v>
      </c>
      <c r="Q556">
        <v>60018829</v>
      </c>
      <c r="R556" s="7">
        <v>31048</v>
      </c>
      <c r="S556" s="8">
        <f t="shared" si="72"/>
        <v>1985</v>
      </c>
      <c r="T556" s="8">
        <v>1985</v>
      </c>
      <c r="U556" s="8">
        <f t="shared" si="73"/>
        <v>37</v>
      </c>
      <c r="V556" s="7">
        <v>31079</v>
      </c>
      <c r="W556" t="s">
        <v>24</v>
      </c>
      <c r="X556" s="2">
        <v>1.6519999999999999</v>
      </c>
      <c r="Y556" s="6">
        <f t="shared" si="70"/>
        <v>4.409919649769093E-2</v>
      </c>
      <c r="AA556" t="s">
        <v>23</v>
      </c>
      <c r="AB556">
        <v>17337</v>
      </c>
      <c r="AC556">
        <v>15582221</v>
      </c>
      <c r="AD556" t="s">
        <v>4</v>
      </c>
      <c r="AE556">
        <v>33</v>
      </c>
      <c r="AF556">
        <v>2</v>
      </c>
      <c r="AH556" t="s">
        <v>1436</v>
      </c>
      <c r="AI556" t="s">
        <v>1435</v>
      </c>
      <c r="AK556" t="s">
        <v>1434</v>
      </c>
      <c r="AL556">
        <v>17</v>
      </c>
      <c r="AM556" s="5">
        <f t="shared" si="74"/>
        <v>0.45945945945945948</v>
      </c>
      <c r="AN556" s="4">
        <f t="shared" si="71"/>
        <v>6.9588710255124491E-4</v>
      </c>
      <c r="AO556" s="3"/>
      <c r="AP556">
        <v>0</v>
      </c>
      <c r="AR556" t="s">
        <v>0</v>
      </c>
      <c r="AT556" s="2" t="s">
        <v>19</v>
      </c>
      <c r="AU556" s="1">
        <f t="shared" si="75"/>
        <v>3.1078203679149023</v>
      </c>
      <c r="AV556" s="1">
        <f t="shared" si="76"/>
        <v>2.2397541800121088</v>
      </c>
      <c r="AW556" s="1">
        <f t="shared" si="77"/>
        <v>1.371687992109315</v>
      </c>
    </row>
    <row r="557" spans="1:49" x14ac:dyDescent="0.2">
      <c r="A557">
        <v>555</v>
      </c>
      <c r="B557" t="s">
        <v>1433</v>
      </c>
      <c r="C557" t="s">
        <v>1432</v>
      </c>
      <c r="F557" t="s">
        <v>1431</v>
      </c>
      <c r="G557" t="s">
        <v>15</v>
      </c>
      <c r="H557" t="s">
        <v>14</v>
      </c>
      <c r="I557" t="s">
        <v>1430</v>
      </c>
      <c r="J557" t="s">
        <v>1429</v>
      </c>
      <c r="K557" t="s">
        <v>1428</v>
      </c>
      <c r="L557" t="s">
        <v>1427</v>
      </c>
      <c r="M557" t="s">
        <v>28</v>
      </c>
      <c r="N557">
        <v>1</v>
      </c>
      <c r="O557" t="s">
        <v>1426</v>
      </c>
      <c r="P557">
        <v>55870345800</v>
      </c>
      <c r="Q557" t="s">
        <v>1425</v>
      </c>
      <c r="R557" s="7">
        <v>31048</v>
      </c>
      <c r="S557" s="8">
        <f t="shared" si="72"/>
        <v>1985</v>
      </c>
      <c r="T557" s="8">
        <v>1985</v>
      </c>
      <c r="U557" s="8">
        <f t="shared" si="73"/>
        <v>37</v>
      </c>
      <c r="V557" s="7">
        <v>31079</v>
      </c>
      <c r="W557" t="s">
        <v>24</v>
      </c>
      <c r="X557" s="2">
        <v>1.6519999999999999</v>
      </c>
      <c r="Y557" s="6">
        <f t="shared" si="70"/>
        <v>4.409919649769093E-2</v>
      </c>
      <c r="AA557" t="s">
        <v>23</v>
      </c>
      <c r="AB557">
        <v>17337</v>
      </c>
      <c r="AC557">
        <v>15582221</v>
      </c>
      <c r="AD557" t="s">
        <v>4</v>
      </c>
      <c r="AE557">
        <v>33</v>
      </c>
      <c r="AF557">
        <v>2</v>
      </c>
      <c r="AH557" t="s">
        <v>1424</v>
      </c>
      <c r="AI557" t="s">
        <v>1423</v>
      </c>
      <c r="AK557" t="s">
        <v>1422</v>
      </c>
      <c r="AL557">
        <v>11</v>
      </c>
      <c r="AM557" s="5">
        <f t="shared" si="74"/>
        <v>0.29729729729729731</v>
      </c>
      <c r="AN557" s="4">
        <f t="shared" si="71"/>
        <v>4.5027988988609969E-4</v>
      </c>
      <c r="AO557" s="3"/>
      <c r="AP557">
        <v>0</v>
      </c>
      <c r="AR557" t="s">
        <v>0</v>
      </c>
      <c r="AT557" s="2" t="s">
        <v>19</v>
      </c>
      <c r="AU557" s="1">
        <f t="shared" si="75"/>
        <v>3.1004521515349484</v>
      </c>
      <c r="AV557" s="1">
        <f t="shared" si="76"/>
        <v>2.2274738193788517</v>
      </c>
      <c r="AW557" s="1">
        <f t="shared" si="77"/>
        <v>1.3544954872227548</v>
      </c>
    </row>
    <row r="558" spans="1:49" x14ac:dyDescent="0.2">
      <c r="A558">
        <v>556</v>
      </c>
      <c r="B558" t="s">
        <v>1421</v>
      </c>
      <c r="C558" t="s">
        <v>1420</v>
      </c>
      <c r="F558" t="s">
        <v>1419</v>
      </c>
      <c r="G558" t="s">
        <v>15</v>
      </c>
      <c r="H558" t="s">
        <v>14</v>
      </c>
      <c r="I558" t="s">
        <v>1418</v>
      </c>
      <c r="J558">
        <v>60006288</v>
      </c>
      <c r="K558" t="s">
        <v>1417</v>
      </c>
      <c r="L558" t="s">
        <v>1416</v>
      </c>
      <c r="M558" t="s">
        <v>218</v>
      </c>
      <c r="N558">
        <v>2</v>
      </c>
      <c r="O558" t="s">
        <v>1415</v>
      </c>
      <c r="P558" t="s">
        <v>1414</v>
      </c>
      <c r="Q558" t="s">
        <v>1413</v>
      </c>
      <c r="R558" s="7">
        <v>31048</v>
      </c>
      <c r="S558" s="8">
        <f t="shared" si="72"/>
        <v>1985</v>
      </c>
      <c r="T558" s="8">
        <v>1985</v>
      </c>
      <c r="U558" s="8">
        <f t="shared" si="73"/>
        <v>37</v>
      </c>
      <c r="V558" s="7">
        <v>31079</v>
      </c>
      <c r="W558" t="s">
        <v>1412</v>
      </c>
      <c r="X558" s="2">
        <v>0.76700000000000002</v>
      </c>
      <c r="Y558" s="6">
        <f t="shared" si="70"/>
        <v>2.0474626945356504E-2</v>
      </c>
      <c r="AA558">
        <v>983063</v>
      </c>
      <c r="AB558">
        <v>26048</v>
      </c>
      <c r="AD558" t="s">
        <v>4</v>
      </c>
      <c r="AE558" t="s">
        <v>1411</v>
      </c>
      <c r="AF558">
        <v>1</v>
      </c>
      <c r="AH558" s="10">
        <v>42583</v>
      </c>
      <c r="AI558" t="s">
        <v>1410</v>
      </c>
      <c r="AK558" t="s">
        <v>1409</v>
      </c>
      <c r="AL558">
        <v>0</v>
      </c>
      <c r="AM558" s="5">
        <f t="shared" si="74"/>
        <v>0</v>
      </c>
      <c r="AN558" s="4">
        <f t="shared" si="71"/>
        <v>0</v>
      </c>
      <c r="AO558" s="3"/>
      <c r="AP558">
        <v>0</v>
      </c>
      <c r="AR558" t="s">
        <v>0</v>
      </c>
      <c r="AT558" s="2" t="s">
        <v>19</v>
      </c>
      <c r="AU558" s="1">
        <f t="shared" si="75"/>
        <v>1.4332238861749553</v>
      </c>
      <c r="AV558" s="1">
        <f t="shared" si="76"/>
        <v>1.0237313472678251</v>
      </c>
      <c r="AW558" s="1">
        <f t="shared" si="77"/>
        <v>0.61423880836069511</v>
      </c>
    </row>
    <row r="559" spans="1:49" x14ac:dyDescent="0.2">
      <c r="A559">
        <v>557</v>
      </c>
      <c r="B559" t="s">
        <v>1408</v>
      </c>
      <c r="C559" t="s">
        <v>1407</v>
      </c>
      <c r="F559" t="s">
        <v>1406</v>
      </c>
      <c r="G559" t="s">
        <v>15</v>
      </c>
      <c r="H559" t="s">
        <v>14</v>
      </c>
      <c r="I559" t="s">
        <v>1405</v>
      </c>
      <c r="J559">
        <v>60000891</v>
      </c>
      <c r="K559" t="s">
        <v>1404</v>
      </c>
      <c r="L559" t="s">
        <v>1403</v>
      </c>
      <c r="M559" t="s">
        <v>530</v>
      </c>
      <c r="N559">
        <v>1</v>
      </c>
      <c r="O559" t="s">
        <v>1402</v>
      </c>
      <c r="P559">
        <v>7402565933</v>
      </c>
      <c r="Q559">
        <v>60000891</v>
      </c>
      <c r="R559" s="7">
        <v>31048</v>
      </c>
      <c r="S559" s="8">
        <f t="shared" si="72"/>
        <v>1985</v>
      </c>
      <c r="T559" s="8">
        <v>1985</v>
      </c>
      <c r="U559" s="8">
        <f t="shared" si="73"/>
        <v>37</v>
      </c>
      <c r="V559" s="7" t="s">
        <v>1367</v>
      </c>
      <c r="W559" s="11" t="s">
        <v>1366</v>
      </c>
      <c r="X559" s="2">
        <v>2.383</v>
      </c>
      <c r="Y559" s="6">
        <f t="shared" si="70"/>
        <v>6.3612824003630442E-2</v>
      </c>
      <c r="AA559">
        <v>1437097</v>
      </c>
      <c r="AB559">
        <v>101236</v>
      </c>
      <c r="AD559" t="s">
        <v>4</v>
      </c>
      <c r="AE559">
        <v>132</v>
      </c>
      <c r="AF559" t="s">
        <v>1365</v>
      </c>
      <c r="AH559" t="s">
        <v>1401</v>
      </c>
      <c r="AI559" t="s">
        <v>1400</v>
      </c>
      <c r="AK559" t="s">
        <v>1399</v>
      </c>
      <c r="AL559">
        <v>1</v>
      </c>
      <c r="AM559" s="5">
        <f t="shared" si="74"/>
        <v>2.7027027027027029E-2</v>
      </c>
      <c r="AN559" s="4">
        <f t="shared" si="71"/>
        <v>4.0934535444190883E-5</v>
      </c>
      <c r="AO559" s="3"/>
      <c r="AP559">
        <v>0</v>
      </c>
      <c r="AR559" t="s">
        <v>0</v>
      </c>
      <c r="AT559" s="2" t="s">
        <v>19</v>
      </c>
      <c r="AU559" s="1">
        <f t="shared" si="75"/>
        <v>4.4541257163174564</v>
      </c>
      <c r="AV559" s="1">
        <f t="shared" si="76"/>
        <v>3.182687926953732</v>
      </c>
      <c r="AW559" s="1">
        <f t="shared" si="77"/>
        <v>1.9112501375900064</v>
      </c>
    </row>
    <row r="560" spans="1:49" x14ac:dyDescent="0.2">
      <c r="A560">
        <v>558</v>
      </c>
      <c r="B560" t="s">
        <v>1398</v>
      </c>
      <c r="C560" t="s">
        <v>1397</v>
      </c>
      <c r="F560" t="s">
        <v>1396</v>
      </c>
      <c r="G560" t="s">
        <v>15</v>
      </c>
      <c r="H560" t="s">
        <v>14</v>
      </c>
      <c r="I560" t="s">
        <v>1395</v>
      </c>
      <c r="J560">
        <v>60021097</v>
      </c>
      <c r="K560" t="s">
        <v>1394</v>
      </c>
      <c r="L560" t="s">
        <v>1393</v>
      </c>
      <c r="M560" t="s">
        <v>530</v>
      </c>
      <c r="N560">
        <v>1</v>
      </c>
      <c r="O560" t="s">
        <v>1392</v>
      </c>
      <c r="P560">
        <v>7004675477</v>
      </c>
      <c r="Q560">
        <v>60021097</v>
      </c>
      <c r="R560" s="7">
        <v>31048</v>
      </c>
      <c r="S560" s="8">
        <f t="shared" si="72"/>
        <v>1985</v>
      </c>
      <c r="T560" s="8">
        <v>1985</v>
      </c>
      <c r="U560" s="8">
        <f t="shared" si="73"/>
        <v>37</v>
      </c>
      <c r="V560" s="7" t="s">
        <v>1367</v>
      </c>
      <c r="W560" s="11" t="s">
        <v>1366</v>
      </c>
      <c r="X560" s="2">
        <v>2.383</v>
      </c>
      <c r="Y560" s="6">
        <f t="shared" si="70"/>
        <v>6.3612824003630442E-2</v>
      </c>
      <c r="AA560">
        <v>1437097</v>
      </c>
      <c r="AB560">
        <v>101236</v>
      </c>
      <c r="AD560" t="s">
        <v>4</v>
      </c>
      <c r="AE560">
        <v>132</v>
      </c>
      <c r="AF560" t="s">
        <v>1365</v>
      </c>
      <c r="AH560" t="s">
        <v>1391</v>
      </c>
      <c r="AI560" t="s">
        <v>1390</v>
      </c>
      <c r="AK560" t="s">
        <v>1389</v>
      </c>
      <c r="AL560">
        <v>0</v>
      </c>
      <c r="AM560" s="5">
        <f t="shared" si="74"/>
        <v>0</v>
      </c>
      <c r="AN560" s="4">
        <f t="shared" si="71"/>
        <v>0</v>
      </c>
      <c r="AO560" s="3"/>
      <c r="AP560">
        <v>0</v>
      </c>
      <c r="AR560" t="s">
        <v>0</v>
      </c>
      <c r="AT560" s="2" t="s">
        <v>19</v>
      </c>
      <c r="AU560" s="1">
        <f t="shared" si="75"/>
        <v>4.4528976802541305</v>
      </c>
      <c r="AV560" s="1">
        <f t="shared" si="76"/>
        <v>3.1806412001815221</v>
      </c>
      <c r="AW560" s="1">
        <f t="shared" si="77"/>
        <v>1.9083847201089132</v>
      </c>
    </row>
    <row r="561" spans="1:49" x14ac:dyDescent="0.2">
      <c r="A561">
        <v>559</v>
      </c>
      <c r="B561" t="s">
        <v>1388</v>
      </c>
      <c r="C561" t="s">
        <v>1387</v>
      </c>
      <c r="F561" t="s">
        <v>1386</v>
      </c>
      <c r="G561" t="s">
        <v>15</v>
      </c>
      <c r="H561" t="s">
        <v>14</v>
      </c>
      <c r="I561" t="s">
        <v>1385</v>
      </c>
      <c r="J561">
        <v>60008435</v>
      </c>
      <c r="K561" t="s">
        <v>1384</v>
      </c>
      <c r="L561" t="s">
        <v>1383</v>
      </c>
      <c r="M561" t="s">
        <v>544</v>
      </c>
      <c r="N561">
        <v>3</v>
      </c>
      <c r="O561" t="s">
        <v>1382</v>
      </c>
      <c r="P561" t="s">
        <v>1381</v>
      </c>
      <c r="Q561" t="s">
        <v>1380</v>
      </c>
      <c r="R561" s="7">
        <v>31048</v>
      </c>
      <c r="S561" s="8">
        <f t="shared" si="72"/>
        <v>1985</v>
      </c>
      <c r="T561" s="8">
        <v>1985</v>
      </c>
      <c r="U561" s="8">
        <f t="shared" si="73"/>
        <v>37</v>
      </c>
      <c r="V561" s="7">
        <v>31079</v>
      </c>
      <c r="W561" t="s">
        <v>1379</v>
      </c>
      <c r="X561" s="2">
        <v>0.66100000000000003</v>
      </c>
      <c r="Y561" s="6">
        <f t="shared" si="70"/>
        <v>1.7645017484850912E-2</v>
      </c>
      <c r="AA561">
        <v>189197</v>
      </c>
      <c r="AB561">
        <v>26022</v>
      </c>
      <c r="AC561">
        <v>15581713</v>
      </c>
      <c r="AD561" t="s">
        <v>4</v>
      </c>
      <c r="AE561">
        <v>21</v>
      </c>
      <c r="AF561">
        <v>2</v>
      </c>
      <c r="AH561" t="s">
        <v>1378</v>
      </c>
      <c r="AI561" t="s">
        <v>1377</v>
      </c>
      <c r="AK561" t="s">
        <v>1376</v>
      </c>
      <c r="AL561">
        <v>34</v>
      </c>
      <c r="AM561" s="5">
        <f t="shared" si="74"/>
        <v>0.91891891891891897</v>
      </c>
      <c r="AN561" s="4">
        <f t="shared" si="71"/>
        <v>1.3917742051024898E-3</v>
      </c>
      <c r="AO561" s="3"/>
      <c r="AP561">
        <v>0</v>
      </c>
      <c r="AR561" t="s">
        <v>0</v>
      </c>
      <c r="AT561" s="2">
        <v>2.3180000000000001</v>
      </c>
      <c r="AU561" s="1">
        <f t="shared" si="75"/>
        <v>1.2769044500926383</v>
      </c>
      <c r="AV561" s="1">
        <f t="shared" si="76"/>
        <v>0.95183958449767003</v>
      </c>
      <c r="AW561" s="1">
        <f t="shared" si="77"/>
        <v>0.62677471890270164</v>
      </c>
    </row>
    <row r="562" spans="1:49" x14ac:dyDescent="0.2">
      <c r="A562">
        <v>560</v>
      </c>
      <c r="B562" t="s">
        <v>1375</v>
      </c>
      <c r="C562" t="s">
        <v>1374</v>
      </c>
      <c r="F562" t="s">
        <v>1373</v>
      </c>
      <c r="G562" t="s">
        <v>15</v>
      </c>
      <c r="H562" t="s">
        <v>14</v>
      </c>
      <c r="I562" t="s">
        <v>1372</v>
      </c>
      <c r="J562">
        <v>60027550</v>
      </c>
      <c r="K562" t="s">
        <v>1371</v>
      </c>
      <c r="L562" t="s">
        <v>1006</v>
      </c>
      <c r="M562" t="s">
        <v>122</v>
      </c>
      <c r="N562">
        <v>3</v>
      </c>
      <c r="O562" t="s">
        <v>1370</v>
      </c>
      <c r="P562" t="s">
        <v>1369</v>
      </c>
      <c r="Q562" t="s">
        <v>1368</v>
      </c>
      <c r="R562" s="7">
        <v>31048</v>
      </c>
      <c r="S562" s="8">
        <f t="shared" si="72"/>
        <v>1985</v>
      </c>
      <c r="T562" s="8">
        <v>1985</v>
      </c>
      <c r="U562" s="8">
        <f t="shared" si="73"/>
        <v>37</v>
      </c>
      <c r="V562" s="7" t="s">
        <v>1367</v>
      </c>
      <c r="W562" s="11" t="s">
        <v>1366</v>
      </c>
      <c r="X562" s="2">
        <v>2.383</v>
      </c>
      <c r="Y562" s="6">
        <f t="shared" si="70"/>
        <v>6.3612824003630442E-2</v>
      </c>
      <c r="AA562">
        <v>1437097</v>
      </c>
      <c r="AB562">
        <v>101236</v>
      </c>
      <c r="AD562" t="s">
        <v>4</v>
      </c>
      <c r="AE562">
        <v>132</v>
      </c>
      <c r="AF562" t="s">
        <v>1365</v>
      </c>
      <c r="AH562" t="s">
        <v>1364</v>
      </c>
      <c r="AI562" t="s">
        <v>1363</v>
      </c>
      <c r="AK562" t="s">
        <v>1362</v>
      </c>
      <c r="AL562">
        <v>207</v>
      </c>
      <c r="AM562" s="5">
        <f t="shared" si="74"/>
        <v>5.5945945945945947</v>
      </c>
      <c r="AN562" s="4">
        <f t="shared" si="71"/>
        <v>8.4734488369475128E-3</v>
      </c>
      <c r="AO562" s="3"/>
      <c r="AP562">
        <v>0</v>
      </c>
      <c r="AR562" t="s">
        <v>0</v>
      </c>
      <c r="AT562" s="2" t="s">
        <v>19</v>
      </c>
      <c r="AU562" s="1">
        <f t="shared" si="75"/>
        <v>4.7071011453625564</v>
      </c>
      <c r="AV562" s="1">
        <f t="shared" si="76"/>
        <v>3.6043136420288975</v>
      </c>
      <c r="AW562" s="1">
        <f t="shared" si="77"/>
        <v>2.501526138695239</v>
      </c>
    </row>
    <row r="563" spans="1:49" x14ac:dyDescent="0.2">
      <c r="A563">
        <v>561</v>
      </c>
      <c r="B563" t="s">
        <v>1361</v>
      </c>
      <c r="C563" t="s">
        <v>1360</v>
      </c>
      <c r="F563" t="s">
        <v>1359</v>
      </c>
      <c r="G563" t="s">
        <v>15</v>
      </c>
      <c r="H563" t="s">
        <v>14</v>
      </c>
      <c r="I563" t="s">
        <v>1358</v>
      </c>
      <c r="J563" t="s">
        <v>1357</v>
      </c>
      <c r="K563" t="s">
        <v>1356</v>
      </c>
      <c r="L563" t="s">
        <v>1355</v>
      </c>
      <c r="M563" t="s">
        <v>1354</v>
      </c>
      <c r="N563">
        <v>1</v>
      </c>
      <c r="O563" t="s">
        <v>1353</v>
      </c>
      <c r="P563">
        <v>7202418704</v>
      </c>
      <c r="Q563" t="s">
        <v>1352</v>
      </c>
      <c r="R563" s="7">
        <v>31048</v>
      </c>
      <c r="S563" s="8">
        <f t="shared" si="72"/>
        <v>1985</v>
      </c>
      <c r="T563" s="8">
        <v>1985</v>
      </c>
      <c r="U563" s="8">
        <f t="shared" si="73"/>
        <v>37</v>
      </c>
      <c r="V563" s="7">
        <v>31079</v>
      </c>
      <c r="W563" t="s">
        <v>24</v>
      </c>
      <c r="X563" s="2">
        <v>1.6519999999999999</v>
      </c>
      <c r="Y563" s="6">
        <f t="shared" si="70"/>
        <v>4.409919649769093E-2</v>
      </c>
      <c r="AA563" t="s">
        <v>23</v>
      </c>
      <c r="AB563">
        <v>17337</v>
      </c>
      <c r="AC563">
        <v>15582221</v>
      </c>
      <c r="AD563" t="s">
        <v>4</v>
      </c>
      <c r="AE563">
        <v>33</v>
      </c>
      <c r="AF563">
        <v>2</v>
      </c>
      <c r="AH563" t="s">
        <v>1351</v>
      </c>
      <c r="AI563" t="s">
        <v>1350</v>
      </c>
      <c r="AK563" t="s">
        <v>1349</v>
      </c>
      <c r="AL563">
        <v>162</v>
      </c>
      <c r="AM563" s="5">
        <f t="shared" si="74"/>
        <v>4.3783783783783781</v>
      </c>
      <c r="AN563" s="4">
        <f t="shared" si="71"/>
        <v>6.6313947419589219E-3</v>
      </c>
      <c r="AO563" s="3"/>
      <c r="AP563">
        <v>0</v>
      </c>
      <c r="AR563" t="s">
        <v>0</v>
      </c>
      <c r="AT563" s="2" t="s">
        <v>19</v>
      </c>
      <c r="AU563" s="1">
        <f t="shared" si="75"/>
        <v>3.2858855970971321</v>
      </c>
      <c r="AV563" s="1">
        <f t="shared" si="76"/>
        <v>2.5365295619824928</v>
      </c>
      <c r="AW563" s="1">
        <f t="shared" si="77"/>
        <v>1.7871735268678524</v>
      </c>
    </row>
    <row r="564" spans="1:49" x14ac:dyDescent="0.2">
      <c r="A564">
        <v>562</v>
      </c>
      <c r="B564" t="s">
        <v>1348</v>
      </c>
      <c r="C564" t="s">
        <v>1347</v>
      </c>
      <c r="D564">
        <v>48357585901105</v>
      </c>
      <c r="F564" t="s">
        <v>1346</v>
      </c>
      <c r="G564" t="s">
        <v>15</v>
      </c>
      <c r="H564" t="s">
        <v>14</v>
      </c>
      <c r="I564" t="s">
        <v>1345</v>
      </c>
      <c r="J564">
        <v>60019967</v>
      </c>
      <c r="K564" t="s">
        <v>1344</v>
      </c>
      <c r="L564" t="s">
        <v>607</v>
      </c>
      <c r="M564" t="s">
        <v>76</v>
      </c>
      <c r="N564">
        <v>1</v>
      </c>
      <c r="O564" t="s">
        <v>1343</v>
      </c>
      <c r="P564">
        <v>55605778273</v>
      </c>
      <c r="Q564">
        <v>60019967</v>
      </c>
      <c r="R564" s="7">
        <v>31048</v>
      </c>
      <c r="S564" s="8">
        <f t="shared" si="72"/>
        <v>1985</v>
      </c>
      <c r="T564" s="8">
        <v>1985</v>
      </c>
      <c r="U564" s="8">
        <f t="shared" si="73"/>
        <v>37</v>
      </c>
      <c r="V564" s="7">
        <v>31260</v>
      </c>
      <c r="W564" t="s">
        <v>1342</v>
      </c>
      <c r="X564" s="2">
        <v>0.93400000000000005</v>
      </c>
      <c r="Y564" s="6">
        <f t="shared" si="70"/>
        <v>2.4932596567096451E-2</v>
      </c>
      <c r="AA564">
        <v>483575</v>
      </c>
      <c r="AB564">
        <v>39487</v>
      </c>
      <c r="AC564">
        <v>10959939</v>
      </c>
      <c r="AD564" t="s">
        <v>4</v>
      </c>
      <c r="AE564">
        <v>24</v>
      </c>
      <c r="AF564">
        <v>1</v>
      </c>
      <c r="AH564" t="s">
        <v>1341</v>
      </c>
      <c r="AI564" t="s">
        <v>1340</v>
      </c>
      <c r="AK564" t="s">
        <v>1339</v>
      </c>
      <c r="AL564">
        <v>5</v>
      </c>
      <c r="AM564" s="5">
        <f t="shared" si="74"/>
        <v>0.13513513513513514</v>
      </c>
      <c r="AN564" s="4">
        <f t="shared" si="71"/>
        <v>2.046726772209544E-4</v>
      </c>
      <c r="AO564" s="3"/>
      <c r="AP564">
        <v>0</v>
      </c>
      <c r="AR564" t="s">
        <v>0</v>
      </c>
      <c r="AT564" s="2">
        <v>3.9630000000000001</v>
      </c>
      <c r="AU564" s="1">
        <f t="shared" si="75"/>
        <v>1.7514219400133801</v>
      </c>
      <c r="AV564" s="1">
        <f t="shared" si="76"/>
        <v>1.2568634622158703</v>
      </c>
      <c r="AW564" s="1">
        <f t="shared" si="77"/>
        <v>0.76230498441836025</v>
      </c>
    </row>
    <row r="565" spans="1:49" x14ac:dyDescent="0.2">
      <c r="A565">
        <v>563</v>
      </c>
      <c r="B565" t="s">
        <v>1338</v>
      </c>
      <c r="C565" t="s">
        <v>1337</v>
      </c>
      <c r="D565" t="s">
        <v>1336</v>
      </c>
      <c r="E565">
        <v>3886610</v>
      </c>
      <c r="F565" t="s">
        <v>1335</v>
      </c>
      <c r="G565" t="s">
        <v>15</v>
      </c>
      <c r="H565" t="s">
        <v>14</v>
      </c>
      <c r="I565" t="s">
        <v>1334</v>
      </c>
      <c r="J565">
        <v>60032838</v>
      </c>
      <c r="K565" t="s">
        <v>1333</v>
      </c>
      <c r="L565" t="s">
        <v>1332</v>
      </c>
      <c r="M565" t="s">
        <v>122</v>
      </c>
      <c r="N565">
        <v>3</v>
      </c>
      <c r="O565" t="s">
        <v>1331</v>
      </c>
      <c r="P565" t="s">
        <v>1330</v>
      </c>
      <c r="Q565" t="s">
        <v>1329</v>
      </c>
      <c r="R565" s="7">
        <v>31048</v>
      </c>
      <c r="S565" s="8">
        <f t="shared" si="72"/>
        <v>1985</v>
      </c>
      <c r="T565" s="8">
        <v>1985</v>
      </c>
      <c r="U565" s="8">
        <f t="shared" si="73"/>
        <v>37</v>
      </c>
      <c r="V565" s="7">
        <v>31168</v>
      </c>
      <c r="W565" t="s">
        <v>1328</v>
      </c>
      <c r="X565" s="2" t="s">
        <v>19</v>
      </c>
      <c r="Y565" s="6" t="e">
        <f t="shared" si="70"/>
        <v>#VALUE!</v>
      </c>
      <c r="AA565">
        <v>3603016</v>
      </c>
      <c r="AB565">
        <v>17191</v>
      </c>
      <c r="AD565" t="s">
        <v>4</v>
      </c>
      <c r="AE565">
        <v>11</v>
      </c>
      <c r="AF565">
        <v>5</v>
      </c>
      <c r="AH565" t="s">
        <v>1327</v>
      </c>
      <c r="AI565" t="s">
        <v>1326</v>
      </c>
      <c r="AJ565" t="s">
        <v>1325</v>
      </c>
      <c r="AK565" t="s">
        <v>1324</v>
      </c>
      <c r="AL565">
        <v>24</v>
      </c>
      <c r="AM565" s="5">
        <f t="shared" si="74"/>
        <v>0.64864864864864868</v>
      </c>
      <c r="AN565" s="4">
        <f t="shared" si="71"/>
        <v>9.8242885066058107E-4</v>
      </c>
      <c r="AO565" s="3"/>
      <c r="AP565">
        <v>0</v>
      </c>
      <c r="AQ565" t="s">
        <v>1323</v>
      </c>
      <c r="AR565" t="s">
        <v>1322</v>
      </c>
      <c r="AS565" t="s">
        <v>1321</v>
      </c>
      <c r="AT565" s="2" t="s">
        <v>19</v>
      </c>
      <c r="AU565" s="1" t="e">
        <f t="shared" si="75"/>
        <v>#VALUE!</v>
      </c>
      <c r="AV565" s="1" t="e">
        <f t="shared" si="76"/>
        <v>#VALUE!</v>
      </c>
      <c r="AW565" s="1" t="e">
        <f t="shared" si="77"/>
        <v>#VALUE!</v>
      </c>
    </row>
    <row r="566" spans="1:49" x14ac:dyDescent="0.2">
      <c r="A566">
        <v>564</v>
      </c>
      <c r="B566" t="s">
        <v>1320</v>
      </c>
      <c r="C566" t="s">
        <v>1319</v>
      </c>
      <c r="F566" t="s">
        <v>1318</v>
      </c>
      <c r="G566" t="s">
        <v>15</v>
      </c>
      <c r="H566" t="s">
        <v>14</v>
      </c>
      <c r="I566" t="s">
        <v>1317</v>
      </c>
      <c r="J566">
        <v>60023653</v>
      </c>
      <c r="K566" t="s">
        <v>1316</v>
      </c>
      <c r="L566" t="s">
        <v>956</v>
      </c>
      <c r="M566" t="s">
        <v>122</v>
      </c>
      <c r="N566">
        <v>9</v>
      </c>
      <c r="O566" t="s">
        <v>1315</v>
      </c>
      <c r="P566" t="s">
        <v>1314</v>
      </c>
      <c r="Q566" t="s">
        <v>1313</v>
      </c>
      <c r="R566" s="7">
        <v>31048</v>
      </c>
      <c r="S566" s="8">
        <f t="shared" si="72"/>
        <v>1985</v>
      </c>
      <c r="T566" s="8">
        <v>1985</v>
      </c>
      <c r="U566" s="8">
        <f t="shared" si="73"/>
        <v>37</v>
      </c>
      <c r="V566" s="7">
        <v>1985</v>
      </c>
      <c r="W566" t="s">
        <v>1312</v>
      </c>
      <c r="X566" s="2">
        <v>3.1179999999999999</v>
      </c>
      <c r="Y566" s="6">
        <f t="shared" si="70"/>
        <v>8.3233229225060726E-2</v>
      </c>
      <c r="AA566">
        <v>338419</v>
      </c>
      <c r="AB566">
        <v>17864</v>
      </c>
      <c r="AD566" t="s">
        <v>4</v>
      </c>
      <c r="AE566">
        <v>154</v>
      </c>
      <c r="AF566">
        <v>3</v>
      </c>
      <c r="AH566" t="s">
        <v>1311</v>
      </c>
      <c r="AI566" t="s">
        <v>1310</v>
      </c>
      <c r="AK566" t="s">
        <v>1309</v>
      </c>
      <c r="AL566">
        <v>39</v>
      </c>
      <c r="AM566" s="5">
        <f t="shared" si="74"/>
        <v>1.0540540540540539</v>
      </c>
      <c r="AN566" s="4">
        <f t="shared" si="71"/>
        <v>1.596446882323444E-3</v>
      </c>
      <c r="AO566" s="3"/>
      <c r="AP566">
        <v>0</v>
      </c>
      <c r="AR566" t="s">
        <v>0</v>
      </c>
      <c r="AT566" s="2">
        <v>11.105</v>
      </c>
      <c r="AU566" s="1">
        <f t="shared" si="75"/>
        <v>5.8742194522239535</v>
      </c>
      <c r="AV566" s="1">
        <f t="shared" si="76"/>
        <v>4.2414838053692083</v>
      </c>
      <c r="AW566" s="1">
        <f t="shared" si="77"/>
        <v>2.6087481585144632</v>
      </c>
    </row>
    <row r="567" spans="1:49" x14ac:dyDescent="0.2">
      <c r="A567">
        <v>565</v>
      </c>
      <c r="B567" t="s">
        <v>1308</v>
      </c>
      <c r="C567" t="s">
        <v>1307</v>
      </c>
      <c r="F567" t="s">
        <v>1306</v>
      </c>
      <c r="G567" t="s">
        <v>15</v>
      </c>
      <c r="H567" t="s">
        <v>14</v>
      </c>
      <c r="I567" t="s">
        <v>1305</v>
      </c>
      <c r="J567">
        <v>60005686</v>
      </c>
      <c r="K567" t="s">
        <v>1304</v>
      </c>
      <c r="L567" t="s">
        <v>1303</v>
      </c>
      <c r="M567" t="s">
        <v>1302</v>
      </c>
      <c r="N567">
        <v>1</v>
      </c>
      <c r="O567" t="s">
        <v>1301</v>
      </c>
      <c r="P567">
        <v>7202701174</v>
      </c>
      <c r="Q567">
        <v>60005686</v>
      </c>
      <c r="R567" s="7">
        <v>31048</v>
      </c>
      <c r="S567" s="8">
        <f t="shared" si="72"/>
        <v>1985</v>
      </c>
      <c r="T567" s="8">
        <v>1985</v>
      </c>
      <c r="U567" s="8">
        <f t="shared" si="73"/>
        <v>37</v>
      </c>
      <c r="V567" s="7">
        <v>31048</v>
      </c>
      <c r="W567" t="s">
        <v>1300</v>
      </c>
      <c r="X567" s="2">
        <v>0.251</v>
      </c>
      <c r="Y567" s="6">
        <f t="shared" si="70"/>
        <v>6.7003016470462617E-3</v>
      </c>
      <c r="AA567">
        <v>207217</v>
      </c>
      <c r="AB567">
        <v>26145</v>
      </c>
      <c r="AC567">
        <v>13623060</v>
      </c>
      <c r="AD567" t="s">
        <v>4</v>
      </c>
      <c r="AE567">
        <v>58</v>
      </c>
      <c r="AF567">
        <v>1</v>
      </c>
      <c r="AH567" t="s">
        <v>1299</v>
      </c>
      <c r="AI567" t="s">
        <v>1298</v>
      </c>
      <c r="AK567" t="s">
        <v>1297</v>
      </c>
      <c r="AL567">
        <v>54</v>
      </c>
      <c r="AM567" s="5">
        <f t="shared" si="74"/>
        <v>1.4594594594594594</v>
      </c>
      <c r="AN567" s="4">
        <f t="shared" si="71"/>
        <v>2.2104649139863073E-3</v>
      </c>
      <c r="AO567" s="3"/>
      <c r="AP567">
        <v>0</v>
      </c>
      <c r="AR567" t="s">
        <v>0</v>
      </c>
      <c r="AT567" s="2">
        <v>1.3360000000000001</v>
      </c>
      <c r="AU567" s="1">
        <f t="shared" si="75"/>
        <v>0.53533506271282749</v>
      </c>
      <c r="AV567" s="1">
        <f t="shared" si="76"/>
        <v>0.44553832805162841</v>
      </c>
      <c r="AW567" s="1">
        <f t="shared" si="77"/>
        <v>0.35574159339042932</v>
      </c>
    </row>
    <row r="568" spans="1:49" x14ac:dyDescent="0.2">
      <c r="A568">
        <v>566</v>
      </c>
      <c r="B568" t="s">
        <v>1296</v>
      </c>
      <c r="C568" t="s">
        <v>1295</v>
      </c>
      <c r="E568">
        <v>3905781</v>
      </c>
      <c r="F568" t="s">
        <v>1294</v>
      </c>
      <c r="G568" t="s">
        <v>15</v>
      </c>
      <c r="H568" t="s">
        <v>14</v>
      </c>
      <c r="I568" t="s">
        <v>1293</v>
      </c>
      <c r="J568">
        <v>60019615</v>
      </c>
      <c r="K568" t="s">
        <v>1292</v>
      </c>
      <c r="L568" t="s">
        <v>1291</v>
      </c>
      <c r="M568" t="s">
        <v>272</v>
      </c>
      <c r="N568">
        <v>3</v>
      </c>
      <c r="O568" t="s">
        <v>1290</v>
      </c>
      <c r="P568" t="s">
        <v>1289</v>
      </c>
      <c r="Q568" t="s">
        <v>1288</v>
      </c>
      <c r="R568" s="7">
        <v>31048</v>
      </c>
      <c r="S568" s="8">
        <f t="shared" si="72"/>
        <v>1985</v>
      </c>
      <c r="T568" s="8">
        <v>1985</v>
      </c>
      <c r="U568" s="8">
        <f t="shared" si="73"/>
        <v>37</v>
      </c>
      <c r="V568" s="7">
        <v>31260</v>
      </c>
      <c r="W568" t="s">
        <v>1287</v>
      </c>
      <c r="X568" s="2">
        <v>1.28</v>
      </c>
      <c r="Y568" s="6">
        <f t="shared" si="70"/>
        <v>3.4168868957048668E-2</v>
      </c>
      <c r="AA568" t="s">
        <v>1286</v>
      </c>
      <c r="AB568">
        <v>17581</v>
      </c>
      <c r="AD568" t="s">
        <v>4</v>
      </c>
      <c r="AE568">
        <v>98</v>
      </c>
      <c r="AF568">
        <v>2</v>
      </c>
      <c r="AH568" t="s">
        <v>1285</v>
      </c>
      <c r="AI568" t="s">
        <v>1284</v>
      </c>
      <c r="AK568" t="s">
        <v>1283</v>
      </c>
      <c r="AL568">
        <v>7</v>
      </c>
      <c r="AM568" s="5">
        <f t="shared" si="74"/>
        <v>0.1891891891891892</v>
      </c>
      <c r="AN568" s="4">
        <f t="shared" si="71"/>
        <v>2.8654174810933616E-4</v>
      </c>
      <c r="AO568" s="3"/>
      <c r="AP568">
        <v>0</v>
      </c>
      <c r="AR568" t="s">
        <v>0</v>
      </c>
      <c r="AT568" s="2">
        <v>3.387</v>
      </c>
      <c r="AU568" s="1">
        <f t="shared" si="75"/>
        <v>2.4004170794366866</v>
      </c>
      <c r="AV568" s="1">
        <f t="shared" si="76"/>
        <v>1.7227705352579004</v>
      </c>
      <c r="AW568" s="1">
        <f t="shared" si="77"/>
        <v>1.0451239910791135</v>
      </c>
    </row>
    <row r="569" spans="1:49" x14ac:dyDescent="0.2">
      <c r="A569">
        <v>567</v>
      </c>
      <c r="B569" t="s">
        <v>1282</v>
      </c>
      <c r="C569" t="s">
        <v>1281</v>
      </c>
      <c r="F569" t="s">
        <v>1280</v>
      </c>
      <c r="G569" t="s">
        <v>15</v>
      </c>
      <c r="H569" t="s">
        <v>14</v>
      </c>
      <c r="I569" t="s">
        <v>1279</v>
      </c>
      <c r="J569">
        <v>60012708</v>
      </c>
      <c r="K569" t="s">
        <v>335</v>
      </c>
      <c r="L569" t="s">
        <v>334</v>
      </c>
      <c r="M569" t="s">
        <v>122</v>
      </c>
      <c r="N569">
        <v>3</v>
      </c>
      <c r="O569" t="s">
        <v>1278</v>
      </c>
      <c r="P569" t="s">
        <v>1277</v>
      </c>
      <c r="Q569" t="s">
        <v>331</v>
      </c>
      <c r="R569" s="7">
        <v>31048</v>
      </c>
      <c r="S569" s="8">
        <f t="shared" si="72"/>
        <v>1985</v>
      </c>
      <c r="T569" s="8">
        <v>1985</v>
      </c>
      <c r="U569" s="8">
        <f t="shared" si="73"/>
        <v>37</v>
      </c>
      <c r="V569" s="7">
        <v>31138</v>
      </c>
      <c r="W569" t="s">
        <v>1276</v>
      </c>
      <c r="X569" s="2">
        <v>0.65200000000000002</v>
      </c>
      <c r="Y569" s="6">
        <f t="shared" si="70"/>
        <v>1.7404767624996664E-2</v>
      </c>
      <c r="AA569">
        <v>3622525</v>
      </c>
      <c r="AB569">
        <v>29629</v>
      </c>
      <c r="AC569">
        <v>10974687</v>
      </c>
      <c r="AD569" t="s">
        <v>4</v>
      </c>
      <c r="AE569">
        <v>184</v>
      </c>
      <c r="AF569">
        <v>1</v>
      </c>
      <c r="AH569" s="10">
        <v>44562</v>
      </c>
      <c r="AI569" t="s">
        <v>1275</v>
      </c>
      <c r="AK569" t="s">
        <v>1274</v>
      </c>
      <c r="AL569">
        <v>9</v>
      </c>
      <c r="AM569" s="5">
        <f t="shared" si="74"/>
        <v>0.24324324324324326</v>
      </c>
      <c r="AN569" s="4">
        <f t="shared" si="71"/>
        <v>3.684108189977179E-4</v>
      </c>
      <c r="AO569" s="3"/>
      <c r="AP569">
        <v>0</v>
      </c>
      <c r="AR569" t="s">
        <v>0</v>
      </c>
      <c r="AT569" s="2">
        <v>1.804</v>
      </c>
      <c r="AU569" s="1">
        <f t="shared" si="75"/>
        <v>1.2293860583196978</v>
      </c>
      <c r="AV569" s="1">
        <f t="shared" si="76"/>
        <v>0.88865892219971898</v>
      </c>
      <c r="AW569" s="1">
        <f t="shared" si="77"/>
        <v>0.54793178607974014</v>
      </c>
    </row>
    <row r="570" spans="1:49" x14ac:dyDescent="0.2">
      <c r="A570">
        <v>568</v>
      </c>
      <c r="B570" t="s">
        <v>1273</v>
      </c>
      <c r="C570" t="s">
        <v>1272</v>
      </c>
      <c r="F570" t="s">
        <v>1271</v>
      </c>
      <c r="G570" t="s">
        <v>15</v>
      </c>
      <c r="H570" t="s">
        <v>14</v>
      </c>
      <c r="I570" t="s">
        <v>1270</v>
      </c>
      <c r="N570">
        <v>1</v>
      </c>
      <c r="O570" t="s">
        <v>1269</v>
      </c>
      <c r="P570">
        <v>7201552580</v>
      </c>
      <c r="R570" s="7">
        <v>31048</v>
      </c>
      <c r="S570" s="8">
        <f t="shared" si="72"/>
        <v>1985</v>
      </c>
      <c r="T570" s="8">
        <v>1985</v>
      </c>
      <c r="U570" s="8">
        <f t="shared" si="73"/>
        <v>37</v>
      </c>
      <c r="V570" s="7">
        <v>31048</v>
      </c>
      <c r="W570" t="s">
        <v>1268</v>
      </c>
      <c r="X570" s="2">
        <v>2.823</v>
      </c>
      <c r="Y570" s="6">
        <f t="shared" si="70"/>
        <v>7.5358372707615917E-2</v>
      </c>
      <c r="AA570">
        <v>1636804</v>
      </c>
      <c r="AB570">
        <v>17249</v>
      </c>
      <c r="AD570" t="s">
        <v>4</v>
      </c>
      <c r="AE570">
        <v>23</v>
      </c>
      <c r="AF570">
        <v>1</v>
      </c>
      <c r="AH570" s="10">
        <v>43070</v>
      </c>
      <c r="AI570" t="s">
        <v>1267</v>
      </c>
      <c r="AK570" t="s">
        <v>1266</v>
      </c>
      <c r="AL570">
        <v>3</v>
      </c>
      <c r="AM570" s="5">
        <f t="shared" si="74"/>
        <v>8.1081081081081086E-2</v>
      </c>
      <c r="AN570" s="4">
        <f t="shared" si="71"/>
        <v>1.2280360633257263E-4</v>
      </c>
      <c r="AO570" s="3"/>
      <c r="AP570">
        <v>0</v>
      </c>
      <c r="AR570" t="s">
        <v>0</v>
      </c>
      <c r="AT570" s="2">
        <v>9.6189999999999998</v>
      </c>
      <c r="AU570" s="1">
        <f t="shared" si="75"/>
        <v>5.278770197723091</v>
      </c>
      <c r="AV570" s="1">
        <f t="shared" si="76"/>
        <v>3.7740588156974244</v>
      </c>
      <c r="AW570" s="1">
        <f t="shared" si="77"/>
        <v>2.2693474336717574</v>
      </c>
    </row>
    <row r="571" spans="1:49" x14ac:dyDescent="0.2">
      <c r="A571">
        <v>569</v>
      </c>
      <c r="B571" t="s">
        <v>1265</v>
      </c>
      <c r="C571" t="s">
        <v>1264</v>
      </c>
      <c r="F571" t="s">
        <v>1263</v>
      </c>
      <c r="G571" t="s">
        <v>15</v>
      </c>
      <c r="H571" t="s">
        <v>14</v>
      </c>
      <c r="I571" t="s">
        <v>1262</v>
      </c>
      <c r="J571">
        <v>60000264</v>
      </c>
      <c r="K571" t="s">
        <v>1261</v>
      </c>
      <c r="L571" t="s">
        <v>1260</v>
      </c>
      <c r="M571" t="s">
        <v>544</v>
      </c>
      <c r="N571">
        <v>2</v>
      </c>
      <c r="O571" t="s">
        <v>1259</v>
      </c>
      <c r="P571" t="s">
        <v>1258</v>
      </c>
      <c r="Q571" t="s">
        <v>1257</v>
      </c>
      <c r="R571" s="7">
        <v>31048</v>
      </c>
      <c r="S571" s="8">
        <f t="shared" si="72"/>
        <v>1985</v>
      </c>
      <c r="T571" s="8">
        <v>1985</v>
      </c>
      <c r="U571" s="8">
        <f t="shared" si="73"/>
        <v>37</v>
      </c>
      <c r="V571" s="7">
        <v>31199</v>
      </c>
      <c r="W571" t="s">
        <v>590</v>
      </c>
      <c r="X571" s="2">
        <v>0.111</v>
      </c>
      <c r="Y571" s="6">
        <f t="shared" si="70"/>
        <v>2.9630816048690639E-3</v>
      </c>
      <c r="AA571">
        <v>87566621</v>
      </c>
      <c r="AB571">
        <v>24890</v>
      </c>
      <c r="AC571">
        <v>15206424</v>
      </c>
      <c r="AD571" t="s">
        <v>4</v>
      </c>
      <c r="AE571">
        <v>68</v>
      </c>
      <c r="AF571">
        <v>6</v>
      </c>
      <c r="AH571" t="s">
        <v>1256</v>
      </c>
      <c r="AI571" t="s">
        <v>1255</v>
      </c>
      <c r="AK571" t="s">
        <v>1254</v>
      </c>
      <c r="AL571">
        <v>0</v>
      </c>
      <c r="AM571" s="5">
        <f t="shared" si="74"/>
        <v>0</v>
      </c>
      <c r="AN571" s="4">
        <f t="shared" si="71"/>
        <v>0</v>
      </c>
      <c r="AO571" s="3"/>
      <c r="AP571">
        <v>0</v>
      </c>
      <c r="AR571" t="s">
        <v>0</v>
      </c>
      <c r="AT571" s="2" t="s">
        <v>19</v>
      </c>
      <c r="AU571" s="1">
        <f t="shared" si="75"/>
        <v>0.20741571234083445</v>
      </c>
      <c r="AV571" s="1">
        <f t="shared" si="76"/>
        <v>0.1481540802434532</v>
      </c>
      <c r="AW571" s="1">
        <f t="shared" si="77"/>
        <v>8.8892448146071903E-2</v>
      </c>
    </row>
    <row r="572" spans="1:49" x14ac:dyDescent="0.2">
      <c r="A572">
        <v>570</v>
      </c>
      <c r="B572" t="s">
        <v>1253</v>
      </c>
      <c r="C572" t="s">
        <v>1252</v>
      </c>
      <c r="F572" t="s">
        <v>1251</v>
      </c>
      <c r="G572" t="s">
        <v>15</v>
      </c>
      <c r="H572" t="s">
        <v>14</v>
      </c>
      <c r="I572" t="s">
        <v>1250</v>
      </c>
      <c r="J572">
        <v>60007652</v>
      </c>
      <c r="K572" t="s">
        <v>1249</v>
      </c>
      <c r="L572" t="s">
        <v>1248</v>
      </c>
      <c r="M572" t="s">
        <v>122</v>
      </c>
      <c r="N572">
        <v>1</v>
      </c>
      <c r="O572" t="s">
        <v>1247</v>
      </c>
      <c r="P572">
        <v>7402524832</v>
      </c>
      <c r="Q572">
        <v>60007652</v>
      </c>
      <c r="R572" s="7">
        <v>31048</v>
      </c>
      <c r="S572" s="8">
        <f t="shared" si="72"/>
        <v>1985</v>
      </c>
      <c r="T572" s="8">
        <v>1985</v>
      </c>
      <c r="U572" s="8">
        <f t="shared" si="73"/>
        <v>37</v>
      </c>
      <c r="V572" s="7">
        <v>1985</v>
      </c>
      <c r="W572" t="s">
        <v>1246</v>
      </c>
      <c r="X572" s="2">
        <v>0.27300000000000002</v>
      </c>
      <c r="Y572" s="6">
        <f t="shared" si="70"/>
        <v>7.2875790822455365E-3</v>
      </c>
      <c r="AA572">
        <v>3158977</v>
      </c>
      <c r="AB572">
        <v>19805</v>
      </c>
      <c r="AD572" t="s">
        <v>4</v>
      </c>
      <c r="AE572">
        <v>9</v>
      </c>
      <c r="AF572">
        <v>3</v>
      </c>
      <c r="AH572" t="s">
        <v>1245</v>
      </c>
      <c r="AI572" t="s">
        <v>1244</v>
      </c>
      <c r="AK572" t="s">
        <v>1243</v>
      </c>
      <c r="AL572">
        <v>0</v>
      </c>
      <c r="AM572" s="5">
        <f t="shared" si="74"/>
        <v>0</v>
      </c>
      <c r="AN572" s="4">
        <f t="shared" si="71"/>
        <v>0</v>
      </c>
      <c r="AO572" s="3"/>
      <c r="AP572">
        <v>0</v>
      </c>
      <c r="AR572" t="s">
        <v>0</v>
      </c>
      <c r="AT572" s="2">
        <v>1.45</v>
      </c>
      <c r="AU572" s="1">
        <f t="shared" si="75"/>
        <v>0.51013053575718748</v>
      </c>
      <c r="AV572" s="1">
        <f t="shared" si="76"/>
        <v>0.36437895411227683</v>
      </c>
      <c r="AW572" s="1">
        <f t="shared" si="77"/>
        <v>0.21862737246736608</v>
      </c>
    </row>
    <row r="573" spans="1:49" x14ac:dyDescent="0.2">
      <c r="A573">
        <v>571</v>
      </c>
      <c r="B573" t="s">
        <v>1242</v>
      </c>
      <c r="C573" t="s">
        <v>1241</v>
      </c>
      <c r="E573">
        <v>3928832</v>
      </c>
      <c r="F573" t="s">
        <v>1240</v>
      </c>
      <c r="G573" t="s">
        <v>15</v>
      </c>
      <c r="H573" t="s">
        <v>14</v>
      </c>
      <c r="I573" t="s">
        <v>1239</v>
      </c>
      <c r="J573" t="s">
        <v>1238</v>
      </c>
      <c r="K573" t="s">
        <v>1237</v>
      </c>
      <c r="L573" t="s">
        <v>1236</v>
      </c>
      <c r="M573" t="s">
        <v>1235</v>
      </c>
      <c r="N573">
        <v>5</v>
      </c>
      <c r="O573" t="s">
        <v>1234</v>
      </c>
      <c r="P573" t="s">
        <v>1233</v>
      </c>
      <c r="Q573" t="s">
        <v>1232</v>
      </c>
      <c r="R573" s="7">
        <v>31048</v>
      </c>
      <c r="S573" s="8">
        <f t="shared" si="72"/>
        <v>1985</v>
      </c>
      <c r="T573" s="8">
        <v>1985</v>
      </c>
      <c r="U573" s="8">
        <f t="shared" si="73"/>
        <v>37</v>
      </c>
      <c r="V573" s="7">
        <v>1985</v>
      </c>
      <c r="W573" t="s">
        <v>1231</v>
      </c>
      <c r="X573" s="2">
        <v>3.4830000000000001</v>
      </c>
      <c r="Y573" s="6">
        <f t="shared" si="70"/>
        <v>9.2976695763594144E-2</v>
      </c>
      <c r="AA573">
        <v>2706474</v>
      </c>
      <c r="AB573">
        <v>16764</v>
      </c>
      <c r="AD573" t="s">
        <v>4</v>
      </c>
      <c r="AE573">
        <v>5</v>
      </c>
      <c r="AF573">
        <v>9</v>
      </c>
      <c r="AH573" t="s">
        <v>1230</v>
      </c>
      <c r="AI573" t="s">
        <v>1229</v>
      </c>
      <c r="AK573" t="s">
        <v>1228</v>
      </c>
      <c r="AL573">
        <v>61</v>
      </c>
      <c r="AM573" s="5">
        <f t="shared" si="74"/>
        <v>1.6486486486486487</v>
      </c>
      <c r="AN573" s="4">
        <f t="shared" si="71"/>
        <v>2.4970066620956435E-3</v>
      </c>
      <c r="AO573" s="3"/>
      <c r="AP573">
        <v>1</v>
      </c>
      <c r="AQ573" t="s">
        <v>1145</v>
      </c>
      <c r="AR573" t="s">
        <v>1227</v>
      </c>
      <c r="AS573" t="s">
        <v>1143</v>
      </c>
      <c r="AT573" s="2">
        <v>6.1669999999999998</v>
      </c>
      <c r="AU573" s="1">
        <f t="shared" si="75"/>
        <v>6.5832789033144588</v>
      </c>
      <c r="AV573" s="1">
        <f t="shared" si="76"/>
        <v>4.7736851212844895</v>
      </c>
      <c r="AW573" s="1">
        <f t="shared" si="77"/>
        <v>2.9640913392545194</v>
      </c>
    </row>
    <row r="574" spans="1:49" x14ac:dyDescent="0.2">
      <c r="A574">
        <v>572</v>
      </c>
      <c r="B574" t="s">
        <v>1226</v>
      </c>
      <c r="C574" t="s">
        <v>1225</v>
      </c>
      <c r="D574">
        <v>12160685903860</v>
      </c>
      <c r="E574">
        <v>3917413</v>
      </c>
      <c r="F574" t="s">
        <v>1224</v>
      </c>
      <c r="G574" t="s">
        <v>15</v>
      </c>
      <c r="H574" t="s">
        <v>14</v>
      </c>
      <c r="I574" t="s">
        <v>1223</v>
      </c>
      <c r="J574" t="s">
        <v>1218</v>
      </c>
      <c r="K574" t="s">
        <v>1222</v>
      </c>
      <c r="L574" t="s">
        <v>1221</v>
      </c>
      <c r="M574" t="s">
        <v>28</v>
      </c>
      <c r="N574">
        <v>2</v>
      </c>
      <c r="O574" t="s">
        <v>1220</v>
      </c>
      <c r="P574" t="s">
        <v>1219</v>
      </c>
      <c r="Q574" t="s">
        <v>1218</v>
      </c>
      <c r="R574" s="7">
        <v>31048</v>
      </c>
      <c r="S574" s="8">
        <f t="shared" si="72"/>
        <v>1985</v>
      </c>
      <c r="T574" s="8">
        <v>1985</v>
      </c>
      <c r="U574" s="8">
        <f t="shared" si="73"/>
        <v>37</v>
      </c>
      <c r="V574" s="7">
        <v>31048</v>
      </c>
      <c r="W574" t="s">
        <v>964</v>
      </c>
      <c r="X574" s="2">
        <v>1.77</v>
      </c>
      <c r="Y574" s="6">
        <f t="shared" si="70"/>
        <v>4.7249139104668859E-2</v>
      </c>
      <c r="AA574">
        <v>121606</v>
      </c>
      <c r="AB574">
        <v>14536</v>
      </c>
      <c r="AD574" t="s">
        <v>4</v>
      </c>
      <c r="AE574">
        <v>107</v>
      </c>
      <c r="AF574">
        <v>1</v>
      </c>
      <c r="AH574" t="s">
        <v>1217</v>
      </c>
      <c r="AI574" t="s">
        <v>1216</v>
      </c>
      <c r="AK574" t="s">
        <v>1215</v>
      </c>
      <c r="AL574">
        <v>6</v>
      </c>
      <c r="AM574" s="5">
        <f t="shared" si="74"/>
        <v>0.16216216216216217</v>
      </c>
      <c r="AN574" s="4">
        <f t="shared" si="71"/>
        <v>2.4560721266514527E-4</v>
      </c>
      <c r="AO574" s="3"/>
      <c r="AP574">
        <v>0</v>
      </c>
      <c r="AQ574" t="s">
        <v>1214</v>
      </c>
      <c r="AR574" t="s">
        <v>1213</v>
      </c>
      <c r="AS574" t="s">
        <v>1212</v>
      </c>
      <c r="AT574" s="2">
        <v>3.5819999999999999</v>
      </c>
      <c r="AU574" s="1">
        <f t="shared" si="75"/>
        <v>3.3148079537067741</v>
      </c>
      <c r="AV574" s="1">
        <f t="shared" si="76"/>
        <v>2.3747373158667</v>
      </c>
      <c r="AW574" s="1">
        <f t="shared" si="77"/>
        <v>1.434666678026626</v>
      </c>
    </row>
    <row r="575" spans="1:49" x14ac:dyDescent="0.2">
      <c r="A575">
        <v>573</v>
      </c>
      <c r="B575" t="s">
        <v>1211</v>
      </c>
      <c r="C575" t="s">
        <v>1210</v>
      </c>
      <c r="E575">
        <v>2582389</v>
      </c>
      <c r="F575" t="s">
        <v>1209</v>
      </c>
      <c r="G575" t="s">
        <v>15</v>
      </c>
      <c r="H575" t="s">
        <v>14</v>
      </c>
      <c r="I575" t="s">
        <v>1208</v>
      </c>
      <c r="J575" t="s">
        <v>1207</v>
      </c>
      <c r="K575" t="s">
        <v>1206</v>
      </c>
      <c r="L575" t="s">
        <v>1205</v>
      </c>
      <c r="M575" t="s">
        <v>28</v>
      </c>
      <c r="N575">
        <v>2</v>
      </c>
      <c r="O575" t="s">
        <v>1204</v>
      </c>
      <c r="P575" t="s">
        <v>1203</v>
      </c>
      <c r="Q575" t="s">
        <v>1202</v>
      </c>
      <c r="R575" s="7">
        <v>31048</v>
      </c>
      <c r="S575" s="8">
        <f t="shared" si="72"/>
        <v>1985</v>
      </c>
      <c r="T575" s="8">
        <v>1985</v>
      </c>
      <c r="U575" s="8">
        <f t="shared" si="73"/>
        <v>37</v>
      </c>
      <c r="V575" s="7">
        <v>31168</v>
      </c>
      <c r="W575" t="s">
        <v>1201</v>
      </c>
      <c r="X575" s="2" t="s">
        <v>19</v>
      </c>
      <c r="Y575" s="6" t="e">
        <f t="shared" si="70"/>
        <v>#VALUE!</v>
      </c>
      <c r="AA575">
        <v>1478389</v>
      </c>
      <c r="AB575">
        <v>20516</v>
      </c>
      <c r="AC575">
        <v>15408159</v>
      </c>
      <c r="AD575" t="s">
        <v>4</v>
      </c>
      <c r="AE575">
        <v>8</v>
      </c>
      <c r="AF575">
        <v>3</v>
      </c>
      <c r="AH575" t="s">
        <v>1200</v>
      </c>
      <c r="AI575" t="s">
        <v>1199</v>
      </c>
      <c r="AJ575" t="s">
        <v>1198</v>
      </c>
      <c r="AK575" t="s">
        <v>1197</v>
      </c>
      <c r="AL575">
        <v>2</v>
      </c>
      <c r="AM575" s="5">
        <f t="shared" si="74"/>
        <v>5.4054054054054057E-2</v>
      </c>
      <c r="AN575" s="4">
        <f t="shared" si="71"/>
        <v>8.1869070888381765E-5</v>
      </c>
      <c r="AO575" s="3"/>
      <c r="AP575">
        <v>0</v>
      </c>
      <c r="AQ575" t="s">
        <v>1196</v>
      </c>
      <c r="AR575" t="s">
        <v>1195</v>
      </c>
      <c r="AS575" t="s">
        <v>1194</v>
      </c>
      <c r="AT575" s="2" t="s">
        <v>19</v>
      </c>
      <c r="AU575" s="1" t="e">
        <f t="shared" si="75"/>
        <v>#VALUE!</v>
      </c>
      <c r="AV575" s="1" t="e">
        <f t="shared" si="76"/>
        <v>#VALUE!</v>
      </c>
      <c r="AW575" s="1" t="e">
        <f t="shared" si="77"/>
        <v>#VALUE!</v>
      </c>
    </row>
    <row r="576" spans="1:49" x14ac:dyDescent="0.2">
      <c r="A576">
        <v>574</v>
      </c>
      <c r="B576" t="s">
        <v>1193</v>
      </c>
      <c r="F576" t="s">
        <v>1192</v>
      </c>
      <c r="G576" t="s">
        <v>15</v>
      </c>
      <c r="H576" t="s">
        <v>14</v>
      </c>
      <c r="I576" t="s">
        <v>1129</v>
      </c>
      <c r="J576">
        <v>60015778</v>
      </c>
      <c r="K576" t="s">
        <v>1191</v>
      </c>
      <c r="L576" t="s">
        <v>1190</v>
      </c>
      <c r="M576" t="s">
        <v>1189</v>
      </c>
      <c r="N576">
        <v>1</v>
      </c>
      <c r="O576" t="s">
        <v>1128</v>
      </c>
      <c r="P576">
        <v>7004200406</v>
      </c>
      <c r="Q576">
        <v>60015778</v>
      </c>
      <c r="R576" s="7">
        <v>31048</v>
      </c>
      <c r="S576" s="8">
        <f t="shared" si="72"/>
        <v>1985</v>
      </c>
      <c r="T576" s="8">
        <v>1985</v>
      </c>
      <c r="U576" s="8">
        <f t="shared" si="73"/>
        <v>37</v>
      </c>
      <c r="V576" s="7">
        <v>1985</v>
      </c>
      <c r="W576" t="s">
        <v>1127</v>
      </c>
      <c r="X576" s="2" t="s">
        <v>19</v>
      </c>
      <c r="Y576" s="6" t="e">
        <f t="shared" si="70"/>
        <v>#VALUE!</v>
      </c>
      <c r="AA576">
        <v>401471</v>
      </c>
      <c r="AB576">
        <v>30539</v>
      </c>
      <c r="AD576" t="s">
        <v>4</v>
      </c>
      <c r="AE576">
        <v>63</v>
      </c>
      <c r="AF576">
        <v>8</v>
      </c>
      <c r="AH576" t="s">
        <v>1188</v>
      </c>
      <c r="AI576" t="s">
        <v>1187</v>
      </c>
      <c r="AK576" t="s">
        <v>1124</v>
      </c>
      <c r="AL576">
        <v>0</v>
      </c>
      <c r="AM576" s="5">
        <f t="shared" si="74"/>
        <v>0</v>
      </c>
      <c r="AN576" s="4">
        <f t="shared" si="71"/>
        <v>0</v>
      </c>
      <c r="AO576" s="3"/>
      <c r="AP576">
        <v>0</v>
      </c>
      <c r="AR576" t="s">
        <v>0</v>
      </c>
      <c r="AT576" s="2" t="s">
        <v>19</v>
      </c>
      <c r="AU576" s="1" t="e">
        <f t="shared" si="75"/>
        <v>#VALUE!</v>
      </c>
      <c r="AV576" s="1" t="e">
        <f t="shared" si="76"/>
        <v>#VALUE!</v>
      </c>
      <c r="AW576" s="1" t="e">
        <f t="shared" si="77"/>
        <v>#VALUE!</v>
      </c>
    </row>
    <row r="577" spans="1:49" x14ac:dyDescent="0.2">
      <c r="A577">
        <v>575</v>
      </c>
      <c r="B577" t="s">
        <v>1186</v>
      </c>
      <c r="F577" t="s">
        <v>1185</v>
      </c>
      <c r="G577" t="s">
        <v>15</v>
      </c>
      <c r="H577" t="s">
        <v>14</v>
      </c>
      <c r="I577" t="s">
        <v>1184</v>
      </c>
      <c r="J577">
        <v>60018829</v>
      </c>
      <c r="K577" t="s">
        <v>1183</v>
      </c>
      <c r="L577" t="s">
        <v>1182</v>
      </c>
      <c r="M577" t="s">
        <v>530</v>
      </c>
      <c r="N577">
        <v>1</v>
      </c>
      <c r="O577" t="s">
        <v>1181</v>
      </c>
      <c r="P577">
        <v>6701672464</v>
      </c>
      <c r="Q577">
        <v>60018829</v>
      </c>
      <c r="R577" s="7">
        <v>31048</v>
      </c>
      <c r="S577" s="8">
        <f t="shared" si="72"/>
        <v>1985</v>
      </c>
      <c r="T577" s="8">
        <v>1985</v>
      </c>
      <c r="U577" s="8">
        <f t="shared" si="73"/>
        <v>37</v>
      </c>
      <c r="V577" s="7">
        <v>1985</v>
      </c>
      <c r="W577" t="s">
        <v>1180</v>
      </c>
      <c r="X577" s="2" t="s">
        <v>19</v>
      </c>
      <c r="Y577" s="6" t="e">
        <f t="shared" si="70"/>
        <v>#VALUE!</v>
      </c>
      <c r="AA577">
        <v>2649187</v>
      </c>
      <c r="AB577">
        <v>36931</v>
      </c>
      <c r="AD577" t="s">
        <v>4</v>
      </c>
      <c r="AE577">
        <v>3</v>
      </c>
      <c r="AF577">
        <v>1</v>
      </c>
      <c r="AH577" t="s">
        <v>1179</v>
      </c>
      <c r="AI577" t="s">
        <v>1178</v>
      </c>
      <c r="AK577" t="s">
        <v>1177</v>
      </c>
      <c r="AL577">
        <v>1</v>
      </c>
      <c r="AM577" s="5">
        <f t="shared" si="74"/>
        <v>2.7027027027027029E-2</v>
      </c>
      <c r="AN577" s="4">
        <f t="shared" si="71"/>
        <v>4.0934535444190883E-5</v>
      </c>
      <c r="AO577" s="3"/>
      <c r="AP577">
        <v>0</v>
      </c>
      <c r="AR577" t="s">
        <v>0</v>
      </c>
      <c r="AT577" s="2" t="s">
        <v>19</v>
      </c>
      <c r="AU577" s="1" t="e">
        <f t="shared" si="75"/>
        <v>#VALUE!</v>
      </c>
      <c r="AV577" s="1" t="e">
        <f t="shared" si="76"/>
        <v>#VALUE!</v>
      </c>
      <c r="AW577" s="1" t="e">
        <f t="shared" si="77"/>
        <v>#VALUE!</v>
      </c>
    </row>
    <row r="578" spans="1:49" x14ac:dyDescent="0.2">
      <c r="A578">
        <v>576</v>
      </c>
      <c r="B578" t="s">
        <v>1176</v>
      </c>
      <c r="F578" t="s">
        <v>1175</v>
      </c>
      <c r="G578" t="s">
        <v>15</v>
      </c>
      <c r="H578" t="s">
        <v>14</v>
      </c>
      <c r="I578" t="s">
        <v>1174</v>
      </c>
      <c r="J578">
        <v>60004541</v>
      </c>
      <c r="K578" t="s">
        <v>1173</v>
      </c>
      <c r="L578" t="s">
        <v>517</v>
      </c>
      <c r="M578" t="s">
        <v>122</v>
      </c>
      <c r="N578">
        <v>1</v>
      </c>
      <c r="O578" t="s">
        <v>1172</v>
      </c>
      <c r="P578">
        <v>6506519626</v>
      </c>
      <c r="Q578">
        <v>60004541</v>
      </c>
      <c r="R578" s="7">
        <v>31048</v>
      </c>
      <c r="S578" s="8">
        <f t="shared" si="72"/>
        <v>1985</v>
      </c>
      <c r="T578" s="8">
        <v>1985</v>
      </c>
      <c r="U578" s="8">
        <f t="shared" si="73"/>
        <v>37</v>
      </c>
      <c r="V578" s="7">
        <v>31048</v>
      </c>
      <c r="W578" t="s">
        <v>1171</v>
      </c>
      <c r="X578" s="2" t="s">
        <v>19</v>
      </c>
      <c r="Y578" s="6" t="e">
        <f t="shared" ref="Y578:Y641" si="78">(X578-$Z$4)/($Z$3-$Z$4)</f>
        <v>#VALUE!</v>
      </c>
      <c r="AA578" t="s">
        <v>1170</v>
      </c>
      <c r="AB578">
        <v>35968</v>
      </c>
      <c r="AD578" t="s">
        <v>4</v>
      </c>
      <c r="AE578">
        <v>52</v>
      </c>
      <c r="AF578">
        <v>1</v>
      </c>
      <c r="AH578" t="s">
        <v>1169</v>
      </c>
      <c r="AI578" t="s">
        <v>1168</v>
      </c>
      <c r="AK578" t="s">
        <v>1167</v>
      </c>
      <c r="AL578">
        <v>0</v>
      </c>
      <c r="AM578" s="5">
        <f t="shared" si="74"/>
        <v>0</v>
      </c>
      <c r="AN578" s="4">
        <f t="shared" ref="AN578:AN641" si="79">(AM578-$AO$4)/($AO$3-$AO$4)</f>
        <v>0</v>
      </c>
      <c r="AO578" s="3"/>
      <c r="AP578">
        <v>0</v>
      </c>
      <c r="AR578" t="s">
        <v>0</v>
      </c>
      <c r="AT578" s="2" t="s">
        <v>19</v>
      </c>
      <c r="AU578" s="1" t="e">
        <f t="shared" si="75"/>
        <v>#VALUE!</v>
      </c>
      <c r="AV578" s="1" t="e">
        <f t="shared" si="76"/>
        <v>#VALUE!</v>
      </c>
      <c r="AW578" s="1" t="e">
        <f t="shared" si="77"/>
        <v>#VALUE!</v>
      </c>
    </row>
    <row r="579" spans="1:49" x14ac:dyDescent="0.2">
      <c r="A579">
        <v>577</v>
      </c>
      <c r="B579" t="s">
        <v>1166</v>
      </c>
      <c r="C579" t="s">
        <v>1165</v>
      </c>
      <c r="D579">
        <v>300962985905328</v>
      </c>
      <c r="F579" t="s">
        <v>1164</v>
      </c>
      <c r="G579" t="s">
        <v>15</v>
      </c>
      <c r="H579" t="s">
        <v>14</v>
      </c>
      <c r="I579" t="s">
        <v>1163</v>
      </c>
      <c r="J579">
        <v>100357046</v>
      </c>
      <c r="K579" t="s">
        <v>1162</v>
      </c>
      <c r="L579" t="s">
        <v>1161</v>
      </c>
      <c r="M579" t="s">
        <v>272</v>
      </c>
      <c r="N579">
        <v>1</v>
      </c>
      <c r="O579" t="s">
        <v>1160</v>
      </c>
      <c r="P579">
        <v>7006646532</v>
      </c>
      <c r="Q579">
        <v>100357046</v>
      </c>
      <c r="R579" s="7">
        <v>31048</v>
      </c>
      <c r="S579" s="8">
        <f t="shared" si="72"/>
        <v>1985</v>
      </c>
      <c r="T579" s="8">
        <v>1985</v>
      </c>
      <c r="U579" s="8">
        <f t="shared" si="73"/>
        <v>37</v>
      </c>
      <c r="V579" s="7">
        <v>1985</v>
      </c>
      <c r="W579" t="s">
        <v>214</v>
      </c>
      <c r="X579" s="2">
        <v>0.64600000000000002</v>
      </c>
      <c r="Y579" s="6">
        <f t="shared" si="78"/>
        <v>1.72446010517605E-2</v>
      </c>
      <c r="AA579">
        <v>3009629</v>
      </c>
      <c r="AB579">
        <v>23398</v>
      </c>
      <c r="AD579" t="s">
        <v>4</v>
      </c>
      <c r="AE579">
        <v>80</v>
      </c>
      <c r="AF579">
        <v>2</v>
      </c>
      <c r="AH579" t="s">
        <v>1159</v>
      </c>
      <c r="AI579" t="s">
        <v>1158</v>
      </c>
      <c r="AK579" t="s">
        <v>1157</v>
      </c>
      <c r="AL579">
        <v>23</v>
      </c>
      <c r="AM579" s="5">
        <f t="shared" si="74"/>
        <v>0.6216216216216216</v>
      </c>
      <c r="AN579" s="4">
        <f t="shared" si="79"/>
        <v>9.4149431521639018E-4</v>
      </c>
      <c r="AO579" s="3"/>
      <c r="AP579">
        <v>0</v>
      </c>
      <c r="AR579" t="s">
        <v>0</v>
      </c>
      <c r="AT579" s="2" t="s">
        <v>19</v>
      </c>
      <c r="AU579" s="1">
        <f t="shared" si="75"/>
        <v>1.2353669030797267</v>
      </c>
      <c r="AV579" s="1">
        <f t="shared" si="76"/>
        <v>0.90930476834884444</v>
      </c>
      <c r="AW579" s="1">
        <f t="shared" si="77"/>
        <v>0.58324263361796225</v>
      </c>
    </row>
    <row r="580" spans="1:49" x14ac:dyDescent="0.2">
      <c r="A580">
        <v>578</v>
      </c>
      <c r="B580" t="s">
        <v>1156</v>
      </c>
      <c r="C580" t="s">
        <v>1155</v>
      </c>
      <c r="D580">
        <v>12160685903707</v>
      </c>
      <c r="E580">
        <v>3917410</v>
      </c>
      <c r="F580" t="s">
        <v>1154</v>
      </c>
      <c r="G580" t="s">
        <v>15</v>
      </c>
      <c r="H580" t="s">
        <v>14</v>
      </c>
      <c r="I580" t="s">
        <v>1153</v>
      </c>
      <c r="J580">
        <v>60005455</v>
      </c>
      <c r="K580" t="s">
        <v>1152</v>
      </c>
      <c r="L580" t="s">
        <v>1151</v>
      </c>
      <c r="M580" t="s">
        <v>122</v>
      </c>
      <c r="N580">
        <v>2</v>
      </c>
      <c r="O580" t="s">
        <v>1150</v>
      </c>
      <c r="P580" t="s">
        <v>1149</v>
      </c>
      <c r="Q580" t="s">
        <v>1148</v>
      </c>
      <c r="R580" s="7">
        <v>31048</v>
      </c>
      <c r="S580" s="8">
        <f t="shared" si="72"/>
        <v>1985</v>
      </c>
      <c r="T580" s="8">
        <v>1985</v>
      </c>
      <c r="U580" s="8">
        <f t="shared" si="73"/>
        <v>37</v>
      </c>
      <c r="V580" s="7">
        <v>31048</v>
      </c>
      <c r="W580" t="s">
        <v>964</v>
      </c>
      <c r="X580" s="2">
        <v>1.77</v>
      </c>
      <c r="Y580" s="6">
        <f t="shared" si="78"/>
        <v>4.7249139104668859E-2</v>
      </c>
      <c r="AA580">
        <v>121606</v>
      </c>
      <c r="AB580">
        <v>14536</v>
      </c>
      <c r="AD580" t="s">
        <v>4</v>
      </c>
      <c r="AE580">
        <v>107</v>
      </c>
      <c r="AF580">
        <v>1</v>
      </c>
      <c r="AH580" s="9">
        <v>44531</v>
      </c>
      <c r="AI580" t="s">
        <v>1147</v>
      </c>
      <c r="AK580" t="s">
        <v>1146</v>
      </c>
      <c r="AL580">
        <v>0</v>
      </c>
      <c r="AM580" s="5">
        <f t="shared" si="74"/>
        <v>0</v>
      </c>
      <c r="AN580" s="4">
        <f t="shared" si="79"/>
        <v>0</v>
      </c>
      <c r="AO580" s="3"/>
      <c r="AP580">
        <v>0</v>
      </c>
      <c r="AQ580" t="s">
        <v>1145</v>
      </c>
      <c r="AR580" t="s">
        <v>1144</v>
      </c>
      <c r="AS580" t="s">
        <v>1143</v>
      </c>
      <c r="AT580" s="2">
        <v>3.5819999999999999</v>
      </c>
      <c r="AU580" s="1">
        <f t="shared" si="75"/>
        <v>3.3074397373268201</v>
      </c>
      <c r="AV580" s="1">
        <f t="shared" si="76"/>
        <v>2.3624569552334429</v>
      </c>
      <c r="AW580" s="1">
        <f t="shared" si="77"/>
        <v>1.4174741731400657</v>
      </c>
    </row>
    <row r="581" spans="1:49" x14ac:dyDescent="0.2">
      <c r="A581">
        <v>579</v>
      </c>
      <c r="B581" t="s">
        <v>1142</v>
      </c>
      <c r="C581" t="s">
        <v>1141</v>
      </c>
      <c r="D581">
        <v>12160685903720</v>
      </c>
      <c r="E581">
        <v>3917414</v>
      </c>
      <c r="F581" t="s">
        <v>1140</v>
      </c>
      <c r="G581" t="s">
        <v>15</v>
      </c>
      <c r="H581" t="s">
        <v>14</v>
      </c>
      <c r="I581" t="s">
        <v>1139</v>
      </c>
      <c r="J581">
        <v>60024631</v>
      </c>
      <c r="K581" t="s">
        <v>1138</v>
      </c>
      <c r="L581" t="s">
        <v>1137</v>
      </c>
      <c r="M581" t="s">
        <v>785</v>
      </c>
      <c r="N581">
        <v>1</v>
      </c>
      <c r="O581" t="s">
        <v>1136</v>
      </c>
      <c r="P581">
        <v>55438788900</v>
      </c>
      <c r="Q581">
        <v>60024631</v>
      </c>
      <c r="R581" s="7">
        <v>31048</v>
      </c>
      <c r="S581" s="8">
        <f t="shared" si="72"/>
        <v>1985</v>
      </c>
      <c r="T581" s="8">
        <v>1985</v>
      </c>
      <c r="U581" s="8">
        <f t="shared" si="73"/>
        <v>37</v>
      </c>
      <c r="V581" s="7">
        <v>31048</v>
      </c>
      <c r="W581" t="s">
        <v>964</v>
      </c>
      <c r="X581" s="2">
        <v>1.77</v>
      </c>
      <c r="Y581" s="6">
        <f t="shared" si="78"/>
        <v>4.7249139104668859E-2</v>
      </c>
      <c r="AA581">
        <v>121606</v>
      </c>
      <c r="AB581">
        <v>14536</v>
      </c>
      <c r="AD581" t="s">
        <v>4</v>
      </c>
      <c r="AE581">
        <v>107</v>
      </c>
      <c r="AF581">
        <v>1</v>
      </c>
      <c r="AH581" t="s">
        <v>1135</v>
      </c>
      <c r="AI581" t="s">
        <v>1134</v>
      </c>
      <c r="AK581" t="s">
        <v>1133</v>
      </c>
      <c r="AL581">
        <v>4</v>
      </c>
      <c r="AM581" s="5">
        <f t="shared" si="74"/>
        <v>0.10810810810810811</v>
      </c>
      <c r="AN581" s="4">
        <f t="shared" si="79"/>
        <v>1.6373814177676353E-4</v>
      </c>
      <c r="AO581" s="3"/>
      <c r="AP581">
        <v>0</v>
      </c>
      <c r="AQ581" t="s">
        <v>776</v>
      </c>
      <c r="AR581" t="s">
        <v>1132</v>
      </c>
      <c r="AS581" t="s">
        <v>774</v>
      </c>
      <c r="AT581" s="2">
        <v>3.5819999999999999</v>
      </c>
      <c r="AU581" s="1">
        <f t="shared" si="75"/>
        <v>3.3123518815801232</v>
      </c>
      <c r="AV581" s="1">
        <f t="shared" si="76"/>
        <v>2.370643862322281</v>
      </c>
      <c r="AW581" s="1">
        <f t="shared" si="77"/>
        <v>1.428935843064439</v>
      </c>
    </row>
    <row r="582" spans="1:49" x14ac:dyDescent="0.2">
      <c r="A582">
        <v>580</v>
      </c>
      <c r="B582" t="s">
        <v>1131</v>
      </c>
      <c r="F582" t="s">
        <v>1130</v>
      </c>
      <c r="G582" t="s">
        <v>15</v>
      </c>
      <c r="H582" t="s">
        <v>14</v>
      </c>
      <c r="I582" t="s">
        <v>1129</v>
      </c>
      <c r="N582">
        <v>1</v>
      </c>
      <c r="O582" t="s">
        <v>1128</v>
      </c>
      <c r="P582">
        <v>7004200406</v>
      </c>
      <c r="R582" s="7">
        <v>31048</v>
      </c>
      <c r="S582" s="8">
        <f t="shared" ref="S582:S645" si="80">YEAR(R582)</f>
        <v>1985</v>
      </c>
      <c r="T582" s="8">
        <v>1985</v>
      </c>
      <c r="U582" s="8">
        <f t="shared" ref="U582:U645" si="81">2022-T582</f>
        <v>37</v>
      </c>
      <c r="V582" s="7">
        <v>1985</v>
      </c>
      <c r="W582" t="s">
        <v>1127</v>
      </c>
      <c r="X582" s="2" t="s">
        <v>19</v>
      </c>
      <c r="Y582" s="6" t="e">
        <f t="shared" si="78"/>
        <v>#VALUE!</v>
      </c>
      <c r="AA582">
        <v>401471</v>
      </c>
      <c r="AB582">
        <v>30539</v>
      </c>
      <c r="AD582" t="s">
        <v>4</v>
      </c>
      <c r="AE582">
        <v>63</v>
      </c>
      <c r="AF582">
        <v>1</v>
      </c>
      <c r="AH582" t="s">
        <v>1126</v>
      </c>
      <c r="AI582" t="s">
        <v>1125</v>
      </c>
      <c r="AK582" t="s">
        <v>1124</v>
      </c>
      <c r="AL582">
        <v>0</v>
      </c>
      <c r="AM582" s="5">
        <f t="shared" ref="AM582:AM645" si="82">AL582/U582</f>
        <v>0</v>
      </c>
      <c r="AN582" s="4">
        <f t="shared" si="79"/>
        <v>0</v>
      </c>
      <c r="AO582" s="3"/>
      <c r="AP582">
        <v>0</v>
      </c>
      <c r="AR582" t="s">
        <v>0</v>
      </c>
      <c r="AT582" s="2" t="s">
        <v>19</v>
      </c>
      <c r="AU582" s="1" t="e">
        <f t="shared" ref="AU582:AU645" si="83">(Y582*0.7+AN582*0.3)*100</f>
        <v>#VALUE!</v>
      </c>
      <c r="AV582" s="1" t="e">
        <f t="shared" ref="AV582:AV645" si="84">(Y582*0.5+AN582*0.5)*100</f>
        <v>#VALUE!</v>
      </c>
      <c r="AW582" s="1" t="e">
        <f t="shared" ref="AW582:AW645" si="85">(Y582*0.3+AN582*0.7)*100</f>
        <v>#VALUE!</v>
      </c>
    </row>
    <row r="583" spans="1:49" x14ac:dyDescent="0.2">
      <c r="A583">
        <v>581</v>
      </c>
      <c r="B583" t="s">
        <v>1123</v>
      </c>
      <c r="C583" t="s">
        <v>1122</v>
      </c>
      <c r="F583" t="s">
        <v>1121</v>
      </c>
      <c r="G583" t="s">
        <v>15</v>
      </c>
      <c r="H583" t="s">
        <v>14</v>
      </c>
      <c r="I583" t="s">
        <v>1120</v>
      </c>
      <c r="J583">
        <v>60007976</v>
      </c>
      <c r="K583" t="s">
        <v>1119</v>
      </c>
      <c r="L583" t="s">
        <v>1118</v>
      </c>
      <c r="M583" t="s">
        <v>544</v>
      </c>
      <c r="N583">
        <v>1</v>
      </c>
      <c r="O583" t="s">
        <v>1117</v>
      </c>
      <c r="P583">
        <v>7403539925</v>
      </c>
      <c r="Q583">
        <v>60007976</v>
      </c>
      <c r="R583" s="7">
        <v>31048</v>
      </c>
      <c r="S583" s="8">
        <f t="shared" si="80"/>
        <v>1985</v>
      </c>
      <c r="T583" s="8">
        <v>1985</v>
      </c>
      <c r="U583" s="8">
        <f t="shared" si="81"/>
        <v>37</v>
      </c>
      <c r="V583" s="7">
        <v>31199</v>
      </c>
      <c r="W583" t="s">
        <v>590</v>
      </c>
      <c r="X583" s="2">
        <v>0.111</v>
      </c>
      <c r="Y583" s="6">
        <f t="shared" si="78"/>
        <v>2.9630816048690639E-3</v>
      </c>
      <c r="AA583">
        <v>87566621</v>
      </c>
      <c r="AB583">
        <v>24890</v>
      </c>
      <c r="AC583">
        <v>15206424</v>
      </c>
      <c r="AD583" t="s">
        <v>4</v>
      </c>
      <c r="AE583">
        <v>68</v>
      </c>
      <c r="AF583">
        <v>6</v>
      </c>
      <c r="AH583" t="s">
        <v>1116</v>
      </c>
      <c r="AI583" t="s">
        <v>1115</v>
      </c>
      <c r="AK583" t="s">
        <v>1114</v>
      </c>
      <c r="AL583">
        <v>0</v>
      </c>
      <c r="AM583" s="5">
        <f t="shared" si="82"/>
        <v>0</v>
      </c>
      <c r="AN583" s="4">
        <f t="shared" si="79"/>
        <v>0</v>
      </c>
      <c r="AO583" s="3"/>
      <c r="AP583">
        <v>0</v>
      </c>
      <c r="AR583" t="s">
        <v>0</v>
      </c>
      <c r="AT583" s="2" t="s">
        <v>19</v>
      </c>
      <c r="AU583" s="1">
        <f t="shared" si="83"/>
        <v>0.20741571234083445</v>
      </c>
      <c r="AV583" s="1">
        <f t="shared" si="84"/>
        <v>0.1481540802434532</v>
      </c>
      <c r="AW583" s="1">
        <f t="shared" si="85"/>
        <v>8.8892448146071903E-2</v>
      </c>
    </row>
    <row r="584" spans="1:49" x14ac:dyDescent="0.2">
      <c r="A584">
        <v>582</v>
      </c>
      <c r="B584" t="s">
        <v>1113</v>
      </c>
      <c r="F584" t="s">
        <v>1112</v>
      </c>
      <c r="G584" t="s">
        <v>15</v>
      </c>
      <c r="H584" t="s">
        <v>14</v>
      </c>
      <c r="I584" t="s">
        <v>1111</v>
      </c>
      <c r="N584">
        <v>2</v>
      </c>
      <c r="O584" t="s">
        <v>1110</v>
      </c>
      <c r="P584" t="s">
        <v>1109</v>
      </c>
      <c r="Q584" t="s">
        <v>895</v>
      </c>
      <c r="R584" s="7">
        <v>31048</v>
      </c>
      <c r="S584" s="8">
        <f t="shared" si="80"/>
        <v>1985</v>
      </c>
      <c r="T584" s="8">
        <v>1985</v>
      </c>
      <c r="U584" s="8">
        <f t="shared" si="81"/>
        <v>37</v>
      </c>
      <c r="V584" s="7">
        <v>31048</v>
      </c>
      <c r="W584" t="s">
        <v>1108</v>
      </c>
      <c r="X584" s="2" t="s">
        <v>19</v>
      </c>
      <c r="Y584" s="6" t="e">
        <f t="shared" si="78"/>
        <v>#VALUE!</v>
      </c>
      <c r="AA584">
        <v>109525</v>
      </c>
      <c r="AB584">
        <v>13876</v>
      </c>
      <c r="AD584" t="s">
        <v>4</v>
      </c>
      <c r="AE584">
        <v>23</v>
      </c>
      <c r="AF584">
        <v>1</v>
      </c>
      <c r="AH584" t="s">
        <v>1107</v>
      </c>
      <c r="AI584" t="s">
        <v>1106</v>
      </c>
      <c r="AK584" t="s">
        <v>1105</v>
      </c>
      <c r="AL584">
        <v>0</v>
      </c>
      <c r="AM584" s="5">
        <f t="shared" si="82"/>
        <v>0</v>
      </c>
      <c r="AN584" s="4">
        <f t="shared" si="79"/>
        <v>0</v>
      </c>
      <c r="AO584" s="3"/>
      <c r="AP584">
        <v>0</v>
      </c>
      <c r="AR584" t="s">
        <v>0</v>
      </c>
      <c r="AT584" s="2" t="s">
        <v>19</v>
      </c>
      <c r="AU584" s="1" t="e">
        <f t="shared" si="83"/>
        <v>#VALUE!</v>
      </c>
      <c r="AV584" s="1" t="e">
        <f t="shared" si="84"/>
        <v>#VALUE!</v>
      </c>
      <c r="AW584" s="1" t="e">
        <f t="shared" si="85"/>
        <v>#VALUE!</v>
      </c>
    </row>
    <row r="585" spans="1:49" x14ac:dyDescent="0.2">
      <c r="A585">
        <v>583</v>
      </c>
      <c r="B585" t="s">
        <v>1104</v>
      </c>
      <c r="C585" t="s">
        <v>1103</v>
      </c>
      <c r="F585" t="s">
        <v>1102</v>
      </c>
      <c r="G585" t="s">
        <v>15</v>
      </c>
      <c r="H585" t="s">
        <v>14</v>
      </c>
      <c r="I585" t="s">
        <v>1101</v>
      </c>
      <c r="J585">
        <v>60085421</v>
      </c>
      <c r="K585" t="s">
        <v>1100</v>
      </c>
      <c r="L585" t="s">
        <v>1099</v>
      </c>
      <c r="M585" t="s">
        <v>218</v>
      </c>
      <c r="N585">
        <v>1</v>
      </c>
      <c r="O585" t="s">
        <v>1098</v>
      </c>
      <c r="P585">
        <v>56231868400</v>
      </c>
      <c r="Q585">
        <v>60085421</v>
      </c>
      <c r="R585" s="7">
        <v>31048</v>
      </c>
      <c r="S585" s="8">
        <f t="shared" si="80"/>
        <v>1985</v>
      </c>
      <c r="T585" s="8">
        <v>1985</v>
      </c>
      <c r="U585" s="8">
        <f t="shared" si="81"/>
        <v>37</v>
      </c>
      <c r="V585" s="7" t="s">
        <v>1088</v>
      </c>
      <c r="W585" t="s">
        <v>1087</v>
      </c>
      <c r="X585" s="2" t="s">
        <v>19</v>
      </c>
      <c r="Y585" s="6" t="e">
        <f t="shared" si="78"/>
        <v>#VALUE!</v>
      </c>
      <c r="AA585">
        <v>2671689</v>
      </c>
      <c r="AB585">
        <v>87645</v>
      </c>
      <c r="AD585" t="s">
        <v>4</v>
      </c>
      <c r="AE585">
        <v>55</v>
      </c>
      <c r="AF585">
        <v>1</v>
      </c>
      <c r="AH585" t="s">
        <v>856</v>
      </c>
      <c r="AI585" t="s">
        <v>1097</v>
      </c>
      <c r="AK585" t="s">
        <v>1096</v>
      </c>
      <c r="AL585">
        <v>0</v>
      </c>
      <c r="AM585" s="5">
        <f t="shared" si="82"/>
        <v>0</v>
      </c>
      <c r="AN585" s="4">
        <f t="shared" si="79"/>
        <v>0</v>
      </c>
      <c r="AO585" s="3"/>
      <c r="AP585">
        <v>0</v>
      </c>
      <c r="AR585" t="s">
        <v>0</v>
      </c>
      <c r="AT585" s="2" t="s">
        <v>19</v>
      </c>
      <c r="AU585" s="1" t="e">
        <f t="shared" si="83"/>
        <v>#VALUE!</v>
      </c>
      <c r="AV585" s="1" t="e">
        <f t="shared" si="84"/>
        <v>#VALUE!</v>
      </c>
      <c r="AW585" s="1" t="e">
        <f t="shared" si="85"/>
        <v>#VALUE!</v>
      </c>
    </row>
    <row r="586" spans="1:49" x14ac:dyDescent="0.2">
      <c r="A586">
        <v>584</v>
      </c>
      <c r="B586" t="s">
        <v>1095</v>
      </c>
      <c r="C586" t="s">
        <v>1094</v>
      </c>
      <c r="F586" t="s">
        <v>1093</v>
      </c>
      <c r="G586" t="s">
        <v>15</v>
      </c>
      <c r="H586" t="s">
        <v>14</v>
      </c>
      <c r="I586" t="s">
        <v>1092</v>
      </c>
      <c r="J586">
        <v>60022148</v>
      </c>
      <c r="K586" t="s">
        <v>1091</v>
      </c>
      <c r="L586" t="s">
        <v>1090</v>
      </c>
      <c r="M586" t="s">
        <v>530</v>
      </c>
      <c r="N586">
        <v>1</v>
      </c>
      <c r="O586" t="s">
        <v>1089</v>
      </c>
      <c r="P586">
        <v>55698377500</v>
      </c>
      <c r="Q586">
        <v>60022148</v>
      </c>
      <c r="R586" s="7">
        <v>31048</v>
      </c>
      <c r="S586" s="8">
        <f t="shared" si="80"/>
        <v>1985</v>
      </c>
      <c r="T586" s="8">
        <v>1985</v>
      </c>
      <c r="U586" s="8">
        <f t="shared" si="81"/>
        <v>37</v>
      </c>
      <c r="V586" s="7" t="s">
        <v>1088</v>
      </c>
      <c r="W586" t="s">
        <v>1087</v>
      </c>
      <c r="X586" s="2" t="s">
        <v>19</v>
      </c>
      <c r="Y586" s="6" t="e">
        <f t="shared" si="78"/>
        <v>#VALUE!</v>
      </c>
      <c r="AA586">
        <v>2671689</v>
      </c>
      <c r="AB586">
        <v>87645</v>
      </c>
      <c r="AD586" t="s">
        <v>4</v>
      </c>
      <c r="AE586">
        <v>55</v>
      </c>
      <c r="AF586">
        <v>1</v>
      </c>
      <c r="AH586" t="s">
        <v>1086</v>
      </c>
      <c r="AI586" t="s">
        <v>1085</v>
      </c>
      <c r="AK586" t="s">
        <v>1084</v>
      </c>
      <c r="AL586">
        <v>4</v>
      </c>
      <c r="AM586" s="5">
        <f t="shared" si="82"/>
        <v>0.10810810810810811</v>
      </c>
      <c r="AN586" s="4">
        <f t="shared" si="79"/>
        <v>1.6373814177676353E-4</v>
      </c>
      <c r="AO586" s="3"/>
      <c r="AP586">
        <v>0</v>
      </c>
      <c r="AR586" t="s">
        <v>0</v>
      </c>
      <c r="AT586" s="2" t="s">
        <v>19</v>
      </c>
      <c r="AU586" s="1" t="e">
        <f t="shared" si="83"/>
        <v>#VALUE!</v>
      </c>
      <c r="AV586" s="1" t="e">
        <f t="shared" si="84"/>
        <v>#VALUE!</v>
      </c>
      <c r="AW586" s="1" t="e">
        <f t="shared" si="85"/>
        <v>#VALUE!</v>
      </c>
    </row>
    <row r="587" spans="1:49" x14ac:dyDescent="0.2">
      <c r="A587">
        <v>585</v>
      </c>
      <c r="B587" t="s">
        <v>1083</v>
      </c>
      <c r="E587">
        <v>2981224</v>
      </c>
      <c r="F587" t="s">
        <v>1082</v>
      </c>
      <c r="G587" t="s">
        <v>15</v>
      </c>
      <c r="H587" t="s">
        <v>14</v>
      </c>
      <c r="I587" t="s">
        <v>1081</v>
      </c>
      <c r="J587">
        <v>60025038</v>
      </c>
      <c r="K587" t="s">
        <v>325</v>
      </c>
      <c r="L587" t="s">
        <v>324</v>
      </c>
      <c r="M587" t="s">
        <v>122</v>
      </c>
      <c r="N587">
        <v>4</v>
      </c>
      <c r="O587" t="s">
        <v>1080</v>
      </c>
      <c r="P587" t="s">
        <v>1079</v>
      </c>
      <c r="Q587" t="s">
        <v>1078</v>
      </c>
      <c r="R587" s="7">
        <v>31048</v>
      </c>
      <c r="S587" s="8">
        <f t="shared" si="80"/>
        <v>1985</v>
      </c>
      <c r="T587" s="8">
        <v>1985</v>
      </c>
      <c r="U587" s="8">
        <f t="shared" si="81"/>
        <v>37</v>
      </c>
      <c r="V587" s="7">
        <v>1985</v>
      </c>
      <c r="W587" t="s">
        <v>1077</v>
      </c>
      <c r="X587" s="2">
        <v>2.3610000000000002</v>
      </c>
      <c r="Y587" s="6">
        <f t="shared" si="78"/>
        <v>6.3025546568431179E-2</v>
      </c>
      <c r="AA587">
        <v>219258</v>
      </c>
      <c r="AB587">
        <v>17592</v>
      </c>
      <c r="AD587" t="s">
        <v>4</v>
      </c>
      <c r="AE587">
        <v>260</v>
      </c>
      <c r="AF587">
        <v>1</v>
      </c>
      <c r="AH587" t="s">
        <v>1076</v>
      </c>
      <c r="AI587" t="s">
        <v>1075</v>
      </c>
      <c r="AK587" t="s">
        <v>1074</v>
      </c>
      <c r="AL587">
        <v>65</v>
      </c>
      <c r="AM587" s="5">
        <f t="shared" si="82"/>
        <v>1.7567567567567568</v>
      </c>
      <c r="AN587" s="4">
        <f t="shared" si="79"/>
        <v>2.6607448038724071E-3</v>
      </c>
      <c r="AO587" s="3"/>
      <c r="AP587">
        <v>0</v>
      </c>
      <c r="AR587" t="s">
        <v>0</v>
      </c>
      <c r="AT587" s="2">
        <v>5.157</v>
      </c>
      <c r="AU587" s="1">
        <f t="shared" si="83"/>
        <v>4.4916106039063539</v>
      </c>
      <c r="AV587" s="1">
        <f t="shared" si="84"/>
        <v>3.2843145686151791</v>
      </c>
      <c r="AW587" s="1">
        <f t="shared" si="85"/>
        <v>2.0770185333240034</v>
      </c>
    </row>
    <row r="588" spans="1:49" x14ac:dyDescent="0.2">
      <c r="A588">
        <v>586</v>
      </c>
      <c r="B588" t="s">
        <v>1073</v>
      </c>
      <c r="C588" t="s">
        <v>1072</v>
      </c>
      <c r="E588">
        <v>3997170</v>
      </c>
      <c r="F588" t="s">
        <v>1071</v>
      </c>
      <c r="G588" t="s">
        <v>15</v>
      </c>
      <c r="H588" t="s">
        <v>14</v>
      </c>
      <c r="I588" t="s">
        <v>1070</v>
      </c>
      <c r="J588">
        <v>60030443</v>
      </c>
      <c r="K588" t="s">
        <v>1069</v>
      </c>
      <c r="L588" t="s">
        <v>1068</v>
      </c>
      <c r="M588" t="s">
        <v>122</v>
      </c>
      <c r="N588">
        <v>1</v>
      </c>
      <c r="O588" t="s">
        <v>1067</v>
      </c>
      <c r="P588">
        <v>7003830659</v>
      </c>
      <c r="Q588">
        <v>60030443</v>
      </c>
      <c r="R588" s="7">
        <v>31048</v>
      </c>
      <c r="S588" s="8">
        <f t="shared" si="80"/>
        <v>1985</v>
      </c>
      <c r="T588" s="8">
        <v>1985</v>
      </c>
      <c r="U588" s="8">
        <f t="shared" si="81"/>
        <v>37</v>
      </c>
      <c r="V588" s="7">
        <v>31079</v>
      </c>
      <c r="W588" t="s">
        <v>1016</v>
      </c>
      <c r="X588" s="2">
        <v>1.1479999999999999</v>
      </c>
      <c r="Y588" s="6">
        <f t="shared" si="78"/>
        <v>3.0645204345853019E-2</v>
      </c>
      <c r="AA588">
        <v>189294</v>
      </c>
      <c r="AB588">
        <v>16318</v>
      </c>
      <c r="AC588">
        <v>15582531</v>
      </c>
      <c r="AD588" t="s">
        <v>4</v>
      </c>
      <c r="AE588" t="s">
        <v>1015</v>
      </c>
      <c r="AF588">
        <v>2</v>
      </c>
      <c r="AH588" t="s">
        <v>1066</v>
      </c>
      <c r="AI588" t="s">
        <v>1065</v>
      </c>
      <c r="AK588" t="s">
        <v>1064</v>
      </c>
      <c r="AL588">
        <v>54</v>
      </c>
      <c r="AM588" s="5">
        <f t="shared" si="82"/>
        <v>1.4594594594594594</v>
      </c>
      <c r="AN588" s="4">
        <f t="shared" si="79"/>
        <v>2.2104649139863073E-3</v>
      </c>
      <c r="AO588" s="3"/>
      <c r="AP588">
        <v>0</v>
      </c>
      <c r="AR588" t="s">
        <v>0</v>
      </c>
      <c r="AT588" s="2" t="s">
        <v>19</v>
      </c>
      <c r="AU588" s="1">
        <f t="shared" si="83"/>
        <v>2.2114782516293006</v>
      </c>
      <c r="AV588" s="1">
        <f t="shared" si="84"/>
        <v>1.6427834629919664</v>
      </c>
      <c r="AW588" s="1">
        <f t="shared" si="85"/>
        <v>1.0740886743546321</v>
      </c>
    </row>
    <row r="589" spans="1:49" x14ac:dyDescent="0.2">
      <c r="A589">
        <v>587</v>
      </c>
      <c r="B589" t="s">
        <v>1063</v>
      </c>
      <c r="C589" t="s">
        <v>1062</v>
      </c>
      <c r="E589">
        <v>3997183</v>
      </c>
      <c r="F589" t="s">
        <v>1061</v>
      </c>
      <c r="G589" t="s">
        <v>15</v>
      </c>
      <c r="H589" t="s">
        <v>14</v>
      </c>
      <c r="I589" t="s">
        <v>1060</v>
      </c>
      <c r="J589" t="s">
        <v>1059</v>
      </c>
      <c r="K589" t="s">
        <v>1058</v>
      </c>
      <c r="L589" t="s">
        <v>1057</v>
      </c>
      <c r="M589" t="s">
        <v>1056</v>
      </c>
      <c r="N589">
        <v>5</v>
      </c>
      <c r="O589" t="s">
        <v>1055</v>
      </c>
      <c r="P589" t="s">
        <v>1054</v>
      </c>
      <c r="Q589" t="s">
        <v>1053</v>
      </c>
      <c r="R589" s="7">
        <v>31048</v>
      </c>
      <c r="S589" s="8">
        <f t="shared" si="80"/>
        <v>1985</v>
      </c>
      <c r="T589" s="8">
        <v>1985</v>
      </c>
      <c r="U589" s="8">
        <f t="shared" si="81"/>
        <v>37</v>
      </c>
      <c r="V589" s="7">
        <v>31107</v>
      </c>
      <c r="W589" t="s">
        <v>1016</v>
      </c>
      <c r="X589" s="2">
        <v>1.1479999999999999</v>
      </c>
      <c r="Y589" s="6">
        <f t="shared" si="78"/>
        <v>3.0645204345853019E-2</v>
      </c>
      <c r="AA589">
        <v>189294</v>
      </c>
      <c r="AB589">
        <v>16318</v>
      </c>
      <c r="AC589">
        <v>15582531</v>
      </c>
      <c r="AD589" t="s">
        <v>4</v>
      </c>
      <c r="AE589" t="s">
        <v>1015</v>
      </c>
      <c r="AF589">
        <v>3</v>
      </c>
      <c r="AH589" t="s">
        <v>1052</v>
      </c>
      <c r="AI589" t="s">
        <v>1051</v>
      </c>
      <c r="AK589" t="s">
        <v>1050</v>
      </c>
      <c r="AL589">
        <v>2</v>
      </c>
      <c r="AM589" s="5">
        <f t="shared" si="82"/>
        <v>5.4054054054054057E-2</v>
      </c>
      <c r="AN589" s="4">
        <f t="shared" si="79"/>
        <v>8.1869070888381765E-5</v>
      </c>
      <c r="AO589" s="3"/>
      <c r="AP589">
        <v>0</v>
      </c>
      <c r="AR589" t="s">
        <v>0</v>
      </c>
      <c r="AT589" s="2" t="s">
        <v>19</v>
      </c>
      <c r="AU589" s="1">
        <f t="shared" si="83"/>
        <v>2.1476203763363628</v>
      </c>
      <c r="AV589" s="1">
        <f t="shared" si="84"/>
        <v>1.53635367083707</v>
      </c>
      <c r="AW589" s="1">
        <f t="shared" si="85"/>
        <v>0.92508696533777723</v>
      </c>
    </row>
    <row r="590" spans="1:49" x14ac:dyDescent="0.2">
      <c r="A590">
        <v>588</v>
      </c>
      <c r="B590" t="s">
        <v>1049</v>
      </c>
      <c r="C590" t="s">
        <v>1048</v>
      </c>
      <c r="F590" t="s">
        <v>1047</v>
      </c>
      <c r="G590" t="s">
        <v>15</v>
      </c>
      <c r="H590" t="s">
        <v>14</v>
      </c>
      <c r="I590" t="s">
        <v>1046</v>
      </c>
      <c r="J590">
        <v>60028564</v>
      </c>
      <c r="K590" t="s">
        <v>1045</v>
      </c>
      <c r="L590" t="s">
        <v>1044</v>
      </c>
      <c r="M590" t="s">
        <v>91</v>
      </c>
      <c r="N590">
        <v>3</v>
      </c>
      <c r="O590" t="s">
        <v>1043</v>
      </c>
      <c r="P590" t="s">
        <v>1042</v>
      </c>
      <c r="Q590" t="s">
        <v>1041</v>
      </c>
      <c r="R590" s="7">
        <v>31048</v>
      </c>
      <c r="S590" s="8">
        <f t="shared" si="80"/>
        <v>1985</v>
      </c>
      <c r="T590" s="8">
        <v>1985</v>
      </c>
      <c r="U590" s="8">
        <f t="shared" si="81"/>
        <v>37</v>
      </c>
      <c r="V590" s="7">
        <v>1985</v>
      </c>
      <c r="W590" t="s">
        <v>1040</v>
      </c>
      <c r="X590" s="2">
        <v>1.67</v>
      </c>
      <c r="Y590" s="6">
        <f t="shared" si="78"/>
        <v>4.4579696217399427E-2</v>
      </c>
      <c r="AA590">
        <v>1480227</v>
      </c>
      <c r="AB590">
        <v>28428</v>
      </c>
      <c r="AD590" t="s">
        <v>4</v>
      </c>
      <c r="AE590">
        <v>90</v>
      </c>
      <c r="AF590" t="s">
        <v>1039</v>
      </c>
      <c r="AH590" t="s">
        <v>1038</v>
      </c>
      <c r="AI590" t="s">
        <v>1037</v>
      </c>
      <c r="AK590" t="s">
        <v>1036</v>
      </c>
      <c r="AL590">
        <v>23</v>
      </c>
      <c r="AM590" s="5">
        <f t="shared" si="82"/>
        <v>0.6216216216216216</v>
      </c>
      <c r="AN590" s="4">
        <f t="shared" si="79"/>
        <v>9.4149431521639018E-4</v>
      </c>
      <c r="AO590" s="3"/>
      <c r="AP590">
        <v>0</v>
      </c>
      <c r="AR590" t="s">
        <v>0</v>
      </c>
      <c r="AT590" s="2" t="s">
        <v>19</v>
      </c>
      <c r="AU590" s="1">
        <f t="shared" si="83"/>
        <v>3.1488235646744513</v>
      </c>
      <c r="AV590" s="1">
        <f t="shared" si="84"/>
        <v>2.2760595266307906</v>
      </c>
      <c r="AW590" s="1">
        <f t="shared" si="85"/>
        <v>1.4032954885871303</v>
      </c>
    </row>
    <row r="591" spans="1:49" x14ac:dyDescent="0.2">
      <c r="A591">
        <v>589</v>
      </c>
      <c r="B591" t="s">
        <v>1035</v>
      </c>
      <c r="E591">
        <v>3928601</v>
      </c>
      <c r="F591" t="s">
        <v>1034</v>
      </c>
      <c r="G591" t="s">
        <v>15</v>
      </c>
      <c r="H591" t="s">
        <v>14</v>
      </c>
      <c r="I591" t="s">
        <v>1033</v>
      </c>
      <c r="J591">
        <v>60031707</v>
      </c>
      <c r="K591" t="s">
        <v>1032</v>
      </c>
      <c r="L591" t="s">
        <v>1031</v>
      </c>
      <c r="M591" t="s">
        <v>122</v>
      </c>
      <c r="N591">
        <v>1</v>
      </c>
      <c r="O591" t="s">
        <v>1030</v>
      </c>
      <c r="P591">
        <v>6603689051</v>
      </c>
      <c r="Q591">
        <v>60031707</v>
      </c>
      <c r="R591" s="7">
        <v>31048</v>
      </c>
      <c r="S591" s="8">
        <f t="shared" si="80"/>
        <v>1985</v>
      </c>
      <c r="T591" s="8">
        <v>1985</v>
      </c>
      <c r="U591" s="8">
        <f t="shared" si="81"/>
        <v>37</v>
      </c>
      <c r="V591" s="7">
        <v>1985</v>
      </c>
      <c r="W591" t="s">
        <v>1029</v>
      </c>
      <c r="X591" s="2">
        <v>1.6519999999999999</v>
      </c>
      <c r="Y591" s="6">
        <f t="shared" si="78"/>
        <v>4.409919649769093E-2</v>
      </c>
      <c r="AA591">
        <v>219193</v>
      </c>
      <c r="AB591">
        <v>20220</v>
      </c>
      <c r="AD591" t="s">
        <v>4</v>
      </c>
      <c r="AE591">
        <v>163</v>
      </c>
      <c r="AF591">
        <v>3</v>
      </c>
      <c r="AH591" t="s">
        <v>1028</v>
      </c>
      <c r="AL591">
        <v>3</v>
      </c>
      <c r="AM591" s="5">
        <f t="shared" si="82"/>
        <v>8.1081081081081086E-2</v>
      </c>
      <c r="AN591" s="4">
        <f t="shared" si="79"/>
        <v>1.2280360633257263E-4</v>
      </c>
      <c r="AO591" s="3"/>
      <c r="AP591">
        <v>0</v>
      </c>
      <c r="AR591" t="s">
        <v>0</v>
      </c>
      <c r="AT591" s="2">
        <v>3.49</v>
      </c>
      <c r="AU591" s="1">
        <f t="shared" si="83"/>
        <v>3.0906278630283421</v>
      </c>
      <c r="AV591" s="1">
        <f t="shared" si="84"/>
        <v>2.2111000052011751</v>
      </c>
      <c r="AW591" s="1">
        <f t="shared" si="85"/>
        <v>1.3315721473740079</v>
      </c>
    </row>
    <row r="592" spans="1:49" x14ac:dyDescent="0.2">
      <c r="A592">
        <v>590</v>
      </c>
      <c r="B592" t="s">
        <v>1027</v>
      </c>
      <c r="C592" t="s">
        <v>1026</v>
      </c>
      <c r="E592">
        <v>4029979</v>
      </c>
      <c r="F592" t="s">
        <v>1025</v>
      </c>
      <c r="G592" t="s">
        <v>15</v>
      </c>
      <c r="H592" t="s">
        <v>14</v>
      </c>
      <c r="I592" t="s">
        <v>1024</v>
      </c>
      <c r="J592" t="s">
        <v>1023</v>
      </c>
      <c r="K592" t="s">
        <v>1022</v>
      </c>
      <c r="L592" t="s">
        <v>1021</v>
      </c>
      <c r="M592" t="s">
        <v>1020</v>
      </c>
      <c r="N592">
        <v>3</v>
      </c>
      <c r="O592" t="s">
        <v>1019</v>
      </c>
      <c r="P592" t="s">
        <v>1018</v>
      </c>
      <c r="Q592" t="s">
        <v>1017</v>
      </c>
      <c r="R592" s="7">
        <v>31048</v>
      </c>
      <c r="S592" s="8">
        <f t="shared" si="80"/>
        <v>1985</v>
      </c>
      <c r="T592" s="8">
        <v>1985</v>
      </c>
      <c r="U592" s="8">
        <f t="shared" si="81"/>
        <v>37</v>
      </c>
      <c r="V592" s="7">
        <v>31260</v>
      </c>
      <c r="W592" t="s">
        <v>1016</v>
      </c>
      <c r="X592" s="2">
        <v>1.1479999999999999</v>
      </c>
      <c r="Y592" s="6">
        <f t="shared" si="78"/>
        <v>3.0645204345853019E-2</v>
      </c>
      <c r="AA592">
        <v>189294</v>
      </c>
      <c r="AB592">
        <v>16318</v>
      </c>
      <c r="AC592">
        <v>15582531</v>
      </c>
      <c r="AD592" t="s">
        <v>4</v>
      </c>
      <c r="AE592" t="s">
        <v>1015</v>
      </c>
      <c r="AF592">
        <v>8</v>
      </c>
      <c r="AH592" t="s">
        <v>1014</v>
      </c>
      <c r="AI592" t="s">
        <v>1013</v>
      </c>
      <c r="AK592" t="s">
        <v>1012</v>
      </c>
      <c r="AL592">
        <v>19</v>
      </c>
      <c r="AM592" s="5">
        <f t="shared" si="82"/>
        <v>0.51351351351351349</v>
      </c>
      <c r="AN592" s="4">
        <f t="shared" si="79"/>
        <v>7.7775617343962659E-4</v>
      </c>
      <c r="AO592" s="3"/>
      <c r="AP592">
        <v>0</v>
      </c>
      <c r="AR592" t="s">
        <v>0</v>
      </c>
      <c r="AT592" s="2" t="s">
        <v>19</v>
      </c>
      <c r="AU592" s="1">
        <f t="shared" si="83"/>
        <v>2.1684969894129003</v>
      </c>
      <c r="AV592" s="1">
        <f t="shared" si="84"/>
        <v>1.5711480259646322</v>
      </c>
      <c r="AW592" s="1">
        <f t="shared" si="85"/>
        <v>0.97379906251636428</v>
      </c>
    </row>
    <row r="593" spans="1:49" x14ac:dyDescent="0.2">
      <c r="A593">
        <v>591</v>
      </c>
      <c r="B593" t="s">
        <v>1011</v>
      </c>
      <c r="C593" t="s">
        <v>1010</v>
      </c>
      <c r="F593" t="s">
        <v>1009</v>
      </c>
      <c r="G593" t="s">
        <v>15</v>
      </c>
      <c r="H593" t="s">
        <v>14</v>
      </c>
      <c r="I593" t="s">
        <v>1008</v>
      </c>
      <c r="J593">
        <v>115568374</v>
      </c>
      <c r="K593" t="s">
        <v>1007</v>
      </c>
      <c r="L593" t="s">
        <v>1006</v>
      </c>
      <c r="M593" t="s">
        <v>122</v>
      </c>
      <c r="N593">
        <v>1</v>
      </c>
      <c r="O593" t="s">
        <v>1005</v>
      </c>
      <c r="P593">
        <v>7201383323</v>
      </c>
      <c r="Q593">
        <v>115568374</v>
      </c>
      <c r="R593" s="7">
        <v>31048</v>
      </c>
      <c r="S593" s="8">
        <f t="shared" si="80"/>
        <v>1985</v>
      </c>
      <c r="T593" s="8">
        <v>1985</v>
      </c>
      <c r="U593" s="8">
        <f t="shared" si="81"/>
        <v>37</v>
      </c>
      <c r="V593" s="7">
        <v>31048</v>
      </c>
      <c r="W593" t="s">
        <v>24</v>
      </c>
      <c r="X593" s="2">
        <v>1.6519999999999999</v>
      </c>
      <c r="Y593" s="6">
        <f t="shared" si="78"/>
        <v>4.409919649769093E-2</v>
      </c>
      <c r="AA593" t="s">
        <v>23</v>
      </c>
      <c r="AB593">
        <v>17337</v>
      </c>
      <c r="AC593">
        <v>15582221</v>
      </c>
      <c r="AD593" t="s">
        <v>4</v>
      </c>
      <c r="AE593">
        <v>33</v>
      </c>
      <c r="AF593">
        <v>1</v>
      </c>
      <c r="AH593" t="s">
        <v>870</v>
      </c>
      <c r="AI593" t="s">
        <v>1004</v>
      </c>
      <c r="AK593" t="s">
        <v>1003</v>
      </c>
      <c r="AL593">
        <v>4</v>
      </c>
      <c r="AM593" s="5">
        <f t="shared" si="82"/>
        <v>0.10810810810810811</v>
      </c>
      <c r="AN593" s="4">
        <f t="shared" si="79"/>
        <v>1.6373814177676353E-4</v>
      </c>
      <c r="AO593" s="3"/>
      <c r="AP593">
        <v>0</v>
      </c>
      <c r="AR593" t="s">
        <v>0</v>
      </c>
      <c r="AT593" s="2" t="s">
        <v>19</v>
      </c>
      <c r="AU593" s="1">
        <f t="shared" si="83"/>
        <v>3.091855899091668</v>
      </c>
      <c r="AV593" s="1">
        <f t="shared" si="84"/>
        <v>2.2131467319733846</v>
      </c>
      <c r="AW593" s="1">
        <f t="shared" si="85"/>
        <v>1.3344375648551012</v>
      </c>
    </row>
    <row r="594" spans="1:49" x14ac:dyDescent="0.2">
      <c r="A594">
        <v>592</v>
      </c>
      <c r="B594" t="s">
        <v>1002</v>
      </c>
      <c r="C594" t="s">
        <v>1001</v>
      </c>
      <c r="F594" t="s">
        <v>1000</v>
      </c>
      <c r="G594" t="s">
        <v>15</v>
      </c>
      <c r="H594" t="s">
        <v>14</v>
      </c>
      <c r="I594" t="s">
        <v>999</v>
      </c>
      <c r="J594">
        <v>60017161</v>
      </c>
      <c r="K594" t="s">
        <v>998</v>
      </c>
      <c r="L594" t="s">
        <v>997</v>
      </c>
      <c r="M594" t="s">
        <v>996</v>
      </c>
      <c r="N594">
        <v>1</v>
      </c>
      <c r="O594" t="s">
        <v>995</v>
      </c>
      <c r="P594">
        <v>7202596473</v>
      </c>
      <c r="Q594">
        <v>60017161</v>
      </c>
      <c r="R594" s="7">
        <v>31048</v>
      </c>
      <c r="S594" s="8">
        <f t="shared" si="80"/>
        <v>1985</v>
      </c>
      <c r="T594" s="8">
        <v>1985</v>
      </c>
      <c r="U594" s="8">
        <f t="shared" si="81"/>
        <v>37</v>
      </c>
      <c r="V594" s="7">
        <v>31048</v>
      </c>
      <c r="W594" t="s">
        <v>994</v>
      </c>
      <c r="X594" s="2">
        <v>1.137</v>
      </c>
      <c r="Y594" s="6">
        <f t="shared" si="78"/>
        <v>3.0351565628253384E-2</v>
      </c>
      <c r="AA594">
        <v>189251</v>
      </c>
      <c r="AB594">
        <v>17336</v>
      </c>
      <c r="AD594" t="s">
        <v>4</v>
      </c>
      <c r="AE594" t="s">
        <v>993</v>
      </c>
      <c r="AF594">
        <v>1</v>
      </c>
      <c r="AH594" t="s">
        <v>992</v>
      </c>
      <c r="AI594" t="s">
        <v>991</v>
      </c>
      <c r="AK594" t="s">
        <v>990</v>
      </c>
      <c r="AL594">
        <v>9</v>
      </c>
      <c r="AM594" s="5">
        <f t="shared" si="82"/>
        <v>0.24324324324324326</v>
      </c>
      <c r="AN594" s="4">
        <f t="shared" si="79"/>
        <v>3.684108189977179E-4</v>
      </c>
      <c r="AO594" s="3"/>
      <c r="AP594">
        <v>0</v>
      </c>
      <c r="AR594" t="s">
        <v>0</v>
      </c>
      <c r="AT594" s="2" t="s">
        <v>19</v>
      </c>
      <c r="AU594" s="1">
        <f t="shared" si="83"/>
        <v>2.1356619185476684</v>
      </c>
      <c r="AV594" s="1">
        <f t="shared" si="84"/>
        <v>1.5359988223625549</v>
      </c>
      <c r="AW594" s="1">
        <f t="shared" si="85"/>
        <v>0.93633572617744176</v>
      </c>
    </row>
    <row r="595" spans="1:49" x14ac:dyDescent="0.2">
      <c r="A595">
        <v>593</v>
      </c>
      <c r="B595" t="s">
        <v>989</v>
      </c>
      <c r="C595" t="s">
        <v>988</v>
      </c>
      <c r="F595" t="s">
        <v>987</v>
      </c>
      <c r="G595" t="s">
        <v>15</v>
      </c>
      <c r="H595" t="s">
        <v>14</v>
      </c>
      <c r="I595" t="s">
        <v>986</v>
      </c>
      <c r="J595" t="s">
        <v>985</v>
      </c>
      <c r="K595" t="s">
        <v>984</v>
      </c>
      <c r="L595" t="s">
        <v>983</v>
      </c>
      <c r="M595" t="s">
        <v>982</v>
      </c>
      <c r="N595">
        <v>3</v>
      </c>
      <c r="O595" t="s">
        <v>981</v>
      </c>
      <c r="P595" t="s">
        <v>980</v>
      </c>
      <c r="Q595" t="s">
        <v>979</v>
      </c>
      <c r="R595" s="7">
        <v>31048</v>
      </c>
      <c r="S595" s="8">
        <f t="shared" si="80"/>
        <v>1985</v>
      </c>
      <c r="T595" s="8">
        <v>1985</v>
      </c>
      <c r="U595" s="8">
        <f t="shared" si="81"/>
        <v>37</v>
      </c>
      <c r="V595" s="7">
        <v>1985</v>
      </c>
      <c r="W595" t="s">
        <v>540</v>
      </c>
      <c r="X595" s="2">
        <v>0.375</v>
      </c>
      <c r="Y595" s="6">
        <f t="shared" si="78"/>
        <v>1.0010410827260351E-2</v>
      </c>
      <c r="AA595">
        <v>135194</v>
      </c>
      <c r="AB595">
        <v>24918</v>
      </c>
      <c r="AD595" t="s">
        <v>4</v>
      </c>
      <c r="AE595">
        <v>21</v>
      </c>
      <c r="AF595">
        <v>3</v>
      </c>
      <c r="AH595" t="s">
        <v>978</v>
      </c>
      <c r="AI595" t="s">
        <v>977</v>
      </c>
      <c r="AJ595" t="s">
        <v>976</v>
      </c>
      <c r="AK595" t="s">
        <v>975</v>
      </c>
      <c r="AL595">
        <v>3</v>
      </c>
      <c r="AM595" s="5">
        <f t="shared" si="82"/>
        <v>8.1081081081081086E-2</v>
      </c>
      <c r="AN595" s="4">
        <f t="shared" si="79"/>
        <v>1.2280360633257263E-4</v>
      </c>
      <c r="AO595" s="3"/>
      <c r="AP595">
        <v>0</v>
      </c>
      <c r="AR595" t="s">
        <v>0</v>
      </c>
      <c r="AT595" s="2">
        <v>1.3140000000000001</v>
      </c>
      <c r="AU595" s="1">
        <f t="shared" si="83"/>
        <v>0.70441286609820175</v>
      </c>
      <c r="AV595" s="1">
        <f t="shared" si="84"/>
        <v>0.50666072167964615</v>
      </c>
      <c r="AW595" s="1">
        <f t="shared" si="85"/>
        <v>0.30890857726109061</v>
      </c>
    </row>
    <row r="596" spans="1:49" x14ac:dyDescent="0.2">
      <c r="A596">
        <v>594</v>
      </c>
      <c r="B596" t="s">
        <v>974</v>
      </c>
      <c r="C596" t="s">
        <v>973</v>
      </c>
      <c r="D596" t="s">
        <v>972</v>
      </c>
      <c r="F596" t="s">
        <v>971</v>
      </c>
      <c r="G596" t="s">
        <v>15</v>
      </c>
      <c r="H596" t="s">
        <v>14</v>
      </c>
      <c r="I596" t="s">
        <v>970</v>
      </c>
      <c r="J596">
        <v>60015184</v>
      </c>
      <c r="K596" t="s">
        <v>969</v>
      </c>
      <c r="L596" t="s">
        <v>968</v>
      </c>
      <c r="M596" t="s">
        <v>785</v>
      </c>
      <c r="N596">
        <v>2</v>
      </c>
      <c r="O596" t="s">
        <v>967</v>
      </c>
      <c r="P596" t="s">
        <v>966</v>
      </c>
      <c r="Q596" t="s">
        <v>965</v>
      </c>
      <c r="R596" s="7">
        <v>31048</v>
      </c>
      <c r="S596" s="8">
        <f t="shared" si="80"/>
        <v>1985</v>
      </c>
      <c r="T596" s="8">
        <v>1985</v>
      </c>
      <c r="U596" s="8">
        <f t="shared" si="81"/>
        <v>37</v>
      </c>
      <c r="V596" s="7">
        <v>31138</v>
      </c>
      <c r="W596" t="s">
        <v>964</v>
      </c>
      <c r="X596" s="2">
        <v>1.77</v>
      </c>
      <c r="Y596" s="6">
        <f t="shared" si="78"/>
        <v>4.7249139104668859E-2</v>
      </c>
      <c r="AA596">
        <v>121606</v>
      </c>
      <c r="AB596">
        <v>14536</v>
      </c>
      <c r="AD596" t="s">
        <v>4</v>
      </c>
      <c r="AE596">
        <v>108</v>
      </c>
      <c r="AF596">
        <v>2</v>
      </c>
      <c r="AH596" t="s">
        <v>963</v>
      </c>
      <c r="AI596" t="s">
        <v>962</v>
      </c>
      <c r="AK596" t="s">
        <v>961</v>
      </c>
      <c r="AL596">
        <v>14</v>
      </c>
      <c r="AM596" s="5">
        <f t="shared" si="82"/>
        <v>0.3783783783783784</v>
      </c>
      <c r="AN596" s="4">
        <f t="shared" si="79"/>
        <v>5.7308349621867233E-4</v>
      </c>
      <c r="AO596" s="3"/>
      <c r="AP596">
        <v>0</v>
      </c>
      <c r="AQ596" t="s">
        <v>776</v>
      </c>
      <c r="AR596" t="s">
        <v>0</v>
      </c>
      <c r="AS596" t="s">
        <v>774</v>
      </c>
      <c r="AT596" s="2">
        <v>3.5819999999999999</v>
      </c>
      <c r="AU596" s="1">
        <f t="shared" si="83"/>
        <v>3.3246322422133803</v>
      </c>
      <c r="AV596" s="1">
        <f t="shared" si="84"/>
        <v>2.3911111300443766</v>
      </c>
      <c r="AW596" s="1">
        <f t="shared" si="85"/>
        <v>1.4575900178753727</v>
      </c>
    </row>
    <row r="597" spans="1:49" x14ac:dyDescent="0.2">
      <c r="A597">
        <v>595</v>
      </c>
      <c r="B597" t="s">
        <v>960</v>
      </c>
      <c r="F597" t="s">
        <v>959</v>
      </c>
      <c r="G597" t="s">
        <v>15</v>
      </c>
      <c r="H597" t="s">
        <v>14</v>
      </c>
      <c r="I597" t="s">
        <v>958</v>
      </c>
      <c r="J597">
        <v>60002959</v>
      </c>
      <c r="K597" t="s">
        <v>957</v>
      </c>
      <c r="L597" t="s">
        <v>956</v>
      </c>
      <c r="M597" t="s">
        <v>122</v>
      </c>
      <c r="N597">
        <v>1</v>
      </c>
      <c r="O597" t="s">
        <v>955</v>
      </c>
      <c r="P597">
        <v>6701499493</v>
      </c>
      <c r="Q597">
        <v>60002959</v>
      </c>
      <c r="R597" s="7">
        <v>31048</v>
      </c>
      <c r="S597" s="8">
        <f t="shared" si="80"/>
        <v>1985</v>
      </c>
      <c r="T597" s="8">
        <v>1985</v>
      </c>
      <c r="U597" s="8">
        <f t="shared" si="81"/>
        <v>37</v>
      </c>
      <c r="V597" s="7">
        <v>31048</v>
      </c>
      <c r="W597" t="s">
        <v>954</v>
      </c>
      <c r="X597" s="2">
        <v>0.69799999999999995</v>
      </c>
      <c r="Y597" s="6">
        <f t="shared" si="78"/>
        <v>1.86327113531406E-2</v>
      </c>
      <c r="AA597">
        <v>219142</v>
      </c>
      <c r="AB597">
        <v>29585</v>
      </c>
      <c r="AD597" t="s">
        <v>4</v>
      </c>
      <c r="AE597">
        <v>33</v>
      </c>
      <c r="AF597">
        <v>1</v>
      </c>
      <c r="AH597" s="10">
        <v>41699</v>
      </c>
      <c r="AI597" t="s">
        <v>953</v>
      </c>
      <c r="AK597" t="s">
        <v>952</v>
      </c>
      <c r="AL597">
        <v>5</v>
      </c>
      <c r="AM597" s="5">
        <f t="shared" si="82"/>
        <v>0.13513513513513514</v>
      </c>
      <c r="AN597" s="4">
        <f t="shared" si="79"/>
        <v>2.046726772209544E-4</v>
      </c>
      <c r="AO597" s="3"/>
      <c r="AP597">
        <v>0</v>
      </c>
      <c r="AR597" t="s">
        <v>0</v>
      </c>
      <c r="AT597" s="2">
        <v>1.5309999999999999</v>
      </c>
      <c r="AU597" s="1">
        <f t="shared" si="83"/>
        <v>1.3104299750364705</v>
      </c>
      <c r="AV597" s="1">
        <f t="shared" si="84"/>
        <v>0.94186920151807774</v>
      </c>
      <c r="AW597" s="1">
        <f t="shared" si="85"/>
        <v>0.57330842799968484</v>
      </c>
    </row>
    <row r="598" spans="1:49" x14ac:dyDescent="0.2">
      <c r="A598">
        <v>596</v>
      </c>
      <c r="B598" t="s">
        <v>951</v>
      </c>
      <c r="F598" t="s">
        <v>950</v>
      </c>
      <c r="G598" t="s">
        <v>15</v>
      </c>
      <c r="H598" t="s">
        <v>14</v>
      </c>
      <c r="I598" t="s">
        <v>864</v>
      </c>
      <c r="J598">
        <v>60013272</v>
      </c>
      <c r="K598" t="s">
        <v>863</v>
      </c>
      <c r="L598" t="s">
        <v>862</v>
      </c>
      <c r="M598" t="s">
        <v>861</v>
      </c>
      <c r="N598">
        <v>1</v>
      </c>
      <c r="O598" t="s">
        <v>949</v>
      </c>
      <c r="P598">
        <v>7404140488</v>
      </c>
      <c r="Q598">
        <v>60013272</v>
      </c>
      <c r="R598" s="7">
        <v>31048</v>
      </c>
      <c r="S598" s="8">
        <f t="shared" si="80"/>
        <v>1985</v>
      </c>
      <c r="T598" s="8">
        <v>1985</v>
      </c>
      <c r="U598" s="8">
        <f t="shared" si="81"/>
        <v>37</v>
      </c>
      <c r="V598" s="7">
        <v>31048</v>
      </c>
      <c r="W598" t="s">
        <v>857</v>
      </c>
      <c r="X598" s="2">
        <v>0.14399999999999999</v>
      </c>
      <c r="Y598" s="6">
        <f t="shared" si="78"/>
        <v>3.8439977576679744E-3</v>
      </c>
      <c r="AA598">
        <v>382221</v>
      </c>
      <c r="AB598">
        <v>19255</v>
      </c>
      <c r="AD598" t="s">
        <v>4</v>
      </c>
      <c r="AE598">
        <v>76</v>
      </c>
      <c r="AF598">
        <v>1</v>
      </c>
      <c r="AH598" t="s">
        <v>948</v>
      </c>
      <c r="AI598" t="s">
        <v>947</v>
      </c>
      <c r="AK598" t="s">
        <v>946</v>
      </c>
      <c r="AL598">
        <v>1</v>
      </c>
      <c r="AM598" s="5">
        <f t="shared" si="82"/>
        <v>2.7027027027027029E-2</v>
      </c>
      <c r="AN598" s="4">
        <f t="shared" si="79"/>
        <v>4.0934535444190883E-5</v>
      </c>
      <c r="AO598" s="3"/>
      <c r="AP598">
        <v>0</v>
      </c>
      <c r="AR598" t="s">
        <v>0</v>
      </c>
      <c r="AT598" s="2" t="s">
        <v>19</v>
      </c>
      <c r="AU598" s="1">
        <f t="shared" si="83"/>
        <v>0.27030787910008391</v>
      </c>
      <c r="AV598" s="1">
        <f t="shared" si="84"/>
        <v>0.19424661465560827</v>
      </c>
      <c r="AW598" s="1">
        <f t="shared" si="85"/>
        <v>0.11818535021113259</v>
      </c>
    </row>
    <row r="599" spans="1:49" x14ac:dyDescent="0.2">
      <c r="A599">
        <v>597</v>
      </c>
      <c r="B599" t="s">
        <v>945</v>
      </c>
      <c r="C599" t="s">
        <v>944</v>
      </c>
      <c r="F599" t="s">
        <v>943</v>
      </c>
      <c r="G599" t="s">
        <v>15</v>
      </c>
      <c r="H599" t="s">
        <v>14</v>
      </c>
      <c r="I599" t="s">
        <v>942</v>
      </c>
      <c r="J599">
        <v>60007716</v>
      </c>
      <c r="K599" t="s">
        <v>699</v>
      </c>
      <c r="L599" t="s">
        <v>698</v>
      </c>
      <c r="M599" t="s">
        <v>272</v>
      </c>
      <c r="N599">
        <v>1</v>
      </c>
      <c r="O599" t="s">
        <v>941</v>
      </c>
      <c r="P599">
        <v>7407828236</v>
      </c>
      <c r="Q599">
        <v>60007716</v>
      </c>
      <c r="R599" s="7">
        <v>31048</v>
      </c>
      <c r="S599" s="8">
        <f t="shared" si="80"/>
        <v>1985</v>
      </c>
      <c r="T599" s="8">
        <v>1985</v>
      </c>
      <c r="U599" s="8">
        <f t="shared" si="81"/>
        <v>37</v>
      </c>
      <c r="V599" s="7">
        <v>31048</v>
      </c>
      <c r="W599" t="s">
        <v>513</v>
      </c>
      <c r="X599" s="2">
        <v>2.9860000000000002</v>
      </c>
      <c r="Y599" s="6">
        <f t="shared" si="78"/>
        <v>7.9709564613865094E-2</v>
      </c>
      <c r="AA599">
        <v>7338716</v>
      </c>
      <c r="AB599">
        <v>18902</v>
      </c>
      <c r="AD599" t="s">
        <v>4</v>
      </c>
      <c r="AE599">
        <v>3</v>
      </c>
      <c r="AF599">
        <v>1</v>
      </c>
      <c r="AH599" t="s">
        <v>940</v>
      </c>
      <c r="AI599" t="s">
        <v>939</v>
      </c>
      <c r="AK599" t="s">
        <v>938</v>
      </c>
      <c r="AL599">
        <v>1</v>
      </c>
      <c r="AM599" s="5">
        <f t="shared" si="82"/>
        <v>2.7027027027027029E-2</v>
      </c>
      <c r="AN599" s="4">
        <f t="shared" si="79"/>
        <v>4.0934535444190883E-5</v>
      </c>
      <c r="AO599" s="3"/>
      <c r="AP599">
        <v>0</v>
      </c>
      <c r="AR599" t="s">
        <v>0</v>
      </c>
      <c r="AT599" s="2" t="s">
        <v>19</v>
      </c>
      <c r="AU599" s="1">
        <f t="shared" si="83"/>
        <v>5.5808975590338816</v>
      </c>
      <c r="AV599" s="1">
        <f t="shared" si="84"/>
        <v>3.9875249574654643</v>
      </c>
      <c r="AW599" s="1">
        <f t="shared" si="85"/>
        <v>2.3941523558970461</v>
      </c>
    </row>
    <row r="600" spans="1:49" x14ac:dyDescent="0.2">
      <c r="A600">
        <v>598</v>
      </c>
      <c r="B600" t="s">
        <v>937</v>
      </c>
      <c r="C600" t="s">
        <v>936</v>
      </c>
      <c r="F600" t="s">
        <v>935</v>
      </c>
      <c r="G600" t="s">
        <v>15</v>
      </c>
      <c r="H600" t="s">
        <v>14</v>
      </c>
      <c r="I600" t="s">
        <v>934</v>
      </c>
      <c r="J600">
        <v>60005470</v>
      </c>
      <c r="K600" t="s">
        <v>518</v>
      </c>
      <c r="L600" t="s">
        <v>517</v>
      </c>
      <c r="M600" t="s">
        <v>122</v>
      </c>
      <c r="N600">
        <v>1</v>
      </c>
      <c r="O600" t="s">
        <v>933</v>
      </c>
      <c r="P600">
        <v>7005521958</v>
      </c>
      <c r="Q600">
        <v>60005470</v>
      </c>
      <c r="R600" s="7">
        <v>31048</v>
      </c>
      <c r="S600" s="8">
        <f t="shared" si="80"/>
        <v>1985</v>
      </c>
      <c r="T600" s="8">
        <v>1985</v>
      </c>
      <c r="U600" s="8">
        <f t="shared" si="81"/>
        <v>37</v>
      </c>
      <c r="V600" s="7">
        <v>31048</v>
      </c>
      <c r="W600" t="s">
        <v>513</v>
      </c>
      <c r="X600" s="2">
        <v>2.9860000000000002</v>
      </c>
      <c r="Y600" s="6">
        <f t="shared" si="78"/>
        <v>7.9709564613865094E-2</v>
      </c>
      <c r="AA600">
        <v>7338716</v>
      </c>
      <c r="AB600">
        <v>18902</v>
      </c>
      <c r="AD600" t="s">
        <v>4</v>
      </c>
      <c r="AE600">
        <v>3</v>
      </c>
      <c r="AF600">
        <v>1</v>
      </c>
      <c r="AH600" t="s">
        <v>932</v>
      </c>
      <c r="AI600" t="s">
        <v>931</v>
      </c>
      <c r="AK600" t="s">
        <v>930</v>
      </c>
      <c r="AL600">
        <v>0</v>
      </c>
      <c r="AM600" s="5">
        <f t="shared" si="82"/>
        <v>0</v>
      </c>
      <c r="AN600" s="4">
        <f t="shared" si="79"/>
        <v>0</v>
      </c>
      <c r="AO600" s="3"/>
      <c r="AP600">
        <v>0</v>
      </c>
      <c r="AR600" t="s">
        <v>0</v>
      </c>
      <c r="AT600" s="2" t="s">
        <v>19</v>
      </c>
      <c r="AU600" s="1">
        <f t="shared" si="83"/>
        <v>5.5796695229705557</v>
      </c>
      <c r="AV600" s="1">
        <f t="shared" si="84"/>
        <v>3.9854782306932548</v>
      </c>
      <c r="AW600" s="1">
        <f t="shared" si="85"/>
        <v>2.3912869384159525</v>
      </c>
    </row>
    <row r="601" spans="1:49" x14ac:dyDescent="0.2">
      <c r="A601">
        <v>599</v>
      </c>
      <c r="B601" t="s">
        <v>929</v>
      </c>
      <c r="C601" t="s">
        <v>928</v>
      </c>
      <c r="F601" t="s">
        <v>927</v>
      </c>
      <c r="G601" t="s">
        <v>15</v>
      </c>
      <c r="H601" t="s">
        <v>14</v>
      </c>
      <c r="I601" t="s">
        <v>926</v>
      </c>
      <c r="J601">
        <v>60003500</v>
      </c>
      <c r="K601" t="s">
        <v>925</v>
      </c>
      <c r="L601" t="s">
        <v>924</v>
      </c>
      <c r="M601" t="s">
        <v>122</v>
      </c>
      <c r="N601">
        <v>1</v>
      </c>
      <c r="O601" t="s">
        <v>923</v>
      </c>
      <c r="P601">
        <v>7202816808</v>
      </c>
      <c r="Q601">
        <v>60003500</v>
      </c>
      <c r="R601" s="7">
        <v>31048</v>
      </c>
      <c r="S601" s="8">
        <f t="shared" si="80"/>
        <v>1985</v>
      </c>
      <c r="T601" s="8">
        <v>1985</v>
      </c>
      <c r="U601" s="8">
        <f t="shared" si="81"/>
        <v>37</v>
      </c>
      <c r="V601" s="7">
        <v>31048</v>
      </c>
      <c r="W601" t="s">
        <v>24</v>
      </c>
      <c r="X601" s="2">
        <v>1.6519999999999999</v>
      </c>
      <c r="Y601" s="6">
        <f t="shared" si="78"/>
        <v>4.409919649769093E-2</v>
      </c>
      <c r="AA601" t="s">
        <v>23</v>
      </c>
      <c r="AB601">
        <v>17337</v>
      </c>
      <c r="AC601">
        <v>15582221</v>
      </c>
      <c r="AD601" t="s">
        <v>4</v>
      </c>
      <c r="AE601">
        <v>33</v>
      </c>
      <c r="AF601">
        <v>1</v>
      </c>
      <c r="AH601" t="s">
        <v>922</v>
      </c>
      <c r="AI601" t="s">
        <v>921</v>
      </c>
      <c r="AK601" t="s">
        <v>920</v>
      </c>
      <c r="AL601">
        <v>32</v>
      </c>
      <c r="AM601" s="5">
        <f t="shared" si="82"/>
        <v>0.86486486486486491</v>
      </c>
      <c r="AN601" s="4">
        <f t="shared" si="79"/>
        <v>1.3099051342141082E-3</v>
      </c>
      <c r="AO601" s="3"/>
      <c r="AP601">
        <v>0</v>
      </c>
      <c r="AR601" t="s">
        <v>0</v>
      </c>
      <c r="AT601" s="2" t="s">
        <v>19</v>
      </c>
      <c r="AU601" s="1">
        <f t="shared" si="83"/>
        <v>3.1262409088647884</v>
      </c>
      <c r="AV601" s="1">
        <f t="shared" si="84"/>
        <v>2.2704550815952516</v>
      </c>
      <c r="AW601" s="1">
        <f t="shared" si="85"/>
        <v>1.4146692543257153</v>
      </c>
    </row>
    <row r="602" spans="1:49" x14ac:dyDescent="0.2">
      <c r="A602">
        <v>600</v>
      </c>
      <c r="B602" t="s">
        <v>919</v>
      </c>
      <c r="C602" t="s">
        <v>918</v>
      </c>
      <c r="F602" t="s">
        <v>917</v>
      </c>
      <c r="G602" t="s">
        <v>15</v>
      </c>
      <c r="H602" t="s">
        <v>14</v>
      </c>
      <c r="I602" t="s">
        <v>622</v>
      </c>
      <c r="J602" t="s">
        <v>621</v>
      </c>
      <c r="K602" t="s">
        <v>620</v>
      </c>
      <c r="L602" t="s">
        <v>619</v>
      </c>
      <c r="M602" t="s">
        <v>28</v>
      </c>
      <c r="N602">
        <v>1</v>
      </c>
      <c r="O602" t="s">
        <v>618</v>
      </c>
      <c r="P602">
        <v>55700319400</v>
      </c>
      <c r="Q602" t="s">
        <v>617</v>
      </c>
      <c r="R602" s="7">
        <v>31048</v>
      </c>
      <c r="S602" s="8">
        <f t="shared" si="80"/>
        <v>1985</v>
      </c>
      <c r="T602" s="8">
        <v>1985</v>
      </c>
      <c r="U602" s="8">
        <f t="shared" si="81"/>
        <v>37</v>
      </c>
      <c r="V602" s="7">
        <v>31048</v>
      </c>
      <c r="W602" t="s">
        <v>513</v>
      </c>
      <c r="X602" s="2">
        <v>2.9860000000000002</v>
      </c>
      <c r="Y602" s="6">
        <f t="shared" si="78"/>
        <v>7.9709564613865094E-2</v>
      </c>
      <c r="AA602">
        <v>7338716</v>
      </c>
      <c r="AB602">
        <v>18902</v>
      </c>
      <c r="AD602" t="s">
        <v>4</v>
      </c>
      <c r="AE602">
        <v>3</v>
      </c>
      <c r="AF602">
        <v>1</v>
      </c>
      <c r="AH602" t="s">
        <v>916</v>
      </c>
      <c r="AI602" t="s">
        <v>915</v>
      </c>
      <c r="AK602" t="s">
        <v>914</v>
      </c>
      <c r="AL602">
        <v>2</v>
      </c>
      <c r="AM602" s="5">
        <f t="shared" si="82"/>
        <v>5.4054054054054057E-2</v>
      </c>
      <c r="AN602" s="4">
        <f t="shared" si="79"/>
        <v>8.1869070888381765E-5</v>
      </c>
      <c r="AO602" s="3"/>
      <c r="AP602">
        <v>0</v>
      </c>
      <c r="AR602" t="s">
        <v>0</v>
      </c>
      <c r="AT602" s="2" t="s">
        <v>19</v>
      </c>
      <c r="AU602" s="1">
        <f t="shared" si="83"/>
        <v>5.5821255950972075</v>
      </c>
      <c r="AV602" s="1">
        <f t="shared" si="84"/>
        <v>3.9895716842376734</v>
      </c>
      <c r="AW602" s="1">
        <f t="shared" si="85"/>
        <v>2.3970177733781397</v>
      </c>
    </row>
    <row r="603" spans="1:49" x14ac:dyDescent="0.2">
      <c r="A603">
        <v>601</v>
      </c>
      <c r="B603" t="s">
        <v>913</v>
      </c>
      <c r="F603" t="s">
        <v>912</v>
      </c>
      <c r="G603" t="s">
        <v>15</v>
      </c>
      <c r="H603" t="s">
        <v>14</v>
      </c>
      <c r="I603" t="s">
        <v>911</v>
      </c>
      <c r="J603">
        <v>60008134</v>
      </c>
      <c r="K603" t="s">
        <v>910</v>
      </c>
      <c r="L603" t="s">
        <v>909</v>
      </c>
      <c r="M603" t="s">
        <v>272</v>
      </c>
      <c r="N603">
        <v>2</v>
      </c>
      <c r="O603" t="s">
        <v>908</v>
      </c>
      <c r="P603" t="s">
        <v>907</v>
      </c>
      <c r="Q603" t="s">
        <v>906</v>
      </c>
      <c r="R603" s="7">
        <v>31048</v>
      </c>
      <c r="S603" s="8">
        <f t="shared" si="80"/>
        <v>1985</v>
      </c>
      <c r="T603" s="8">
        <v>1985</v>
      </c>
      <c r="U603" s="8">
        <f t="shared" si="81"/>
        <v>37</v>
      </c>
      <c r="V603" s="7">
        <v>1985</v>
      </c>
      <c r="W603" t="s">
        <v>905</v>
      </c>
      <c r="X603" s="2" t="s">
        <v>19</v>
      </c>
      <c r="Y603" s="6" t="e">
        <f t="shared" si="78"/>
        <v>#VALUE!</v>
      </c>
      <c r="AA603">
        <v>1658646</v>
      </c>
      <c r="AB603">
        <v>72360</v>
      </c>
      <c r="AD603" t="s">
        <v>4</v>
      </c>
      <c r="AE603">
        <v>9</v>
      </c>
      <c r="AF603">
        <v>3</v>
      </c>
      <c r="AH603" t="s">
        <v>904</v>
      </c>
      <c r="AI603" t="s">
        <v>903</v>
      </c>
      <c r="AK603" t="s">
        <v>902</v>
      </c>
      <c r="AL603">
        <v>5</v>
      </c>
      <c r="AM603" s="5">
        <f t="shared" si="82"/>
        <v>0.13513513513513514</v>
      </c>
      <c r="AN603" s="4">
        <f t="shared" si="79"/>
        <v>2.046726772209544E-4</v>
      </c>
      <c r="AO603" s="3"/>
      <c r="AP603">
        <v>0</v>
      </c>
      <c r="AR603" t="s">
        <v>0</v>
      </c>
      <c r="AT603" s="2" t="s">
        <v>19</v>
      </c>
      <c r="AU603" s="1" t="e">
        <f t="shared" si="83"/>
        <v>#VALUE!</v>
      </c>
      <c r="AV603" s="1" t="e">
        <f t="shared" si="84"/>
        <v>#VALUE!</v>
      </c>
      <c r="AW603" s="1" t="e">
        <f t="shared" si="85"/>
        <v>#VALUE!</v>
      </c>
    </row>
    <row r="604" spans="1:49" x14ac:dyDescent="0.2">
      <c r="A604">
        <v>602</v>
      </c>
      <c r="B604" t="s">
        <v>901</v>
      </c>
      <c r="C604" t="s">
        <v>900</v>
      </c>
      <c r="F604" t="s">
        <v>899</v>
      </c>
      <c r="G604" t="s">
        <v>15</v>
      </c>
      <c r="H604" t="s">
        <v>14</v>
      </c>
      <c r="I604" t="s">
        <v>898</v>
      </c>
      <c r="N604">
        <v>2</v>
      </c>
      <c r="O604" t="s">
        <v>897</v>
      </c>
      <c r="P604" t="s">
        <v>896</v>
      </c>
      <c r="Q604" t="s">
        <v>895</v>
      </c>
      <c r="R604" s="7">
        <v>31048</v>
      </c>
      <c r="S604" s="8">
        <f t="shared" si="80"/>
        <v>1985</v>
      </c>
      <c r="T604" s="8">
        <v>1985</v>
      </c>
      <c r="U604" s="8">
        <f t="shared" si="81"/>
        <v>37</v>
      </c>
      <c r="V604" s="7" t="s">
        <v>488</v>
      </c>
      <c r="W604" t="s">
        <v>367</v>
      </c>
      <c r="X604" s="2">
        <v>0.371</v>
      </c>
      <c r="Y604" s="6">
        <f t="shared" si="78"/>
        <v>9.9036331117695747E-3</v>
      </c>
      <c r="AA604">
        <v>486604</v>
      </c>
      <c r="AB604">
        <v>28580</v>
      </c>
      <c r="AC604" t="s">
        <v>366</v>
      </c>
      <c r="AD604" t="s">
        <v>4</v>
      </c>
      <c r="AE604">
        <v>20</v>
      </c>
      <c r="AF604">
        <v>1</v>
      </c>
      <c r="AH604" t="s">
        <v>894</v>
      </c>
      <c r="AI604" t="s">
        <v>893</v>
      </c>
      <c r="AK604" t="s">
        <v>892</v>
      </c>
      <c r="AL604">
        <v>1</v>
      </c>
      <c r="AM604" s="5">
        <f t="shared" si="82"/>
        <v>2.7027027027027029E-2</v>
      </c>
      <c r="AN604" s="4">
        <f t="shared" si="79"/>
        <v>4.0934535444190883E-5</v>
      </c>
      <c r="AO604" s="3"/>
      <c r="AP604">
        <v>0</v>
      </c>
      <c r="AR604" t="s">
        <v>0</v>
      </c>
      <c r="AT604" s="2">
        <v>1.431</v>
      </c>
      <c r="AU604" s="1">
        <f t="shared" si="83"/>
        <v>0.69448235388719592</v>
      </c>
      <c r="AV604" s="1">
        <f t="shared" si="84"/>
        <v>0.49722838236068823</v>
      </c>
      <c r="AW604" s="1">
        <f t="shared" si="85"/>
        <v>0.29997441083418058</v>
      </c>
    </row>
    <row r="605" spans="1:49" x14ac:dyDescent="0.2">
      <c r="A605">
        <v>603</v>
      </c>
      <c r="B605" t="s">
        <v>891</v>
      </c>
      <c r="C605" t="s">
        <v>890</v>
      </c>
      <c r="F605" t="s">
        <v>889</v>
      </c>
      <c r="G605" t="s">
        <v>15</v>
      </c>
      <c r="H605" t="s">
        <v>14</v>
      </c>
      <c r="I605" t="s">
        <v>888</v>
      </c>
      <c r="J605">
        <v>60028915</v>
      </c>
      <c r="K605" t="s">
        <v>887</v>
      </c>
      <c r="L605" t="s">
        <v>886</v>
      </c>
      <c r="M605" t="s">
        <v>812</v>
      </c>
      <c r="N605">
        <v>2</v>
      </c>
      <c r="O605" t="s">
        <v>885</v>
      </c>
      <c r="P605" t="s">
        <v>884</v>
      </c>
      <c r="Q605" t="s">
        <v>883</v>
      </c>
      <c r="R605" s="7">
        <v>31048</v>
      </c>
      <c r="S605" s="8">
        <f t="shared" si="80"/>
        <v>1985</v>
      </c>
      <c r="T605" s="8">
        <v>1985</v>
      </c>
      <c r="U605" s="8">
        <f t="shared" si="81"/>
        <v>37</v>
      </c>
      <c r="V605" s="7">
        <v>31048</v>
      </c>
      <c r="W605" t="s">
        <v>24</v>
      </c>
      <c r="X605" s="2">
        <v>1.6519999999999999</v>
      </c>
      <c r="Y605" s="6">
        <f t="shared" si="78"/>
        <v>4.409919649769093E-2</v>
      </c>
      <c r="AA605" t="s">
        <v>23</v>
      </c>
      <c r="AB605">
        <v>17337</v>
      </c>
      <c r="AC605">
        <v>15582221</v>
      </c>
      <c r="AD605" t="s">
        <v>4</v>
      </c>
      <c r="AE605">
        <v>33</v>
      </c>
      <c r="AF605">
        <v>1</v>
      </c>
      <c r="AH605" t="s">
        <v>882</v>
      </c>
      <c r="AI605" t="s">
        <v>881</v>
      </c>
      <c r="AK605" t="s">
        <v>880</v>
      </c>
      <c r="AL605">
        <v>0</v>
      </c>
      <c r="AM605" s="5">
        <f t="shared" si="82"/>
        <v>0</v>
      </c>
      <c r="AN605" s="4">
        <f t="shared" si="79"/>
        <v>0</v>
      </c>
      <c r="AO605" s="3"/>
      <c r="AP605">
        <v>0</v>
      </c>
      <c r="AR605" t="s">
        <v>0</v>
      </c>
      <c r="AT605" s="2" t="s">
        <v>19</v>
      </c>
      <c r="AU605" s="1">
        <f t="shared" si="83"/>
        <v>3.0869437548383649</v>
      </c>
      <c r="AV605" s="1">
        <f t="shared" si="84"/>
        <v>2.2049598248845466</v>
      </c>
      <c r="AW605" s="1">
        <f t="shared" si="85"/>
        <v>1.3229758949307278</v>
      </c>
    </row>
    <row r="606" spans="1:49" x14ac:dyDescent="0.2">
      <c r="A606">
        <v>604</v>
      </c>
      <c r="B606" t="s">
        <v>879</v>
      </c>
      <c r="C606" t="s">
        <v>878</v>
      </c>
      <c r="F606" t="s">
        <v>877</v>
      </c>
      <c r="G606" t="s">
        <v>15</v>
      </c>
      <c r="H606" t="s">
        <v>14</v>
      </c>
      <c r="I606" t="s">
        <v>876</v>
      </c>
      <c r="J606">
        <v>60012162</v>
      </c>
      <c r="K606" t="s">
        <v>875</v>
      </c>
      <c r="L606" t="s">
        <v>874</v>
      </c>
      <c r="M606" t="s">
        <v>298</v>
      </c>
      <c r="N606">
        <v>3</v>
      </c>
      <c r="O606" t="s">
        <v>873</v>
      </c>
      <c r="P606" t="s">
        <v>872</v>
      </c>
      <c r="Q606" t="s">
        <v>871</v>
      </c>
      <c r="R606" s="7">
        <v>31048</v>
      </c>
      <c r="S606" s="8">
        <f t="shared" si="80"/>
        <v>1985</v>
      </c>
      <c r="T606" s="8">
        <v>1985</v>
      </c>
      <c r="U606" s="8">
        <f t="shared" si="81"/>
        <v>37</v>
      </c>
      <c r="V606" s="7">
        <v>1985</v>
      </c>
      <c r="W606" t="s">
        <v>540</v>
      </c>
      <c r="X606" s="2">
        <v>0.375</v>
      </c>
      <c r="Y606" s="6">
        <f t="shared" si="78"/>
        <v>1.0010410827260351E-2</v>
      </c>
      <c r="AA606">
        <v>135194</v>
      </c>
      <c r="AB606">
        <v>24918</v>
      </c>
      <c r="AD606" t="s">
        <v>4</v>
      </c>
      <c r="AE606">
        <v>21</v>
      </c>
      <c r="AF606">
        <v>3</v>
      </c>
      <c r="AH606" t="s">
        <v>870</v>
      </c>
      <c r="AI606" t="s">
        <v>869</v>
      </c>
      <c r="AJ606" t="s">
        <v>868</v>
      </c>
      <c r="AK606" t="s">
        <v>867</v>
      </c>
      <c r="AL606">
        <v>1</v>
      </c>
      <c r="AM606" s="5">
        <f t="shared" si="82"/>
        <v>2.7027027027027029E-2</v>
      </c>
      <c r="AN606" s="4">
        <f t="shared" si="79"/>
        <v>4.0934535444190883E-5</v>
      </c>
      <c r="AO606" s="3"/>
      <c r="AP606">
        <v>0</v>
      </c>
      <c r="AR606" t="s">
        <v>0</v>
      </c>
      <c r="AT606" s="2">
        <v>1.3140000000000001</v>
      </c>
      <c r="AU606" s="1">
        <f t="shared" si="83"/>
        <v>0.70195679397155031</v>
      </c>
      <c r="AV606" s="1">
        <f t="shared" si="84"/>
        <v>0.50256726813522712</v>
      </c>
      <c r="AW606" s="1">
        <f t="shared" si="85"/>
        <v>0.30317774229890387</v>
      </c>
    </row>
    <row r="607" spans="1:49" x14ac:dyDescent="0.2">
      <c r="A607">
        <v>605</v>
      </c>
      <c r="B607" t="s">
        <v>866</v>
      </c>
      <c r="F607" t="s">
        <v>865</v>
      </c>
      <c r="G607" t="s">
        <v>15</v>
      </c>
      <c r="H607" t="s">
        <v>14</v>
      </c>
      <c r="I607" t="s">
        <v>864</v>
      </c>
      <c r="J607">
        <v>60013272</v>
      </c>
      <c r="K607" t="s">
        <v>863</v>
      </c>
      <c r="L607" t="s">
        <v>862</v>
      </c>
      <c r="M607" t="s">
        <v>861</v>
      </c>
      <c r="N607">
        <v>2</v>
      </c>
      <c r="O607" t="s">
        <v>860</v>
      </c>
      <c r="P607" t="s">
        <v>859</v>
      </c>
      <c r="Q607" t="s">
        <v>858</v>
      </c>
      <c r="R607" s="7">
        <v>31048</v>
      </c>
      <c r="S607" s="8">
        <f t="shared" si="80"/>
        <v>1985</v>
      </c>
      <c r="T607" s="8">
        <v>1985</v>
      </c>
      <c r="U607" s="8">
        <f t="shared" si="81"/>
        <v>37</v>
      </c>
      <c r="V607" s="7">
        <v>31048</v>
      </c>
      <c r="W607" t="s">
        <v>857</v>
      </c>
      <c r="X607" s="2">
        <v>0.14399999999999999</v>
      </c>
      <c r="Y607" s="6">
        <f t="shared" si="78"/>
        <v>3.8439977576679744E-3</v>
      </c>
      <c r="AA607">
        <v>382221</v>
      </c>
      <c r="AB607">
        <v>19255</v>
      </c>
      <c r="AD607" t="s">
        <v>4</v>
      </c>
      <c r="AE607">
        <v>76</v>
      </c>
      <c r="AF607">
        <v>1</v>
      </c>
      <c r="AH607" t="s">
        <v>856</v>
      </c>
      <c r="AI607" t="s">
        <v>855</v>
      </c>
      <c r="AK607" t="s">
        <v>854</v>
      </c>
      <c r="AL607">
        <v>0</v>
      </c>
      <c r="AM607" s="5">
        <f t="shared" si="82"/>
        <v>0</v>
      </c>
      <c r="AN607" s="4">
        <f t="shared" si="79"/>
        <v>0</v>
      </c>
      <c r="AO607" s="3"/>
      <c r="AP607">
        <v>0</v>
      </c>
      <c r="AR607" t="s">
        <v>0</v>
      </c>
      <c r="AT607" s="2" t="s">
        <v>19</v>
      </c>
      <c r="AU607" s="1">
        <f t="shared" si="83"/>
        <v>0.26907984303675819</v>
      </c>
      <c r="AV607" s="1">
        <f t="shared" si="84"/>
        <v>0.19219988788339873</v>
      </c>
      <c r="AW607" s="1">
        <f t="shared" si="85"/>
        <v>0.11531993273003922</v>
      </c>
    </row>
    <row r="608" spans="1:49" x14ac:dyDescent="0.2">
      <c r="A608">
        <v>606</v>
      </c>
      <c r="B608" t="s">
        <v>853</v>
      </c>
      <c r="C608" t="s">
        <v>852</v>
      </c>
      <c r="F608" t="s">
        <v>851</v>
      </c>
      <c r="G608" t="s">
        <v>15</v>
      </c>
      <c r="H608" t="s">
        <v>14</v>
      </c>
      <c r="I608" t="s">
        <v>850</v>
      </c>
      <c r="J608" t="s">
        <v>849</v>
      </c>
      <c r="K608" t="s">
        <v>848</v>
      </c>
      <c r="L608" t="s">
        <v>847</v>
      </c>
      <c r="M608" t="s">
        <v>846</v>
      </c>
      <c r="N608">
        <v>3</v>
      </c>
      <c r="O608" t="s">
        <v>845</v>
      </c>
      <c r="P608" t="s">
        <v>844</v>
      </c>
      <c r="Q608" t="s">
        <v>843</v>
      </c>
      <c r="R608" s="7">
        <v>31048</v>
      </c>
      <c r="S608" s="8">
        <f t="shared" si="80"/>
        <v>1985</v>
      </c>
      <c r="T608" s="8">
        <v>1985</v>
      </c>
      <c r="U608" s="8">
        <f t="shared" si="81"/>
        <v>37</v>
      </c>
      <c r="V608" s="7" t="s">
        <v>488</v>
      </c>
      <c r="W608" t="s">
        <v>842</v>
      </c>
      <c r="X608" s="2">
        <v>1.573</v>
      </c>
      <c r="Y608" s="6">
        <f t="shared" si="78"/>
        <v>4.1990336616748086E-2</v>
      </c>
      <c r="AA608">
        <v>7315090</v>
      </c>
      <c r="AB608">
        <v>29586</v>
      </c>
      <c r="AD608" t="s">
        <v>4</v>
      </c>
      <c r="AE608">
        <v>8</v>
      </c>
      <c r="AF608">
        <v>1</v>
      </c>
      <c r="AH608" t="s">
        <v>841</v>
      </c>
      <c r="AI608" t="s">
        <v>840</v>
      </c>
      <c r="AK608" t="s">
        <v>839</v>
      </c>
      <c r="AL608">
        <v>3</v>
      </c>
      <c r="AM608" s="5">
        <f t="shared" si="82"/>
        <v>8.1081081081081086E-2</v>
      </c>
      <c r="AN608" s="4">
        <f t="shared" si="79"/>
        <v>1.2280360633257263E-4</v>
      </c>
      <c r="AO608" s="3"/>
      <c r="AP608">
        <v>0</v>
      </c>
      <c r="AR608" t="s">
        <v>0</v>
      </c>
      <c r="AT608" s="2" t="s">
        <v>19</v>
      </c>
      <c r="AU608" s="1">
        <f t="shared" si="83"/>
        <v>2.9430076713623432</v>
      </c>
      <c r="AV608" s="1">
        <f t="shared" si="84"/>
        <v>2.1056570111540331</v>
      </c>
      <c r="AW608" s="1">
        <f t="shared" si="85"/>
        <v>1.2683063509457226</v>
      </c>
    </row>
    <row r="609" spans="1:49" x14ac:dyDescent="0.2">
      <c r="A609">
        <v>607</v>
      </c>
      <c r="B609" t="s">
        <v>838</v>
      </c>
      <c r="C609" t="s">
        <v>837</v>
      </c>
      <c r="F609" t="s">
        <v>836</v>
      </c>
      <c r="G609" t="s">
        <v>15</v>
      </c>
      <c r="H609" t="s">
        <v>14</v>
      </c>
      <c r="I609" t="s">
        <v>835</v>
      </c>
      <c r="J609" t="s">
        <v>834</v>
      </c>
      <c r="K609" t="s">
        <v>833</v>
      </c>
      <c r="L609" t="s">
        <v>832</v>
      </c>
      <c r="M609" t="s">
        <v>831</v>
      </c>
      <c r="N609">
        <v>1</v>
      </c>
      <c r="O609" t="s">
        <v>830</v>
      </c>
      <c r="P609">
        <v>7402808741</v>
      </c>
      <c r="Q609" t="s">
        <v>829</v>
      </c>
      <c r="R609" s="7">
        <v>31048</v>
      </c>
      <c r="S609" s="8">
        <f t="shared" si="80"/>
        <v>1985</v>
      </c>
      <c r="T609" s="8">
        <v>1985</v>
      </c>
      <c r="U609" s="8">
        <f t="shared" si="81"/>
        <v>37</v>
      </c>
      <c r="V609" s="7">
        <v>31048</v>
      </c>
      <c r="W609" t="s">
        <v>513</v>
      </c>
      <c r="X609" s="2">
        <v>2.9860000000000002</v>
      </c>
      <c r="Y609" s="6">
        <f t="shared" si="78"/>
        <v>7.9709564613865094E-2</v>
      </c>
      <c r="AA609">
        <v>7338716</v>
      </c>
      <c r="AB609">
        <v>18902</v>
      </c>
      <c r="AD609" t="s">
        <v>4</v>
      </c>
      <c r="AE609">
        <v>3</v>
      </c>
      <c r="AF609">
        <v>1</v>
      </c>
      <c r="AH609" t="s">
        <v>828</v>
      </c>
      <c r="AI609" t="s">
        <v>827</v>
      </c>
      <c r="AK609" t="s">
        <v>826</v>
      </c>
      <c r="AL609">
        <v>0</v>
      </c>
      <c r="AM609" s="5">
        <f t="shared" si="82"/>
        <v>0</v>
      </c>
      <c r="AN609" s="4">
        <f t="shared" si="79"/>
        <v>0</v>
      </c>
      <c r="AO609" s="3"/>
      <c r="AP609">
        <v>0</v>
      </c>
      <c r="AR609" t="s">
        <v>0</v>
      </c>
      <c r="AT609" s="2" t="s">
        <v>19</v>
      </c>
      <c r="AU609" s="1">
        <f t="shared" si="83"/>
        <v>5.5796695229705557</v>
      </c>
      <c r="AV609" s="1">
        <f t="shared" si="84"/>
        <v>3.9854782306932548</v>
      </c>
      <c r="AW609" s="1">
        <f t="shared" si="85"/>
        <v>2.3912869384159525</v>
      </c>
    </row>
    <row r="610" spans="1:49" x14ac:dyDescent="0.2">
      <c r="A610">
        <v>608</v>
      </c>
      <c r="B610" t="s">
        <v>825</v>
      </c>
      <c r="F610" t="s">
        <v>824</v>
      </c>
      <c r="G610" t="s">
        <v>15</v>
      </c>
      <c r="H610" t="s">
        <v>14</v>
      </c>
      <c r="I610" t="s">
        <v>823</v>
      </c>
      <c r="J610">
        <v>60007716</v>
      </c>
      <c r="K610" t="s">
        <v>699</v>
      </c>
      <c r="L610" t="s">
        <v>698</v>
      </c>
      <c r="M610" t="s">
        <v>272</v>
      </c>
      <c r="N610">
        <v>1</v>
      </c>
      <c r="O610" t="s">
        <v>822</v>
      </c>
      <c r="P610">
        <v>57199674222</v>
      </c>
      <c r="Q610">
        <v>60007716</v>
      </c>
      <c r="R610" s="7">
        <v>31048</v>
      </c>
      <c r="S610" s="8">
        <f t="shared" si="80"/>
        <v>1985</v>
      </c>
      <c r="T610" s="8">
        <v>1985</v>
      </c>
      <c r="U610" s="8">
        <f t="shared" si="81"/>
        <v>37</v>
      </c>
      <c r="V610" s="7">
        <v>31048</v>
      </c>
      <c r="W610" t="s">
        <v>694</v>
      </c>
      <c r="X610" s="2" t="s">
        <v>19</v>
      </c>
      <c r="Y610" s="6" t="e">
        <f t="shared" si="78"/>
        <v>#VALUE!</v>
      </c>
      <c r="AA610">
        <v>486574</v>
      </c>
      <c r="AB610">
        <v>36602</v>
      </c>
      <c r="AD610" t="s">
        <v>4</v>
      </c>
      <c r="AE610">
        <v>30</v>
      </c>
      <c r="AF610">
        <v>1</v>
      </c>
      <c r="AH610" t="s">
        <v>821</v>
      </c>
      <c r="AI610" t="s">
        <v>820</v>
      </c>
      <c r="AK610" t="s">
        <v>819</v>
      </c>
      <c r="AL610">
        <v>0</v>
      </c>
      <c r="AM610" s="5">
        <f t="shared" si="82"/>
        <v>0</v>
      </c>
      <c r="AN610" s="4">
        <f t="shared" si="79"/>
        <v>0</v>
      </c>
      <c r="AO610" s="3"/>
      <c r="AP610">
        <v>0</v>
      </c>
      <c r="AR610" t="s">
        <v>0</v>
      </c>
      <c r="AT610" s="2" t="s">
        <v>19</v>
      </c>
      <c r="AU610" s="1" t="e">
        <f t="shared" si="83"/>
        <v>#VALUE!</v>
      </c>
      <c r="AV610" s="1" t="e">
        <f t="shared" si="84"/>
        <v>#VALUE!</v>
      </c>
      <c r="AW610" s="1" t="e">
        <f t="shared" si="85"/>
        <v>#VALUE!</v>
      </c>
    </row>
    <row r="611" spans="1:49" x14ac:dyDescent="0.2">
      <c r="A611">
        <v>609</v>
      </c>
      <c r="B611" t="s">
        <v>818</v>
      </c>
      <c r="C611" t="s">
        <v>817</v>
      </c>
      <c r="F611" t="s">
        <v>816</v>
      </c>
      <c r="G611" t="s">
        <v>15</v>
      </c>
      <c r="H611" t="s">
        <v>14</v>
      </c>
      <c r="I611" t="s">
        <v>815</v>
      </c>
      <c r="J611">
        <v>60017563</v>
      </c>
      <c r="K611" t="s">
        <v>814</v>
      </c>
      <c r="L611" t="s">
        <v>813</v>
      </c>
      <c r="M611" t="s">
        <v>812</v>
      </c>
      <c r="N611">
        <v>3</v>
      </c>
      <c r="O611" t="s">
        <v>811</v>
      </c>
      <c r="P611" t="s">
        <v>810</v>
      </c>
      <c r="Q611" t="s">
        <v>809</v>
      </c>
      <c r="R611" s="7">
        <v>31048</v>
      </c>
      <c r="S611" s="8">
        <f t="shared" si="80"/>
        <v>1985</v>
      </c>
      <c r="T611" s="8">
        <v>1985</v>
      </c>
      <c r="U611" s="8">
        <f t="shared" si="81"/>
        <v>37</v>
      </c>
      <c r="V611" s="7">
        <v>1985</v>
      </c>
      <c r="W611" t="s">
        <v>540</v>
      </c>
      <c r="X611" s="2">
        <v>0.375</v>
      </c>
      <c r="Y611" s="6">
        <f t="shared" si="78"/>
        <v>1.0010410827260351E-2</v>
      </c>
      <c r="AA611">
        <v>135194</v>
      </c>
      <c r="AB611">
        <v>24918</v>
      </c>
      <c r="AD611" t="s">
        <v>4</v>
      </c>
      <c r="AE611">
        <v>21</v>
      </c>
      <c r="AF611">
        <v>3</v>
      </c>
      <c r="AH611" t="s">
        <v>808</v>
      </c>
      <c r="AI611" t="s">
        <v>807</v>
      </c>
      <c r="AJ611" t="s">
        <v>806</v>
      </c>
      <c r="AK611" t="s">
        <v>805</v>
      </c>
      <c r="AL611">
        <v>19</v>
      </c>
      <c r="AM611" s="5">
        <f t="shared" si="82"/>
        <v>0.51351351351351349</v>
      </c>
      <c r="AN611" s="4">
        <f t="shared" si="79"/>
        <v>7.7775617343962659E-4</v>
      </c>
      <c r="AO611" s="3"/>
      <c r="AP611">
        <v>0</v>
      </c>
      <c r="AR611" t="s">
        <v>0</v>
      </c>
      <c r="AT611" s="2">
        <v>1.3140000000000001</v>
      </c>
      <c r="AU611" s="1">
        <f t="shared" si="83"/>
        <v>0.72406144311141329</v>
      </c>
      <c r="AV611" s="1">
        <f t="shared" si="84"/>
        <v>0.53940835003499887</v>
      </c>
      <c r="AW611" s="1">
        <f t="shared" si="85"/>
        <v>0.35475525695858434</v>
      </c>
    </row>
    <row r="612" spans="1:49" x14ac:dyDescent="0.2">
      <c r="A612">
        <v>610</v>
      </c>
      <c r="B612" t="s">
        <v>804</v>
      </c>
      <c r="C612" t="s">
        <v>803</v>
      </c>
      <c r="F612" t="s">
        <v>802</v>
      </c>
      <c r="G612" t="s">
        <v>15</v>
      </c>
      <c r="H612" t="s">
        <v>14</v>
      </c>
      <c r="I612" t="s">
        <v>801</v>
      </c>
      <c r="J612" t="s">
        <v>800</v>
      </c>
      <c r="K612" t="s">
        <v>799</v>
      </c>
      <c r="L612" t="s">
        <v>798</v>
      </c>
      <c r="M612" t="s">
        <v>28</v>
      </c>
      <c r="N612">
        <v>2</v>
      </c>
      <c r="O612" t="s">
        <v>797</v>
      </c>
      <c r="P612" t="s">
        <v>796</v>
      </c>
      <c r="Q612" t="s">
        <v>795</v>
      </c>
      <c r="R612" s="7">
        <v>31048</v>
      </c>
      <c r="S612" s="8">
        <f t="shared" si="80"/>
        <v>1985</v>
      </c>
      <c r="T612" s="8">
        <v>1985</v>
      </c>
      <c r="U612" s="8">
        <f t="shared" si="81"/>
        <v>37</v>
      </c>
      <c r="V612" s="7">
        <v>31048</v>
      </c>
      <c r="W612" t="s">
        <v>24</v>
      </c>
      <c r="X612" s="2">
        <v>1.6519999999999999</v>
      </c>
      <c r="Y612" s="6">
        <f t="shared" si="78"/>
        <v>4.409919649769093E-2</v>
      </c>
      <c r="AA612" t="s">
        <v>23</v>
      </c>
      <c r="AB612">
        <v>17337</v>
      </c>
      <c r="AC612">
        <v>15582221</v>
      </c>
      <c r="AD612" t="s">
        <v>4</v>
      </c>
      <c r="AE612">
        <v>33</v>
      </c>
      <c r="AF612">
        <v>1</v>
      </c>
      <c r="AH612" t="s">
        <v>794</v>
      </c>
      <c r="AI612" t="s">
        <v>793</v>
      </c>
      <c r="AK612" t="s">
        <v>792</v>
      </c>
      <c r="AL612">
        <v>10</v>
      </c>
      <c r="AM612" s="5">
        <f t="shared" si="82"/>
        <v>0.27027027027027029</v>
      </c>
      <c r="AN612" s="4">
        <f t="shared" si="79"/>
        <v>4.093453544419088E-4</v>
      </c>
      <c r="AO612" s="3"/>
      <c r="AP612">
        <v>0</v>
      </c>
      <c r="AR612" t="s">
        <v>0</v>
      </c>
      <c r="AT612" s="2" t="s">
        <v>19</v>
      </c>
      <c r="AU612" s="1">
        <f t="shared" si="83"/>
        <v>3.0992241154716225</v>
      </c>
      <c r="AV612" s="1">
        <f t="shared" si="84"/>
        <v>2.2254270926066422</v>
      </c>
      <c r="AW612" s="1">
        <f t="shared" si="85"/>
        <v>1.3516300697416614</v>
      </c>
    </row>
    <row r="613" spans="1:49" x14ac:dyDescent="0.2">
      <c r="A613">
        <v>611</v>
      </c>
      <c r="B613" t="s">
        <v>791</v>
      </c>
      <c r="C613" t="s">
        <v>790</v>
      </c>
      <c r="E613">
        <v>3890891</v>
      </c>
      <c r="F613" t="s">
        <v>789</v>
      </c>
      <c r="G613" t="s">
        <v>15</v>
      </c>
      <c r="H613" t="s">
        <v>14</v>
      </c>
      <c r="I613" t="s">
        <v>788</v>
      </c>
      <c r="J613">
        <v>60025858</v>
      </c>
      <c r="K613" t="s">
        <v>787</v>
      </c>
      <c r="L613" t="s">
        <v>786</v>
      </c>
      <c r="M613" t="s">
        <v>785</v>
      </c>
      <c r="N613">
        <v>4</v>
      </c>
      <c r="O613" t="s">
        <v>784</v>
      </c>
      <c r="P613" t="s">
        <v>783</v>
      </c>
      <c r="Q613" t="s">
        <v>782</v>
      </c>
      <c r="R613" s="7">
        <v>31048</v>
      </c>
      <c r="S613" s="8">
        <f t="shared" si="80"/>
        <v>1985</v>
      </c>
      <c r="T613" s="8">
        <v>1985</v>
      </c>
      <c r="U613" s="8">
        <f t="shared" si="81"/>
        <v>37</v>
      </c>
      <c r="V613" s="7">
        <v>1985</v>
      </c>
      <c r="W613" t="s">
        <v>781</v>
      </c>
      <c r="X613" s="2" t="s">
        <v>19</v>
      </c>
      <c r="Y613" s="6" t="e">
        <f t="shared" si="78"/>
        <v>#VALUE!</v>
      </c>
      <c r="AA613">
        <v>1773593</v>
      </c>
      <c r="AB613">
        <v>36027</v>
      </c>
      <c r="AC613">
        <v>14374315</v>
      </c>
      <c r="AD613" t="s">
        <v>4</v>
      </c>
      <c r="AE613">
        <v>366</v>
      </c>
      <c r="AF613">
        <v>1</v>
      </c>
      <c r="AH613" t="s">
        <v>780</v>
      </c>
      <c r="AI613" t="s">
        <v>779</v>
      </c>
      <c r="AJ613" t="s">
        <v>778</v>
      </c>
      <c r="AK613" t="s">
        <v>777</v>
      </c>
      <c r="AL613">
        <v>43</v>
      </c>
      <c r="AM613" s="5">
        <f t="shared" si="82"/>
        <v>1.1621621621621621</v>
      </c>
      <c r="AN613" s="4">
        <f t="shared" si="79"/>
        <v>1.7601850241002076E-3</v>
      </c>
      <c r="AO613" s="3"/>
      <c r="AP613">
        <v>0</v>
      </c>
      <c r="AQ613" t="s">
        <v>776</v>
      </c>
      <c r="AR613" t="s">
        <v>775</v>
      </c>
      <c r="AS613" t="s">
        <v>774</v>
      </c>
      <c r="AT613" s="2" t="s">
        <v>19</v>
      </c>
      <c r="AU613" s="1" t="e">
        <f t="shared" si="83"/>
        <v>#VALUE!</v>
      </c>
      <c r="AV613" s="1" t="e">
        <f t="shared" si="84"/>
        <v>#VALUE!</v>
      </c>
      <c r="AW613" s="1" t="e">
        <f t="shared" si="85"/>
        <v>#VALUE!</v>
      </c>
    </row>
    <row r="614" spans="1:49" x14ac:dyDescent="0.2">
      <c r="A614">
        <v>612</v>
      </c>
      <c r="B614" t="s">
        <v>773</v>
      </c>
      <c r="C614" t="s">
        <v>772</v>
      </c>
      <c r="F614" t="s">
        <v>771</v>
      </c>
      <c r="G614" t="s">
        <v>15</v>
      </c>
      <c r="H614" t="s">
        <v>14</v>
      </c>
      <c r="I614" t="s">
        <v>770</v>
      </c>
      <c r="J614" t="s">
        <v>765</v>
      </c>
      <c r="K614" t="s">
        <v>769</v>
      </c>
      <c r="L614" t="s">
        <v>768</v>
      </c>
      <c r="M614" t="s">
        <v>28</v>
      </c>
      <c r="N614">
        <v>2</v>
      </c>
      <c r="O614" t="s">
        <v>767</v>
      </c>
      <c r="P614" t="s">
        <v>766</v>
      </c>
      <c r="Q614" t="s">
        <v>765</v>
      </c>
      <c r="R614" s="7">
        <v>31048</v>
      </c>
      <c r="S614" s="8">
        <f t="shared" si="80"/>
        <v>1985</v>
      </c>
      <c r="T614" s="8">
        <v>1985</v>
      </c>
      <c r="U614" s="8">
        <f t="shared" si="81"/>
        <v>37</v>
      </c>
      <c r="V614" s="7">
        <v>31048</v>
      </c>
      <c r="W614" t="s">
        <v>24</v>
      </c>
      <c r="X614" s="2">
        <v>1.6519999999999999</v>
      </c>
      <c r="Y614" s="6">
        <f t="shared" si="78"/>
        <v>4.409919649769093E-2</v>
      </c>
      <c r="AA614" t="s">
        <v>23</v>
      </c>
      <c r="AB614">
        <v>17337</v>
      </c>
      <c r="AC614">
        <v>15582221</v>
      </c>
      <c r="AD614" t="s">
        <v>4</v>
      </c>
      <c r="AE614">
        <v>33</v>
      </c>
      <c r="AF614">
        <v>1</v>
      </c>
      <c r="AH614" t="s">
        <v>764</v>
      </c>
      <c r="AI614" t="s">
        <v>763</v>
      </c>
      <c r="AK614" t="s">
        <v>762</v>
      </c>
      <c r="AL614">
        <v>42</v>
      </c>
      <c r="AM614" s="5">
        <f t="shared" si="82"/>
        <v>1.1351351351351351</v>
      </c>
      <c r="AN614" s="4">
        <f t="shared" si="79"/>
        <v>1.7192504886560168E-3</v>
      </c>
      <c r="AO614" s="3"/>
      <c r="AP614">
        <v>0</v>
      </c>
      <c r="AR614" t="s">
        <v>0</v>
      </c>
      <c r="AT614" s="2" t="s">
        <v>19</v>
      </c>
      <c r="AU614" s="1">
        <f t="shared" si="83"/>
        <v>3.138521269498046</v>
      </c>
      <c r="AV614" s="1">
        <f t="shared" si="84"/>
        <v>2.2909223493173472</v>
      </c>
      <c r="AW614" s="1">
        <f t="shared" si="85"/>
        <v>1.443323429136649</v>
      </c>
    </row>
    <row r="615" spans="1:49" x14ac:dyDescent="0.2">
      <c r="A615">
        <v>613</v>
      </c>
      <c r="B615" t="s">
        <v>761</v>
      </c>
      <c r="C615" t="s">
        <v>760</v>
      </c>
      <c r="E615">
        <v>4004945</v>
      </c>
      <c r="F615" t="s">
        <v>759</v>
      </c>
      <c r="G615" t="s">
        <v>15</v>
      </c>
      <c r="H615" t="s">
        <v>14</v>
      </c>
      <c r="I615" t="s">
        <v>758</v>
      </c>
      <c r="J615">
        <v>60028897</v>
      </c>
      <c r="K615" t="s">
        <v>757</v>
      </c>
      <c r="L615" t="s">
        <v>607</v>
      </c>
      <c r="M615" t="s">
        <v>76</v>
      </c>
      <c r="N615">
        <v>5</v>
      </c>
      <c r="O615" t="s">
        <v>756</v>
      </c>
      <c r="P615" t="s">
        <v>755</v>
      </c>
      <c r="Q615" t="s">
        <v>754</v>
      </c>
      <c r="R615" s="7">
        <v>31048</v>
      </c>
      <c r="S615" s="8">
        <f t="shared" si="80"/>
        <v>1985</v>
      </c>
      <c r="T615" s="8">
        <v>1985</v>
      </c>
      <c r="U615" s="8">
        <f t="shared" si="81"/>
        <v>37</v>
      </c>
      <c r="V615" s="7">
        <v>1985</v>
      </c>
      <c r="W615" t="s">
        <v>753</v>
      </c>
      <c r="X615" s="2">
        <v>0.435</v>
      </c>
      <c r="Y615" s="6">
        <f t="shared" si="78"/>
        <v>1.1612076559622007E-2</v>
      </c>
      <c r="AA615">
        <v>1978462</v>
      </c>
      <c r="AB615">
        <v>14839</v>
      </c>
      <c r="AC615" t="s">
        <v>752</v>
      </c>
      <c r="AD615" t="s">
        <v>4</v>
      </c>
      <c r="AE615">
        <v>6</v>
      </c>
      <c r="AF615">
        <v>2</v>
      </c>
      <c r="AH615" t="s">
        <v>751</v>
      </c>
      <c r="AI615" t="s">
        <v>750</v>
      </c>
      <c r="AJ615" t="s">
        <v>749</v>
      </c>
      <c r="AK615" t="s">
        <v>748</v>
      </c>
      <c r="AL615">
        <v>17</v>
      </c>
      <c r="AM615" s="5">
        <f t="shared" si="82"/>
        <v>0.45945945945945948</v>
      </c>
      <c r="AN615" s="4">
        <f t="shared" si="79"/>
        <v>6.9588710255124491E-4</v>
      </c>
      <c r="AO615" s="3"/>
      <c r="AP615">
        <v>0</v>
      </c>
      <c r="AR615" t="s">
        <v>0</v>
      </c>
      <c r="AT615" s="2">
        <v>2.0099999999999998</v>
      </c>
      <c r="AU615" s="1">
        <f t="shared" si="83"/>
        <v>0.83372197225007783</v>
      </c>
      <c r="AV615" s="1">
        <f t="shared" si="84"/>
        <v>0.61539818310866257</v>
      </c>
      <c r="AW615" s="1">
        <f t="shared" si="85"/>
        <v>0.39707439396724731</v>
      </c>
    </row>
    <row r="616" spans="1:49" x14ac:dyDescent="0.2">
      <c r="A616">
        <v>614</v>
      </c>
      <c r="B616" t="s">
        <v>747</v>
      </c>
      <c r="C616" t="s">
        <v>746</v>
      </c>
      <c r="F616" t="s">
        <v>745</v>
      </c>
      <c r="G616" t="s">
        <v>15</v>
      </c>
      <c r="H616" t="s">
        <v>14</v>
      </c>
      <c r="I616" t="s">
        <v>744</v>
      </c>
      <c r="J616">
        <v>60032179</v>
      </c>
      <c r="K616" t="s">
        <v>743</v>
      </c>
      <c r="L616" t="s">
        <v>742</v>
      </c>
      <c r="M616" t="s">
        <v>122</v>
      </c>
      <c r="N616">
        <v>2</v>
      </c>
      <c r="O616" t="s">
        <v>741</v>
      </c>
      <c r="P616" t="s">
        <v>740</v>
      </c>
      <c r="Q616" t="s">
        <v>739</v>
      </c>
      <c r="R616" s="7">
        <v>31048</v>
      </c>
      <c r="S616" s="8">
        <f t="shared" si="80"/>
        <v>1985</v>
      </c>
      <c r="T616" s="8">
        <v>1985</v>
      </c>
      <c r="U616" s="8">
        <f t="shared" si="81"/>
        <v>37</v>
      </c>
      <c r="V616" s="7">
        <v>31048</v>
      </c>
      <c r="W616" t="s">
        <v>24</v>
      </c>
      <c r="X616" s="2">
        <v>1.6519999999999999</v>
      </c>
      <c r="Y616" s="6">
        <f t="shared" si="78"/>
        <v>4.409919649769093E-2</v>
      </c>
      <c r="AA616" t="s">
        <v>23</v>
      </c>
      <c r="AB616">
        <v>17337</v>
      </c>
      <c r="AC616">
        <v>15582221</v>
      </c>
      <c r="AD616" t="s">
        <v>4</v>
      </c>
      <c r="AE616">
        <v>33</v>
      </c>
      <c r="AF616">
        <v>1</v>
      </c>
      <c r="AH616" t="s">
        <v>738</v>
      </c>
      <c r="AI616" t="s">
        <v>737</v>
      </c>
      <c r="AK616" t="s">
        <v>736</v>
      </c>
      <c r="AL616">
        <v>7</v>
      </c>
      <c r="AM616" s="5">
        <f t="shared" si="82"/>
        <v>0.1891891891891892</v>
      </c>
      <c r="AN616" s="4">
        <f t="shared" si="79"/>
        <v>2.8654174810933616E-4</v>
      </c>
      <c r="AO616" s="3"/>
      <c r="AP616">
        <v>0</v>
      </c>
      <c r="AR616" t="s">
        <v>0</v>
      </c>
      <c r="AT616" s="2" t="s">
        <v>19</v>
      </c>
      <c r="AU616" s="1">
        <f t="shared" si="83"/>
        <v>3.0955400072816452</v>
      </c>
      <c r="AV616" s="1">
        <f t="shared" si="84"/>
        <v>2.2192869122900132</v>
      </c>
      <c r="AW616" s="1">
        <f t="shared" si="85"/>
        <v>1.3430338172983813</v>
      </c>
    </row>
    <row r="617" spans="1:49" x14ac:dyDescent="0.2">
      <c r="A617">
        <v>615</v>
      </c>
      <c r="B617" t="s">
        <v>735</v>
      </c>
      <c r="C617" t="s">
        <v>734</v>
      </c>
      <c r="E617">
        <v>2414331</v>
      </c>
      <c r="F617" t="s">
        <v>733</v>
      </c>
      <c r="G617" t="s">
        <v>15</v>
      </c>
      <c r="H617" t="s">
        <v>14</v>
      </c>
      <c r="I617" t="s">
        <v>732</v>
      </c>
      <c r="J617">
        <v>60019722</v>
      </c>
      <c r="K617" t="s">
        <v>731</v>
      </c>
      <c r="L617" t="s">
        <v>134</v>
      </c>
      <c r="M617" t="s">
        <v>91</v>
      </c>
      <c r="N617">
        <v>1</v>
      </c>
      <c r="O617" t="s">
        <v>730</v>
      </c>
      <c r="P617">
        <v>16183649300</v>
      </c>
      <c r="Q617">
        <v>60019722</v>
      </c>
      <c r="R617" s="7">
        <v>31048</v>
      </c>
      <c r="S617" s="8">
        <f t="shared" si="80"/>
        <v>1985</v>
      </c>
      <c r="T617" s="8">
        <v>1985</v>
      </c>
      <c r="U617" s="8">
        <f t="shared" si="81"/>
        <v>37</v>
      </c>
      <c r="V617" s="7">
        <v>31206</v>
      </c>
      <c r="W617" t="s">
        <v>729</v>
      </c>
      <c r="X617" s="2">
        <v>1.855</v>
      </c>
      <c r="Y617" s="6">
        <f t="shared" si="78"/>
        <v>4.9518165558847867E-2</v>
      </c>
      <c r="AA617">
        <v>219967</v>
      </c>
      <c r="AB617">
        <v>16689</v>
      </c>
      <c r="AC617">
        <v>10969861</v>
      </c>
      <c r="AD617" t="s">
        <v>4</v>
      </c>
      <c r="AE617">
        <v>236</v>
      </c>
      <c r="AF617">
        <v>2</v>
      </c>
      <c r="AH617" t="s">
        <v>728</v>
      </c>
      <c r="AI617" t="s">
        <v>727</v>
      </c>
      <c r="AJ617" t="s">
        <v>726</v>
      </c>
      <c r="AK617" t="s">
        <v>725</v>
      </c>
      <c r="AL617">
        <v>15</v>
      </c>
      <c r="AM617" s="5">
        <f t="shared" si="82"/>
        <v>0.40540540540540543</v>
      </c>
      <c r="AN617" s="4">
        <f t="shared" si="79"/>
        <v>6.1401803166286322E-4</v>
      </c>
      <c r="AO617" s="3"/>
      <c r="AP617">
        <v>0</v>
      </c>
      <c r="AR617" t="s">
        <v>0</v>
      </c>
      <c r="AT617" s="2">
        <v>3.2149999999999999</v>
      </c>
      <c r="AU617" s="1">
        <f t="shared" si="83"/>
        <v>3.4846921300692362</v>
      </c>
      <c r="AV617" s="1">
        <f t="shared" si="84"/>
        <v>2.5066091795255363</v>
      </c>
      <c r="AW617" s="1">
        <f t="shared" si="85"/>
        <v>1.5285262289818362</v>
      </c>
    </row>
    <row r="618" spans="1:49" x14ac:dyDescent="0.2">
      <c r="A618">
        <v>616</v>
      </c>
      <c r="B618" t="s">
        <v>724</v>
      </c>
      <c r="C618" t="s">
        <v>723</v>
      </c>
      <c r="F618" t="s">
        <v>722</v>
      </c>
      <c r="G618" t="s">
        <v>15</v>
      </c>
      <c r="H618" t="s">
        <v>14</v>
      </c>
      <c r="I618" t="s">
        <v>721</v>
      </c>
      <c r="J618">
        <v>60024116</v>
      </c>
      <c r="K618" t="s">
        <v>720</v>
      </c>
      <c r="L618" t="s">
        <v>719</v>
      </c>
      <c r="M618" t="s">
        <v>544</v>
      </c>
      <c r="N618">
        <v>10</v>
      </c>
      <c r="O618" t="s">
        <v>718</v>
      </c>
      <c r="P618" t="s">
        <v>717</v>
      </c>
      <c r="Q618" t="s">
        <v>716</v>
      </c>
      <c r="R618" s="7">
        <v>31048</v>
      </c>
      <c r="S618" s="8">
        <f t="shared" si="80"/>
        <v>1985</v>
      </c>
      <c r="T618" s="8">
        <v>1985</v>
      </c>
      <c r="U618" s="8">
        <f t="shared" si="81"/>
        <v>37</v>
      </c>
      <c r="V618" s="7">
        <v>1985</v>
      </c>
      <c r="W618" t="s">
        <v>715</v>
      </c>
      <c r="X618" s="2">
        <v>1.78</v>
      </c>
      <c r="Y618" s="6">
        <f t="shared" si="78"/>
        <v>4.7516083393395803E-2</v>
      </c>
      <c r="AA618" t="s">
        <v>714</v>
      </c>
      <c r="AB618">
        <v>28308</v>
      </c>
      <c r="AD618" t="s">
        <v>4</v>
      </c>
      <c r="AE618">
        <v>17</v>
      </c>
      <c r="AF618">
        <v>4</v>
      </c>
      <c r="AH618" t="s">
        <v>713</v>
      </c>
      <c r="AI618" t="s">
        <v>712</v>
      </c>
      <c r="AK618" t="s">
        <v>711</v>
      </c>
      <c r="AL618">
        <v>38</v>
      </c>
      <c r="AM618" s="5">
        <f t="shared" si="82"/>
        <v>1.027027027027027</v>
      </c>
      <c r="AN618" s="4">
        <f t="shared" si="79"/>
        <v>1.5555123468792532E-3</v>
      </c>
      <c r="AO618" s="3"/>
      <c r="AP618">
        <v>0</v>
      </c>
      <c r="AR618" t="s">
        <v>0</v>
      </c>
      <c r="AT618" s="2">
        <v>10.093</v>
      </c>
      <c r="AU618" s="1">
        <f t="shared" si="83"/>
        <v>3.3727912079440836</v>
      </c>
      <c r="AV618" s="1">
        <f t="shared" si="84"/>
        <v>2.4535797870137528</v>
      </c>
      <c r="AW618" s="1">
        <f t="shared" si="85"/>
        <v>1.5343683660834218</v>
      </c>
    </row>
    <row r="619" spans="1:49" x14ac:dyDescent="0.2">
      <c r="A619">
        <v>617</v>
      </c>
      <c r="B619" t="s">
        <v>710</v>
      </c>
      <c r="C619" t="s">
        <v>709</v>
      </c>
      <c r="F619" t="s">
        <v>708</v>
      </c>
      <c r="G619" t="s">
        <v>15</v>
      </c>
      <c r="H619" t="s">
        <v>14</v>
      </c>
      <c r="I619" t="s">
        <v>481</v>
      </c>
      <c r="J619">
        <v>60014313</v>
      </c>
      <c r="K619" t="s">
        <v>480</v>
      </c>
      <c r="L619" t="s">
        <v>479</v>
      </c>
      <c r="M619" t="s">
        <v>122</v>
      </c>
      <c r="N619">
        <v>1</v>
      </c>
      <c r="O619" t="s">
        <v>707</v>
      </c>
      <c r="P619">
        <v>7006061921</v>
      </c>
      <c r="Q619">
        <v>60014313</v>
      </c>
      <c r="R619" s="7">
        <v>31048</v>
      </c>
      <c r="S619" s="8">
        <f t="shared" si="80"/>
        <v>1985</v>
      </c>
      <c r="T619" s="8">
        <v>1985</v>
      </c>
      <c r="U619" s="8">
        <f t="shared" si="81"/>
        <v>37</v>
      </c>
      <c r="V619" s="7">
        <v>1985</v>
      </c>
      <c r="W619" t="s">
        <v>540</v>
      </c>
      <c r="X619" s="2">
        <v>0.375</v>
      </c>
      <c r="Y619" s="6">
        <f t="shared" si="78"/>
        <v>1.0010410827260351E-2</v>
      </c>
      <c r="AA619">
        <v>135194</v>
      </c>
      <c r="AB619">
        <v>24918</v>
      </c>
      <c r="AD619" t="s">
        <v>4</v>
      </c>
      <c r="AE619">
        <v>21</v>
      </c>
      <c r="AF619">
        <v>2</v>
      </c>
      <c r="AH619" t="s">
        <v>706</v>
      </c>
      <c r="AI619" t="s">
        <v>705</v>
      </c>
      <c r="AJ619" t="s">
        <v>704</v>
      </c>
      <c r="AK619" t="s">
        <v>703</v>
      </c>
      <c r="AL619">
        <v>641</v>
      </c>
      <c r="AM619" s="5">
        <f t="shared" si="82"/>
        <v>17.324324324324323</v>
      </c>
      <c r="AN619" s="4">
        <f t="shared" si="79"/>
        <v>2.6239037219726351E-2</v>
      </c>
      <c r="AO619" s="3"/>
      <c r="AP619">
        <v>0</v>
      </c>
      <c r="AR619" t="s">
        <v>0</v>
      </c>
      <c r="AT619" s="2">
        <v>1.3140000000000001</v>
      </c>
      <c r="AU619" s="1">
        <f t="shared" si="83"/>
        <v>1.4878998745000149</v>
      </c>
      <c r="AV619" s="1">
        <f t="shared" si="84"/>
        <v>1.812472402349335</v>
      </c>
      <c r="AW619" s="1">
        <f t="shared" si="85"/>
        <v>2.1370449301986549</v>
      </c>
    </row>
    <row r="620" spans="1:49" x14ac:dyDescent="0.2">
      <c r="A620">
        <v>618</v>
      </c>
      <c r="B620" t="s">
        <v>702</v>
      </c>
      <c r="F620" t="s">
        <v>701</v>
      </c>
      <c r="G620" t="s">
        <v>15</v>
      </c>
      <c r="H620" t="s">
        <v>14</v>
      </c>
      <c r="I620" t="s">
        <v>700</v>
      </c>
      <c r="J620">
        <v>60007716</v>
      </c>
      <c r="K620" t="s">
        <v>699</v>
      </c>
      <c r="L620" t="s">
        <v>698</v>
      </c>
      <c r="M620" t="s">
        <v>272</v>
      </c>
      <c r="N620">
        <v>2</v>
      </c>
      <c r="O620" t="s">
        <v>697</v>
      </c>
      <c r="P620" t="s">
        <v>696</v>
      </c>
      <c r="Q620" t="s">
        <v>695</v>
      </c>
      <c r="R620" s="7">
        <v>31048</v>
      </c>
      <c r="S620" s="8">
        <f t="shared" si="80"/>
        <v>1985</v>
      </c>
      <c r="T620" s="8">
        <v>1985</v>
      </c>
      <c r="U620" s="8">
        <f t="shared" si="81"/>
        <v>37</v>
      </c>
      <c r="V620" s="7">
        <v>31048</v>
      </c>
      <c r="W620" t="s">
        <v>694</v>
      </c>
      <c r="X620" s="2" t="s">
        <v>19</v>
      </c>
      <c r="Y620" s="6" t="e">
        <f t="shared" si="78"/>
        <v>#VALUE!</v>
      </c>
      <c r="AA620">
        <v>486574</v>
      </c>
      <c r="AB620">
        <v>36602</v>
      </c>
      <c r="AD620" t="s">
        <v>4</v>
      </c>
      <c r="AE620">
        <v>30</v>
      </c>
      <c r="AF620">
        <v>1</v>
      </c>
      <c r="AH620" t="s">
        <v>693</v>
      </c>
      <c r="AI620" t="s">
        <v>692</v>
      </c>
      <c r="AK620" t="s">
        <v>691</v>
      </c>
      <c r="AL620">
        <v>0</v>
      </c>
      <c r="AM620" s="5">
        <f t="shared" si="82"/>
        <v>0</v>
      </c>
      <c r="AN620" s="4">
        <f t="shared" si="79"/>
        <v>0</v>
      </c>
      <c r="AO620" s="3"/>
      <c r="AP620">
        <v>0</v>
      </c>
      <c r="AR620" t="s">
        <v>0</v>
      </c>
      <c r="AT620" s="2" t="s">
        <v>19</v>
      </c>
      <c r="AU620" s="1" t="e">
        <f t="shared" si="83"/>
        <v>#VALUE!</v>
      </c>
      <c r="AV620" s="1" t="e">
        <f t="shared" si="84"/>
        <v>#VALUE!</v>
      </c>
      <c r="AW620" s="1" t="e">
        <f t="shared" si="85"/>
        <v>#VALUE!</v>
      </c>
    </row>
    <row r="621" spans="1:49" x14ac:dyDescent="0.2">
      <c r="A621">
        <v>619</v>
      </c>
      <c r="B621" t="s">
        <v>690</v>
      </c>
      <c r="C621" t="s">
        <v>689</v>
      </c>
      <c r="F621" t="s">
        <v>688</v>
      </c>
      <c r="G621" t="s">
        <v>15</v>
      </c>
      <c r="H621" t="s">
        <v>14</v>
      </c>
      <c r="I621" t="s">
        <v>687</v>
      </c>
      <c r="J621">
        <v>60007278</v>
      </c>
      <c r="K621" t="s">
        <v>686</v>
      </c>
      <c r="L621" t="s">
        <v>685</v>
      </c>
      <c r="M621" t="s">
        <v>122</v>
      </c>
      <c r="N621">
        <v>4</v>
      </c>
      <c r="O621" t="s">
        <v>684</v>
      </c>
      <c r="P621" t="s">
        <v>683</v>
      </c>
      <c r="Q621" t="s">
        <v>682</v>
      </c>
      <c r="R621" s="7">
        <v>31048</v>
      </c>
      <c r="S621" s="8">
        <f t="shared" si="80"/>
        <v>1985</v>
      </c>
      <c r="T621" s="8">
        <v>1985</v>
      </c>
      <c r="U621" s="8">
        <f t="shared" si="81"/>
        <v>37</v>
      </c>
      <c r="V621" s="7">
        <v>1985</v>
      </c>
      <c r="W621" t="s">
        <v>201</v>
      </c>
      <c r="X621" s="2">
        <v>1.1879999999999999</v>
      </c>
      <c r="Y621" s="6">
        <f t="shared" si="78"/>
        <v>3.1712981500760788E-2</v>
      </c>
      <c r="AA621">
        <v>10706631</v>
      </c>
      <c r="AB621">
        <v>29210</v>
      </c>
      <c r="AD621" t="s">
        <v>4</v>
      </c>
      <c r="AE621">
        <v>28</v>
      </c>
      <c r="AF621">
        <v>1</v>
      </c>
      <c r="AH621" s="10">
        <v>41579</v>
      </c>
      <c r="AI621" t="s">
        <v>681</v>
      </c>
      <c r="AK621" t="s">
        <v>680</v>
      </c>
      <c r="AL621">
        <v>0</v>
      </c>
      <c r="AM621" s="5">
        <f t="shared" si="82"/>
        <v>0</v>
      </c>
      <c r="AN621" s="4">
        <f t="shared" si="79"/>
        <v>0</v>
      </c>
      <c r="AO621" s="3"/>
      <c r="AP621">
        <v>0</v>
      </c>
      <c r="AR621" t="s">
        <v>0</v>
      </c>
      <c r="AT621" s="2">
        <v>3.5209999999999999</v>
      </c>
      <c r="AU621" s="1">
        <f t="shared" si="83"/>
        <v>2.2199087050532551</v>
      </c>
      <c r="AV621" s="1">
        <f t="shared" si="84"/>
        <v>1.5856490750380394</v>
      </c>
      <c r="AW621" s="1">
        <f t="shared" si="85"/>
        <v>0.95138944502282363</v>
      </c>
    </row>
    <row r="622" spans="1:49" x14ac:dyDescent="0.2">
      <c r="A622">
        <v>620</v>
      </c>
      <c r="B622" t="s">
        <v>679</v>
      </c>
      <c r="C622" t="s">
        <v>678</v>
      </c>
      <c r="F622" t="s">
        <v>677</v>
      </c>
      <c r="G622" t="s">
        <v>15</v>
      </c>
      <c r="H622" t="s">
        <v>14</v>
      </c>
      <c r="I622" t="s">
        <v>676</v>
      </c>
      <c r="J622">
        <v>60001247</v>
      </c>
      <c r="K622" t="s">
        <v>675</v>
      </c>
      <c r="M622" t="s">
        <v>122</v>
      </c>
      <c r="N622">
        <v>1</v>
      </c>
      <c r="O622" t="s">
        <v>674</v>
      </c>
      <c r="P622">
        <v>7102001903</v>
      </c>
      <c r="Q622">
        <v>60001247</v>
      </c>
      <c r="R622" s="7">
        <v>31048</v>
      </c>
      <c r="S622" s="8">
        <f t="shared" si="80"/>
        <v>1985</v>
      </c>
      <c r="T622" s="8">
        <v>1985</v>
      </c>
      <c r="U622" s="8">
        <f t="shared" si="81"/>
        <v>37</v>
      </c>
      <c r="V622" s="7">
        <v>31048</v>
      </c>
      <c r="W622" t="s">
        <v>24</v>
      </c>
      <c r="X622" s="2">
        <v>1.6519999999999999</v>
      </c>
      <c r="Y622" s="6">
        <f t="shared" si="78"/>
        <v>4.409919649769093E-2</v>
      </c>
      <c r="AA622" t="s">
        <v>23</v>
      </c>
      <c r="AB622">
        <v>17337</v>
      </c>
      <c r="AC622">
        <v>15582221</v>
      </c>
      <c r="AD622" t="s">
        <v>4</v>
      </c>
      <c r="AE622">
        <v>33</v>
      </c>
      <c r="AF622">
        <v>1</v>
      </c>
      <c r="AH622" t="s">
        <v>673</v>
      </c>
      <c r="AI622" t="s">
        <v>672</v>
      </c>
      <c r="AK622" t="s">
        <v>671</v>
      </c>
      <c r="AL622">
        <v>11</v>
      </c>
      <c r="AM622" s="5">
        <f t="shared" si="82"/>
        <v>0.29729729729729731</v>
      </c>
      <c r="AN622" s="4">
        <f t="shared" si="79"/>
        <v>4.5027988988609969E-4</v>
      </c>
      <c r="AO622" s="3"/>
      <c r="AP622">
        <v>0</v>
      </c>
      <c r="AR622" t="s">
        <v>0</v>
      </c>
      <c r="AT622" s="2" t="s">
        <v>19</v>
      </c>
      <c r="AU622" s="1">
        <f t="shared" si="83"/>
        <v>3.1004521515349484</v>
      </c>
      <c r="AV622" s="1">
        <f t="shared" si="84"/>
        <v>2.2274738193788517</v>
      </c>
      <c r="AW622" s="1">
        <f t="shared" si="85"/>
        <v>1.3544954872227548</v>
      </c>
    </row>
    <row r="623" spans="1:49" x14ac:dyDescent="0.2">
      <c r="A623">
        <v>621</v>
      </c>
      <c r="B623" t="s">
        <v>670</v>
      </c>
      <c r="C623" t="s">
        <v>669</v>
      </c>
      <c r="F623" t="s">
        <v>668</v>
      </c>
      <c r="G623" t="s">
        <v>15</v>
      </c>
      <c r="H623" t="s">
        <v>14</v>
      </c>
      <c r="I623" t="s">
        <v>667</v>
      </c>
      <c r="J623" t="s">
        <v>666</v>
      </c>
      <c r="K623" t="s">
        <v>665</v>
      </c>
      <c r="L623" t="s">
        <v>664</v>
      </c>
      <c r="M623" t="s">
        <v>28</v>
      </c>
      <c r="N623">
        <v>3</v>
      </c>
      <c r="O623" t="s">
        <v>663</v>
      </c>
      <c r="P623" t="s">
        <v>662</v>
      </c>
      <c r="Q623" t="s">
        <v>661</v>
      </c>
      <c r="R623" s="7">
        <v>31048</v>
      </c>
      <c r="S623" s="8">
        <f t="shared" si="80"/>
        <v>1985</v>
      </c>
      <c r="T623" s="8">
        <v>1985</v>
      </c>
      <c r="U623" s="8">
        <f t="shared" si="81"/>
        <v>37</v>
      </c>
      <c r="V623" s="7">
        <v>31048</v>
      </c>
      <c r="W623" t="s">
        <v>660</v>
      </c>
      <c r="X623" s="2">
        <v>2.141</v>
      </c>
      <c r="Y623" s="6">
        <f t="shared" si="78"/>
        <v>5.7152772216438434E-2</v>
      </c>
      <c r="AA623">
        <v>1962892</v>
      </c>
      <c r="AB623">
        <v>17360</v>
      </c>
      <c r="AC623">
        <v>15580644</v>
      </c>
      <c r="AD623" t="s">
        <v>4</v>
      </c>
      <c r="AE623" t="s">
        <v>659</v>
      </c>
      <c r="AF623">
        <v>1</v>
      </c>
      <c r="AH623" t="s">
        <v>658</v>
      </c>
      <c r="AI623" t="s">
        <v>657</v>
      </c>
      <c r="AK623" t="s">
        <v>656</v>
      </c>
      <c r="AL623">
        <v>9</v>
      </c>
      <c r="AM623" s="5">
        <f t="shared" si="82"/>
        <v>0.24324324324324326</v>
      </c>
      <c r="AN623" s="4">
        <f t="shared" si="79"/>
        <v>3.684108189977179E-4</v>
      </c>
      <c r="AO623" s="3"/>
      <c r="AP623">
        <v>0</v>
      </c>
      <c r="AR623" t="s">
        <v>0</v>
      </c>
      <c r="AT623" s="2" t="s">
        <v>19</v>
      </c>
      <c r="AU623" s="1">
        <f t="shared" si="83"/>
        <v>4.0117463797206216</v>
      </c>
      <c r="AV623" s="1">
        <f t="shared" si="84"/>
        <v>2.8760591517718077</v>
      </c>
      <c r="AW623" s="1">
        <f t="shared" si="85"/>
        <v>1.7403719238229933</v>
      </c>
    </row>
    <row r="624" spans="1:49" x14ac:dyDescent="0.2">
      <c r="A624">
        <v>622</v>
      </c>
      <c r="B624" t="s">
        <v>655</v>
      </c>
      <c r="C624" t="s">
        <v>654</v>
      </c>
      <c r="F624" t="s">
        <v>653</v>
      </c>
      <c r="G624" t="s">
        <v>15</v>
      </c>
      <c r="H624" t="s">
        <v>14</v>
      </c>
      <c r="I624" t="s">
        <v>652</v>
      </c>
      <c r="J624">
        <v>60016296</v>
      </c>
      <c r="K624" t="s">
        <v>651</v>
      </c>
      <c r="L624" t="s">
        <v>517</v>
      </c>
      <c r="M624" t="s">
        <v>122</v>
      </c>
      <c r="N624">
        <v>1</v>
      </c>
      <c r="O624" t="s">
        <v>650</v>
      </c>
      <c r="P624">
        <v>6507550152</v>
      </c>
      <c r="Q624">
        <v>60016296</v>
      </c>
      <c r="R624" s="7">
        <v>31048</v>
      </c>
      <c r="S624" s="8">
        <f t="shared" si="80"/>
        <v>1985</v>
      </c>
      <c r="T624" s="8">
        <v>1985</v>
      </c>
      <c r="U624" s="8">
        <f t="shared" si="81"/>
        <v>37</v>
      </c>
      <c r="V624" s="7">
        <v>31048</v>
      </c>
      <c r="W624" t="s">
        <v>513</v>
      </c>
      <c r="X624" s="2">
        <v>2.9860000000000002</v>
      </c>
      <c r="Y624" s="6">
        <f t="shared" si="78"/>
        <v>7.9709564613865094E-2</v>
      </c>
      <c r="AA624">
        <v>7338716</v>
      </c>
      <c r="AB624">
        <v>18902</v>
      </c>
      <c r="AD624" t="s">
        <v>4</v>
      </c>
      <c r="AE624">
        <v>3</v>
      </c>
      <c r="AF624">
        <v>1</v>
      </c>
      <c r="AH624" t="s">
        <v>649</v>
      </c>
      <c r="AI624" t="s">
        <v>648</v>
      </c>
      <c r="AK624" t="s">
        <v>647</v>
      </c>
      <c r="AL624">
        <v>2</v>
      </c>
      <c r="AM624" s="5">
        <f t="shared" si="82"/>
        <v>5.4054054054054057E-2</v>
      </c>
      <c r="AN624" s="4">
        <f t="shared" si="79"/>
        <v>8.1869070888381765E-5</v>
      </c>
      <c r="AO624" s="3"/>
      <c r="AP624">
        <v>0</v>
      </c>
      <c r="AR624" t="s">
        <v>0</v>
      </c>
      <c r="AT624" s="2" t="s">
        <v>19</v>
      </c>
      <c r="AU624" s="1">
        <f t="shared" si="83"/>
        <v>5.5821255950972075</v>
      </c>
      <c r="AV624" s="1">
        <f t="shared" si="84"/>
        <v>3.9895716842376734</v>
      </c>
      <c r="AW624" s="1">
        <f t="shared" si="85"/>
        <v>2.3970177733781397</v>
      </c>
    </row>
    <row r="625" spans="1:49" x14ac:dyDescent="0.2">
      <c r="A625">
        <v>623</v>
      </c>
      <c r="B625" t="s">
        <v>646</v>
      </c>
      <c r="F625" t="s">
        <v>645</v>
      </c>
      <c r="G625" t="s">
        <v>15</v>
      </c>
      <c r="H625" t="s">
        <v>14</v>
      </c>
      <c r="I625" t="s">
        <v>644</v>
      </c>
      <c r="J625">
        <v>60006711</v>
      </c>
      <c r="K625" t="s">
        <v>643</v>
      </c>
      <c r="L625" t="s">
        <v>642</v>
      </c>
      <c r="M625" t="s">
        <v>122</v>
      </c>
      <c r="N625">
        <v>2</v>
      </c>
      <c r="O625" t="s">
        <v>641</v>
      </c>
      <c r="P625" t="s">
        <v>640</v>
      </c>
      <c r="Q625" t="s">
        <v>639</v>
      </c>
      <c r="R625" s="7">
        <v>31048</v>
      </c>
      <c r="S625" s="8">
        <f t="shared" si="80"/>
        <v>1985</v>
      </c>
      <c r="T625" s="8">
        <v>1985</v>
      </c>
      <c r="U625" s="8">
        <f t="shared" si="81"/>
        <v>37</v>
      </c>
      <c r="V625" s="7">
        <v>1985</v>
      </c>
      <c r="W625" t="s">
        <v>638</v>
      </c>
      <c r="X625" s="2" t="s">
        <v>19</v>
      </c>
      <c r="Y625" s="6" t="e">
        <f t="shared" si="78"/>
        <v>#VALUE!</v>
      </c>
      <c r="AA625">
        <v>1919067</v>
      </c>
      <c r="AB625">
        <v>95489</v>
      </c>
      <c r="AD625" t="s">
        <v>4</v>
      </c>
      <c r="AE625">
        <v>5</v>
      </c>
      <c r="AF625">
        <v>1</v>
      </c>
      <c r="AH625" t="s">
        <v>637</v>
      </c>
      <c r="AI625" t="s">
        <v>636</v>
      </c>
      <c r="AK625" t="s">
        <v>635</v>
      </c>
      <c r="AL625">
        <v>0</v>
      </c>
      <c r="AM625" s="5">
        <f t="shared" si="82"/>
        <v>0</v>
      </c>
      <c r="AN625" s="4">
        <f t="shared" si="79"/>
        <v>0</v>
      </c>
      <c r="AO625" s="3"/>
      <c r="AP625">
        <v>0</v>
      </c>
      <c r="AR625" t="s">
        <v>0</v>
      </c>
      <c r="AT625" s="2" t="s">
        <v>19</v>
      </c>
      <c r="AU625" s="1" t="e">
        <f t="shared" si="83"/>
        <v>#VALUE!</v>
      </c>
      <c r="AV625" s="1" t="e">
        <f t="shared" si="84"/>
        <v>#VALUE!</v>
      </c>
      <c r="AW625" s="1" t="e">
        <f t="shared" si="85"/>
        <v>#VALUE!</v>
      </c>
    </row>
    <row r="626" spans="1:49" x14ac:dyDescent="0.2">
      <c r="A626">
        <v>624</v>
      </c>
      <c r="B626" t="s">
        <v>634</v>
      </c>
      <c r="F626" t="s">
        <v>633</v>
      </c>
      <c r="G626" t="s">
        <v>15</v>
      </c>
      <c r="H626" t="s">
        <v>14</v>
      </c>
      <c r="I626" t="s">
        <v>492</v>
      </c>
      <c r="J626">
        <v>60005248</v>
      </c>
      <c r="K626" t="s">
        <v>632</v>
      </c>
      <c r="L626" t="s">
        <v>631</v>
      </c>
      <c r="M626" t="s">
        <v>122</v>
      </c>
      <c r="N626">
        <v>1</v>
      </c>
      <c r="O626" t="s">
        <v>630</v>
      </c>
      <c r="P626">
        <v>7102717774</v>
      </c>
      <c r="Q626">
        <v>60005248</v>
      </c>
      <c r="R626" s="7">
        <v>31048</v>
      </c>
      <c r="S626" s="8">
        <f t="shared" si="80"/>
        <v>1985</v>
      </c>
      <c r="T626" s="8">
        <v>1985</v>
      </c>
      <c r="U626" s="8">
        <f t="shared" si="81"/>
        <v>37</v>
      </c>
      <c r="V626" s="7">
        <v>31048</v>
      </c>
      <c r="W626" t="s">
        <v>629</v>
      </c>
      <c r="X626" s="2">
        <v>0.22</v>
      </c>
      <c r="Y626" s="6">
        <f t="shared" si="78"/>
        <v>5.8727743519927395E-3</v>
      </c>
      <c r="AA626">
        <v>2705214</v>
      </c>
      <c r="AB626">
        <v>28119</v>
      </c>
      <c r="AD626" t="s">
        <v>4</v>
      </c>
      <c r="AE626">
        <v>6</v>
      </c>
      <c r="AF626">
        <v>1</v>
      </c>
      <c r="AH626" t="s">
        <v>628</v>
      </c>
      <c r="AI626" t="s">
        <v>627</v>
      </c>
      <c r="AK626" t="s">
        <v>626</v>
      </c>
      <c r="AL626">
        <v>2</v>
      </c>
      <c r="AM626" s="5">
        <f t="shared" si="82"/>
        <v>5.4054054054054057E-2</v>
      </c>
      <c r="AN626" s="4">
        <f t="shared" si="79"/>
        <v>8.1869070888381765E-5</v>
      </c>
      <c r="AO626" s="3"/>
      <c r="AP626">
        <v>0</v>
      </c>
      <c r="AR626" t="s">
        <v>0</v>
      </c>
      <c r="AT626" s="2" t="s">
        <v>19</v>
      </c>
      <c r="AU626" s="1">
        <f t="shared" si="83"/>
        <v>0.4135502767661432</v>
      </c>
      <c r="AV626" s="1">
        <f t="shared" si="84"/>
        <v>0.29773217114405609</v>
      </c>
      <c r="AW626" s="1">
        <f t="shared" si="85"/>
        <v>0.18191406552196893</v>
      </c>
    </row>
    <row r="627" spans="1:49" x14ac:dyDescent="0.2">
      <c r="A627">
        <v>625</v>
      </c>
      <c r="B627" t="s">
        <v>625</v>
      </c>
      <c r="C627" t="s">
        <v>624</v>
      </c>
      <c r="F627" t="s">
        <v>623</v>
      </c>
      <c r="G627" t="s">
        <v>15</v>
      </c>
      <c r="H627" t="s">
        <v>14</v>
      </c>
      <c r="I627" t="s">
        <v>622</v>
      </c>
      <c r="J627" t="s">
        <v>621</v>
      </c>
      <c r="K627" t="s">
        <v>620</v>
      </c>
      <c r="L627" t="s">
        <v>619</v>
      </c>
      <c r="M627" t="s">
        <v>28</v>
      </c>
      <c r="N627">
        <v>1</v>
      </c>
      <c r="O627" t="s">
        <v>618</v>
      </c>
      <c r="P627">
        <v>55700319400</v>
      </c>
      <c r="Q627" t="s">
        <v>617</v>
      </c>
      <c r="R627" s="7">
        <v>31048</v>
      </c>
      <c r="S627" s="8">
        <f t="shared" si="80"/>
        <v>1985</v>
      </c>
      <c r="T627" s="8">
        <v>1985</v>
      </c>
      <c r="U627" s="8">
        <f t="shared" si="81"/>
        <v>37</v>
      </c>
      <c r="V627" s="7">
        <v>31048</v>
      </c>
      <c r="W627" t="s">
        <v>513</v>
      </c>
      <c r="X627" s="2">
        <v>2.9860000000000002</v>
      </c>
      <c r="Y627" s="6">
        <f t="shared" si="78"/>
        <v>7.9709564613865094E-2</v>
      </c>
      <c r="AA627">
        <v>7338716</v>
      </c>
      <c r="AB627">
        <v>18902</v>
      </c>
      <c r="AD627" t="s">
        <v>4</v>
      </c>
      <c r="AE627">
        <v>3</v>
      </c>
      <c r="AF627">
        <v>1</v>
      </c>
      <c r="AH627" t="s">
        <v>616</v>
      </c>
      <c r="AI627" t="s">
        <v>615</v>
      </c>
      <c r="AK627" t="s">
        <v>614</v>
      </c>
      <c r="AL627">
        <v>0</v>
      </c>
      <c r="AM627" s="5">
        <f t="shared" si="82"/>
        <v>0</v>
      </c>
      <c r="AN627" s="4">
        <f t="shared" si="79"/>
        <v>0</v>
      </c>
      <c r="AO627" s="3"/>
      <c r="AP627">
        <v>0</v>
      </c>
      <c r="AR627" t="s">
        <v>0</v>
      </c>
      <c r="AT627" s="2" t="s">
        <v>19</v>
      </c>
      <c r="AU627" s="1">
        <f t="shared" si="83"/>
        <v>5.5796695229705557</v>
      </c>
      <c r="AV627" s="1">
        <f t="shared" si="84"/>
        <v>3.9854782306932548</v>
      </c>
      <c r="AW627" s="1">
        <f t="shared" si="85"/>
        <v>2.3912869384159525</v>
      </c>
    </row>
    <row r="628" spans="1:49" x14ac:dyDescent="0.2">
      <c r="A628">
        <v>626</v>
      </c>
      <c r="B628" t="s">
        <v>613</v>
      </c>
      <c r="C628" t="s">
        <v>612</v>
      </c>
      <c r="D628" t="s">
        <v>611</v>
      </c>
      <c r="F628" t="s">
        <v>610</v>
      </c>
      <c r="G628" t="s">
        <v>15</v>
      </c>
      <c r="H628" t="s">
        <v>14</v>
      </c>
      <c r="I628" t="s">
        <v>609</v>
      </c>
      <c r="J628">
        <v>100317072</v>
      </c>
      <c r="K628" t="s">
        <v>608</v>
      </c>
      <c r="L628" t="s">
        <v>607</v>
      </c>
      <c r="M628" t="s">
        <v>76</v>
      </c>
      <c r="N628">
        <v>4</v>
      </c>
      <c r="O628" t="s">
        <v>606</v>
      </c>
      <c r="P628" t="s">
        <v>605</v>
      </c>
      <c r="Q628" t="s">
        <v>604</v>
      </c>
      <c r="R628" s="7">
        <v>31048</v>
      </c>
      <c r="S628" s="8">
        <f t="shared" si="80"/>
        <v>1985</v>
      </c>
      <c r="T628" s="8">
        <v>1985</v>
      </c>
      <c r="U628" s="8">
        <f t="shared" si="81"/>
        <v>37</v>
      </c>
      <c r="V628" s="7">
        <v>31048</v>
      </c>
      <c r="W628" t="s">
        <v>603</v>
      </c>
      <c r="X628" s="2">
        <v>1.1339999999999999</v>
      </c>
      <c r="Y628" s="6">
        <f t="shared" si="78"/>
        <v>3.0271482341635299E-2</v>
      </c>
      <c r="AA628">
        <v>945765</v>
      </c>
      <c r="AB628">
        <v>12372</v>
      </c>
      <c r="AD628" t="s">
        <v>4</v>
      </c>
      <c r="AE628">
        <v>12</v>
      </c>
      <c r="AF628">
        <v>1</v>
      </c>
      <c r="AH628" t="s">
        <v>602</v>
      </c>
      <c r="AI628" t="s">
        <v>601</v>
      </c>
      <c r="AK628" t="s">
        <v>600</v>
      </c>
      <c r="AL628">
        <v>0</v>
      </c>
      <c r="AM628" s="5">
        <f t="shared" si="82"/>
        <v>0</v>
      </c>
      <c r="AN628" s="4">
        <f t="shared" si="79"/>
        <v>0</v>
      </c>
      <c r="AO628" s="3"/>
      <c r="AP628">
        <v>0</v>
      </c>
      <c r="AR628" t="s">
        <v>0</v>
      </c>
      <c r="AT628" s="2">
        <v>2.4129999999999998</v>
      </c>
      <c r="AU628" s="1">
        <f t="shared" si="83"/>
        <v>2.119003763914471</v>
      </c>
      <c r="AV628" s="1">
        <f t="shared" si="84"/>
        <v>1.5135741170817649</v>
      </c>
      <c r="AW628" s="1">
        <f t="shared" si="85"/>
        <v>0.90814447024905898</v>
      </c>
    </row>
    <row r="629" spans="1:49" x14ac:dyDescent="0.2">
      <c r="A629">
        <v>627</v>
      </c>
      <c r="B629" t="s">
        <v>599</v>
      </c>
      <c r="C629" t="s">
        <v>598</v>
      </c>
      <c r="F629" t="s">
        <v>597</v>
      </c>
      <c r="G629" t="s">
        <v>15</v>
      </c>
      <c r="H629" t="s">
        <v>14</v>
      </c>
      <c r="I629" t="s">
        <v>596</v>
      </c>
      <c r="J629">
        <v>60101699</v>
      </c>
      <c r="K629" t="s">
        <v>595</v>
      </c>
      <c r="L629" t="s">
        <v>594</v>
      </c>
      <c r="M629" t="s">
        <v>544</v>
      </c>
      <c r="N629">
        <v>3</v>
      </c>
      <c r="O629" t="s">
        <v>593</v>
      </c>
      <c r="P629" t="s">
        <v>592</v>
      </c>
      <c r="Q629" t="s">
        <v>591</v>
      </c>
      <c r="R629" s="7">
        <v>31048</v>
      </c>
      <c r="S629" s="8">
        <f t="shared" si="80"/>
        <v>1985</v>
      </c>
      <c r="T629" s="8">
        <v>1985</v>
      </c>
      <c r="U629" s="8">
        <f t="shared" si="81"/>
        <v>37</v>
      </c>
      <c r="V629" s="7">
        <v>31048</v>
      </c>
      <c r="W629" t="s">
        <v>590</v>
      </c>
      <c r="X629" s="2">
        <v>0.111</v>
      </c>
      <c r="Y629" s="6">
        <f t="shared" si="78"/>
        <v>2.9630816048690639E-3</v>
      </c>
      <c r="AA629">
        <v>87566621</v>
      </c>
      <c r="AB629">
        <v>24890</v>
      </c>
      <c r="AC629">
        <v>15206424</v>
      </c>
      <c r="AD629" t="s">
        <v>4</v>
      </c>
      <c r="AE629">
        <v>68</v>
      </c>
      <c r="AF629">
        <v>1</v>
      </c>
      <c r="AH629" t="s">
        <v>589</v>
      </c>
      <c r="AI629" t="s">
        <v>588</v>
      </c>
      <c r="AK629" t="s">
        <v>587</v>
      </c>
      <c r="AL629">
        <v>0</v>
      </c>
      <c r="AM629" s="5">
        <f t="shared" si="82"/>
        <v>0</v>
      </c>
      <c r="AN629" s="4">
        <f t="shared" si="79"/>
        <v>0</v>
      </c>
      <c r="AO629" s="3"/>
      <c r="AP629">
        <v>0</v>
      </c>
      <c r="AR629" t="s">
        <v>0</v>
      </c>
      <c r="AT629" s="2" t="s">
        <v>19</v>
      </c>
      <c r="AU629" s="1">
        <f t="shared" si="83"/>
        <v>0.20741571234083445</v>
      </c>
      <c r="AV629" s="1">
        <f t="shared" si="84"/>
        <v>0.1481540802434532</v>
      </c>
      <c r="AW629" s="1">
        <f t="shared" si="85"/>
        <v>8.8892448146071903E-2</v>
      </c>
    </row>
    <row r="630" spans="1:49" x14ac:dyDescent="0.2">
      <c r="A630">
        <v>628</v>
      </c>
      <c r="B630" t="s">
        <v>586</v>
      </c>
      <c r="C630" t="s">
        <v>585</v>
      </c>
      <c r="F630" t="s">
        <v>584</v>
      </c>
      <c r="G630" t="s">
        <v>15</v>
      </c>
      <c r="H630" t="s">
        <v>14</v>
      </c>
      <c r="I630" t="s">
        <v>583</v>
      </c>
      <c r="J630">
        <v>60002947</v>
      </c>
      <c r="K630" t="s">
        <v>582</v>
      </c>
      <c r="L630" t="s">
        <v>581</v>
      </c>
      <c r="M630" t="s">
        <v>580</v>
      </c>
      <c r="N630">
        <v>3</v>
      </c>
      <c r="O630" t="s">
        <v>579</v>
      </c>
      <c r="P630" t="s">
        <v>578</v>
      </c>
      <c r="Q630" t="s">
        <v>577</v>
      </c>
      <c r="R630" s="7">
        <v>31048</v>
      </c>
      <c r="S630" s="8">
        <f t="shared" si="80"/>
        <v>1985</v>
      </c>
      <c r="T630" s="8">
        <v>1985</v>
      </c>
      <c r="U630" s="8">
        <f t="shared" si="81"/>
        <v>37</v>
      </c>
      <c r="V630" s="7">
        <v>31048</v>
      </c>
      <c r="W630" t="s">
        <v>24</v>
      </c>
      <c r="X630" s="2">
        <v>1.6519999999999999</v>
      </c>
      <c r="Y630" s="6">
        <f t="shared" si="78"/>
        <v>4.409919649769093E-2</v>
      </c>
      <c r="AA630" t="s">
        <v>23</v>
      </c>
      <c r="AB630">
        <v>17337</v>
      </c>
      <c r="AC630">
        <v>15582221</v>
      </c>
      <c r="AD630" t="s">
        <v>4</v>
      </c>
      <c r="AE630">
        <v>33</v>
      </c>
      <c r="AF630">
        <v>1</v>
      </c>
      <c r="AH630" t="s">
        <v>576</v>
      </c>
      <c r="AI630" t="s">
        <v>575</v>
      </c>
      <c r="AK630" t="s">
        <v>574</v>
      </c>
      <c r="AL630">
        <v>43</v>
      </c>
      <c r="AM630" s="5">
        <f t="shared" si="82"/>
        <v>1.1621621621621621</v>
      </c>
      <c r="AN630" s="4">
        <f t="shared" si="79"/>
        <v>1.7601850241002076E-3</v>
      </c>
      <c r="AO630" s="3"/>
      <c r="AP630">
        <v>0</v>
      </c>
      <c r="AR630" t="s">
        <v>0</v>
      </c>
      <c r="AT630" s="2" t="s">
        <v>19</v>
      </c>
      <c r="AU630" s="1">
        <f t="shared" si="83"/>
        <v>3.1397493055613714</v>
      </c>
      <c r="AV630" s="1">
        <f t="shared" si="84"/>
        <v>2.2929690760895567</v>
      </c>
      <c r="AW630" s="1">
        <f t="shared" si="85"/>
        <v>1.4461888466177424</v>
      </c>
    </row>
    <row r="631" spans="1:49" x14ac:dyDescent="0.2">
      <c r="A631">
        <v>629</v>
      </c>
      <c r="B631" t="s">
        <v>573</v>
      </c>
      <c r="C631" t="s">
        <v>572</v>
      </c>
      <c r="F631" t="s">
        <v>571</v>
      </c>
      <c r="G631" t="s">
        <v>15</v>
      </c>
      <c r="H631" t="s">
        <v>14</v>
      </c>
      <c r="I631" t="s">
        <v>570</v>
      </c>
      <c r="J631">
        <v>60022134</v>
      </c>
      <c r="K631" t="s">
        <v>569</v>
      </c>
      <c r="L631" t="s">
        <v>568</v>
      </c>
      <c r="M631" t="s">
        <v>567</v>
      </c>
      <c r="N631">
        <v>2</v>
      </c>
      <c r="O631" t="s">
        <v>566</v>
      </c>
      <c r="P631" t="s">
        <v>565</v>
      </c>
      <c r="Q631" t="s">
        <v>564</v>
      </c>
      <c r="R631" s="7">
        <v>31048</v>
      </c>
      <c r="S631" s="8">
        <f t="shared" si="80"/>
        <v>1985</v>
      </c>
      <c r="T631" s="8">
        <v>1985</v>
      </c>
      <c r="U631" s="8">
        <f t="shared" si="81"/>
        <v>37</v>
      </c>
      <c r="V631" s="7">
        <v>31048</v>
      </c>
      <c r="W631" t="s">
        <v>24</v>
      </c>
      <c r="X631" s="2">
        <v>1.6519999999999999</v>
      </c>
      <c r="Y631" s="6">
        <f t="shared" si="78"/>
        <v>4.409919649769093E-2</v>
      </c>
      <c r="AA631" t="s">
        <v>23</v>
      </c>
      <c r="AB631">
        <v>17337</v>
      </c>
      <c r="AC631">
        <v>15582221</v>
      </c>
      <c r="AD631" t="s">
        <v>4</v>
      </c>
      <c r="AE631">
        <v>33</v>
      </c>
      <c r="AF631">
        <v>1</v>
      </c>
      <c r="AH631" s="10">
        <v>44105</v>
      </c>
      <c r="AI631" t="s">
        <v>563</v>
      </c>
      <c r="AK631" t="s">
        <v>562</v>
      </c>
      <c r="AL631">
        <v>25</v>
      </c>
      <c r="AM631" s="5">
        <f t="shared" si="82"/>
        <v>0.67567567567567566</v>
      </c>
      <c r="AN631" s="4">
        <f t="shared" si="79"/>
        <v>1.0233633861047719E-3</v>
      </c>
      <c r="AO631" s="3"/>
      <c r="AP631">
        <v>0</v>
      </c>
      <c r="AR631" t="s">
        <v>0</v>
      </c>
      <c r="AT631" s="2" t="s">
        <v>19</v>
      </c>
      <c r="AU631" s="1">
        <f t="shared" si="83"/>
        <v>3.1176446564215081</v>
      </c>
      <c r="AV631" s="1">
        <f t="shared" si="84"/>
        <v>2.2561279941897849</v>
      </c>
      <c r="AW631" s="1">
        <f t="shared" si="85"/>
        <v>1.3946113319580618</v>
      </c>
    </row>
    <row r="632" spans="1:49" x14ac:dyDescent="0.2">
      <c r="A632">
        <v>630</v>
      </c>
      <c r="B632" t="s">
        <v>561</v>
      </c>
      <c r="C632" t="s">
        <v>560</v>
      </c>
      <c r="F632" t="s">
        <v>559</v>
      </c>
      <c r="G632" t="s">
        <v>15</v>
      </c>
      <c r="H632" t="s">
        <v>14</v>
      </c>
      <c r="I632" t="s">
        <v>558</v>
      </c>
      <c r="J632">
        <v>60023053</v>
      </c>
      <c r="K632" t="s">
        <v>557</v>
      </c>
      <c r="L632" t="s">
        <v>556</v>
      </c>
      <c r="M632" t="s">
        <v>122</v>
      </c>
      <c r="N632">
        <v>2</v>
      </c>
      <c r="O632" t="s">
        <v>555</v>
      </c>
      <c r="P632" t="s">
        <v>554</v>
      </c>
      <c r="Q632" t="s">
        <v>553</v>
      </c>
      <c r="R632" s="7">
        <v>31048</v>
      </c>
      <c r="S632" s="8">
        <f t="shared" si="80"/>
        <v>1985</v>
      </c>
      <c r="T632" s="8">
        <v>1985</v>
      </c>
      <c r="U632" s="8">
        <f t="shared" si="81"/>
        <v>37</v>
      </c>
      <c r="V632" s="7">
        <v>31048</v>
      </c>
      <c r="W632" t="s">
        <v>24</v>
      </c>
      <c r="X632" s="2">
        <v>1.6519999999999999</v>
      </c>
      <c r="Y632" s="6">
        <f t="shared" si="78"/>
        <v>4.409919649769093E-2</v>
      </c>
      <c r="AA632" t="s">
        <v>23</v>
      </c>
      <c r="AB632">
        <v>17337</v>
      </c>
      <c r="AC632">
        <v>15582221</v>
      </c>
      <c r="AD632" t="s">
        <v>4</v>
      </c>
      <c r="AE632">
        <v>33</v>
      </c>
      <c r="AF632">
        <v>1</v>
      </c>
      <c r="AH632" s="9">
        <v>44441</v>
      </c>
      <c r="AI632" t="s">
        <v>552</v>
      </c>
      <c r="AK632" t="s">
        <v>551</v>
      </c>
      <c r="AL632">
        <v>26</v>
      </c>
      <c r="AM632" s="5">
        <f t="shared" si="82"/>
        <v>0.70270270270270274</v>
      </c>
      <c r="AN632" s="4">
        <f t="shared" si="79"/>
        <v>1.0642979215489629E-3</v>
      </c>
      <c r="AO632" s="3"/>
      <c r="AP632">
        <v>0</v>
      </c>
      <c r="AR632" t="s">
        <v>0</v>
      </c>
      <c r="AT632" s="2" t="s">
        <v>19</v>
      </c>
      <c r="AU632" s="1">
        <f t="shared" si="83"/>
        <v>3.118872692484834</v>
      </c>
      <c r="AV632" s="1">
        <f t="shared" si="84"/>
        <v>2.2581747209619945</v>
      </c>
      <c r="AW632" s="1">
        <f t="shared" si="85"/>
        <v>1.3974767494391553</v>
      </c>
    </row>
    <row r="633" spans="1:49" x14ac:dyDescent="0.2">
      <c r="A633">
        <v>631</v>
      </c>
      <c r="B633" t="s">
        <v>550</v>
      </c>
      <c r="C633" t="s">
        <v>549</v>
      </c>
      <c r="F633" t="s">
        <v>548</v>
      </c>
      <c r="G633" t="s">
        <v>15</v>
      </c>
      <c r="H633" t="s">
        <v>14</v>
      </c>
      <c r="I633" t="s">
        <v>547</v>
      </c>
      <c r="J633">
        <v>60024784</v>
      </c>
      <c r="K633" t="s">
        <v>546</v>
      </c>
      <c r="L633" t="s">
        <v>545</v>
      </c>
      <c r="M633" t="s">
        <v>544</v>
      </c>
      <c r="N633">
        <v>3</v>
      </c>
      <c r="O633" t="s">
        <v>543</v>
      </c>
      <c r="P633" t="s">
        <v>542</v>
      </c>
      <c r="Q633" t="s">
        <v>541</v>
      </c>
      <c r="R633" s="7">
        <v>31048</v>
      </c>
      <c r="S633" s="8">
        <f t="shared" si="80"/>
        <v>1985</v>
      </c>
      <c r="T633" s="8">
        <v>1985</v>
      </c>
      <c r="U633" s="8">
        <f t="shared" si="81"/>
        <v>37</v>
      </c>
      <c r="V633" s="7">
        <v>1985</v>
      </c>
      <c r="W633" t="s">
        <v>540</v>
      </c>
      <c r="X633" s="2">
        <v>0.375</v>
      </c>
      <c r="Y633" s="6">
        <f t="shared" si="78"/>
        <v>1.0010410827260351E-2</v>
      </c>
      <c r="AA633">
        <v>135194</v>
      </c>
      <c r="AB633">
        <v>24918</v>
      </c>
      <c r="AD633" t="s">
        <v>4</v>
      </c>
      <c r="AE633">
        <v>21</v>
      </c>
      <c r="AF633">
        <v>3</v>
      </c>
      <c r="AH633" t="s">
        <v>539</v>
      </c>
      <c r="AI633" t="s">
        <v>538</v>
      </c>
      <c r="AJ633" t="s">
        <v>537</v>
      </c>
      <c r="AK633" t="s">
        <v>536</v>
      </c>
      <c r="AL633">
        <v>3</v>
      </c>
      <c r="AM633" s="5">
        <f t="shared" si="82"/>
        <v>8.1081081081081086E-2</v>
      </c>
      <c r="AN633" s="4">
        <f t="shared" si="79"/>
        <v>1.2280360633257263E-4</v>
      </c>
      <c r="AO633" s="3"/>
      <c r="AP633">
        <v>0</v>
      </c>
      <c r="AR633" t="s">
        <v>0</v>
      </c>
      <c r="AT633" s="2">
        <v>1.3140000000000001</v>
      </c>
      <c r="AU633" s="1">
        <f t="shared" si="83"/>
        <v>0.70441286609820175</v>
      </c>
      <c r="AV633" s="1">
        <f t="shared" si="84"/>
        <v>0.50666072167964615</v>
      </c>
      <c r="AW633" s="1">
        <f t="shared" si="85"/>
        <v>0.30890857726109061</v>
      </c>
    </row>
    <row r="634" spans="1:49" x14ac:dyDescent="0.2">
      <c r="A634">
        <v>632</v>
      </c>
      <c r="B634" t="s">
        <v>535</v>
      </c>
      <c r="F634" t="s">
        <v>534</v>
      </c>
      <c r="G634" t="s">
        <v>15</v>
      </c>
      <c r="H634" t="s">
        <v>14</v>
      </c>
      <c r="I634" t="s">
        <v>533</v>
      </c>
      <c r="J634">
        <v>60082676</v>
      </c>
      <c r="K634" t="s">
        <v>532</v>
      </c>
      <c r="L634" t="s">
        <v>531</v>
      </c>
      <c r="M634" t="s">
        <v>530</v>
      </c>
      <c r="N634">
        <v>2</v>
      </c>
      <c r="O634" t="s">
        <v>529</v>
      </c>
      <c r="P634" t="s">
        <v>528</v>
      </c>
      <c r="Q634" t="s">
        <v>527</v>
      </c>
      <c r="R634" s="7">
        <v>31048</v>
      </c>
      <c r="S634" s="8">
        <f t="shared" si="80"/>
        <v>1985</v>
      </c>
      <c r="T634" s="8">
        <v>1985</v>
      </c>
      <c r="U634" s="8">
        <f t="shared" si="81"/>
        <v>37</v>
      </c>
      <c r="V634" s="7">
        <v>1985</v>
      </c>
      <c r="W634" t="s">
        <v>526</v>
      </c>
      <c r="X634" s="2" t="s">
        <v>19</v>
      </c>
      <c r="Y634" s="6" t="e">
        <f t="shared" si="78"/>
        <v>#VALUE!</v>
      </c>
      <c r="AA634">
        <v>134252</v>
      </c>
      <c r="AB634">
        <v>32198</v>
      </c>
      <c r="AD634" t="s">
        <v>4</v>
      </c>
      <c r="AE634">
        <v>59</v>
      </c>
      <c r="AF634">
        <v>3</v>
      </c>
      <c r="AH634" t="s">
        <v>525</v>
      </c>
      <c r="AI634" t="s">
        <v>524</v>
      </c>
      <c r="AK634" t="s">
        <v>523</v>
      </c>
      <c r="AL634">
        <v>0</v>
      </c>
      <c r="AM634" s="5">
        <f t="shared" si="82"/>
        <v>0</v>
      </c>
      <c r="AN634" s="4">
        <f t="shared" si="79"/>
        <v>0</v>
      </c>
      <c r="AO634" s="3"/>
      <c r="AP634">
        <v>0</v>
      </c>
      <c r="AR634" t="s">
        <v>0</v>
      </c>
      <c r="AT634" s="2" t="s">
        <v>19</v>
      </c>
      <c r="AU634" s="1" t="e">
        <f t="shared" si="83"/>
        <v>#VALUE!</v>
      </c>
      <c r="AV634" s="1" t="e">
        <f t="shared" si="84"/>
        <v>#VALUE!</v>
      </c>
      <c r="AW634" s="1" t="e">
        <f t="shared" si="85"/>
        <v>#VALUE!</v>
      </c>
    </row>
    <row r="635" spans="1:49" x14ac:dyDescent="0.2">
      <c r="A635">
        <v>633</v>
      </c>
      <c r="B635" t="s">
        <v>522</v>
      </c>
      <c r="C635" t="s">
        <v>521</v>
      </c>
      <c r="F635" t="s">
        <v>520</v>
      </c>
      <c r="G635" t="s">
        <v>15</v>
      </c>
      <c r="H635" t="s">
        <v>14</v>
      </c>
      <c r="I635" t="s">
        <v>519</v>
      </c>
      <c r="J635">
        <v>60005470</v>
      </c>
      <c r="K635" t="s">
        <v>518</v>
      </c>
      <c r="L635" t="s">
        <v>517</v>
      </c>
      <c r="M635" t="s">
        <v>122</v>
      </c>
      <c r="N635">
        <v>2</v>
      </c>
      <c r="O635" t="s">
        <v>516</v>
      </c>
      <c r="P635" t="s">
        <v>515</v>
      </c>
      <c r="Q635" t="s">
        <v>514</v>
      </c>
      <c r="R635" s="7">
        <v>31048</v>
      </c>
      <c r="S635" s="8">
        <f t="shared" si="80"/>
        <v>1985</v>
      </c>
      <c r="T635" s="8">
        <v>1985</v>
      </c>
      <c r="U635" s="8">
        <f t="shared" si="81"/>
        <v>37</v>
      </c>
      <c r="V635" s="7">
        <v>31048</v>
      </c>
      <c r="W635" t="s">
        <v>513</v>
      </c>
      <c r="X635" s="2">
        <v>2.9860000000000002</v>
      </c>
      <c r="Y635" s="6">
        <f t="shared" si="78"/>
        <v>7.9709564613865094E-2</v>
      </c>
      <c r="AA635">
        <v>7338716</v>
      </c>
      <c r="AB635">
        <v>18902</v>
      </c>
      <c r="AD635" t="s">
        <v>4</v>
      </c>
      <c r="AE635">
        <v>3</v>
      </c>
      <c r="AF635">
        <v>1</v>
      </c>
      <c r="AH635" t="s">
        <v>512</v>
      </c>
      <c r="AI635" t="s">
        <v>511</v>
      </c>
      <c r="AK635" t="s">
        <v>510</v>
      </c>
      <c r="AL635">
        <v>1</v>
      </c>
      <c r="AM635" s="5">
        <f t="shared" si="82"/>
        <v>2.7027027027027029E-2</v>
      </c>
      <c r="AN635" s="4">
        <f t="shared" si="79"/>
        <v>4.0934535444190883E-5</v>
      </c>
      <c r="AO635" s="3"/>
      <c r="AP635">
        <v>0</v>
      </c>
      <c r="AR635" t="s">
        <v>0</v>
      </c>
      <c r="AT635" s="2" t="s">
        <v>19</v>
      </c>
      <c r="AU635" s="1">
        <f t="shared" si="83"/>
        <v>5.5808975590338816</v>
      </c>
      <c r="AV635" s="1">
        <f t="shared" si="84"/>
        <v>3.9875249574654643</v>
      </c>
      <c r="AW635" s="1">
        <f t="shared" si="85"/>
        <v>2.3941523558970461</v>
      </c>
    </row>
    <row r="636" spans="1:49" x14ac:dyDescent="0.2">
      <c r="A636">
        <v>634</v>
      </c>
      <c r="B636" t="s">
        <v>509</v>
      </c>
      <c r="C636" t="s">
        <v>508</v>
      </c>
      <c r="F636" t="s">
        <v>507</v>
      </c>
      <c r="G636" t="s">
        <v>15</v>
      </c>
      <c r="H636" t="s">
        <v>14</v>
      </c>
      <c r="I636" t="s">
        <v>506</v>
      </c>
      <c r="J636" t="s">
        <v>505</v>
      </c>
      <c r="K636" t="s">
        <v>504</v>
      </c>
      <c r="L636" t="s">
        <v>503</v>
      </c>
      <c r="M636" t="s">
        <v>28</v>
      </c>
      <c r="N636">
        <v>2</v>
      </c>
      <c r="O636" t="s">
        <v>502</v>
      </c>
      <c r="P636" t="s">
        <v>501</v>
      </c>
      <c r="Q636" t="s">
        <v>500</v>
      </c>
      <c r="R636" s="7">
        <v>31048</v>
      </c>
      <c r="S636" s="8">
        <f t="shared" si="80"/>
        <v>1985</v>
      </c>
      <c r="T636" s="8">
        <v>1985</v>
      </c>
      <c r="U636" s="8">
        <f t="shared" si="81"/>
        <v>37</v>
      </c>
      <c r="V636" s="7">
        <v>31048</v>
      </c>
      <c r="W636" t="s">
        <v>499</v>
      </c>
      <c r="X636" s="2">
        <v>1.468</v>
      </c>
      <c r="Y636" s="6">
        <f t="shared" si="78"/>
        <v>3.9187421585115186E-2</v>
      </c>
      <c r="AA636">
        <v>906778</v>
      </c>
      <c r="AB636">
        <v>18931</v>
      </c>
      <c r="AD636" t="s">
        <v>4</v>
      </c>
      <c r="AE636">
        <v>33</v>
      </c>
      <c r="AF636">
        <v>1</v>
      </c>
      <c r="AH636" t="s">
        <v>498</v>
      </c>
      <c r="AI636" t="s">
        <v>497</v>
      </c>
      <c r="AK636" t="s">
        <v>496</v>
      </c>
      <c r="AL636">
        <v>9</v>
      </c>
      <c r="AM636" s="5">
        <f t="shared" si="82"/>
        <v>0.24324324324324326</v>
      </c>
      <c r="AN636" s="4">
        <f t="shared" si="79"/>
        <v>3.684108189977179E-4</v>
      </c>
      <c r="AO636" s="3"/>
      <c r="AP636">
        <v>0</v>
      </c>
      <c r="AR636" t="s">
        <v>0</v>
      </c>
      <c r="AT636" s="2">
        <v>5.0830000000000002</v>
      </c>
      <c r="AU636" s="1">
        <f t="shared" si="83"/>
        <v>2.7541718355279943</v>
      </c>
      <c r="AV636" s="1">
        <f t="shared" si="84"/>
        <v>1.9777916202056451</v>
      </c>
      <c r="AW636" s="1">
        <f t="shared" si="85"/>
        <v>1.2014114048832958</v>
      </c>
    </row>
    <row r="637" spans="1:49" x14ac:dyDescent="0.2">
      <c r="A637">
        <v>635</v>
      </c>
      <c r="B637" t="s">
        <v>495</v>
      </c>
      <c r="C637" t="s">
        <v>494</v>
      </c>
      <c r="F637" t="s">
        <v>493</v>
      </c>
      <c r="G637" t="s">
        <v>15</v>
      </c>
      <c r="H637" t="s">
        <v>14</v>
      </c>
      <c r="I637" t="s">
        <v>492</v>
      </c>
      <c r="N637">
        <v>4</v>
      </c>
      <c r="O637" t="s">
        <v>491</v>
      </c>
      <c r="P637" t="s">
        <v>490</v>
      </c>
      <c r="Q637" t="s">
        <v>489</v>
      </c>
      <c r="R637" s="7">
        <v>31048</v>
      </c>
      <c r="S637" s="8">
        <f t="shared" si="80"/>
        <v>1985</v>
      </c>
      <c r="T637" s="8">
        <v>1985</v>
      </c>
      <c r="U637" s="8">
        <f t="shared" si="81"/>
        <v>37</v>
      </c>
      <c r="V637" s="7" t="s">
        <v>488</v>
      </c>
      <c r="W637" t="s">
        <v>367</v>
      </c>
      <c r="X637" s="2">
        <v>0.371</v>
      </c>
      <c r="Y637" s="6">
        <f t="shared" si="78"/>
        <v>9.9036331117695747E-3</v>
      </c>
      <c r="AA637">
        <v>486604</v>
      </c>
      <c r="AB637">
        <v>28580</v>
      </c>
      <c r="AC637" t="s">
        <v>366</v>
      </c>
      <c r="AD637" t="s">
        <v>4</v>
      </c>
      <c r="AE637">
        <v>20</v>
      </c>
      <c r="AF637">
        <v>1</v>
      </c>
      <c r="AH637" t="s">
        <v>487</v>
      </c>
      <c r="AI637" t="s">
        <v>486</v>
      </c>
      <c r="AK637" t="s">
        <v>485</v>
      </c>
      <c r="AL637">
        <v>181</v>
      </c>
      <c r="AM637" s="5">
        <f t="shared" si="82"/>
        <v>4.8918918918918921</v>
      </c>
      <c r="AN637" s="4">
        <f t="shared" si="79"/>
        <v>7.4091509153985493E-3</v>
      </c>
      <c r="AO637" s="3"/>
      <c r="AP637">
        <v>0</v>
      </c>
      <c r="AR637" t="s">
        <v>0</v>
      </c>
      <c r="AT637" s="2">
        <v>1.431</v>
      </c>
      <c r="AU637" s="1">
        <f t="shared" si="83"/>
        <v>0.91552884528582656</v>
      </c>
      <c r="AV637" s="1">
        <f t="shared" si="84"/>
        <v>0.86563920135840611</v>
      </c>
      <c r="AW637" s="1">
        <f t="shared" si="85"/>
        <v>0.81574955743098576</v>
      </c>
    </row>
    <row r="638" spans="1:49" x14ac:dyDescent="0.2">
      <c r="A638">
        <v>636</v>
      </c>
      <c r="B638" t="s">
        <v>484</v>
      </c>
      <c r="C638" t="s">
        <v>483</v>
      </c>
      <c r="F638" t="s">
        <v>482</v>
      </c>
      <c r="G638" t="s">
        <v>15</v>
      </c>
      <c r="H638" t="s">
        <v>14</v>
      </c>
      <c r="I638" t="s">
        <v>481</v>
      </c>
      <c r="J638">
        <v>60014313</v>
      </c>
      <c r="K638" t="s">
        <v>480</v>
      </c>
      <c r="L638" t="s">
        <v>479</v>
      </c>
      <c r="M638" t="s">
        <v>122</v>
      </c>
      <c r="N638">
        <v>4</v>
      </c>
      <c r="O638" t="s">
        <v>478</v>
      </c>
      <c r="P638" t="s">
        <v>477</v>
      </c>
      <c r="Q638" t="s">
        <v>476</v>
      </c>
      <c r="R638" s="7">
        <v>31048</v>
      </c>
      <c r="S638" s="8">
        <f t="shared" si="80"/>
        <v>1985</v>
      </c>
      <c r="T638" s="8">
        <v>1985</v>
      </c>
      <c r="U638" s="8">
        <f t="shared" si="81"/>
        <v>37</v>
      </c>
      <c r="V638" s="7">
        <v>31048</v>
      </c>
      <c r="W638" t="s">
        <v>24</v>
      </c>
      <c r="X638" s="2">
        <v>1.6519999999999999</v>
      </c>
      <c r="Y638" s="6">
        <f t="shared" si="78"/>
        <v>4.409919649769093E-2</v>
      </c>
      <c r="AA638" t="s">
        <v>23</v>
      </c>
      <c r="AB638">
        <v>17337</v>
      </c>
      <c r="AC638">
        <v>15582221</v>
      </c>
      <c r="AD638" t="s">
        <v>4</v>
      </c>
      <c r="AE638">
        <v>33</v>
      </c>
      <c r="AF638">
        <v>1</v>
      </c>
      <c r="AH638" t="s">
        <v>475</v>
      </c>
      <c r="AI638" t="s">
        <v>474</v>
      </c>
      <c r="AK638" t="s">
        <v>473</v>
      </c>
      <c r="AL638">
        <v>21</v>
      </c>
      <c r="AM638" s="5">
        <f t="shared" si="82"/>
        <v>0.56756756756756754</v>
      </c>
      <c r="AN638" s="4">
        <f t="shared" si="79"/>
        <v>8.5962524432800838E-4</v>
      </c>
      <c r="AO638" s="3"/>
      <c r="AP638">
        <v>0</v>
      </c>
      <c r="AR638" t="s">
        <v>0</v>
      </c>
      <c r="AT638" s="2" t="s">
        <v>19</v>
      </c>
      <c r="AU638" s="1">
        <f t="shared" si="83"/>
        <v>3.1127325121682055</v>
      </c>
      <c r="AV638" s="1">
        <f t="shared" si="84"/>
        <v>2.2479410871009469</v>
      </c>
      <c r="AW638" s="1">
        <f t="shared" si="85"/>
        <v>1.3831496620336885</v>
      </c>
    </row>
    <row r="639" spans="1:49" x14ac:dyDescent="0.2">
      <c r="A639">
        <v>637</v>
      </c>
      <c r="B639" t="s">
        <v>472</v>
      </c>
      <c r="C639" t="s">
        <v>471</v>
      </c>
      <c r="F639" t="s">
        <v>470</v>
      </c>
      <c r="G639" t="s">
        <v>15</v>
      </c>
      <c r="H639" t="s">
        <v>14</v>
      </c>
      <c r="I639" t="s">
        <v>469</v>
      </c>
      <c r="J639">
        <v>60029575</v>
      </c>
      <c r="K639" t="s">
        <v>468</v>
      </c>
      <c r="L639" t="s">
        <v>467</v>
      </c>
      <c r="M639" t="s">
        <v>122</v>
      </c>
      <c r="N639">
        <v>1</v>
      </c>
      <c r="O639" t="s">
        <v>466</v>
      </c>
      <c r="P639">
        <v>7404079061</v>
      </c>
      <c r="Q639">
        <v>60029575</v>
      </c>
      <c r="R639" s="7">
        <v>31048</v>
      </c>
      <c r="S639" s="8">
        <f t="shared" si="80"/>
        <v>1985</v>
      </c>
      <c r="T639" s="8">
        <v>1985</v>
      </c>
      <c r="U639" s="8">
        <f t="shared" si="81"/>
        <v>37</v>
      </c>
      <c r="V639" s="7">
        <v>31048</v>
      </c>
      <c r="W639" t="s">
        <v>465</v>
      </c>
      <c r="X639" s="2">
        <v>0.75800000000000001</v>
      </c>
      <c r="Y639" s="6">
        <f t="shared" si="78"/>
        <v>2.0234377085502256E-2</v>
      </c>
      <c r="AA639">
        <v>224650</v>
      </c>
      <c r="AB639">
        <v>29589</v>
      </c>
      <c r="AD639" t="s">
        <v>4</v>
      </c>
      <c r="AE639">
        <v>22</v>
      </c>
      <c r="AF639">
        <v>1</v>
      </c>
      <c r="AH639" t="s">
        <v>464</v>
      </c>
      <c r="AI639" t="s">
        <v>463</v>
      </c>
      <c r="AK639" t="s">
        <v>462</v>
      </c>
      <c r="AL639">
        <v>7</v>
      </c>
      <c r="AM639" s="5">
        <f t="shared" si="82"/>
        <v>0.1891891891891892</v>
      </c>
      <c r="AN639" s="4">
        <f t="shared" si="79"/>
        <v>2.8654174810933616E-4</v>
      </c>
      <c r="AO639" s="3"/>
      <c r="AP639">
        <v>0</v>
      </c>
      <c r="AR639" t="s">
        <v>461</v>
      </c>
      <c r="AT639" s="2">
        <v>1.282</v>
      </c>
      <c r="AU639" s="1">
        <f t="shared" si="83"/>
        <v>1.4250026484284379</v>
      </c>
      <c r="AV639" s="1">
        <f t="shared" si="84"/>
        <v>1.0260459416805796</v>
      </c>
      <c r="AW639" s="1">
        <f t="shared" si="85"/>
        <v>0.62708923493272117</v>
      </c>
    </row>
    <row r="640" spans="1:49" x14ac:dyDescent="0.2">
      <c r="A640">
        <v>638</v>
      </c>
      <c r="B640" t="s">
        <v>460</v>
      </c>
      <c r="F640" t="s">
        <v>459</v>
      </c>
      <c r="G640" t="s">
        <v>15</v>
      </c>
      <c r="H640" t="s">
        <v>14</v>
      </c>
      <c r="I640" t="s">
        <v>458</v>
      </c>
      <c r="J640">
        <v>60000854</v>
      </c>
      <c r="K640" t="s">
        <v>457</v>
      </c>
      <c r="L640" t="s">
        <v>456</v>
      </c>
      <c r="M640" t="s">
        <v>122</v>
      </c>
      <c r="N640">
        <v>1</v>
      </c>
      <c r="O640" t="s">
        <v>455</v>
      </c>
      <c r="P640">
        <v>7004060287</v>
      </c>
      <c r="Q640">
        <v>60000854</v>
      </c>
      <c r="R640" s="7">
        <v>31048</v>
      </c>
      <c r="S640" s="8">
        <f t="shared" si="80"/>
        <v>1985</v>
      </c>
      <c r="T640" s="8">
        <v>1985</v>
      </c>
      <c r="U640" s="8">
        <f t="shared" si="81"/>
        <v>37</v>
      </c>
      <c r="V640" s="7">
        <v>31048</v>
      </c>
      <c r="W640" t="s">
        <v>454</v>
      </c>
      <c r="X640" s="2" t="s">
        <v>19</v>
      </c>
      <c r="Y640" s="6" t="e">
        <f t="shared" si="78"/>
        <v>#VALUE!</v>
      </c>
      <c r="AA640">
        <v>1488341</v>
      </c>
      <c r="AB640">
        <v>29778</v>
      </c>
      <c r="AD640" t="s">
        <v>4</v>
      </c>
      <c r="AI640" t="s">
        <v>453</v>
      </c>
      <c r="AK640" t="s">
        <v>452</v>
      </c>
      <c r="AL640">
        <v>3</v>
      </c>
      <c r="AM640" s="5">
        <f t="shared" si="82"/>
        <v>8.1081081081081086E-2</v>
      </c>
      <c r="AN640" s="4">
        <f t="shared" si="79"/>
        <v>1.2280360633257263E-4</v>
      </c>
      <c r="AO640" s="3"/>
      <c r="AP640">
        <v>0</v>
      </c>
      <c r="AR640" t="s">
        <v>0</v>
      </c>
      <c r="AT640" s="2" t="s">
        <v>19</v>
      </c>
      <c r="AU640" s="1" t="e">
        <f t="shared" si="83"/>
        <v>#VALUE!</v>
      </c>
      <c r="AV640" s="1" t="e">
        <f t="shared" si="84"/>
        <v>#VALUE!</v>
      </c>
      <c r="AW640" s="1" t="e">
        <f t="shared" si="85"/>
        <v>#VALUE!</v>
      </c>
    </row>
    <row r="641" spans="1:49" x14ac:dyDescent="0.2">
      <c r="A641">
        <v>639</v>
      </c>
      <c r="B641" t="s">
        <v>451</v>
      </c>
      <c r="C641" t="s">
        <v>450</v>
      </c>
      <c r="F641" t="s">
        <v>449</v>
      </c>
      <c r="G641" t="s">
        <v>15</v>
      </c>
      <c r="H641" t="s">
        <v>14</v>
      </c>
      <c r="I641" t="s">
        <v>448</v>
      </c>
      <c r="J641">
        <v>60023345</v>
      </c>
      <c r="K641" t="s">
        <v>447</v>
      </c>
      <c r="L641" t="s">
        <v>446</v>
      </c>
      <c r="M641" t="s">
        <v>434</v>
      </c>
      <c r="N641">
        <v>2</v>
      </c>
      <c r="O641" t="s">
        <v>445</v>
      </c>
      <c r="P641" t="s">
        <v>444</v>
      </c>
      <c r="Q641" t="s">
        <v>443</v>
      </c>
      <c r="R641" s="7">
        <v>31048</v>
      </c>
      <c r="S641" s="8">
        <f t="shared" si="80"/>
        <v>1985</v>
      </c>
      <c r="T641" s="8">
        <v>1985</v>
      </c>
      <c r="U641" s="8">
        <f t="shared" si="81"/>
        <v>37</v>
      </c>
      <c r="V641" s="7" t="s">
        <v>430</v>
      </c>
      <c r="W641" t="s">
        <v>429</v>
      </c>
      <c r="X641" s="2">
        <v>0.218</v>
      </c>
      <c r="Y641" s="6">
        <f t="shared" si="78"/>
        <v>5.8193854942473512E-3</v>
      </c>
      <c r="AA641">
        <v>3772063</v>
      </c>
      <c r="AB641">
        <v>130012</v>
      </c>
      <c r="AD641" t="s">
        <v>4</v>
      </c>
      <c r="AE641">
        <v>31</v>
      </c>
      <c r="AF641">
        <v>1</v>
      </c>
      <c r="AH641" s="10">
        <v>43800</v>
      </c>
      <c r="AI641" t="s">
        <v>442</v>
      </c>
      <c r="AK641" t="s">
        <v>441</v>
      </c>
      <c r="AL641">
        <v>0</v>
      </c>
      <c r="AM641" s="5">
        <f t="shared" si="82"/>
        <v>0</v>
      </c>
      <c r="AN641" s="4">
        <f t="shared" si="79"/>
        <v>0</v>
      </c>
      <c r="AO641" s="3"/>
      <c r="AP641">
        <v>0</v>
      </c>
      <c r="AR641" t="s">
        <v>0</v>
      </c>
      <c r="AT641" s="2">
        <v>2.3330000000000002</v>
      </c>
      <c r="AU641" s="1">
        <f t="shared" si="83"/>
        <v>0.40735698459731456</v>
      </c>
      <c r="AV641" s="1">
        <f t="shared" si="84"/>
        <v>0.29096927471236755</v>
      </c>
      <c r="AW641" s="1">
        <f t="shared" si="85"/>
        <v>0.17458156482742054</v>
      </c>
    </row>
    <row r="642" spans="1:49" x14ac:dyDescent="0.2">
      <c r="A642">
        <v>640</v>
      </c>
      <c r="B642" t="s">
        <v>440</v>
      </c>
      <c r="C642" t="s">
        <v>439</v>
      </c>
      <c r="F642" t="s">
        <v>438</v>
      </c>
      <c r="G642" t="s">
        <v>15</v>
      </c>
      <c r="H642" t="s">
        <v>14</v>
      </c>
      <c r="I642" t="s">
        <v>437</v>
      </c>
      <c r="J642">
        <v>60009615</v>
      </c>
      <c r="K642" t="s">
        <v>436</v>
      </c>
      <c r="L642" t="s">
        <v>435</v>
      </c>
      <c r="M642" t="s">
        <v>434</v>
      </c>
      <c r="N642">
        <v>4</v>
      </c>
      <c r="O642" t="s">
        <v>433</v>
      </c>
      <c r="P642" t="s">
        <v>432</v>
      </c>
      <c r="Q642" t="s">
        <v>431</v>
      </c>
      <c r="R642" s="7">
        <v>31048</v>
      </c>
      <c r="S642" s="8">
        <f t="shared" si="80"/>
        <v>1985</v>
      </c>
      <c r="T642" s="8">
        <v>1985</v>
      </c>
      <c r="U642" s="8">
        <f t="shared" si="81"/>
        <v>37</v>
      </c>
      <c r="V642" s="7" t="s">
        <v>430</v>
      </c>
      <c r="W642" t="s">
        <v>429</v>
      </c>
      <c r="X642" s="2">
        <v>0.218</v>
      </c>
      <c r="Y642" s="6">
        <f t="shared" ref="Y642:Y673" si="86">(X642-$Z$4)/($Z$3-$Z$4)</f>
        <v>5.8193854942473512E-3</v>
      </c>
      <c r="AA642">
        <v>3772063</v>
      </c>
      <c r="AB642">
        <v>130012</v>
      </c>
      <c r="AD642" t="s">
        <v>4</v>
      </c>
      <c r="AE642">
        <v>31</v>
      </c>
      <c r="AF642">
        <v>1</v>
      </c>
      <c r="AH642" t="s">
        <v>428</v>
      </c>
      <c r="AL642">
        <v>0</v>
      </c>
      <c r="AM642" s="5">
        <f t="shared" si="82"/>
        <v>0</v>
      </c>
      <c r="AN642" s="4">
        <f t="shared" ref="AN642:AN673" si="87">(AM642-$AO$4)/($AO$3-$AO$4)</f>
        <v>0</v>
      </c>
      <c r="AO642" s="3"/>
      <c r="AP642">
        <v>0</v>
      </c>
      <c r="AR642" t="s">
        <v>0</v>
      </c>
      <c r="AT642" s="2">
        <v>2.3330000000000002</v>
      </c>
      <c r="AU642" s="1">
        <f t="shared" si="83"/>
        <v>0.40735698459731456</v>
      </c>
      <c r="AV642" s="1">
        <f t="shared" si="84"/>
        <v>0.29096927471236755</v>
      </c>
      <c r="AW642" s="1">
        <f t="shared" si="85"/>
        <v>0.17458156482742054</v>
      </c>
    </row>
    <row r="643" spans="1:49" x14ac:dyDescent="0.2">
      <c r="A643">
        <v>641</v>
      </c>
      <c r="B643" t="s">
        <v>427</v>
      </c>
      <c r="C643" t="s">
        <v>426</v>
      </c>
      <c r="D643">
        <v>45794985901051</v>
      </c>
      <c r="F643" t="s">
        <v>425</v>
      </c>
      <c r="G643" t="s">
        <v>15</v>
      </c>
      <c r="H643" t="s">
        <v>14</v>
      </c>
      <c r="I643" t="s">
        <v>424</v>
      </c>
      <c r="J643" t="s">
        <v>419</v>
      </c>
      <c r="K643" t="s">
        <v>423</v>
      </c>
      <c r="L643" t="s">
        <v>422</v>
      </c>
      <c r="M643" t="s">
        <v>28</v>
      </c>
      <c r="N643">
        <v>2</v>
      </c>
      <c r="O643" t="s">
        <v>421</v>
      </c>
      <c r="P643" t="s">
        <v>420</v>
      </c>
      <c r="Q643" t="s">
        <v>419</v>
      </c>
      <c r="R643" s="7">
        <v>31048</v>
      </c>
      <c r="S643" s="8">
        <f t="shared" si="80"/>
        <v>1985</v>
      </c>
      <c r="T643" s="8">
        <v>1985</v>
      </c>
      <c r="U643" s="8">
        <f t="shared" si="81"/>
        <v>37</v>
      </c>
      <c r="V643" s="7">
        <v>1985</v>
      </c>
      <c r="W643" t="s">
        <v>418</v>
      </c>
      <c r="X643" s="2">
        <v>1.45</v>
      </c>
      <c r="Y643" s="6">
        <f t="shared" si="86"/>
        <v>3.8706921865406689E-2</v>
      </c>
      <c r="AA643">
        <v>457949</v>
      </c>
      <c r="AB643">
        <v>18171</v>
      </c>
      <c r="AD643" t="s">
        <v>4</v>
      </c>
      <c r="AE643">
        <v>20</v>
      </c>
      <c r="AF643" s="9">
        <v>44256</v>
      </c>
      <c r="AH643" t="s">
        <v>417</v>
      </c>
      <c r="AI643" t="s">
        <v>416</v>
      </c>
      <c r="AK643" t="s">
        <v>415</v>
      </c>
      <c r="AL643">
        <v>85</v>
      </c>
      <c r="AM643" s="5">
        <f t="shared" si="82"/>
        <v>2.2972972972972974</v>
      </c>
      <c r="AN643" s="4">
        <f t="shared" si="87"/>
        <v>3.4794355127562245E-3</v>
      </c>
      <c r="AO643" s="3"/>
      <c r="AP643">
        <v>0</v>
      </c>
      <c r="AR643" t="s">
        <v>0</v>
      </c>
      <c r="AT643" s="2" t="s">
        <v>19</v>
      </c>
      <c r="AU643" s="1">
        <f t="shared" si="83"/>
        <v>2.8138675959611548</v>
      </c>
      <c r="AV643" s="1">
        <f t="shared" si="84"/>
        <v>2.1093178689081458</v>
      </c>
      <c r="AW643" s="1">
        <f t="shared" si="85"/>
        <v>1.4047681418551363</v>
      </c>
    </row>
    <row r="644" spans="1:49" x14ac:dyDescent="0.2">
      <c r="A644">
        <v>642</v>
      </c>
      <c r="B644" t="s">
        <v>414</v>
      </c>
      <c r="C644" t="s">
        <v>413</v>
      </c>
      <c r="D644">
        <v>898122185901750</v>
      </c>
      <c r="F644" t="s">
        <v>412</v>
      </c>
      <c r="G644" t="s">
        <v>15</v>
      </c>
      <c r="H644" t="s">
        <v>14</v>
      </c>
      <c r="I644" t="s">
        <v>411</v>
      </c>
      <c r="J644">
        <v>60019947</v>
      </c>
      <c r="K644" t="s">
        <v>410</v>
      </c>
      <c r="L644" t="s">
        <v>409</v>
      </c>
      <c r="M644" t="s">
        <v>122</v>
      </c>
      <c r="N644">
        <v>2</v>
      </c>
      <c r="O644" t="s">
        <v>408</v>
      </c>
      <c r="P644" t="s">
        <v>407</v>
      </c>
      <c r="Q644" t="s">
        <v>406</v>
      </c>
      <c r="R644" s="7">
        <v>31048</v>
      </c>
      <c r="S644" s="8">
        <f t="shared" si="80"/>
        <v>1985</v>
      </c>
      <c r="T644" s="8">
        <v>1985</v>
      </c>
      <c r="U644" s="8">
        <f t="shared" si="81"/>
        <v>37</v>
      </c>
      <c r="V644" s="7" t="s">
        <v>405</v>
      </c>
      <c r="W644" t="s">
        <v>404</v>
      </c>
      <c r="X644" s="2">
        <v>1.079</v>
      </c>
      <c r="Y644" s="6">
        <f t="shared" si="86"/>
        <v>2.8803288753637114E-2</v>
      </c>
      <c r="AA644">
        <v>8981221</v>
      </c>
      <c r="AB644">
        <v>28468</v>
      </c>
      <c r="AD644" t="s">
        <v>4</v>
      </c>
      <c r="AE644">
        <v>11</v>
      </c>
      <c r="AF644" s="9">
        <v>44415</v>
      </c>
      <c r="AH644" t="s">
        <v>403</v>
      </c>
      <c r="AI644" t="s">
        <v>402</v>
      </c>
      <c r="AK644" t="s">
        <v>401</v>
      </c>
      <c r="AL644">
        <v>6</v>
      </c>
      <c r="AM644" s="5">
        <f t="shared" si="82"/>
        <v>0.16216216216216217</v>
      </c>
      <c r="AN644" s="4">
        <f t="shared" si="87"/>
        <v>2.4560721266514527E-4</v>
      </c>
      <c r="AO644" s="3"/>
      <c r="AP644">
        <v>1</v>
      </c>
      <c r="AR644" t="s">
        <v>400</v>
      </c>
      <c r="AT644" s="2" t="s">
        <v>19</v>
      </c>
      <c r="AU644" s="1">
        <f t="shared" si="83"/>
        <v>2.0235984291345521</v>
      </c>
      <c r="AV644" s="1">
        <f t="shared" si="84"/>
        <v>1.452444798315113</v>
      </c>
      <c r="AW644" s="1">
        <f t="shared" si="85"/>
        <v>0.8812911674956736</v>
      </c>
    </row>
    <row r="645" spans="1:49" x14ac:dyDescent="0.2">
      <c r="A645">
        <v>643</v>
      </c>
      <c r="B645" t="s">
        <v>399</v>
      </c>
      <c r="C645" t="s">
        <v>398</v>
      </c>
      <c r="F645" t="s">
        <v>397</v>
      </c>
      <c r="G645" t="s">
        <v>15</v>
      </c>
      <c r="H645" t="s">
        <v>14</v>
      </c>
      <c r="I645" t="s">
        <v>396</v>
      </c>
      <c r="J645" t="s">
        <v>395</v>
      </c>
      <c r="K645" t="s">
        <v>394</v>
      </c>
      <c r="L645" t="s">
        <v>393</v>
      </c>
      <c r="M645" t="s">
        <v>392</v>
      </c>
      <c r="N645">
        <v>3</v>
      </c>
      <c r="O645" t="s">
        <v>391</v>
      </c>
      <c r="P645" t="s">
        <v>390</v>
      </c>
      <c r="Q645" t="s">
        <v>389</v>
      </c>
      <c r="R645" s="7">
        <v>31048</v>
      </c>
      <c r="S645" s="8">
        <f t="shared" si="80"/>
        <v>1985</v>
      </c>
      <c r="T645" s="8">
        <v>1985</v>
      </c>
      <c r="U645" s="8">
        <f t="shared" si="81"/>
        <v>37</v>
      </c>
      <c r="V645" s="7">
        <v>31199</v>
      </c>
      <c r="W645" t="s">
        <v>388</v>
      </c>
      <c r="X645" s="2">
        <v>2.5710000000000002</v>
      </c>
      <c r="Y645" s="6">
        <f t="shared" si="86"/>
        <v>6.8631376631696966E-2</v>
      </c>
      <c r="AA645">
        <v>189200</v>
      </c>
      <c r="AB645">
        <v>17278</v>
      </c>
      <c r="AC645" t="s">
        <v>387</v>
      </c>
      <c r="AD645" t="s">
        <v>4</v>
      </c>
      <c r="AE645">
        <v>20</v>
      </c>
      <c r="AF645">
        <v>3</v>
      </c>
      <c r="AH645" t="s">
        <v>386</v>
      </c>
      <c r="AI645" t="s">
        <v>385</v>
      </c>
      <c r="AK645" t="s">
        <v>384</v>
      </c>
      <c r="AL645">
        <v>8</v>
      </c>
      <c r="AM645" s="5">
        <f t="shared" si="82"/>
        <v>0.21621621621621623</v>
      </c>
      <c r="AN645" s="4">
        <f t="shared" si="87"/>
        <v>3.2747628355352706E-4</v>
      </c>
      <c r="AO645" s="3"/>
      <c r="AP645">
        <v>0</v>
      </c>
      <c r="AR645" t="s">
        <v>0</v>
      </c>
      <c r="AT645" s="2">
        <v>5.0129999999999999</v>
      </c>
      <c r="AU645" s="1">
        <f t="shared" si="83"/>
        <v>4.814020652725393</v>
      </c>
      <c r="AV645" s="1">
        <f t="shared" si="84"/>
        <v>3.4479426457625242</v>
      </c>
      <c r="AW645" s="1">
        <f t="shared" si="85"/>
        <v>2.0818646387996558</v>
      </c>
    </row>
    <row r="646" spans="1:49" x14ac:dyDescent="0.2">
      <c r="A646">
        <v>644</v>
      </c>
      <c r="B646" t="s">
        <v>383</v>
      </c>
      <c r="C646" t="s">
        <v>382</v>
      </c>
      <c r="F646" t="s">
        <v>381</v>
      </c>
      <c r="G646" t="s">
        <v>15</v>
      </c>
      <c r="H646" t="s">
        <v>14</v>
      </c>
      <c r="I646" t="s">
        <v>380</v>
      </c>
      <c r="N646">
        <v>3</v>
      </c>
      <c r="O646" t="s">
        <v>379</v>
      </c>
      <c r="P646" t="s">
        <v>378</v>
      </c>
      <c r="Q646" t="s">
        <v>377</v>
      </c>
      <c r="R646" s="7">
        <v>31048</v>
      </c>
      <c r="S646" s="8">
        <f t="shared" ref="S646:S673" si="88">YEAR(R646)</f>
        <v>1985</v>
      </c>
      <c r="T646" s="8">
        <v>1985</v>
      </c>
      <c r="U646" s="8">
        <f t="shared" ref="U646:U673" si="89">2022-T646</f>
        <v>37</v>
      </c>
      <c r="V646" s="7" t="s">
        <v>368</v>
      </c>
      <c r="W646" t="s">
        <v>367</v>
      </c>
      <c r="X646" s="2">
        <v>0.371</v>
      </c>
      <c r="Y646" s="6">
        <f t="shared" si="86"/>
        <v>9.9036331117695747E-3</v>
      </c>
      <c r="AA646">
        <v>486604</v>
      </c>
      <c r="AB646">
        <v>28580</v>
      </c>
      <c r="AC646" t="s">
        <v>366</v>
      </c>
      <c r="AD646" t="s">
        <v>4</v>
      </c>
      <c r="AE646">
        <v>20</v>
      </c>
      <c r="AF646">
        <v>3</v>
      </c>
      <c r="AH646" t="s">
        <v>376</v>
      </c>
      <c r="AI646" t="s">
        <v>375</v>
      </c>
      <c r="AK646" t="s">
        <v>374</v>
      </c>
      <c r="AL646">
        <v>47</v>
      </c>
      <c r="AM646" s="5">
        <f t="shared" ref="AM646:AM673" si="90">AL646/U646</f>
        <v>1.2702702702702702</v>
      </c>
      <c r="AN646" s="4">
        <f t="shared" si="87"/>
        <v>1.9239231658769711E-3</v>
      </c>
      <c r="AO646" s="3"/>
      <c r="AP646">
        <v>0</v>
      </c>
      <c r="AR646" t="s">
        <v>0</v>
      </c>
      <c r="AT646" s="2">
        <v>1.431</v>
      </c>
      <c r="AU646" s="1">
        <f t="shared" ref="AU646:AU673" si="91">(Y646*0.7+AN646*0.3)*100</f>
        <v>0.75097201280017933</v>
      </c>
      <c r="AV646" s="1">
        <f t="shared" ref="AV646:AV673" si="92">(Y646*0.5+AN646*0.5)*100</f>
        <v>0.59137781388232724</v>
      </c>
      <c r="AW646" s="1">
        <f t="shared" ref="AW646:AW673" si="93">(Y646*0.3+AN646*0.7)*100</f>
        <v>0.43178361496447515</v>
      </c>
    </row>
    <row r="647" spans="1:49" x14ac:dyDescent="0.2">
      <c r="A647">
        <v>645</v>
      </c>
      <c r="B647" t="s">
        <v>373</v>
      </c>
      <c r="C647" t="s">
        <v>372</v>
      </c>
      <c r="F647" t="s">
        <v>371</v>
      </c>
      <c r="G647" t="s">
        <v>15</v>
      </c>
      <c r="H647" t="s">
        <v>14</v>
      </c>
      <c r="I647" t="s">
        <v>370</v>
      </c>
      <c r="N647">
        <v>1</v>
      </c>
      <c r="O647" t="s">
        <v>369</v>
      </c>
      <c r="P647">
        <v>7402489819</v>
      </c>
      <c r="R647" s="7">
        <v>31048</v>
      </c>
      <c r="S647" s="8">
        <f t="shared" si="88"/>
        <v>1985</v>
      </c>
      <c r="T647" s="8">
        <v>1985</v>
      </c>
      <c r="U647" s="8">
        <f t="shared" si="89"/>
        <v>37</v>
      </c>
      <c r="V647" s="7" t="s">
        <v>368</v>
      </c>
      <c r="W647" t="s">
        <v>367</v>
      </c>
      <c r="X647" s="2">
        <v>0.371</v>
      </c>
      <c r="Y647" s="6">
        <f t="shared" si="86"/>
        <v>9.9036331117695747E-3</v>
      </c>
      <c r="AA647">
        <v>486604</v>
      </c>
      <c r="AB647">
        <v>28580</v>
      </c>
      <c r="AC647" t="s">
        <v>366</v>
      </c>
      <c r="AD647" t="s">
        <v>4</v>
      </c>
      <c r="AE647">
        <v>20</v>
      </c>
      <c r="AF647">
        <v>3</v>
      </c>
      <c r="AH647" t="s">
        <v>365</v>
      </c>
      <c r="AI647" t="s">
        <v>364</v>
      </c>
      <c r="AK647" t="s">
        <v>363</v>
      </c>
      <c r="AL647">
        <v>0</v>
      </c>
      <c r="AM647" s="5">
        <f t="shared" si="90"/>
        <v>0</v>
      </c>
      <c r="AN647" s="4">
        <f t="shared" si="87"/>
        <v>0</v>
      </c>
      <c r="AO647" s="3"/>
      <c r="AP647">
        <v>0</v>
      </c>
      <c r="AR647" t="s">
        <v>0</v>
      </c>
      <c r="AT647" s="2">
        <v>1.431</v>
      </c>
      <c r="AU647" s="1">
        <f t="shared" si="91"/>
        <v>0.69325431782387015</v>
      </c>
      <c r="AV647" s="1">
        <f t="shared" si="92"/>
        <v>0.49518165558847871</v>
      </c>
      <c r="AW647" s="1">
        <f t="shared" si="93"/>
        <v>0.29710899335308727</v>
      </c>
    </row>
    <row r="648" spans="1:49" x14ac:dyDescent="0.2">
      <c r="A648">
        <v>646</v>
      </c>
      <c r="B648" t="s">
        <v>362</v>
      </c>
      <c r="F648" t="s">
        <v>361</v>
      </c>
      <c r="G648" t="s">
        <v>15</v>
      </c>
      <c r="H648" t="s">
        <v>14</v>
      </c>
      <c r="I648" t="s">
        <v>360</v>
      </c>
      <c r="J648">
        <v>60009982</v>
      </c>
      <c r="K648" t="s">
        <v>359</v>
      </c>
      <c r="L648" t="s">
        <v>358</v>
      </c>
      <c r="M648" t="s">
        <v>122</v>
      </c>
      <c r="N648">
        <v>4</v>
      </c>
      <c r="O648" t="s">
        <v>357</v>
      </c>
      <c r="P648" t="s">
        <v>356</v>
      </c>
      <c r="Q648" t="s">
        <v>355</v>
      </c>
      <c r="R648" s="7">
        <v>31048</v>
      </c>
      <c r="S648" s="8">
        <f t="shared" si="88"/>
        <v>1985</v>
      </c>
      <c r="T648" s="8">
        <v>1985</v>
      </c>
      <c r="U648" s="8">
        <f t="shared" si="89"/>
        <v>37</v>
      </c>
      <c r="V648" s="7" t="s">
        <v>310</v>
      </c>
      <c r="W648" t="s">
        <v>309</v>
      </c>
      <c r="X648" s="2">
        <v>0.62</v>
      </c>
      <c r="Y648" s="6">
        <f t="shared" si="86"/>
        <v>1.6550545901070447E-2</v>
      </c>
      <c r="AA648">
        <v>189464</v>
      </c>
      <c r="AB648">
        <v>17364</v>
      </c>
      <c r="AD648" t="s">
        <v>4</v>
      </c>
      <c r="AE648" t="s">
        <v>308</v>
      </c>
      <c r="AF648">
        <v>2</v>
      </c>
      <c r="AI648" t="s">
        <v>354</v>
      </c>
      <c r="AK648" t="s">
        <v>353</v>
      </c>
      <c r="AL648">
        <v>0</v>
      </c>
      <c r="AM648" s="5">
        <f t="shared" si="90"/>
        <v>0</v>
      </c>
      <c r="AN648" s="4">
        <f t="shared" si="87"/>
        <v>0</v>
      </c>
      <c r="AO648" s="3"/>
      <c r="AP648">
        <v>0</v>
      </c>
      <c r="AR648" t="s">
        <v>0</v>
      </c>
      <c r="AT648" s="2">
        <v>1.7</v>
      </c>
      <c r="AU648" s="1">
        <f t="shared" si="91"/>
        <v>1.1585382130749313</v>
      </c>
      <c r="AV648" s="1">
        <f t="shared" si="92"/>
        <v>0.8275272950535224</v>
      </c>
      <c r="AW648" s="1">
        <f t="shared" si="93"/>
        <v>0.49651637703211338</v>
      </c>
    </row>
    <row r="649" spans="1:49" x14ac:dyDescent="0.2">
      <c r="A649">
        <v>647</v>
      </c>
      <c r="B649" t="s">
        <v>352</v>
      </c>
      <c r="C649" t="s">
        <v>351</v>
      </c>
      <c r="D649">
        <v>378436385906357</v>
      </c>
      <c r="F649" t="s">
        <v>350</v>
      </c>
      <c r="G649" t="s">
        <v>15</v>
      </c>
      <c r="H649" t="s">
        <v>14</v>
      </c>
      <c r="I649" t="s">
        <v>349</v>
      </c>
      <c r="J649" t="s">
        <v>348</v>
      </c>
      <c r="K649" t="s">
        <v>347</v>
      </c>
      <c r="L649" t="s">
        <v>346</v>
      </c>
      <c r="M649" t="s">
        <v>148</v>
      </c>
      <c r="N649">
        <v>4</v>
      </c>
      <c r="O649" t="s">
        <v>345</v>
      </c>
      <c r="P649" t="s">
        <v>344</v>
      </c>
      <c r="Q649" t="s">
        <v>343</v>
      </c>
      <c r="R649" s="7">
        <v>31048</v>
      </c>
      <c r="S649" s="8">
        <f t="shared" si="88"/>
        <v>1985</v>
      </c>
      <c r="T649" s="8">
        <v>1985</v>
      </c>
      <c r="U649" s="8">
        <f t="shared" si="89"/>
        <v>37</v>
      </c>
      <c r="V649" s="7">
        <v>31107</v>
      </c>
      <c r="W649" t="s">
        <v>342</v>
      </c>
      <c r="X649" s="2" t="s">
        <v>19</v>
      </c>
      <c r="Y649" s="6" t="e">
        <f t="shared" si="86"/>
        <v>#VALUE!</v>
      </c>
      <c r="AA649">
        <v>3784363</v>
      </c>
      <c r="AB649">
        <v>33292</v>
      </c>
      <c r="AD649" t="s">
        <v>4</v>
      </c>
      <c r="AE649">
        <v>129</v>
      </c>
      <c r="AF649" s="9">
        <v>44256</v>
      </c>
      <c r="AH649" t="s">
        <v>341</v>
      </c>
      <c r="AI649" t="s">
        <v>340</v>
      </c>
      <c r="AK649" t="s">
        <v>339</v>
      </c>
      <c r="AL649">
        <v>2</v>
      </c>
      <c r="AM649" s="5">
        <f t="shared" si="90"/>
        <v>5.4054054054054057E-2</v>
      </c>
      <c r="AN649" s="4">
        <f t="shared" si="87"/>
        <v>8.1869070888381765E-5</v>
      </c>
      <c r="AO649" s="3"/>
      <c r="AP649">
        <v>0</v>
      </c>
      <c r="AR649" t="s">
        <v>0</v>
      </c>
      <c r="AT649" s="2" t="s">
        <v>19</v>
      </c>
      <c r="AU649" s="1" t="e">
        <f t="shared" si="91"/>
        <v>#VALUE!</v>
      </c>
      <c r="AV649" s="1" t="e">
        <f t="shared" si="92"/>
        <v>#VALUE!</v>
      </c>
      <c r="AW649" s="1" t="e">
        <f t="shared" si="93"/>
        <v>#VALUE!</v>
      </c>
    </row>
    <row r="650" spans="1:49" x14ac:dyDescent="0.2">
      <c r="A650">
        <v>648</v>
      </c>
      <c r="B650" t="s">
        <v>338</v>
      </c>
      <c r="F650" t="s">
        <v>337</v>
      </c>
      <c r="G650" t="s">
        <v>15</v>
      </c>
      <c r="H650" t="s">
        <v>14</v>
      </c>
      <c r="I650" t="s">
        <v>336</v>
      </c>
      <c r="J650">
        <v>60012708</v>
      </c>
      <c r="K650" t="s">
        <v>335</v>
      </c>
      <c r="L650" t="s">
        <v>334</v>
      </c>
      <c r="M650" t="s">
        <v>122</v>
      </c>
      <c r="N650">
        <v>3</v>
      </c>
      <c r="O650" t="s">
        <v>333</v>
      </c>
      <c r="P650" t="s">
        <v>332</v>
      </c>
      <c r="Q650" t="s">
        <v>331</v>
      </c>
      <c r="R650" s="7">
        <v>31048</v>
      </c>
      <c r="S650" s="8">
        <f t="shared" si="88"/>
        <v>1985</v>
      </c>
      <c r="T650" s="8">
        <v>1985</v>
      </c>
      <c r="U650" s="8">
        <f t="shared" si="89"/>
        <v>37</v>
      </c>
      <c r="V650" s="7" t="s">
        <v>310</v>
      </c>
      <c r="W650" t="s">
        <v>309</v>
      </c>
      <c r="X650" s="2">
        <v>0.62</v>
      </c>
      <c r="Y650" s="6">
        <f t="shared" si="86"/>
        <v>1.6550545901070447E-2</v>
      </c>
      <c r="AA650">
        <v>189464</v>
      </c>
      <c r="AB650">
        <v>17364</v>
      </c>
      <c r="AD650" t="s">
        <v>4</v>
      </c>
      <c r="AE650" t="s">
        <v>308</v>
      </c>
      <c r="AF650">
        <v>2</v>
      </c>
      <c r="AI650" t="s">
        <v>330</v>
      </c>
      <c r="AK650" t="s">
        <v>329</v>
      </c>
      <c r="AL650">
        <v>0</v>
      </c>
      <c r="AM650" s="5">
        <f t="shared" si="90"/>
        <v>0</v>
      </c>
      <c r="AN650" s="4">
        <f t="shared" si="87"/>
        <v>0</v>
      </c>
      <c r="AO650" s="3"/>
      <c r="AP650">
        <v>0</v>
      </c>
      <c r="AR650" t="s">
        <v>0</v>
      </c>
      <c r="AT650" s="2">
        <v>1.7</v>
      </c>
      <c r="AU650" s="1">
        <f t="shared" si="91"/>
        <v>1.1585382130749313</v>
      </c>
      <c r="AV650" s="1">
        <f t="shared" si="92"/>
        <v>0.8275272950535224</v>
      </c>
      <c r="AW650" s="1">
        <f t="shared" si="93"/>
        <v>0.49651637703211338</v>
      </c>
    </row>
    <row r="651" spans="1:49" x14ac:dyDescent="0.2">
      <c r="A651">
        <v>649</v>
      </c>
      <c r="B651" t="s">
        <v>328</v>
      </c>
      <c r="F651" t="s">
        <v>327</v>
      </c>
      <c r="G651" t="s">
        <v>15</v>
      </c>
      <c r="H651" t="s">
        <v>14</v>
      </c>
      <c r="I651" t="s">
        <v>326</v>
      </c>
      <c r="J651">
        <v>60025038</v>
      </c>
      <c r="K651" t="s">
        <v>325</v>
      </c>
      <c r="L651" t="s">
        <v>324</v>
      </c>
      <c r="M651" t="s">
        <v>122</v>
      </c>
      <c r="N651">
        <v>3</v>
      </c>
      <c r="O651" t="s">
        <v>323</v>
      </c>
      <c r="P651" t="s">
        <v>322</v>
      </c>
      <c r="Q651" t="s">
        <v>321</v>
      </c>
      <c r="R651" s="7">
        <v>31048</v>
      </c>
      <c r="S651" s="8">
        <f t="shared" si="88"/>
        <v>1985</v>
      </c>
      <c r="T651" s="8">
        <v>1985</v>
      </c>
      <c r="U651" s="8">
        <f t="shared" si="89"/>
        <v>37</v>
      </c>
      <c r="V651" s="7" t="s">
        <v>310</v>
      </c>
      <c r="W651" t="s">
        <v>309</v>
      </c>
      <c r="X651" s="2">
        <v>0.62</v>
      </c>
      <c r="Y651" s="6">
        <f t="shared" si="86"/>
        <v>1.6550545901070447E-2</v>
      </c>
      <c r="AA651">
        <v>189464</v>
      </c>
      <c r="AB651">
        <v>17364</v>
      </c>
      <c r="AD651" t="s">
        <v>4</v>
      </c>
      <c r="AE651" t="s">
        <v>308</v>
      </c>
      <c r="AF651">
        <v>2</v>
      </c>
      <c r="AI651" t="s">
        <v>320</v>
      </c>
      <c r="AK651" t="s">
        <v>319</v>
      </c>
      <c r="AL651">
        <v>1</v>
      </c>
      <c r="AM651" s="5">
        <f t="shared" si="90"/>
        <v>2.7027027027027029E-2</v>
      </c>
      <c r="AN651" s="4">
        <f t="shared" si="87"/>
        <v>4.0934535444190883E-5</v>
      </c>
      <c r="AO651" s="3"/>
      <c r="AP651">
        <v>0</v>
      </c>
      <c r="AR651" t="s">
        <v>0</v>
      </c>
      <c r="AT651" s="2">
        <v>1.7</v>
      </c>
      <c r="AU651" s="1">
        <f t="shared" si="91"/>
        <v>1.159766249138257</v>
      </c>
      <c r="AV651" s="1">
        <f t="shared" si="92"/>
        <v>0.82957402182573192</v>
      </c>
      <c r="AW651" s="1">
        <f t="shared" si="93"/>
        <v>0.49938179451320674</v>
      </c>
    </row>
    <row r="652" spans="1:49" x14ac:dyDescent="0.2">
      <c r="A652">
        <v>650</v>
      </c>
      <c r="B652" t="s">
        <v>318</v>
      </c>
      <c r="F652" t="s">
        <v>317</v>
      </c>
      <c r="G652" t="s">
        <v>15</v>
      </c>
      <c r="H652" t="s">
        <v>14</v>
      </c>
      <c r="I652" t="s">
        <v>316</v>
      </c>
      <c r="J652">
        <v>60031806</v>
      </c>
      <c r="K652" t="s">
        <v>315</v>
      </c>
      <c r="L652" t="s">
        <v>314</v>
      </c>
      <c r="M652" t="s">
        <v>43</v>
      </c>
      <c r="N652">
        <v>5</v>
      </c>
      <c r="O652" t="s">
        <v>313</v>
      </c>
      <c r="P652" t="s">
        <v>312</v>
      </c>
      <c r="Q652" t="s">
        <v>311</v>
      </c>
      <c r="R652" s="7">
        <v>31048</v>
      </c>
      <c r="S652" s="8">
        <f t="shared" si="88"/>
        <v>1985</v>
      </c>
      <c r="T652" s="8">
        <v>1985</v>
      </c>
      <c r="U652" s="8">
        <f t="shared" si="89"/>
        <v>37</v>
      </c>
      <c r="V652" s="7" t="s">
        <v>310</v>
      </c>
      <c r="W652" t="s">
        <v>309</v>
      </c>
      <c r="X652" s="2">
        <v>0.62</v>
      </c>
      <c r="Y652" s="6">
        <f t="shared" si="86"/>
        <v>1.6550545901070447E-2</v>
      </c>
      <c r="AA652">
        <v>189464</v>
      </c>
      <c r="AB652">
        <v>17364</v>
      </c>
      <c r="AD652" t="s">
        <v>4</v>
      </c>
      <c r="AE652" t="s">
        <v>308</v>
      </c>
      <c r="AF652">
        <v>2</v>
      </c>
      <c r="AI652" t="s">
        <v>307</v>
      </c>
      <c r="AK652" t="s">
        <v>306</v>
      </c>
      <c r="AL652">
        <v>2</v>
      </c>
      <c r="AM652" s="5">
        <f t="shared" si="90"/>
        <v>5.4054054054054057E-2</v>
      </c>
      <c r="AN652" s="4">
        <f t="shared" si="87"/>
        <v>8.1869070888381765E-5</v>
      </c>
      <c r="AO652" s="3"/>
      <c r="AP652">
        <v>0</v>
      </c>
      <c r="AR652" t="s">
        <v>0</v>
      </c>
      <c r="AT652" s="2">
        <v>1.7</v>
      </c>
      <c r="AU652" s="1">
        <f t="shared" si="91"/>
        <v>1.1609942852015827</v>
      </c>
      <c r="AV652" s="1">
        <f t="shared" si="92"/>
        <v>0.83162074859794133</v>
      </c>
      <c r="AW652" s="1">
        <f t="shared" si="93"/>
        <v>0.50224721199430011</v>
      </c>
    </row>
    <row r="653" spans="1:49" x14ac:dyDescent="0.2">
      <c r="A653">
        <v>651</v>
      </c>
      <c r="B653" t="s">
        <v>305</v>
      </c>
      <c r="C653" t="s">
        <v>304</v>
      </c>
      <c r="D653" t="s">
        <v>303</v>
      </c>
      <c r="F653" t="s">
        <v>302</v>
      </c>
      <c r="G653" t="s">
        <v>15</v>
      </c>
      <c r="H653" t="s">
        <v>14</v>
      </c>
      <c r="I653" t="s">
        <v>301</v>
      </c>
      <c r="J653">
        <v>60024353</v>
      </c>
      <c r="K653" t="s">
        <v>300</v>
      </c>
      <c r="L653" t="s">
        <v>299</v>
      </c>
      <c r="M653" t="s">
        <v>298</v>
      </c>
      <c r="N653">
        <v>3</v>
      </c>
      <c r="O653" t="s">
        <v>297</v>
      </c>
      <c r="P653" t="s">
        <v>296</v>
      </c>
      <c r="Q653" t="s">
        <v>295</v>
      </c>
      <c r="R653" s="7">
        <v>31048</v>
      </c>
      <c r="S653" s="8">
        <f t="shared" si="88"/>
        <v>1985</v>
      </c>
      <c r="T653" s="8">
        <v>1985</v>
      </c>
      <c r="U653" s="8">
        <f t="shared" si="89"/>
        <v>37</v>
      </c>
      <c r="V653" s="7">
        <v>31079</v>
      </c>
      <c r="W653" t="s">
        <v>294</v>
      </c>
      <c r="X653" s="2" t="s">
        <v>19</v>
      </c>
      <c r="Y653" s="6" t="e">
        <f t="shared" si="86"/>
        <v>#VALUE!</v>
      </c>
      <c r="AA653">
        <v>200891</v>
      </c>
      <c r="AB653">
        <v>33360</v>
      </c>
      <c r="AD653" t="s">
        <v>4</v>
      </c>
      <c r="AE653">
        <v>25</v>
      </c>
      <c r="AF653" s="9">
        <v>44228</v>
      </c>
      <c r="AH653" t="s">
        <v>293</v>
      </c>
      <c r="AI653" t="s">
        <v>292</v>
      </c>
      <c r="AK653" t="s">
        <v>291</v>
      </c>
      <c r="AL653">
        <v>0</v>
      </c>
      <c r="AM653" s="5">
        <f t="shared" si="90"/>
        <v>0</v>
      </c>
      <c r="AN653" s="4">
        <f t="shared" si="87"/>
        <v>0</v>
      </c>
      <c r="AO653" s="3"/>
      <c r="AP653">
        <v>0</v>
      </c>
      <c r="AR653" t="s">
        <v>0</v>
      </c>
      <c r="AT653" s="2" t="s">
        <v>19</v>
      </c>
      <c r="AU653" s="1" t="e">
        <f t="shared" si="91"/>
        <v>#VALUE!</v>
      </c>
      <c r="AV653" s="1" t="e">
        <f t="shared" si="92"/>
        <v>#VALUE!</v>
      </c>
      <c r="AW653" s="1" t="e">
        <f t="shared" si="93"/>
        <v>#VALUE!</v>
      </c>
    </row>
    <row r="654" spans="1:49" x14ac:dyDescent="0.2">
      <c r="A654">
        <v>652</v>
      </c>
      <c r="B654" t="s">
        <v>290</v>
      </c>
      <c r="C654" t="s">
        <v>289</v>
      </c>
      <c r="F654" t="s">
        <v>288</v>
      </c>
      <c r="G654" t="s">
        <v>15</v>
      </c>
      <c r="H654" t="s">
        <v>14</v>
      </c>
      <c r="I654" t="s">
        <v>287</v>
      </c>
      <c r="J654">
        <v>101174810</v>
      </c>
      <c r="K654" t="s">
        <v>286</v>
      </c>
      <c r="L654" t="s">
        <v>285</v>
      </c>
      <c r="M654" t="s">
        <v>91</v>
      </c>
      <c r="N654">
        <v>1</v>
      </c>
      <c r="O654" t="s">
        <v>284</v>
      </c>
      <c r="P654">
        <v>57209079626</v>
      </c>
      <c r="Q654">
        <v>101174810</v>
      </c>
      <c r="R654" s="7">
        <v>31048</v>
      </c>
      <c r="S654" s="8">
        <f t="shared" si="88"/>
        <v>1985</v>
      </c>
      <c r="T654" s="8">
        <v>1985</v>
      </c>
      <c r="U654" s="8">
        <f t="shared" si="89"/>
        <v>37</v>
      </c>
      <c r="V654" s="7" t="s">
        <v>283</v>
      </c>
      <c r="W654" t="s">
        <v>282</v>
      </c>
      <c r="X654" s="2" t="s">
        <v>19</v>
      </c>
      <c r="Y654" s="6" t="e">
        <f t="shared" si="86"/>
        <v>#VALUE!</v>
      </c>
      <c r="AA654">
        <v>442240</v>
      </c>
      <c r="AB654">
        <v>21100829285</v>
      </c>
      <c r="AC654">
        <v>14390418</v>
      </c>
      <c r="AD654" t="s">
        <v>4</v>
      </c>
      <c r="AE654">
        <v>100</v>
      </c>
      <c r="AF654" s="9">
        <v>44317</v>
      </c>
      <c r="AH654" t="s">
        <v>281</v>
      </c>
      <c r="AI654" t="s">
        <v>280</v>
      </c>
      <c r="AK654" t="s">
        <v>279</v>
      </c>
      <c r="AL654">
        <v>3</v>
      </c>
      <c r="AM654" s="5">
        <f t="shared" si="90"/>
        <v>8.1081081081081086E-2</v>
      </c>
      <c r="AN654" s="4">
        <f t="shared" si="87"/>
        <v>1.2280360633257263E-4</v>
      </c>
      <c r="AO654" s="3"/>
      <c r="AP654">
        <v>0</v>
      </c>
      <c r="AR654" t="s">
        <v>0</v>
      </c>
      <c r="AT654" s="2" t="s">
        <v>19</v>
      </c>
      <c r="AU654" s="1" t="e">
        <f t="shared" si="91"/>
        <v>#VALUE!</v>
      </c>
      <c r="AV654" s="1" t="e">
        <f t="shared" si="92"/>
        <v>#VALUE!</v>
      </c>
      <c r="AW654" s="1" t="e">
        <f t="shared" si="93"/>
        <v>#VALUE!</v>
      </c>
    </row>
    <row r="655" spans="1:49" x14ac:dyDescent="0.2">
      <c r="A655">
        <v>653</v>
      </c>
      <c r="B655" t="s">
        <v>278</v>
      </c>
      <c r="C655" t="s">
        <v>277</v>
      </c>
      <c r="F655" t="s">
        <v>276</v>
      </c>
      <c r="G655" t="s">
        <v>15</v>
      </c>
      <c r="H655" t="s">
        <v>14</v>
      </c>
      <c r="I655" t="s">
        <v>275</v>
      </c>
      <c r="J655">
        <v>60032530</v>
      </c>
      <c r="K655" t="s">
        <v>274</v>
      </c>
      <c r="L655" t="s">
        <v>273</v>
      </c>
      <c r="M655" t="s">
        <v>272</v>
      </c>
      <c r="N655">
        <v>2</v>
      </c>
      <c r="O655" t="s">
        <v>271</v>
      </c>
      <c r="P655" t="s">
        <v>270</v>
      </c>
      <c r="Q655" t="s">
        <v>269</v>
      </c>
      <c r="R655" s="7">
        <v>31048</v>
      </c>
      <c r="S655" s="8">
        <f t="shared" si="88"/>
        <v>1985</v>
      </c>
      <c r="T655" s="8">
        <v>1985</v>
      </c>
      <c r="U655" s="8">
        <f t="shared" si="89"/>
        <v>37</v>
      </c>
      <c r="V655" s="7">
        <v>31382</v>
      </c>
      <c r="W655" t="s">
        <v>72</v>
      </c>
      <c r="X655" s="2">
        <v>0.76500000000000001</v>
      </c>
      <c r="Y655" s="6">
        <f t="shared" si="86"/>
        <v>2.0421238087611118E-2</v>
      </c>
      <c r="AA655">
        <v>138703</v>
      </c>
      <c r="AB655">
        <v>19793</v>
      </c>
      <c r="AC655">
        <v>15707458</v>
      </c>
      <c r="AD655" t="s">
        <v>4</v>
      </c>
      <c r="AE655">
        <v>39</v>
      </c>
      <c r="AF655">
        <v>3</v>
      </c>
      <c r="AH655" t="s">
        <v>268</v>
      </c>
      <c r="AI655" t="s">
        <v>267</v>
      </c>
      <c r="AJ655" t="s">
        <v>266</v>
      </c>
      <c r="AK655" t="s">
        <v>265</v>
      </c>
      <c r="AL655">
        <v>18</v>
      </c>
      <c r="AM655" s="5">
        <f t="shared" si="90"/>
        <v>0.48648648648648651</v>
      </c>
      <c r="AN655" s="4">
        <f t="shared" si="87"/>
        <v>7.368216379954358E-4</v>
      </c>
      <c r="AO655" s="3"/>
      <c r="AP655">
        <v>0</v>
      </c>
      <c r="AR655" t="s">
        <v>0</v>
      </c>
      <c r="AT655" s="2" t="s">
        <v>19</v>
      </c>
      <c r="AU655" s="1">
        <f t="shared" si="91"/>
        <v>1.4515913152726412</v>
      </c>
      <c r="AV655" s="1">
        <f t="shared" si="92"/>
        <v>1.0579029862803278</v>
      </c>
      <c r="AW655" s="1">
        <f t="shared" si="93"/>
        <v>0.6642146572880141</v>
      </c>
    </row>
    <row r="656" spans="1:49" x14ac:dyDescent="0.2">
      <c r="A656">
        <v>654</v>
      </c>
      <c r="B656" t="s">
        <v>264</v>
      </c>
      <c r="C656" t="s">
        <v>263</v>
      </c>
      <c r="F656" t="s">
        <v>262</v>
      </c>
      <c r="G656" t="s">
        <v>15</v>
      </c>
      <c r="H656" t="s">
        <v>14</v>
      </c>
      <c r="I656" t="s">
        <v>261</v>
      </c>
      <c r="J656">
        <v>60029570</v>
      </c>
      <c r="K656" t="s">
        <v>260</v>
      </c>
      <c r="L656" t="s">
        <v>259</v>
      </c>
      <c r="M656" t="s">
        <v>258</v>
      </c>
      <c r="N656">
        <v>1</v>
      </c>
      <c r="O656" t="s">
        <v>257</v>
      </c>
      <c r="P656">
        <v>7102098015</v>
      </c>
      <c r="Q656">
        <v>60029570</v>
      </c>
      <c r="R656" s="7">
        <v>31048</v>
      </c>
      <c r="S656" s="8">
        <f t="shared" si="88"/>
        <v>1985</v>
      </c>
      <c r="T656" s="8">
        <v>1985</v>
      </c>
      <c r="U656" s="8">
        <f t="shared" si="89"/>
        <v>37</v>
      </c>
      <c r="V656" s="7">
        <v>31138</v>
      </c>
      <c r="W656" t="s">
        <v>256</v>
      </c>
      <c r="X656" s="2">
        <v>1.1479999999999999</v>
      </c>
      <c r="Y656" s="6">
        <f t="shared" si="86"/>
        <v>3.0645204345853019E-2</v>
      </c>
      <c r="AA656">
        <v>244082</v>
      </c>
      <c r="AB656">
        <v>22631</v>
      </c>
      <c r="AC656">
        <v>10963642</v>
      </c>
      <c r="AD656" t="s">
        <v>4</v>
      </c>
      <c r="AE656">
        <v>83</v>
      </c>
      <c r="AF656">
        <v>4</v>
      </c>
      <c r="AH656" t="s">
        <v>255</v>
      </c>
      <c r="AI656" t="s">
        <v>254</v>
      </c>
      <c r="AJ656" t="s">
        <v>253</v>
      </c>
      <c r="AK656" t="s">
        <v>252</v>
      </c>
      <c r="AL656">
        <v>11</v>
      </c>
      <c r="AM656" s="5">
        <f t="shared" si="90"/>
        <v>0.29729729729729731</v>
      </c>
      <c r="AN656" s="4">
        <f t="shared" si="87"/>
        <v>4.5027988988609969E-4</v>
      </c>
      <c r="AO656" s="3"/>
      <c r="AP656">
        <v>0</v>
      </c>
      <c r="AR656" t="s">
        <v>0</v>
      </c>
      <c r="AT656" s="2" t="s">
        <v>19</v>
      </c>
      <c r="AU656" s="1">
        <f t="shared" si="91"/>
        <v>2.1586727009062945</v>
      </c>
      <c r="AV656" s="1">
        <f t="shared" si="92"/>
        <v>1.5547742117869559</v>
      </c>
      <c r="AW656" s="1">
        <f t="shared" si="93"/>
        <v>0.95087572266761755</v>
      </c>
    </row>
    <row r="657" spans="1:49" x14ac:dyDescent="0.2">
      <c r="A657">
        <v>655</v>
      </c>
      <c r="B657" t="s">
        <v>251</v>
      </c>
      <c r="C657" t="s">
        <v>250</v>
      </c>
      <c r="D657">
        <v>47267085870696</v>
      </c>
      <c r="F657" t="s">
        <v>249</v>
      </c>
      <c r="G657" t="s">
        <v>15</v>
      </c>
      <c r="H657" t="s">
        <v>14</v>
      </c>
      <c r="I657" t="s">
        <v>248</v>
      </c>
      <c r="J657">
        <v>60003892</v>
      </c>
      <c r="K657" t="s">
        <v>247</v>
      </c>
      <c r="L657" t="s">
        <v>246</v>
      </c>
      <c r="M657" t="s">
        <v>122</v>
      </c>
      <c r="N657">
        <v>2</v>
      </c>
      <c r="O657" t="s">
        <v>245</v>
      </c>
      <c r="P657" t="s">
        <v>244</v>
      </c>
      <c r="Q657" t="s">
        <v>243</v>
      </c>
      <c r="R657" s="7">
        <v>31048</v>
      </c>
      <c r="S657" s="8">
        <f t="shared" si="88"/>
        <v>1985</v>
      </c>
      <c r="T657" s="8">
        <v>1985</v>
      </c>
      <c r="U657" s="8">
        <f t="shared" si="89"/>
        <v>37</v>
      </c>
      <c r="V657" s="7">
        <v>31168</v>
      </c>
      <c r="W657" t="s">
        <v>242</v>
      </c>
      <c r="X657" s="2" t="s">
        <v>19</v>
      </c>
      <c r="Y657" s="6" t="e">
        <f t="shared" si="86"/>
        <v>#VALUE!</v>
      </c>
      <c r="AA657">
        <v>472670</v>
      </c>
      <c r="AB657">
        <v>9800153115</v>
      </c>
      <c r="AD657" t="s">
        <v>4</v>
      </c>
      <c r="AE657">
        <v>29</v>
      </c>
      <c r="AF657" s="9">
        <v>44228</v>
      </c>
      <c r="AH657" t="s">
        <v>241</v>
      </c>
      <c r="AI657" t="s">
        <v>240</v>
      </c>
      <c r="AK657" t="s">
        <v>239</v>
      </c>
      <c r="AL657">
        <v>35</v>
      </c>
      <c r="AM657" s="5">
        <f t="shared" si="90"/>
        <v>0.94594594594594594</v>
      </c>
      <c r="AN657" s="4">
        <f t="shared" si="87"/>
        <v>1.4327087405466808E-3</v>
      </c>
      <c r="AO657" s="3"/>
      <c r="AP657">
        <v>0</v>
      </c>
      <c r="AQ657" t="s">
        <v>238</v>
      </c>
      <c r="AR657" t="s">
        <v>237</v>
      </c>
      <c r="AS657" t="s">
        <v>236</v>
      </c>
      <c r="AT657" s="2" t="s">
        <v>19</v>
      </c>
      <c r="AU657" s="1" t="e">
        <f t="shared" si="91"/>
        <v>#VALUE!</v>
      </c>
      <c r="AV657" s="1" t="e">
        <f t="shared" si="92"/>
        <v>#VALUE!</v>
      </c>
      <c r="AW657" s="1" t="e">
        <f t="shared" si="93"/>
        <v>#VALUE!</v>
      </c>
    </row>
    <row r="658" spans="1:49" x14ac:dyDescent="0.2">
      <c r="A658">
        <v>656</v>
      </c>
      <c r="B658" t="s">
        <v>235</v>
      </c>
      <c r="C658" t="s">
        <v>234</v>
      </c>
      <c r="D658" t="s">
        <v>233</v>
      </c>
      <c r="F658" t="s">
        <v>232</v>
      </c>
      <c r="G658" t="s">
        <v>15</v>
      </c>
      <c r="H658" t="s">
        <v>14</v>
      </c>
      <c r="I658" t="s">
        <v>231</v>
      </c>
      <c r="J658">
        <v>60029428</v>
      </c>
      <c r="K658" t="s">
        <v>93</v>
      </c>
      <c r="L658" t="s">
        <v>92</v>
      </c>
      <c r="M658" t="s">
        <v>91</v>
      </c>
      <c r="N658">
        <v>1</v>
      </c>
      <c r="O658" t="s">
        <v>230</v>
      </c>
      <c r="P658">
        <v>24458297300</v>
      </c>
      <c r="Q658">
        <v>60029428</v>
      </c>
      <c r="R658" s="7">
        <v>31048</v>
      </c>
      <c r="S658" s="8">
        <f t="shared" si="88"/>
        <v>1985</v>
      </c>
      <c r="T658" s="8">
        <v>1985</v>
      </c>
      <c r="U658" s="8">
        <f t="shared" si="89"/>
        <v>37</v>
      </c>
      <c r="V658" s="7">
        <v>1985</v>
      </c>
      <c r="W658" t="s">
        <v>229</v>
      </c>
      <c r="X658" s="2">
        <v>0.998</v>
      </c>
      <c r="Y658" s="6">
        <f t="shared" si="86"/>
        <v>2.664104001494888E-2</v>
      </c>
      <c r="AA658">
        <v>207322</v>
      </c>
      <c r="AB658">
        <v>90127</v>
      </c>
      <c r="AD658" t="s">
        <v>4</v>
      </c>
      <c r="AE658">
        <v>14</v>
      </c>
      <c r="AF658">
        <v>4</v>
      </c>
      <c r="AH658" t="s">
        <v>228</v>
      </c>
      <c r="AI658" t="s">
        <v>227</v>
      </c>
      <c r="AJ658" t="s">
        <v>226</v>
      </c>
      <c r="AK658" t="s">
        <v>225</v>
      </c>
      <c r="AL658">
        <v>19</v>
      </c>
      <c r="AM658" s="5">
        <f t="shared" si="90"/>
        <v>0.51351351351351349</v>
      </c>
      <c r="AN658" s="4">
        <f t="shared" si="87"/>
        <v>7.7775617343962659E-4</v>
      </c>
      <c r="AO658" s="3"/>
      <c r="AP658">
        <v>0</v>
      </c>
      <c r="AR658" t="s">
        <v>0</v>
      </c>
      <c r="AT658" s="2" t="s">
        <v>19</v>
      </c>
      <c r="AU658" s="1">
        <f t="shared" si="91"/>
        <v>1.8882054862496105</v>
      </c>
      <c r="AV658" s="1">
        <f t="shared" si="92"/>
        <v>1.3709398094194254</v>
      </c>
      <c r="AW658" s="1">
        <f t="shared" si="93"/>
        <v>0.85367413258924019</v>
      </c>
    </row>
    <row r="659" spans="1:49" x14ac:dyDescent="0.2">
      <c r="A659">
        <v>657</v>
      </c>
      <c r="B659" t="s">
        <v>224</v>
      </c>
      <c r="C659" t="s">
        <v>223</v>
      </c>
      <c r="D659">
        <v>300962985909302</v>
      </c>
      <c r="F659" t="s">
        <v>222</v>
      </c>
      <c r="G659" t="s">
        <v>15</v>
      </c>
      <c r="H659" t="s">
        <v>14</v>
      </c>
      <c r="I659" t="s">
        <v>221</v>
      </c>
      <c r="J659">
        <v>60007989</v>
      </c>
      <c r="K659" t="s">
        <v>220</v>
      </c>
      <c r="L659" t="s">
        <v>219</v>
      </c>
      <c r="M659" t="s">
        <v>218</v>
      </c>
      <c r="N659">
        <v>2</v>
      </c>
      <c r="O659" t="s">
        <v>217</v>
      </c>
      <c r="P659" t="s">
        <v>216</v>
      </c>
      <c r="Q659" t="s">
        <v>215</v>
      </c>
      <c r="R659" s="7">
        <v>31048</v>
      </c>
      <c r="S659" s="8">
        <f t="shared" si="88"/>
        <v>1985</v>
      </c>
      <c r="T659" s="8">
        <v>1985</v>
      </c>
      <c r="U659" s="8">
        <f t="shared" si="89"/>
        <v>37</v>
      </c>
      <c r="V659" s="7">
        <v>1985</v>
      </c>
      <c r="W659" t="s">
        <v>214</v>
      </c>
      <c r="X659" s="2">
        <v>0.64600000000000002</v>
      </c>
      <c r="Y659" s="6">
        <f t="shared" si="86"/>
        <v>1.72446010517605E-2</v>
      </c>
      <c r="AA659">
        <v>3009629</v>
      </c>
      <c r="AB659">
        <v>23398</v>
      </c>
      <c r="AD659" t="s">
        <v>4</v>
      </c>
      <c r="AE659">
        <v>81</v>
      </c>
      <c r="AF659">
        <v>4</v>
      </c>
      <c r="AH659" t="s">
        <v>213</v>
      </c>
      <c r="AI659" t="s">
        <v>212</v>
      </c>
      <c r="AK659" t="s">
        <v>211</v>
      </c>
      <c r="AL659">
        <v>6</v>
      </c>
      <c r="AM659" s="5">
        <f t="shared" si="90"/>
        <v>0.16216216216216217</v>
      </c>
      <c r="AN659" s="4">
        <f t="shared" si="87"/>
        <v>2.4560721266514527E-4</v>
      </c>
      <c r="AO659" s="3"/>
      <c r="AP659">
        <v>0</v>
      </c>
      <c r="AR659" t="s">
        <v>0</v>
      </c>
      <c r="AT659" s="2" t="s">
        <v>19</v>
      </c>
      <c r="AU659" s="1">
        <f t="shared" si="91"/>
        <v>1.2144902900031893</v>
      </c>
      <c r="AV659" s="1">
        <f t="shared" si="92"/>
        <v>0.8745104132212822</v>
      </c>
      <c r="AW659" s="1">
        <f t="shared" si="93"/>
        <v>0.53453053643937509</v>
      </c>
    </row>
    <row r="660" spans="1:49" x14ac:dyDescent="0.2">
      <c r="A660">
        <v>658</v>
      </c>
      <c r="B660" t="s">
        <v>210</v>
      </c>
      <c r="C660" t="s">
        <v>209</v>
      </c>
      <c r="F660" t="s">
        <v>208</v>
      </c>
      <c r="G660" t="s">
        <v>15</v>
      </c>
      <c r="H660" t="s">
        <v>14</v>
      </c>
      <c r="I660" t="s">
        <v>207</v>
      </c>
      <c r="J660">
        <v>60018020</v>
      </c>
      <c r="K660" t="s">
        <v>206</v>
      </c>
      <c r="L660" t="s">
        <v>205</v>
      </c>
      <c r="M660" t="s">
        <v>122</v>
      </c>
      <c r="N660">
        <v>4</v>
      </c>
      <c r="O660" t="s">
        <v>204</v>
      </c>
      <c r="P660" t="s">
        <v>203</v>
      </c>
      <c r="Q660" t="s">
        <v>202</v>
      </c>
      <c r="R660" s="7">
        <v>31048</v>
      </c>
      <c r="S660" s="8">
        <f t="shared" si="88"/>
        <v>1985</v>
      </c>
      <c r="T660" s="8">
        <v>1985</v>
      </c>
      <c r="U660" s="8">
        <f t="shared" si="89"/>
        <v>37</v>
      </c>
      <c r="V660" s="7">
        <v>1985</v>
      </c>
      <c r="W660" t="s">
        <v>201</v>
      </c>
      <c r="X660" s="2">
        <v>1.1879999999999999</v>
      </c>
      <c r="Y660" s="6">
        <f t="shared" si="86"/>
        <v>3.1712981500760788E-2</v>
      </c>
      <c r="AA660">
        <v>10706631</v>
      </c>
      <c r="AB660">
        <v>29210</v>
      </c>
      <c r="AD660" t="s">
        <v>4</v>
      </c>
      <c r="AE660">
        <v>28</v>
      </c>
      <c r="AF660">
        <v>8</v>
      </c>
      <c r="AH660" t="s">
        <v>200</v>
      </c>
      <c r="AI660" t="s">
        <v>199</v>
      </c>
      <c r="AK660" t="s">
        <v>198</v>
      </c>
      <c r="AL660">
        <v>19</v>
      </c>
      <c r="AM660" s="5">
        <f t="shared" si="90"/>
        <v>0.51351351351351349</v>
      </c>
      <c r="AN660" s="4">
        <f t="shared" si="87"/>
        <v>7.7775617343962659E-4</v>
      </c>
      <c r="AO660" s="3"/>
      <c r="AP660">
        <v>0</v>
      </c>
      <c r="AR660" t="s">
        <v>0</v>
      </c>
      <c r="AT660" s="2">
        <v>3.5209999999999999</v>
      </c>
      <c r="AU660" s="1">
        <f t="shared" si="91"/>
        <v>2.2432413902564439</v>
      </c>
      <c r="AV660" s="1">
        <f t="shared" si="92"/>
        <v>1.6245368837100209</v>
      </c>
      <c r="AW660" s="1">
        <f t="shared" si="93"/>
        <v>1.0058323771635975</v>
      </c>
    </row>
    <row r="661" spans="1:49" x14ac:dyDescent="0.2">
      <c r="A661">
        <v>659</v>
      </c>
      <c r="B661" t="s">
        <v>197</v>
      </c>
      <c r="C661" t="s">
        <v>196</v>
      </c>
      <c r="F661" t="s">
        <v>195</v>
      </c>
      <c r="G661" t="s">
        <v>15</v>
      </c>
      <c r="H661" t="s">
        <v>14</v>
      </c>
      <c r="I661" t="s">
        <v>194</v>
      </c>
      <c r="J661">
        <v>60031040</v>
      </c>
      <c r="K661" t="s">
        <v>193</v>
      </c>
      <c r="L661" t="s">
        <v>192</v>
      </c>
      <c r="M661" t="s">
        <v>191</v>
      </c>
      <c r="N661">
        <v>2</v>
      </c>
      <c r="O661" t="s">
        <v>190</v>
      </c>
      <c r="P661" t="s">
        <v>189</v>
      </c>
      <c r="Q661" t="s">
        <v>188</v>
      </c>
      <c r="R661" s="7">
        <v>31048</v>
      </c>
      <c r="S661" s="8">
        <f t="shared" si="88"/>
        <v>1985</v>
      </c>
      <c r="T661" s="8">
        <v>1985</v>
      </c>
      <c r="U661" s="8">
        <f t="shared" si="89"/>
        <v>37</v>
      </c>
      <c r="V661" s="7">
        <v>31048</v>
      </c>
      <c r="W661" t="s">
        <v>144</v>
      </c>
      <c r="X661" s="2">
        <v>1.1579999999999999</v>
      </c>
      <c r="Y661" s="6">
        <f t="shared" si="86"/>
        <v>3.0912148634579962E-2</v>
      </c>
      <c r="AA661">
        <v>1668595</v>
      </c>
      <c r="AB661">
        <v>14223</v>
      </c>
      <c r="AC661">
        <v>15735079</v>
      </c>
      <c r="AD661" t="s">
        <v>4</v>
      </c>
      <c r="AE661">
        <v>7</v>
      </c>
      <c r="AF661">
        <v>1</v>
      </c>
      <c r="AH661" t="s">
        <v>187</v>
      </c>
      <c r="AI661" t="s">
        <v>186</v>
      </c>
      <c r="AJ661" t="s">
        <v>185</v>
      </c>
      <c r="AK661" t="s">
        <v>184</v>
      </c>
      <c r="AL661">
        <v>47</v>
      </c>
      <c r="AM661" s="5">
        <f t="shared" si="90"/>
        <v>1.2702702702702702</v>
      </c>
      <c r="AN661" s="4">
        <f t="shared" si="87"/>
        <v>1.9239231658769711E-3</v>
      </c>
      <c r="AO661" s="3"/>
      <c r="AP661">
        <v>0</v>
      </c>
      <c r="AR661" t="s">
        <v>0</v>
      </c>
      <c r="AT661" s="2">
        <v>3.573</v>
      </c>
      <c r="AU661" s="1">
        <f t="shared" si="91"/>
        <v>2.2215680993969062</v>
      </c>
      <c r="AV661" s="1">
        <f t="shared" si="92"/>
        <v>1.6418035900228465</v>
      </c>
      <c r="AW661" s="1">
        <f t="shared" si="93"/>
        <v>1.0620390806487867</v>
      </c>
    </row>
    <row r="662" spans="1:49" x14ac:dyDescent="0.2">
      <c r="A662">
        <v>660</v>
      </c>
      <c r="B662" t="s">
        <v>183</v>
      </c>
      <c r="C662" t="s">
        <v>182</v>
      </c>
      <c r="D662">
        <v>22191085900447</v>
      </c>
      <c r="F662" t="s">
        <v>181</v>
      </c>
      <c r="G662" t="s">
        <v>15</v>
      </c>
      <c r="H662" t="s">
        <v>14</v>
      </c>
      <c r="I662" t="s">
        <v>180</v>
      </c>
      <c r="J662">
        <v>60005460</v>
      </c>
      <c r="K662" t="s">
        <v>179</v>
      </c>
      <c r="L662" t="s">
        <v>178</v>
      </c>
      <c r="M662" t="s">
        <v>91</v>
      </c>
      <c r="N662">
        <v>2</v>
      </c>
      <c r="O662" t="s">
        <v>177</v>
      </c>
      <c r="P662" t="s">
        <v>176</v>
      </c>
      <c r="Q662" t="s">
        <v>175</v>
      </c>
      <c r="R662" s="7">
        <v>31048</v>
      </c>
      <c r="S662" s="8">
        <f t="shared" si="88"/>
        <v>1985</v>
      </c>
      <c r="T662" s="8">
        <v>1985</v>
      </c>
      <c r="U662" s="8">
        <f t="shared" si="89"/>
        <v>37</v>
      </c>
      <c r="V662" s="7">
        <v>1985</v>
      </c>
      <c r="W662" t="s">
        <v>87</v>
      </c>
      <c r="X662" s="2">
        <v>0.89900000000000002</v>
      </c>
      <c r="Y662" s="6">
        <f t="shared" si="86"/>
        <v>2.399829155655215E-2</v>
      </c>
      <c r="AA662">
        <v>221910</v>
      </c>
      <c r="AB662">
        <v>20487</v>
      </c>
      <c r="AD662" t="s">
        <v>4</v>
      </c>
      <c r="AE662">
        <v>31</v>
      </c>
      <c r="AF662">
        <v>1</v>
      </c>
      <c r="AH662" t="s">
        <v>174</v>
      </c>
      <c r="AI662" t="s">
        <v>173</v>
      </c>
      <c r="AJ662" t="s">
        <v>172</v>
      </c>
      <c r="AK662" t="s">
        <v>171</v>
      </c>
      <c r="AL662">
        <v>73</v>
      </c>
      <c r="AM662" s="5">
        <f t="shared" si="90"/>
        <v>1.972972972972973</v>
      </c>
      <c r="AN662" s="4">
        <f t="shared" si="87"/>
        <v>2.9882210874259342E-3</v>
      </c>
      <c r="AO662" s="3"/>
      <c r="AP662">
        <v>0</v>
      </c>
      <c r="AR662" t="s">
        <v>0</v>
      </c>
      <c r="AT662" s="2">
        <v>2.3540000000000001</v>
      </c>
      <c r="AU662" s="1">
        <f t="shared" si="91"/>
        <v>1.7695270415814282</v>
      </c>
      <c r="AV662" s="1">
        <f t="shared" si="92"/>
        <v>1.3493256321989042</v>
      </c>
      <c r="AW662" s="1">
        <f t="shared" si="93"/>
        <v>0.92912422281637985</v>
      </c>
    </row>
    <row r="663" spans="1:49" x14ac:dyDescent="0.2">
      <c r="A663">
        <v>661</v>
      </c>
      <c r="B663" t="s">
        <v>170</v>
      </c>
      <c r="C663" t="s">
        <v>169</v>
      </c>
      <c r="D663">
        <v>14579385801927</v>
      </c>
      <c r="F663" t="s">
        <v>168</v>
      </c>
      <c r="G663" t="s">
        <v>15</v>
      </c>
      <c r="H663" t="s">
        <v>14</v>
      </c>
      <c r="I663" t="s">
        <v>167</v>
      </c>
      <c r="J663" t="s">
        <v>166</v>
      </c>
      <c r="K663" t="s">
        <v>165</v>
      </c>
      <c r="L663" t="s">
        <v>164</v>
      </c>
      <c r="M663" t="s">
        <v>148</v>
      </c>
      <c r="N663">
        <v>5</v>
      </c>
      <c r="O663" t="s">
        <v>163</v>
      </c>
      <c r="P663" t="s">
        <v>162</v>
      </c>
      <c r="Q663" t="s">
        <v>161</v>
      </c>
      <c r="R663" s="7">
        <v>31048</v>
      </c>
      <c r="S663" s="8">
        <f t="shared" si="88"/>
        <v>1985</v>
      </c>
      <c r="T663" s="8">
        <v>1985</v>
      </c>
      <c r="U663" s="8">
        <f t="shared" si="89"/>
        <v>37</v>
      </c>
      <c r="V663" s="7">
        <v>31048</v>
      </c>
      <c r="W663" t="s">
        <v>160</v>
      </c>
      <c r="X663" s="2">
        <v>1.593</v>
      </c>
      <c r="Y663" s="6">
        <f t="shared" si="86"/>
        <v>4.2524225194201973E-2</v>
      </c>
      <c r="AA663">
        <v>145793</v>
      </c>
      <c r="AB663">
        <v>17481</v>
      </c>
      <c r="AD663" t="s">
        <v>4</v>
      </c>
      <c r="AE663">
        <v>179</v>
      </c>
      <c r="AF663">
        <v>1</v>
      </c>
      <c r="AH663" t="s">
        <v>159</v>
      </c>
      <c r="AI663" t="s">
        <v>158</v>
      </c>
      <c r="AJ663" t="s">
        <v>157</v>
      </c>
      <c r="AK663" t="s">
        <v>156</v>
      </c>
      <c r="AL663">
        <v>15</v>
      </c>
      <c r="AM663" s="5">
        <f t="shared" si="90"/>
        <v>0.40540540540540543</v>
      </c>
      <c r="AN663" s="4">
        <f t="shared" si="87"/>
        <v>6.1401803166286322E-4</v>
      </c>
      <c r="AO663" s="3"/>
      <c r="AP663">
        <v>1</v>
      </c>
      <c r="AR663" t="s">
        <v>0</v>
      </c>
      <c r="AT663" s="2">
        <v>4.1239999999999997</v>
      </c>
      <c r="AU663" s="1">
        <f t="shared" si="91"/>
        <v>2.9951163045440237</v>
      </c>
      <c r="AV663" s="1">
        <f t="shared" si="92"/>
        <v>2.1569121612932416</v>
      </c>
      <c r="AW663" s="1">
        <f t="shared" si="93"/>
        <v>1.3187080180424595</v>
      </c>
    </row>
    <row r="664" spans="1:49" x14ac:dyDescent="0.2">
      <c r="A664">
        <v>662</v>
      </c>
      <c r="B664" t="s">
        <v>155</v>
      </c>
      <c r="C664" t="s">
        <v>154</v>
      </c>
      <c r="F664" t="s">
        <v>153</v>
      </c>
      <c r="G664" t="s">
        <v>15</v>
      </c>
      <c r="H664" t="s">
        <v>14</v>
      </c>
      <c r="I664" t="s">
        <v>152</v>
      </c>
      <c r="J664" t="s">
        <v>151</v>
      </c>
      <c r="K664" t="s">
        <v>150</v>
      </c>
      <c r="L664" t="s">
        <v>149</v>
      </c>
      <c r="M664" t="s">
        <v>148</v>
      </c>
      <c r="N664">
        <v>3</v>
      </c>
      <c r="O664" t="s">
        <v>147</v>
      </c>
      <c r="P664" t="s">
        <v>146</v>
      </c>
      <c r="Q664" t="s">
        <v>145</v>
      </c>
      <c r="R664" s="7">
        <v>31048</v>
      </c>
      <c r="S664" s="8">
        <f t="shared" si="88"/>
        <v>1985</v>
      </c>
      <c r="T664" s="8">
        <v>1985</v>
      </c>
      <c r="U664" s="8">
        <f t="shared" si="89"/>
        <v>37</v>
      </c>
      <c r="V664" s="7">
        <v>31048</v>
      </c>
      <c r="W664" t="s">
        <v>144</v>
      </c>
      <c r="X664" s="2">
        <v>1.1579999999999999</v>
      </c>
      <c r="Y664" s="6">
        <f t="shared" si="86"/>
        <v>3.0912148634579962E-2</v>
      </c>
      <c r="AA664">
        <v>1668595</v>
      </c>
      <c r="AB664">
        <v>14223</v>
      </c>
      <c r="AC664">
        <v>15735079</v>
      </c>
      <c r="AD664" t="s">
        <v>4</v>
      </c>
      <c r="AE664">
        <v>6</v>
      </c>
      <c r="AF664">
        <v>2</v>
      </c>
      <c r="AH664" t="s">
        <v>143</v>
      </c>
      <c r="AI664" t="s">
        <v>142</v>
      </c>
      <c r="AJ664" t="s">
        <v>141</v>
      </c>
      <c r="AK664" t="s">
        <v>140</v>
      </c>
      <c r="AL664">
        <v>81</v>
      </c>
      <c r="AM664" s="5">
        <f t="shared" si="90"/>
        <v>2.189189189189189</v>
      </c>
      <c r="AN664" s="4">
        <f t="shared" si="87"/>
        <v>3.315697370979461E-3</v>
      </c>
      <c r="AO664" s="3"/>
      <c r="AP664">
        <v>0</v>
      </c>
      <c r="AR664" t="s">
        <v>0</v>
      </c>
      <c r="AT664" s="2">
        <v>3.573</v>
      </c>
      <c r="AU664" s="1">
        <f t="shared" si="91"/>
        <v>2.2633213255499807</v>
      </c>
      <c r="AV664" s="1">
        <f t="shared" si="92"/>
        <v>1.711392300277971</v>
      </c>
      <c r="AW664" s="1">
        <f t="shared" si="93"/>
        <v>1.159463275005961</v>
      </c>
    </row>
    <row r="665" spans="1:49" x14ac:dyDescent="0.2">
      <c r="A665">
        <v>663</v>
      </c>
      <c r="B665" t="s">
        <v>139</v>
      </c>
      <c r="C665" t="s">
        <v>138</v>
      </c>
      <c r="F665" t="s">
        <v>137</v>
      </c>
      <c r="G665" t="s">
        <v>15</v>
      </c>
      <c r="H665" t="s">
        <v>14</v>
      </c>
      <c r="I665" t="s">
        <v>136</v>
      </c>
      <c r="J665">
        <v>60028717</v>
      </c>
      <c r="K665" t="s">
        <v>135</v>
      </c>
      <c r="L665" t="s">
        <v>134</v>
      </c>
      <c r="M665" t="s">
        <v>91</v>
      </c>
      <c r="N665">
        <v>1</v>
      </c>
      <c r="O665" t="s">
        <v>133</v>
      </c>
      <c r="P665">
        <v>16489049300</v>
      </c>
      <c r="Q665">
        <v>60028717</v>
      </c>
      <c r="R665" s="7">
        <v>31048</v>
      </c>
      <c r="S665" s="8">
        <f t="shared" si="88"/>
        <v>1985</v>
      </c>
      <c r="T665" s="8">
        <v>1985</v>
      </c>
      <c r="U665" s="8">
        <f t="shared" si="89"/>
        <v>37</v>
      </c>
      <c r="V665" s="7">
        <v>31048</v>
      </c>
      <c r="W665" t="s">
        <v>132</v>
      </c>
      <c r="X665" s="2">
        <v>0.439</v>
      </c>
      <c r="Y665" s="6">
        <f t="shared" si="86"/>
        <v>1.1718854275112784E-2</v>
      </c>
      <c r="AA665">
        <v>334545</v>
      </c>
      <c r="AB665">
        <v>21458</v>
      </c>
      <c r="AC665">
        <v>13653075</v>
      </c>
      <c r="AD665" t="s">
        <v>4</v>
      </c>
      <c r="AE665">
        <v>57</v>
      </c>
      <c r="AF665">
        <v>5</v>
      </c>
      <c r="AH665" t="s">
        <v>131</v>
      </c>
      <c r="AI665" t="s">
        <v>130</v>
      </c>
      <c r="AK665" t="s">
        <v>129</v>
      </c>
      <c r="AL665">
        <v>10</v>
      </c>
      <c r="AM665" s="5">
        <f t="shared" si="90"/>
        <v>0.27027027027027029</v>
      </c>
      <c r="AN665" s="4">
        <f t="shared" si="87"/>
        <v>4.093453544419088E-4</v>
      </c>
      <c r="AO665" s="3"/>
      <c r="AP665">
        <v>1</v>
      </c>
      <c r="AR665" t="s">
        <v>0</v>
      </c>
      <c r="AT665" s="2">
        <v>2.4529999999999998</v>
      </c>
      <c r="AU665" s="1">
        <f t="shared" si="91"/>
        <v>0.8326001598911521</v>
      </c>
      <c r="AV665" s="1">
        <f t="shared" si="92"/>
        <v>0.60640998147773462</v>
      </c>
      <c r="AW665" s="1">
        <f t="shared" si="93"/>
        <v>0.38021980306431713</v>
      </c>
    </row>
    <row r="666" spans="1:49" x14ac:dyDescent="0.2">
      <c r="A666">
        <v>664</v>
      </c>
      <c r="B666" t="s">
        <v>128</v>
      </c>
      <c r="C666" t="s">
        <v>127</v>
      </c>
      <c r="D666">
        <v>10854585800540</v>
      </c>
      <c r="F666" t="s">
        <v>126</v>
      </c>
      <c r="G666" t="s">
        <v>15</v>
      </c>
      <c r="H666" t="s">
        <v>14</v>
      </c>
      <c r="I666" t="s">
        <v>125</v>
      </c>
      <c r="J666">
        <v>60026610</v>
      </c>
      <c r="K666" t="s">
        <v>124</v>
      </c>
      <c r="L666" t="s">
        <v>123</v>
      </c>
      <c r="M666" t="s">
        <v>122</v>
      </c>
      <c r="N666">
        <v>5</v>
      </c>
      <c r="O666" t="s">
        <v>121</v>
      </c>
      <c r="P666" t="s">
        <v>120</v>
      </c>
      <c r="Q666" t="s">
        <v>119</v>
      </c>
      <c r="R666" s="7">
        <v>31048</v>
      </c>
      <c r="S666" s="8">
        <f t="shared" si="88"/>
        <v>1985</v>
      </c>
      <c r="T666" s="8">
        <v>1985</v>
      </c>
      <c r="U666" s="8">
        <f t="shared" si="89"/>
        <v>37</v>
      </c>
      <c r="V666" s="7">
        <v>31168</v>
      </c>
      <c r="W666" t="s">
        <v>118</v>
      </c>
      <c r="X666" s="2">
        <v>5.1660000000000004</v>
      </c>
      <c r="Y666" s="6">
        <f t="shared" si="86"/>
        <v>0.13790341955633861</v>
      </c>
      <c r="AA666">
        <v>108545</v>
      </c>
      <c r="AB666">
        <v>23470</v>
      </c>
      <c r="AD666" t="s">
        <v>4</v>
      </c>
      <c r="AE666">
        <v>64</v>
      </c>
      <c r="AF666" t="s">
        <v>117</v>
      </c>
      <c r="AH666" t="s">
        <v>116</v>
      </c>
      <c r="AI666" t="s">
        <v>115</v>
      </c>
      <c r="AK666" t="s">
        <v>114</v>
      </c>
      <c r="AL666">
        <v>84</v>
      </c>
      <c r="AM666" s="5">
        <f t="shared" si="90"/>
        <v>2.2702702702702702</v>
      </c>
      <c r="AN666" s="4">
        <f t="shared" si="87"/>
        <v>3.4385009773120335E-3</v>
      </c>
      <c r="AO666" s="3"/>
      <c r="AP666">
        <v>0</v>
      </c>
      <c r="AQ666" t="s">
        <v>113</v>
      </c>
      <c r="AR666" t="s">
        <v>0</v>
      </c>
      <c r="AS666" t="s">
        <v>112</v>
      </c>
      <c r="AT666" s="2">
        <v>22.315000000000001</v>
      </c>
      <c r="AU666" s="1">
        <f t="shared" si="91"/>
        <v>9.7563943982630636</v>
      </c>
      <c r="AV666" s="1">
        <f t="shared" si="92"/>
        <v>7.067096026682532</v>
      </c>
      <c r="AW666" s="1">
        <f t="shared" si="93"/>
        <v>4.3777976551020013</v>
      </c>
    </row>
    <row r="667" spans="1:49" x14ac:dyDescent="0.2">
      <c r="A667">
        <v>665</v>
      </c>
      <c r="B667" t="s">
        <v>111</v>
      </c>
      <c r="C667" t="s">
        <v>110</v>
      </c>
      <c r="F667" t="s">
        <v>109</v>
      </c>
      <c r="G667" t="s">
        <v>15</v>
      </c>
      <c r="H667" t="s">
        <v>14</v>
      </c>
      <c r="I667" t="s">
        <v>108</v>
      </c>
      <c r="J667" t="s">
        <v>107</v>
      </c>
      <c r="K667" t="s">
        <v>106</v>
      </c>
      <c r="L667" t="s">
        <v>105</v>
      </c>
      <c r="M667" t="s">
        <v>28</v>
      </c>
      <c r="N667">
        <v>2</v>
      </c>
      <c r="O667" t="s">
        <v>104</v>
      </c>
      <c r="P667" t="s">
        <v>103</v>
      </c>
      <c r="Q667" t="s">
        <v>102</v>
      </c>
      <c r="R667" s="7">
        <v>31048</v>
      </c>
      <c r="S667" s="8">
        <f t="shared" si="88"/>
        <v>1985</v>
      </c>
      <c r="T667" s="8">
        <v>1985</v>
      </c>
      <c r="U667" s="8">
        <f t="shared" si="89"/>
        <v>37</v>
      </c>
      <c r="V667" s="7">
        <v>31352</v>
      </c>
      <c r="W667" t="s">
        <v>24</v>
      </c>
      <c r="X667" s="2">
        <v>1.6519999999999999</v>
      </c>
      <c r="Y667" s="6">
        <f t="shared" si="86"/>
        <v>4.409919649769093E-2</v>
      </c>
      <c r="AA667" t="s">
        <v>23</v>
      </c>
      <c r="AB667">
        <v>17337</v>
      </c>
      <c r="AC667">
        <v>15582221</v>
      </c>
      <c r="AD667" t="s">
        <v>4</v>
      </c>
      <c r="AE667">
        <v>33</v>
      </c>
      <c r="AF667">
        <v>11</v>
      </c>
      <c r="AH667" t="s">
        <v>101</v>
      </c>
      <c r="AI667" t="s">
        <v>100</v>
      </c>
      <c r="AK667" t="s">
        <v>99</v>
      </c>
      <c r="AL667">
        <v>83</v>
      </c>
      <c r="AM667" s="5">
        <f t="shared" si="90"/>
        <v>2.2432432432432434</v>
      </c>
      <c r="AN667" s="4">
        <f t="shared" si="87"/>
        <v>3.397566441867843E-3</v>
      </c>
      <c r="AO667" s="3"/>
      <c r="AP667">
        <v>0</v>
      </c>
      <c r="AR667" t="s">
        <v>0</v>
      </c>
      <c r="AT667" s="2" t="s">
        <v>19</v>
      </c>
      <c r="AU667" s="1">
        <f t="shared" si="91"/>
        <v>3.1888707480944003</v>
      </c>
      <c r="AV667" s="1">
        <f t="shared" si="92"/>
        <v>2.3748381469779387</v>
      </c>
      <c r="AW667" s="1">
        <f t="shared" si="93"/>
        <v>1.5608055458614769</v>
      </c>
    </row>
    <row r="668" spans="1:49" x14ac:dyDescent="0.2">
      <c r="A668">
        <v>666</v>
      </c>
      <c r="B668" t="s">
        <v>98</v>
      </c>
      <c r="C668" t="s">
        <v>97</v>
      </c>
      <c r="D668" t="s">
        <v>96</v>
      </c>
      <c r="F668" t="s">
        <v>95</v>
      </c>
      <c r="G668" t="s">
        <v>15</v>
      </c>
      <c r="H668" t="s">
        <v>14</v>
      </c>
      <c r="I668" t="s">
        <v>94</v>
      </c>
      <c r="J668">
        <v>60029428</v>
      </c>
      <c r="K668" t="s">
        <v>93</v>
      </c>
      <c r="L668" t="s">
        <v>92</v>
      </c>
      <c r="M668" t="s">
        <v>91</v>
      </c>
      <c r="N668">
        <v>2</v>
      </c>
      <c r="O668" t="s">
        <v>90</v>
      </c>
      <c r="P668" t="s">
        <v>89</v>
      </c>
      <c r="Q668" t="s">
        <v>88</v>
      </c>
      <c r="R668" s="7">
        <v>31048</v>
      </c>
      <c r="S668" s="8">
        <f t="shared" si="88"/>
        <v>1985</v>
      </c>
      <c r="T668" s="8">
        <v>1985</v>
      </c>
      <c r="U668" s="8">
        <f t="shared" si="89"/>
        <v>37</v>
      </c>
      <c r="V668" s="7">
        <v>1985</v>
      </c>
      <c r="W668" t="s">
        <v>87</v>
      </c>
      <c r="X668" s="2">
        <v>0.89900000000000002</v>
      </c>
      <c r="Y668" s="6">
        <f t="shared" si="86"/>
        <v>2.399829155655215E-2</v>
      </c>
      <c r="AA668">
        <v>221910</v>
      </c>
      <c r="AB668">
        <v>20487</v>
      </c>
      <c r="AD668" t="s">
        <v>4</v>
      </c>
      <c r="AE668">
        <v>31</v>
      </c>
      <c r="AF668">
        <v>12</v>
      </c>
      <c r="AH668" t="s">
        <v>86</v>
      </c>
      <c r="AI668" t="s">
        <v>85</v>
      </c>
      <c r="AJ668" t="s">
        <v>84</v>
      </c>
      <c r="AK668" t="s">
        <v>83</v>
      </c>
      <c r="AL668">
        <v>11</v>
      </c>
      <c r="AM668" s="5">
        <f t="shared" si="90"/>
        <v>0.29729729729729731</v>
      </c>
      <c r="AN668" s="4">
        <f t="shared" si="87"/>
        <v>4.5027988988609969E-4</v>
      </c>
      <c r="AO668" s="3"/>
      <c r="AP668">
        <v>0</v>
      </c>
      <c r="AR668" t="s">
        <v>0</v>
      </c>
      <c r="AT668" s="2">
        <v>2.3540000000000001</v>
      </c>
      <c r="AU668" s="1">
        <f t="shared" si="91"/>
        <v>1.6933888056552333</v>
      </c>
      <c r="AV668" s="1">
        <f t="shared" si="92"/>
        <v>1.2224285723219124</v>
      </c>
      <c r="AW668" s="1">
        <f t="shared" si="93"/>
        <v>0.75146833898859133</v>
      </c>
    </row>
    <row r="669" spans="1:49" x14ac:dyDescent="0.2">
      <c r="A669">
        <v>667</v>
      </c>
      <c r="B669" t="s">
        <v>82</v>
      </c>
      <c r="C669" t="s">
        <v>81</v>
      </c>
      <c r="F669" t="s">
        <v>80</v>
      </c>
      <c r="G669" t="s">
        <v>15</v>
      </c>
      <c r="H669" t="s">
        <v>14</v>
      </c>
      <c r="I669" t="s">
        <v>79</v>
      </c>
      <c r="J669">
        <v>60016849</v>
      </c>
      <c r="K669" t="s">
        <v>78</v>
      </c>
      <c r="L669" t="s">
        <v>77</v>
      </c>
      <c r="M669" t="s">
        <v>76</v>
      </c>
      <c r="N669">
        <v>2</v>
      </c>
      <c r="O669" t="s">
        <v>75</v>
      </c>
      <c r="P669" t="s">
        <v>74</v>
      </c>
      <c r="Q669" t="s">
        <v>73</v>
      </c>
      <c r="R669" s="7">
        <v>31048</v>
      </c>
      <c r="S669" s="8">
        <f t="shared" si="88"/>
        <v>1985</v>
      </c>
      <c r="T669" s="8">
        <v>1985</v>
      </c>
      <c r="U669" s="8">
        <f t="shared" si="89"/>
        <v>37</v>
      </c>
      <c r="V669" s="7">
        <v>31382</v>
      </c>
      <c r="W669" t="s">
        <v>72</v>
      </c>
      <c r="X669" s="2">
        <v>0.76500000000000001</v>
      </c>
      <c r="Y669" s="6">
        <f t="shared" si="86"/>
        <v>2.0421238087611118E-2</v>
      </c>
      <c r="AA669">
        <v>138703</v>
      </c>
      <c r="AB669">
        <v>19793</v>
      </c>
      <c r="AC669">
        <v>15707458</v>
      </c>
      <c r="AD669" t="s">
        <v>4</v>
      </c>
      <c r="AE669">
        <v>39</v>
      </c>
      <c r="AF669">
        <v>3</v>
      </c>
      <c r="AH669" t="s">
        <v>71</v>
      </c>
      <c r="AI669" t="s">
        <v>70</v>
      </c>
      <c r="AJ669" t="s">
        <v>69</v>
      </c>
      <c r="AK669" t="s">
        <v>68</v>
      </c>
      <c r="AL669">
        <v>59</v>
      </c>
      <c r="AM669" s="5">
        <f t="shared" si="90"/>
        <v>1.5945945945945945</v>
      </c>
      <c r="AN669" s="4">
        <f t="shared" si="87"/>
        <v>2.4151375912072615E-3</v>
      </c>
      <c r="AO669" s="3"/>
      <c r="AP669">
        <v>0</v>
      </c>
      <c r="AR669" t="s">
        <v>0</v>
      </c>
      <c r="AT669" s="2" t="s">
        <v>19</v>
      </c>
      <c r="AU669" s="1">
        <f t="shared" si="91"/>
        <v>1.5019407938689959</v>
      </c>
      <c r="AV669" s="1">
        <f t="shared" si="92"/>
        <v>1.1418187839409188</v>
      </c>
      <c r="AW669" s="1">
        <f t="shared" si="93"/>
        <v>0.78169677401284177</v>
      </c>
    </row>
    <row r="670" spans="1:49" x14ac:dyDescent="0.2">
      <c r="A670">
        <v>668</v>
      </c>
      <c r="B670" t="s">
        <v>67</v>
      </c>
      <c r="F670" t="s">
        <v>66</v>
      </c>
      <c r="G670" t="s">
        <v>15</v>
      </c>
      <c r="H670" t="s">
        <v>14</v>
      </c>
      <c r="I670" t="s">
        <v>65</v>
      </c>
      <c r="J670" t="s">
        <v>64</v>
      </c>
      <c r="K670" t="s">
        <v>63</v>
      </c>
      <c r="L670" t="s">
        <v>62</v>
      </c>
      <c r="M670" t="s">
        <v>61</v>
      </c>
      <c r="N670">
        <v>4</v>
      </c>
      <c r="O670" t="s">
        <v>60</v>
      </c>
      <c r="P670" t="s">
        <v>59</v>
      </c>
      <c r="Q670" t="s">
        <v>58</v>
      </c>
      <c r="R670" s="7">
        <v>31048</v>
      </c>
      <c r="S670" s="8">
        <f t="shared" si="88"/>
        <v>1985</v>
      </c>
      <c r="T670" s="8">
        <v>1985</v>
      </c>
      <c r="U670" s="8">
        <f t="shared" si="89"/>
        <v>37</v>
      </c>
      <c r="V670" s="7">
        <v>31048</v>
      </c>
      <c r="W670" t="s">
        <v>57</v>
      </c>
      <c r="X670" s="2">
        <v>1.9750000000000001</v>
      </c>
      <c r="Y670" s="6">
        <f t="shared" si="86"/>
        <v>5.2721497023571186E-2</v>
      </c>
      <c r="AA670">
        <v>320781</v>
      </c>
      <c r="AB670">
        <v>19019</v>
      </c>
      <c r="AD670" t="s">
        <v>4</v>
      </c>
      <c r="AE670">
        <v>26</v>
      </c>
      <c r="AF670">
        <v>1</v>
      </c>
      <c r="AH670" t="s">
        <v>56</v>
      </c>
      <c r="AI670" t="s">
        <v>55</v>
      </c>
      <c r="AJ670" t="s">
        <v>54</v>
      </c>
      <c r="AK670" t="s">
        <v>53</v>
      </c>
      <c r="AL670">
        <v>39</v>
      </c>
      <c r="AM670" s="5">
        <f t="shared" si="90"/>
        <v>1.0540540540540539</v>
      </c>
      <c r="AN670" s="4">
        <f t="shared" si="87"/>
        <v>1.596446882323444E-3</v>
      </c>
      <c r="AO670" s="3"/>
      <c r="AP670">
        <v>0</v>
      </c>
      <c r="AQ670" t="s">
        <v>52</v>
      </c>
      <c r="AR670" t="s">
        <v>0</v>
      </c>
      <c r="AS670" t="s">
        <v>51</v>
      </c>
      <c r="AT670" s="2">
        <v>4.9269999999999996</v>
      </c>
      <c r="AU670" s="1">
        <f t="shared" si="91"/>
        <v>3.7383981981196865</v>
      </c>
      <c r="AV670" s="1">
        <f t="shared" si="92"/>
        <v>2.7158971952947315</v>
      </c>
      <c r="AW670" s="1">
        <f t="shared" si="93"/>
        <v>1.6933961924697767</v>
      </c>
    </row>
    <row r="671" spans="1:49" x14ac:dyDescent="0.2">
      <c r="A671">
        <v>669</v>
      </c>
      <c r="B671" t="s">
        <v>50</v>
      </c>
      <c r="C671" t="s">
        <v>49</v>
      </c>
      <c r="D671" t="s">
        <v>48</v>
      </c>
      <c r="F671" t="s">
        <v>47</v>
      </c>
      <c r="G671" t="s">
        <v>15</v>
      </c>
      <c r="H671" t="s">
        <v>14</v>
      </c>
      <c r="I671" t="s">
        <v>46</v>
      </c>
      <c r="J671">
        <v>60009512</v>
      </c>
      <c r="K671" t="s">
        <v>45</v>
      </c>
      <c r="L671" t="s">
        <v>44</v>
      </c>
      <c r="M671" t="s">
        <v>43</v>
      </c>
      <c r="N671">
        <v>2</v>
      </c>
      <c r="O671" t="s">
        <v>42</v>
      </c>
      <c r="P671" t="s">
        <v>41</v>
      </c>
      <c r="Q671" t="s">
        <v>40</v>
      </c>
      <c r="R671" s="7">
        <v>31048</v>
      </c>
      <c r="S671" s="8">
        <f t="shared" si="88"/>
        <v>1985</v>
      </c>
      <c r="T671" s="8">
        <v>1985</v>
      </c>
      <c r="U671" s="8">
        <f t="shared" si="89"/>
        <v>37</v>
      </c>
      <c r="V671" s="7">
        <v>31199</v>
      </c>
      <c r="W671" t="s">
        <v>39</v>
      </c>
      <c r="X671" s="2">
        <v>0.51500000000000001</v>
      </c>
      <c r="Y671" s="6">
        <f t="shared" si="86"/>
        <v>1.374763086943755E-2</v>
      </c>
      <c r="AA671">
        <v>219169</v>
      </c>
      <c r="AB671">
        <v>30966</v>
      </c>
      <c r="AD671" t="s">
        <v>4</v>
      </c>
      <c r="AE671">
        <v>47</v>
      </c>
      <c r="AF671">
        <v>6</v>
      </c>
      <c r="AH671" t="s">
        <v>38</v>
      </c>
      <c r="AI671" t="s">
        <v>37</v>
      </c>
      <c r="AK671" t="s">
        <v>36</v>
      </c>
      <c r="AL671">
        <v>22</v>
      </c>
      <c r="AM671" s="5">
        <f t="shared" si="90"/>
        <v>0.59459459459459463</v>
      </c>
      <c r="AN671" s="4">
        <f t="shared" si="87"/>
        <v>9.0055977977219939E-4</v>
      </c>
      <c r="AO671" s="3"/>
      <c r="AP671">
        <v>0</v>
      </c>
      <c r="AR671" t="s">
        <v>0</v>
      </c>
      <c r="AT671" s="2" t="s">
        <v>19</v>
      </c>
      <c r="AU671" s="1">
        <f t="shared" si="91"/>
        <v>0.98935095425379438</v>
      </c>
      <c r="AV671" s="1">
        <f t="shared" si="92"/>
        <v>0.73240953246048746</v>
      </c>
      <c r="AW671" s="1">
        <f t="shared" si="93"/>
        <v>0.47546811066718042</v>
      </c>
    </row>
    <row r="672" spans="1:49" x14ac:dyDescent="0.2">
      <c r="A672">
        <v>670</v>
      </c>
      <c r="B672" t="s">
        <v>35</v>
      </c>
      <c r="C672" t="s">
        <v>34</v>
      </c>
      <c r="F672" t="s">
        <v>33</v>
      </c>
      <c r="G672" t="s">
        <v>15</v>
      </c>
      <c r="H672" t="s">
        <v>14</v>
      </c>
      <c r="I672" t="s">
        <v>32</v>
      </c>
      <c r="J672" t="s">
        <v>31</v>
      </c>
      <c r="K672" t="s">
        <v>30</v>
      </c>
      <c r="L672" t="s">
        <v>29</v>
      </c>
      <c r="M672" t="s">
        <v>28</v>
      </c>
      <c r="N672">
        <v>4</v>
      </c>
      <c r="O672" t="s">
        <v>27</v>
      </c>
      <c r="P672" t="s">
        <v>26</v>
      </c>
      <c r="Q672" t="s">
        <v>25</v>
      </c>
      <c r="R672" s="7">
        <v>31048</v>
      </c>
      <c r="S672" s="8">
        <f t="shared" si="88"/>
        <v>1985</v>
      </c>
      <c r="T672" s="8">
        <v>1985</v>
      </c>
      <c r="U672" s="8">
        <f t="shared" si="89"/>
        <v>37</v>
      </c>
      <c r="V672" s="7">
        <v>31352</v>
      </c>
      <c r="W672" t="s">
        <v>24</v>
      </c>
      <c r="X672" s="2">
        <v>1.6519999999999999</v>
      </c>
      <c r="Y672" s="6">
        <f t="shared" si="86"/>
        <v>4.409919649769093E-2</v>
      </c>
      <c r="AA672" t="s">
        <v>23</v>
      </c>
      <c r="AB672">
        <v>17337</v>
      </c>
      <c r="AC672">
        <v>15582221</v>
      </c>
      <c r="AD672" t="s">
        <v>4</v>
      </c>
      <c r="AE672">
        <v>33</v>
      </c>
      <c r="AF672">
        <v>11</v>
      </c>
      <c r="AH672" t="s">
        <v>22</v>
      </c>
      <c r="AI672" t="s">
        <v>21</v>
      </c>
      <c r="AK672" t="s">
        <v>20</v>
      </c>
      <c r="AL672">
        <v>52</v>
      </c>
      <c r="AM672" s="5">
        <f t="shared" si="90"/>
        <v>1.4054054054054055</v>
      </c>
      <c r="AN672" s="4">
        <f t="shared" si="87"/>
        <v>2.1285958430979257E-3</v>
      </c>
      <c r="AO672" s="3"/>
      <c r="AP672">
        <v>0</v>
      </c>
      <c r="AR672" t="s">
        <v>0</v>
      </c>
      <c r="AT672" s="2" t="s">
        <v>19</v>
      </c>
      <c r="AU672" s="1">
        <f t="shared" si="91"/>
        <v>3.1508016301313031</v>
      </c>
      <c r="AV672" s="1">
        <f t="shared" si="92"/>
        <v>2.3113896170394428</v>
      </c>
      <c r="AW672" s="1">
        <f t="shared" si="93"/>
        <v>1.4719776039475825</v>
      </c>
    </row>
    <row r="673" spans="1:49" x14ac:dyDescent="0.2">
      <c r="A673">
        <v>671</v>
      </c>
      <c r="B673" t="s">
        <v>18</v>
      </c>
      <c r="C673" t="s">
        <v>17</v>
      </c>
      <c r="F673" t="s">
        <v>16</v>
      </c>
      <c r="G673" t="s">
        <v>15</v>
      </c>
      <c r="H673" t="s">
        <v>14</v>
      </c>
      <c r="I673" t="s">
        <v>13</v>
      </c>
      <c r="J673" t="s">
        <v>12</v>
      </c>
      <c r="K673" t="s">
        <v>11</v>
      </c>
      <c r="L673" t="s">
        <v>10</v>
      </c>
      <c r="M673" t="s">
        <v>9</v>
      </c>
      <c r="N673">
        <v>5</v>
      </c>
      <c r="O673" t="s">
        <v>8</v>
      </c>
      <c r="P673" t="s">
        <v>7</v>
      </c>
      <c r="Q673" t="s">
        <v>6</v>
      </c>
      <c r="R673" s="7">
        <v>31048</v>
      </c>
      <c r="S673" s="8">
        <f t="shared" si="88"/>
        <v>1985</v>
      </c>
      <c r="T673" s="8">
        <v>1985</v>
      </c>
      <c r="U673" s="8">
        <f t="shared" si="89"/>
        <v>37</v>
      </c>
      <c r="V673" s="7">
        <v>1985</v>
      </c>
      <c r="W673" t="s">
        <v>5</v>
      </c>
      <c r="X673" s="2">
        <v>1.391</v>
      </c>
      <c r="Y673" s="6">
        <f t="shared" si="86"/>
        <v>3.7131950561917731E-2</v>
      </c>
      <c r="AA673">
        <v>10502947</v>
      </c>
      <c r="AB673">
        <v>29143</v>
      </c>
      <c r="AD673" t="s">
        <v>4</v>
      </c>
      <c r="AE673">
        <v>32</v>
      </c>
      <c r="AF673">
        <v>6</v>
      </c>
      <c r="AH673" t="s">
        <v>3</v>
      </c>
      <c r="AI673" t="s">
        <v>2</v>
      </c>
      <c r="AK673" t="s">
        <v>1</v>
      </c>
      <c r="AL673">
        <v>22</v>
      </c>
      <c r="AM673" s="5">
        <f t="shared" si="90"/>
        <v>0.59459459459459463</v>
      </c>
      <c r="AN673" s="4">
        <f t="shared" si="87"/>
        <v>9.0055977977219939E-4</v>
      </c>
      <c r="AO673" s="3"/>
      <c r="AP673">
        <v>0</v>
      </c>
      <c r="AR673" t="s">
        <v>0</v>
      </c>
      <c r="AT673" s="2">
        <v>3.14</v>
      </c>
      <c r="AU673" s="1">
        <f t="shared" si="91"/>
        <v>2.6262533327274071</v>
      </c>
      <c r="AV673" s="1">
        <f t="shared" si="92"/>
        <v>1.9016255170844967</v>
      </c>
      <c r="AW673" s="1">
        <f t="shared" si="93"/>
        <v>1.1769977014415858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2021-11-11T11:58:06Z</dcterms:created>
  <dcterms:modified xsi:type="dcterms:W3CDTF">2022-01-19T19:31:30Z</dcterms:modified>
</cp:coreProperties>
</file>