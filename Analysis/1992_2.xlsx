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1"/>
  <workbookPr defaultThemeVersion="166925"/>
  <mc:AlternateContent xmlns:mc="http://schemas.openxmlformats.org/markup-compatibility/2006">
    <mc:Choice Requires="x15">
      <x15ac:absPath xmlns:x15ac="http://schemas.microsoft.com/office/spreadsheetml/2010/11/ac" url="https://qmulprod-my.sharepoint.com/personal/eex760_qmul_ac_uk/Documents/1MyProject/0LSTM_keyword_predict/3.Antenna/antenna_new/"/>
    </mc:Choice>
  </mc:AlternateContent>
  <xr:revisionPtr revIDLastSave="1" documentId="8_{8D83CF38-E02A-1B40-9D74-B252AD092518}" xr6:coauthVersionLast="47" xr6:coauthVersionMax="47" xr10:uidLastSave="{ED333B71-A9B5-5A4F-89D8-9FAD44BD0780}"/>
  <bookViews>
    <workbookView xWindow="18060" yWindow="3160" windowWidth="27640" windowHeight="16940" xr2:uid="{0F3C11A2-1025-5441-9D90-FFA1A72BA4D0}"/>
  </bookViews>
  <sheets>
    <sheet name="1992" sheetId="1" r:id="rId1"/>
  </sheets>
  <externalReferences>
    <externalReference r:id="rId2"/>
  </externalReferences>
  <definedNames>
    <definedName name="s0">[1]antenna_all!#REF!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2" i="1" l="1"/>
  <c r="U2" i="1"/>
  <c r="Y2" i="1"/>
  <c r="AM2" i="1"/>
  <c r="AN2" i="1" s="1"/>
  <c r="S3" i="1"/>
  <c r="U3" i="1"/>
  <c r="Y3" i="1"/>
  <c r="AM3" i="1"/>
  <c r="AN3" i="1" s="1"/>
  <c r="S4" i="1"/>
  <c r="U4" i="1"/>
  <c r="AM4" i="1" s="1"/>
  <c r="AN4" i="1" s="1"/>
  <c r="Y4" i="1"/>
  <c r="S5" i="1"/>
  <c r="U5" i="1"/>
  <c r="Y5" i="1"/>
  <c r="AM5" i="1"/>
  <c r="AN5" i="1" s="1"/>
  <c r="S6" i="1"/>
  <c r="U6" i="1"/>
  <c r="AM6" i="1" s="1"/>
  <c r="AN6" i="1" s="1"/>
  <c r="Y6" i="1"/>
  <c r="S7" i="1"/>
  <c r="U7" i="1"/>
  <c r="AM7" i="1" s="1"/>
  <c r="AN7" i="1" s="1"/>
  <c r="Y7" i="1"/>
  <c r="S8" i="1"/>
  <c r="U8" i="1"/>
  <c r="Y8" i="1"/>
  <c r="AM8" i="1"/>
  <c r="AN8" i="1" s="1"/>
  <c r="AU8" i="1" s="1"/>
  <c r="S9" i="1"/>
  <c r="U9" i="1"/>
  <c r="AM9" i="1" s="1"/>
  <c r="AN9" i="1" s="1"/>
  <c r="Y9" i="1"/>
  <c r="AU9" i="1" s="1"/>
  <c r="S10" i="1"/>
  <c r="U10" i="1"/>
  <c r="Y10" i="1"/>
  <c r="AM10" i="1"/>
  <c r="AN10" i="1" s="1"/>
  <c r="S11" i="1"/>
  <c r="U11" i="1"/>
  <c r="AM11" i="1" s="1"/>
  <c r="AN11" i="1" s="1"/>
  <c r="Y11" i="1"/>
  <c r="S12" i="1"/>
  <c r="U12" i="1"/>
  <c r="AM12" i="1" s="1"/>
  <c r="AN12" i="1" s="1"/>
  <c r="Y12" i="1"/>
  <c r="S13" i="1"/>
  <c r="U13" i="1"/>
  <c r="Y13" i="1"/>
  <c r="AM13" i="1"/>
  <c r="AN13" i="1" s="1"/>
  <c r="AU13" i="1" s="1"/>
  <c r="S14" i="1"/>
  <c r="U14" i="1"/>
  <c r="AM14" i="1" s="1"/>
  <c r="AN14" i="1" s="1"/>
  <c r="Y14" i="1"/>
  <c r="AU14" i="1" s="1"/>
  <c r="S15" i="1"/>
  <c r="U15" i="1"/>
  <c r="AM15" i="1" s="1"/>
  <c r="AN15" i="1" s="1"/>
  <c r="Y15" i="1"/>
  <c r="S16" i="1"/>
  <c r="U16" i="1"/>
  <c r="AM16" i="1" s="1"/>
  <c r="AN16" i="1" s="1"/>
  <c r="Y16" i="1"/>
  <c r="S17" i="1"/>
  <c r="U17" i="1"/>
  <c r="AM17" i="1" s="1"/>
  <c r="AN17" i="1" s="1"/>
  <c r="Y17" i="1"/>
  <c r="S18" i="1"/>
  <c r="U18" i="1"/>
  <c r="Y18" i="1"/>
  <c r="AM18" i="1"/>
  <c r="AN18" i="1" s="1"/>
  <c r="AU18" i="1" s="1"/>
  <c r="S19" i="1"/>
  <c r="U19" i="1"/>
  <c r="AM19" i="1" s="1"/>
  <c r="AN19" i="1" s="1"/>
  <c r="Y19" i="1"/>
  <c r="AU19" i="1" s="1"/>
  <c r="S20" i="1"/>
  <c r="U20" i="1"/>
  <c r="Y20" i="1"/>
  <c r="AM20" i="1"/>
  <c r="AN20" i="1" s="1"/>
  <c r="S21" i="1"/>
  <c r="U21" i="1"/>
  <c r="AM21" i="1" s="1"/>
  <c r="AN21" i="1" s="1"/>
  <c r="Y21" i="1"/>
  <c r="S22" i="1"/>
  <c r="U22" i="1"/>
  <c r="AM22" i="1" s="1"/>
  <c r="AN22" i="1" s="1"/>
  <c r="Y22" i="1"/>
  <c r="S23" i="1"/>
  <c r="U23" i="1"/>
  <c r="Y23" i="1"/>
  <c r="AM23" i="1"/>
  <c r="AN23" i="1" s="1"/>
  <c r="S24" i="1"/>
  <c r="U24" i="1"/>
  <c r="AM24" i="1" s="1"/>
  <c r="AN24" i="1" s="1"/>
  <c r="Y24" i="1"/>
  <c r="S25" i="1"/>
  <c r="U25" i="1"/>
  <c r="Y25" i="1"/>
  <c r="AM25" i="1"/>
  <c r="AN25" i="1" s="1"/>
  <c r="S26" i="1"/>
  <c r="U26" i="1"/>
  <c r="AM26" i="1" s="1"/>
  <c r="AN26" i="1" s="1"/>
  <c r="Y26" i="1"/>
  <c r="S27" i="1"/>
  <c r="U27" i="1"/>
  <c r="Y27" i="1"/>
  <c r="AM27" i="1"/>
  <c r="AN27" i="1" s="1"/>
  <c r="S28" i="1"/>
  <c r="U28" i="1"/>
  <c r="AM28" i="1" s="1"/>
  <c r="AN28" i="1" s="1"/>
  <c r="Y28" i="1"/>
  <c r="S29" i="1"/>
  <c r="U29" i="1"/>
  <c r="AM29" i="1" s="1"/>
  <c r="AN29" i="1" s="1"/>
  <c r="Y29" i="1"/>
  <c r="S30" i="1"/>
  <c r="U30" i="1"/>
  <c r="AM30" i="1" s="1"/>
  <c r="AN30" i="1" s="1"/>
  <c r="Y30" i="1"/>
  <c r="S31" i="1"/>
  <c r="U31" i="1"/>
  <c r="AM31" i="1" s="1"/>
  <c r="AN31" i="1" s="1"/>
  <c r="Y31" i="1"/>
  <c r="S32" i="1"/>
  <c r="U32" i="1"/>
  <c r="Y32" i="1"/>
  <c r="AM32" i="1"/>
  <c r="AN32" i="1" s="1"/>
  <c r="S33" i="1"/>
  <c r="U33" i="1"/>
  <c r="AM33" i="1" s="1"/>
  <c r="AN33" i="1" s="1"/>
  <c r="AV33" i="1" s="1"/>
  <c r="Y33" i="1"/>
  <c r="S34" i="1"/>
  <c r="U34" i="1"/>
  <c r="AM34" i="1" s="1"/>
  <c r="AN34" i="1" s="1"/>
  <c r="Y34" i="1"/>
  <c r="S35" i="1"/>
  <c r="U35" i="1"/>
  <c r="AM35" i="1" s="1"/>
  <c r="AN35" i="1" s="1"/>
  <c r="Y35" i="1"/>
  <c r="S36" i="1"/>
  <c r="U36" i="1"/>
  <c r="AM36" i="1" s="1"/>
  <c r="AN36" i="1" s="1"/>
  <c r="Y36" i="1"/>
  <c r="S37" i="1"/>
  <c r="U37" i="1"/>
  <c r="Y37" i="1"/>
  <c r="AM37" i="1"/>
  <c r="AN37" i="1" s="1"/>
  <c r="S38" i="1"/>
  <c r="U38" i="1"/>
  <c r="AM38" i="1" s="1"/>
  <c r="AN38" i="1" s="1"/>
  <c r="Y38" i="1"/>
  <c r="S39" i="1"/>
  <c r="U39" i="1"/>
  <c r="AM39" i="1" s="1"/>
  <c r="AN39" i="1" s="1"/>
  <c r="Y39" i="1"/>
  <c r="S40" i="1"/>
  <c r="U40" i="1"/>
  <c r="AM40" i="1" s="1"/>
  <c r="AN40" i="1" s="1"/>
  <c r="Y40" i="1"/>
  <c r="S41" i="1"/>
  <c r="U41" i="1"/>
  <c r="AM41" i="1" s="1"/>
  <c r="AN41" i="1" s="1"/>
  <c r="Y41" i="1"/>
  <c r="S42" i="1"/>
  <c r="U42" i="1"/>
  <c r="Y42" i="1"/>
  <c r="AM42" i="1"/>
  <c r="AN42" i="1" s="1"/>
  <c r="S43" i="1"/>
  <c r="U43" i="1"/>
  <c r="AM43" i="1" s="1"/>
  <c r="AN43" i="1" s="1"/>
  <c r="Y43" i="1"/>
  <c r="S44" i="1"/>
  <c r="U44" i="1"/>
  <c r="AM44" i="1" s="1"/>
  <c r="AN44" i="1" s="1"/>
  <c r="Y44" i="1"/>
  <c r="S45" i="1"/>
  <c r="U45" i="1"/>
  <c r="AM45" i="1" s="1"/>
  <c r="AN45" i="1" s="1"/>
  <c r="Y45" i="1"/>
  <c r="S46" i="1"/>
  <c r="U46" i="1"/>
  <c r="AM46" i="1" s="1"/>
  <c r="AN46" i="1" s="1"/>
  <c r="Y46" i="1"/>
  <c r="S47" i="1"/>
  <c r="U47" i="1"/>
  <c r="Y47" i="1"/>
  <c r="AM47" i="1"/>
  <c r="AN47" i="1" s="1"/>
  <c r="S48" i="1"/>
  <c r="U48" i="1"/>
  <c r="AM48" i="1" s="1"/>
  <c r="AN48" i="1" s="1"/>
  <c r="Y48" i="1"/>
  <c r="S49" i="1"/>
  <c r="U49" i="1"/>
  <c r="AM49" i="1" s="1"/>
  <c r="AN49" i="1" s="1"/>
  <c r="Y49" i="1"/>
  <c r="S50" i="1"/>
  <c r="U50" i="1"/>
  <c r="AM50" i="1" s="1"/>
  <c r="AN50" i="1" s="1"/>
  <c r="Y50" i="1"/>
  <c r="S51" i="1"/>
  <c r="U51" i="1"/>
  <c r="AM51" i="1" s="1"/>
  <c r="AN51" i="1" s="1"/>
  <c r="Y51" i="1"/>
  <c r="S52" i="1"/>
  <c r="U52" i="1"/>
  <c r="Y52" i="1"/>
  <c r="AM52" i="1"/>
  <c r="AN52" i="1" s="1"/>
  <c r="S53" i="1"/>
  <c r="U53" i="1"/>
  <c r="AM53" i="1" s="1"/>
  <c r="AN53" i="1" s="1"/>
  <c r="Y53" i="1"/>
  <c r="S54" i="1"/>
  <c r="U54" i="1"/>
  <c r="AM54" i="1" s="1"/>
  <c r="AN54" i="1" s="1"/>
  <c r="Y54" i="1"/>
  <c r="S55" i="1"/>
  <c r="U55" i="1"/>
  <c r="AM55" i="1" s="1"/>
  <c r="AN55" i="1" s="1"/>
  <c r="Y55" i="1"/>
  <c r="S56" i="1"/>
  <c r="U56" i="1"/>
  <c r="AM56" i="1" s="1"/>
  <c r="AN56" i="1" s="1"/>
  <c r="Y56" i="1"/>
  <c r="S57" i="1"/>
  <c r="U57" i="1"/>
  <c r="Y57" i="1"/>
  <c r="AM57" i="1"/>
  <c r="AN57" i="1" s="1"/>
  <c r="S58" i="1"/>
  <c r="U58" i="1"/>
  <c r="AM58" i="1" s="1"/>
  <c r="AN58" i="1" s="1"/>
  <c r="AV58" i="1" s="1"/>
  <c r="Y58" i="1"/>
  <c r="S59" i="1"/>
  <c r="U59" i="1"/>
  <c r="AM59" i="1" s="1"/>
  <c r="AN59" i="1" s="1"/>
  <c r="Y59" i="1"/>
  <c r="S60" i="1"/>
  <c r="U60" i="1"/>
  <c r="AM60" i="1" s="1"/>
  <c r="AN60" i="1" s="1"/>
  <c r="Y60" i="1"/>
  <c r="S61" i="1"/>
  <c r="U61" i="1"/>
  <c r="AM61" i="1" s="1"/>
  <c r="AN61" i="1" s="1"/>
  <c r="Y61" i="1"/>
  <c r="S62" i="1"/>
  <c r="U62" i="1"/>
  <c r="Y62" i="1"/>
  <c r="AM62" i="1"/>
  <c r="AN62" i="1" s="1"/>
  <c r="S63" i="1"/>
  <c r="U63" i="1"/>
  <c r="AM63" i="1" s="1"/>
  <c r="AN63" i="1" s="1"/>
  <c r="Y63" i="1"/>
  <c r="S64" i="1"/>
  <c r="U64" i="1"/>
  <c r="AM64" i="1" s="1"/>
  <c r="AN64" i="1" s="1"/>
  <c r="Y64" i="1"/>
  <c r="S65" i="1"/>
  <c r="U65" i="1"/>
  <c r="AM65" i="1" s="1"/>
  <c r="AN65" i="1" s="1"/>
  <c r="Y65" i="1"/>
  <c r="S66" i="1"/>
  <c r="U66" i="1"/>
  <c r="AM66" i="1" s="1"/>
  <c r="AN66" i="1" s="1"/>
  <c r="Y66" i="1"/>
  <c r="S67" i="1"/>
  <c r="U67" i="1"/>
  <c r="Y67" i="1"/>
  <c r="AM67" i="1"/>
  <c r="AN67" i="1" s="1"/>
  <c r="S68" i="1"/>
  <c r="U68" i="1"/>
  <c r="AM68" i="1" s="1"/>
  <c r="AN68" i="1" s="1"/>
  <c r="Y68" i="1"/>
  <c r="S69" i="1"/>
  <c r="U69" i="1"/>
  <c r="AM69" i="1" s="1"/>
  <c r="AN69" i="1" s="1"/>
  <c r="Y69" i="1"/>
  <c r="S70" i="1"/>
  <c r="U70" i="1"/>
  <c r="AM70" i="1" s="1"/>
  <c r="AN70" i="1" s="1"/>
  <c r="Y70" i="1"/>
  <c r="S71" i="1"/>
  <c r="U71" i="1"/>
  <c r="AM71" i="1" s="1"/>
  <c r="AN71" i="1" s="1"/>
  <c r="Y71" i="1"/>
  <c r="S72" i="1"/>
  <c r="U72" i="1"/>
  <c r="AM72" i="1" s="1"/>
  <c r="AN72" i="1" s="1"/>
  <c r="Y72" i="1"/>
  <c r="S73" i="1"/>
  <c r="U73" i="1"/>
  <c r="AM73" i="1" s="1"/>
  <c r="AN73" i="1" s="1"/>
  <c r="Y73" i="1"/>
  <c r="S74" i="1"/>
  <c r="U74" i="1"/>
  <c r="AM74" i="1" s="1"/>
  <c r="AN74" i="1" s="1"/>
  <c r="Y74" i="1"/>
  <c r="S75" i="1"/>
  <c r="U75" i="1"/>
  <c r="AM75" i="1" s="1"/>
  <c r="AN75" i="1" s="1"/>
  <c r="Y75" i="1"/>
  <c r="S76" i="1"/>
  <c r="U76" i="1"/>
  <c r="AM76" i="1" s="1"/>
  <c r="AN76" i="1" s="1"/>
  <c r="Y76" i="1"/>
  <c r="S77" i="1"/>
  <c r="U77" i="1"/>
  <c r="AM77" i="1" s="1"/>
  <c r="AN77" i="1" s="1"/>
  <c r="Y77" i="1"/>
  <c r="S78" i="1"/>
  <c r="U78" i="1"/>
  <c r="Y78" i="1"/>
  <c r="AM78" i="1"/>
  <c r="AN78" i="1"/>
  <c r="AV78" i="1"/>
  <c r="S79" i="1"/>
  <c r="U79" i="1"/>
  <c r="AM79" i="1" s="1"/>
  <c r="AN79" i="1" s="1"/>
  <c r="Y79" i="1"/>
  <c r="S80" i="1"/>
  <c r="U80" i="1"/>
  <c r="AM80" i="1" s="1"/>
  <c r="AN80" i="1" s="1"/>
  <c r="Y80" i="1"/>
  <c r="S81" i="1"/>
  <c r="U81" i="1"/>
  <c r="AM81" i="1" s="1"/>
  <c r="AN81" i="1" s="1"/>
  <c r="Y81" i="1"/>
  <c r="AU81" i="1" s="1"/>
  <c r="S82" i="1"/>
  <c r="U82" i="1"/>
  <c r="Y82" i="1"/>
  <c r="AM82" i="1"/>
  <c r="AN82" i="1" s="1"/>
  <c r="AV82" i="1" s="1"/>
  <c r="S83" i="1"/>
  <c r="U83" i="1"/>
  <c r="Y83" i="1"/>
  <c r="AM83" i="1"/>
  <c r="AN83" i="1"/>
  <c r="AV83" i="1" s="1"/>
  <c r="S84" i="1"/>
  <c r="U84" i="1"/>
  <c r="AM84" i="1" s="1"/>
  <c r="AN84" i="1" s="1"/>
  <c r="Y84" i="1"/>
  <c r="AU84" i="1" s="1"/>
  <c r="S85" i="1"/>
  <c r="U85" i="1"/>
  <c r="Y85" i="1"/>
  <c r="AM85" i="1"/>
  <c r="AN85" i="1" s="1"/>
  <c r="S86" i="1"/>
  <c r="U86" i="1"/>
  <c r="AM86" i="1" s="1"/>
  <c r="AN86" i="1" s="1"/>
  <c r="Y86" i="1"/>
  <c r="S87" i="1"/>
  <c r="U87" i="1"/>
  <c r="AM87" i="1" s="1"/>
  <c r="AN87" i="1" s="1"/>
  <c r="Y87" i="1"/>
  <c r="S88" i="1"/>
  <c r="U88" i="1"/>
  <c r="Y88" i="1"/>
  <c r="AV88" i="1" s="1"/>
  <c r="AM88" i="1"/>
  <c r="AN88" i="1" s="1"/>
  <c r="S89" i="1"/>
  <c r="U89" i="1"/>
  <c r="AM89" i="1" s="1"/>
  <c r="AN89" i="1" s="1"/>
  <c r="Y89" i="1"/>
  <c r="S90" i="1"/>
  <c r="U90" i="1"/>
  <c r="Y90" i="1"/>
  <c r="AM90" i="1"/>
  <c r="AN90" i="1" s="1"/>
  <c r="S91" i="1"/>
  <c r="U91" i="1"/>
  <c r="AM91" i="1" s="1"/>
  <c r="AN91" i="1" s="1"/>
  <c r="Y91" i="1"/>
  <c r="S92" i="1"/>
  <c r="U92" i="1"/>
  <c r="AM92" i="1" s="1"/>
  <c r="AN92" i="1" s="1"/>
  <c r="Y92" i="1"/>
  <c r="S93" i="1"/>
  <c r="U93" i="1"/>
  <c r="Y93" i="1"/>
  <c r="AM93" i="1"/>
  <c r="AN93" i="1" s="1"/>
  <c r="S94" i="1"/>
  <c r="U94" i="1"/>
  <c r="AM94" i="1" s="1"/>
  <c r="AN94" i="1" s="1"/>
  <c r="Y94" i="1"/>
  <c r="S95" i="1"/>
  <c r="U95" i="1"/>
  <c r="AM95" i="1" s="1"/>
  <c r="AN95" i="1" s="1"/>
  <c r="Y95" i="1"/>
  <c r="S96" i="1"/>
  <c r="U96" i="1"/>
  <c r="AM96" i="1" s="1"/>
  <c r="AN96" i="1" s="1"/>
  <c r="Y96" i="1"/>
  <c r="AU96" i="1" s="1"/>
  <c r="S97" i="1"/>
  <c r="U97" i="1"/>
  <c r="Y97" i="1"/>
  <c r="AM97" i="1"/>
  <c r="AN97" i="1" s="1"/>
  <c r="AV97" i="1" s="1"/>
  <c r="S98" i="1"/>
  <c r="U98" i="1"/>
  <c r="AM98" i="1" s="1"/>
  <c r="AN98" i="1" s="1"/>
  <c r="Y98" i="1"/>
  <c r="S99" i="1"/>
  <c r="U99" i="1"/>
  <c r="AM99" i="1" s="1"/>
  <c r="AN99" i="1" s="1"/>
  <c r="Y99" i="1"/>
  <c r="S100" i="1"/>
  <c r="U100" i="1"/>
  <c r="Y100" i="1"/>
  <c r="AM100" i="1"/>
  <c r="AN100" i="1" s="1"/>
  <c r="S101" i="1"/>
  <c r="U101" i="1"/>
  <c r="AM101" i="1" s="1"/>
  <c r="AN101" i="1" s="1"/>
  <c r="Y101" i="1"/>
  <c r="S102" i="1"/>
  <c r="U102" i="1"/>
  <c r="Y102" i="1"/>
  <c r="AM102" i="1"/>
  <c r="AN102" i="1" s="1"/>
  <c r="AV102" i="1" s="1"/>
  <c r="S103" i="1"/>
  <c r="U103" i="1"/>
  <c r="AM103" i="1" s="1"/>
  <c r="AN103" i="1" s="1"/>
  <c r="Y103" i="1"/>
  <c r="AV103" i="1" s="1"/>
  <c r="S104" i="1"/>
  <c r="U104" i="1"/>
  <c r="AM104" i="1" s="1"/>
  <c r="AN104" i="1" s="1"/>
  <c r="Y104" i="1"/>
  <c r="S105" i="1"/>
  <c r="U105" i="1"/>
  <c r="Y105" i="1"/>
  <c r="AM105" i="1"/>
  <c r="AN105" i="1" s="1"/>
  <c r="S106" i="1"/>
  <c r="U106" i="1"/>
  <c r="AM106" i="1" s="1"/>
  <c r="AN106" i="1" s="1"/>
  <c r="AV106" i="1" s="1"/>
  <c r="Y106" i="1"/>
  <c r="S107" i="1"/>
  <c r="U107" i="1"/>
  <c r="Y107" i="1"/>
  <c r="AM107" i="1"/>
  <c r="AN107" i="1" s="1"/>
  <c r="AV107" i="1" s="1"/>
  <c r="S108" i="1"/>
  <c r="U108" i="1"/>
  <c r="AM108" i="1" s="1"/>
  <c r="AN108" i="1" s="1"/>
  <c r="Y108" i="1"/>
  <c r="S109" i="1"/>
  <c r="U109" i="1"/>
  <c r="AM109" i="1" s="1"/>
  <c r="AN109" i="1" s="1"/>
  <c r="Y109" i="1"/>
  <c r="S110" i="1"/>
  <c r="U110" i="1"/>
  <c r="Y110" i="1"/>
  <c r="AM110" i="1"/>
  <c r="AN110" i="1"/>
  <c r="S111" i="1"/>
  <c r="U111" i="1"/>
  <c r="AM111" i="1" s="1"/>
  <c r="AN111" i="1" s="1"/>
  <c r="Y111" i="1"/>
  <c r="S112" i="1"/>
  <c r="U112" i="1"/>
  <c r="AM112" i="1" s="1"/>
  <c r="AN112" i="1" s="1"/>
  <c r="Y112" i="1"/>
  <c r="S113" i="1"/>
  <c r="U113" i="1"/>
  <c r="AM113" i="1" s="1"/>
  <c r="AN113" i="1" s="1"/>
  <c r="Y113" i="1"/>
  <c r="S114" i="1"/>
  <c r="U114" i="1"/>
  <c r="AM114" i="1" s="1"/>
  <c r="AN114" i="1" s="1"/>
  <c r="Y114" i="1"/>
  <c r="S115" i="1"/>
  <c r="U115" i="1"/>
  <c r="AM115" i="1" s="1"/>
  <c r="AN115" i="1" s="1"/>
  <c r="Y115" i="1"/>
  <c r="S116" i="1"/>
  <c r="U116" i="1"/>
  <c r="AM116" i="1" s="1"/>
  <c r="AN116" i="1" s="1"/>
  <c r="Y116" i="1"/>
  <c r="AU116" i="1" s="1"/>
  <c r="S117" i="1"/>
  <c r="U117" i="1"/>
  <c r="Y117" i="1"/>
  <c r="AM117" i="1"/>
  <c r="AN117" i="1" s="1"/>
  <c r="AV117" i="1" s="1"/>
  <c r="S118" i="1"/>
  <c r="U118" i="1"/>
  <c r="Y118" i="1"/>
  <c r="AM118" i="1"/>
  <c r="AN118" i="1" s="1"/>
  <c r="AV118" i="1" s="1"/>
  <c r="S119" i="1"/>
  <c r="U119" i="1"/>
  <c r="AM119" i="1" s="1"/>
  <c r="AN119" i="1" s="1"/>
  <c r="Y119" i="1"/>
  <c r="S120" i="1"/>
  <c r="U120" i="1"/>
  <c r="AM120" i="1" s="1"/>
  <c r="AN120" i="1" s="1"/>
  <c r="Y120" i="1"/>
  <c r="S121" i="1"/>
  <c r="U121" i="1"/>
  <c r="AM121" i="1" s="1"/>
  <c r="AN121" i="1" s="1"/>
  <c r="Y121" i="1"/>
  <c r="S122" i="1"/>
  <c r="U122" i="1"/>
  <c r="AM122" i="1" s="1"/>
  <c r="AN122" i="1" s="1"/>
  <c r="Y122" i="1"/>
  <c r="S123" i="1"/>
  <c r="U123" i="1"/>
  <c r="Y123" i="1"/>
  <c r="AM123" i="1"/>
  <c r="AN123" i="1" s="1"/>
  <c r="S124" i="1"/>
  <c r="U124" i="1"/>
  <c r="AM124" i="1" s="1"/>
  <c r="AN124" i="1" s="1"/>
  <c r="Y124" i="1"/>
  <c r="AU124" i="1" s="1"/>
  <c r="S125" i="1"/>
  <c r="U125" i="1"/>
  <c r="Y125" i="1"/>
  <c r="AM125" i="1"/>
  <c r="AN125" i="1"/>
  <c r="AV125" i="1"/>
  <c r="S126" i="1"/>
  <c r="U126" i="1"/>
  <c r="AM126" i="1" s="1"/>
  <c r="AN126" i="1" s="1"/>
  <c r="Y126" i="1"/>
  <c r="S127" i="1"/>
  <c r="U127" i="1"/>
  <c r="AM127" i="1" s="1"/>
  <c r="AN127" i="1" s="1"/>
  <c r="Y127" i="1"/>
  <c r="S128" i="1"/>
  <c r="U128" i="1"/>
  <c r="Y128" i="1"/>
  <c r="AM128" i="1"/>
  <c r="AN128" i="1" s="1"/>
  <c r="AV128" i="1" s="1"/>
  <c r="S129" i="1"/>
  <c r="U129" i="1"/>
  <c r="AM129" i="1" s="1"/>
  <c r="AN129" i="1" s="1"/>
  <c r="Y129" i="1"/>
  <c r="S130" i="1"/>
  <c r="U130" i="1"/>
  <c r="AM130" i="1" s="1"/>
  <c r="AN130" i="1" s="1"/>
  <c r="AV130" i="1" s="1"/>
  <c r="Y130" i="1"/>
  <c r="S131" i="1"/>
  <c r="U131" i="1"/>
  <c r="AM131" i="1" s="1"/>
  <c r="AN131" i="1" s="1"/>
  <c r="Y131" i="1"/>
  <c r="AU131" i="1" s="1"/>
  <c r="S132" i="1"/>
  <c r="U132" i="1"/>
  <c r="AM132" i="1" s="1"/>
  <c r="AN132" i="1" s="1"/>
  <c r="Y132" i="1"/>
  <c r="S133" i="1"/>
  <c r="U133" i="1"/>
  <c r="AM133" i="1" s="1"/>
  <c r="AN133" i="1" s="1"/>
  <c r="Y133" i="1"/>
  <c r="S134" i="1"/>
  <c r="U134" i="1"/>
  <c r="AM134" i="1" s="1"/>
  <c r="AN134" i="1" s="1"/>
  <c r="Y134" i="1"/>
  <c r="S135" i="1"/>
  <c r="U135" i="1"/>
  <c r="AM135" i="1" s="1"/>
  <c r="AN135" i="1" s="1"/>
  <c r="AV135" i="1" s="1"/>
  <c r="Y135" i="1"/>
  <c r="S136" i="1"/>
  <c r="U136" i="1"/>
  <c r="AM136" i="1" s="1"/>
  <c r="AN136" i="1" s="1"/>
  <c r="Y136" i="1"/>
  <c r="AV136" i="1" s="1"/>
  <c r="S137" i="1"/>
  <c r="U137" i="1"/>
  <c r="AM137" i="1" s="1"/>
  <c r="AN137" i="1" s="1"/>
  <c r="Y137" i="1"/>
  <c r="S138" i="1"/>
  <c r="U138" i="1"/>
  <c r="AM138" i="1" s="1"/>
  <c r="AN138" i="1" s="1"/>
  <c r="Y138" i="1"/>
  <c r="S139" i="1"/>
  <c r="U139" i="1"/>
  <c r="AM139" i="1" s="1"/>
  <c r="AN139" i="1" s="1"/>
  <c r="Y139" i="1"/>
  <c r="S140" i="1"/>
  <c r="U140" i="1"/>
  <c r="AM140" i="1" s="1"/>
  <c r="AN140" i="1" s="1"/>
  <c r="Y140" i="1"/>
  <c r="AV140" i="1" s="1"/>
  <c r="S141" i="1"/>
  <c r="U141" i="1"/>
  <c r="Y141" i="1"/>
  <c r="AM141" i="1"/>
  <c r="AN141" i="1" s="1"/>
  <c r="AV141" i="1" s="1"/>
  <c r="S142" i="1"/>
  <c r="U142" i="1"/>
  <c r="AM142" i="1" s="1"/>
  <c r="AN142" i="1" s="1"/>
  <c r="Y142" i="1"/>
  <c r="S143" i="1"/>
  <c r="U143" i="1"/>
  <c r="Y143" i="1"/>
  <c r="AM143" i="1"/>
  <c r="AN143" i="1" s="1"/>
  <c r="AV143" i="1" s="1"/>
  <c r="S144" i="1"/>
  <c r="U144" i="1"/>
  <c r="AM144" i="1" s="1"/>
  <c r="AN144" i="1" s="1"/>
  <c r="Y144" i="1"/>
  <c r="S145" i="1"/>
  <c r="U145" i="1"/>
  <c r="AM145" i="1" s="1"/>
  <c r="AN145" i="1" s="1"/>
  <c r="Y145" i="1"/>
  <c r="AV145" i="1" s="1"/>
  <c r="S146" i="1"/>
  <c r="U146" i="1"/>
  <c r="AM146" i="1" s="1"/>
  <c r="AN146" i="1" s="1"/>
  <c r="Y146" i="1"/>
  <c r="S147" i="1"/>
  <c r="U147" i="1"/>
  <c r="Y147" i="1"/>
  <c r="AM147" i="1"/>
  <c r="AN147" i="1" s="1"/>
  <c r="AV147" i="1" s="1"/>
  <c r="S148" i="1"/>
  <c r="U148" i="1"/>
  <c r="Y148" i="1"/>
  <c r="AM148" i="1"/>
  <c r="AN148" i="1"/>
  <c r="AV148" i="1" s="1"/>
  <c r="S149" i="1"/>
  <c r="U149" i="1"/>
  <c r="AM149" i="1" s="1"/>
  <c r="AN149" i="1" s="1"/>
  <c r="Y149" i="1"/>
  <c r="S150" i="1"/>
  <c r="U150" i="1"/>
  <c r="AM150" i="1" s="1"/>
  <c r="AN150" i="1" s="1"/>
  <c r="Y150" i="1"/>
  <c r="S151" i="1"/>
  <c r="U151" i="1"/>
  <c r="AM151" i="1" s="1"/>
  <c r="AN151" i="1" s="1"/>
  <c r="Y151" i="1"/>
  <c r="S152" i="1"/>
  <c r="U152" i="1"/>
  <c r="AM152" i="1" s="1"/>
  <c r="AN152" i="1" s="1"/>
  <c r="Y152" i="1"/>
  <c r="S153" i="1"/>
  <c r="U153" i="1"/>
  <c r="AM153" i="1" s="1"/>
  <c r="AN153" i="1" s="1"/>
  <c r="Y153" i="1"/>
  <c r="S154" i="1"/>
  <c r="U154" i="1"/>
  <c r="AM154" i="1" s="1"/>
  <c r="AN154" i="1" s="1"/>
  <c r="Y154" i="1"/>
  <c r="S155" i="1"/>
  <c r="U155" i="1"/>
  <c r="Y155" i="1"/>
  <c r="AM155" i="1"/>
  <c r="AN155" i="1" s="1"/>
  <c r="S156" i="1"/>
  <c r="U156" i="1"/>
  <c r="AM156" i="1" s="1"/>
  <c r="AN156" i="1" s="1"/>
  <c r="Y156" i="1"/>
  <c r="AV156" i="1" s="1"/>
  <c r="S157" i="1"/>
  <c r="U157" i="1"/>
  <c r="AM157" i="1" s="1"/>
  <c r="AN157" i="1" s="1"/>
  <c r="AV157" i="1" s="1"/>
  <c r="Y157" i="1"/>
  <c r="S158" i="1"/>
  <c r="U158" i="1"/>
  <c r="Y158" i="1"/>
  <c r="AM158" i="1"/>
  <c r="AN158" i="1"/>
  <c r="S159" i="1"/>
  <c r="U159" i="1"/>
  <c r="AM159" i="1" s="1"/>
  <c r="AN159" i="1" s="1"/>
  <c r="Y159" i="1"/>
  <c r="S160" i="1"/>
  <c r="U160" i="1"/>
  <c r="AM160" i="1" s="1"/>
  <c r="AN160" i="1" s="1"/>
  <c r="Y160" i="1"/>
  <c r="AV160" i="1" s="1"/>
  <c r="S161" i="1"/>
  <c r="U161" i="1"/>
  <c r="AM161" i="1" s="1"/>
  <c r="AN161" i="1" s="1"/>
  <c r="Y161" i="1"/>
  <c r="S162" i="1"/>
  <c r="U162" i="1"/>
  <c r="Y162" i="1"/>
  <c r="AM162" i="1"/>
  <c r="AN162" i="1" s="1"/>
  <c r="S163" i="1"/>
  <c r="U163" i="1"/>
  <c r="Y163" i="1"/>
  <c r="AM163" i="1"/>
  <c r="AN163" i="1"/>
  <c r="S164" i="1"/>
  <c r="U164" i="1"/>
  <c r="AM164" i="1" s="1"/>
  <c r="AN164" i="1" s="1"/>
  <c r="Y164" i="1"/>
  <c r="S165" i="1"/>
  <c r="U165" i="1"/>
  <c r="AM165" i="1" s="1"/>
  <c r="AN165" i="1" s="1"/>
  <c r="Y165" i="1"/>
  <c r="AV165" i="1" s="1"/>
  <c r="S166" i="1"/>
  <c r="U166" i="1"/>
  <c r="AM166" i="1" s="1"/>
  <c r="AN166" i="1" s="1"/>
  <c r="Y166" i="1"/>
  <c r="AV166" i="1" s="1"/>
  <c r="S167" i="1"/>
  <c r="U167" i="1"/>
  <c r="Y167" i="1"/>
  <c r="AM167" i="1"/>
  <c r="AN167" i="1" s="1"/>
  <c r="S168" i="1"/>
  <c r="U168" i="1"/>
  <c r="AM168" i="1" s="1"/>
  <c r="AN168" i="1" s="1"/>
  <c r="Y168" i="1"/>
  <c r="S169" i="1"/>
  <c r="U169" i="1"/>
  <c r="AM169" i="1" s="1"/>
  <c r="AN169" i="1" s="1"/>
  <c r="Y169" i="1"/>
  <c r="S170" i="1"/>
  <c r="U170" i="1"/>
  <c r="AM170" i="1" s="1"/>
  <c r="AN170" i="1" s="1"/>
  <c r="Y170" i="1"/>
  <c r="AV170" i="1" s="1"/>
  <c r="S171" i="1"/>
  <c r="U171" i="1"/>
  <c r="Y171" i="1"/>
  <c r="AM171" i="1"/>
  <c r="AN171" i="1" s="1"/>
  <c r="S172" i="1"/>
  <c r="U172" i="1"/>
  <c r="AM172" i="1" s="1"/>
  <c r="AN172" i="1" s="1"/>
  <c r="Y172" i="1"/>
  <c r="S173" i="1"/>
  <c r="U173" i="1"/>
  <c r="AM173" i="1" s="1"/>
  <c r="Y173" i="1"/>
  <c r="AN173" i="1"/>
  <c r="AV173" i="1" s="1"/>
  <c r="S174" i="1"/>
  <c r="U174" i="1"/>
  <c r="AM174" i="1" s="1"/>
  <c r="AN174" i="1" s="1"/>
  <c r="Y174" i="1"/>
  <c r="AV174" i="1" s="1"/>
  <c r="S175" i="1"/>
  <c r="U175" i="1"/>
  <c r="AM175" i="1" s="1"/>
  <c r="AN175" i="1" s="1"/>
  <c r="Y175" i="1"/>
  <c r="S176" i="1"/>
  <c r="U176" i="1"/>
  <c r="Y176" i="1"/>
  <c r="AM176" i="1"/>
  <c r="AN176" i="1"/>
  <c r="S177" i="1"/>
  <c r="U177" i="1"/>
  <c r="AM177" i="1" s="1"/>
  <c r="AN177" i="1" s="1"/>
  <c r="Y177" i="1"/>
  <c r="S178" i="1"/>
  <c r="U178" i="1"/>
  <c r="AM178" i="1" s="1"/>
  <c r="Y178" i="1"/>
  <c r="AN178" i="1"/>
  <c r="S179" i="1"/>
  <c r="U179" i="1"/>
  <c r="AM179" i="1" s="1"/>
  <c r="AN179" i="1" s="1"/>
  <c r="Y179" i="1"/>
  <c r="AV179" i="1" s="1"/>
  <c r="S180" i="1"/>
  <c r="U180" i="1"/>
  <c r="AM180" i="1" s="1"/>
  <c r="AN180" i="1" s="1"/>
  <c r="Y180" i="1"/>
  <c r="S181" i="1"/>
  <c r="U181" i="1"/>
  <c r="Y181" i="1"/>
  <c r="AM181" i="1"/>
  <c r="AN181" i="1" s="1"/>
  <c r="AV181" i="1" s="1"/>
  <c r="S182" i="1"/>
  <c r="U182" i="1"/>
  <c r="Y182" i="1"/>
  <c r="AM182" i="1"/>
  <c r="AN182" i="1" s="1"/>
  <c r="AV182" i="1" s="1"/>
  <c r="S183" i="1"/>
  <c r="U183" i="1"/>
  <c r="Y183" i="1"/>
  <c r="AM183" i="1"/>
  <c r="AN183" i="1"/>
  <c r="AV183" i="1"/>
  <c r="S184" i="1"/>
  <c r="U184" i="1"/>
  <c r="AM184" i="1" s="1"/>
  <c r="AN184" i="1" s="1"/>
  <c r="Y184" i="1"/>
  <c r="AV184" i="1" s="1"/>
  <c r="S185" i="1"/>
  <c r="U185" i="1"/>
  <c r="AM185" i="1" s="1"/>
  <c r="AN185" i="1" s="1"/>
  <c r="Y185" i="1"/>
  <c r="S186" i="1"/>
  <c r="U186" i="1"/>
  <c r="AM186" i="1" s="1"/>
  <c r="AN186" i="1" s="1"/>
  <c r="Y186" i="1"/>
  <c r="S187" i="1"/>
  <c r="U187" i="1"/>
  <c r="Y187" i="1"/>
  <c r="AM187" i="1"/>
  <c r="AN187" i="1" s="1"/>
  <c r="S188" i="1"/>
  <c r="U188" i="1"/>
  <c r="AM188" i="1" s="1"/>
  <c r="AN188" i="1" s="1"/>
  <c r="Y188" i="1"/>
  <c r="S189" i="1"/>
  <c r="U189" i="1"/>
  <c r="AM189" i="1" s="1"/>
  <c r="AN189" i="1" s="1"/>
  <c r="Y189" i="1"/>
  <c r="AV189" i="1" s="1"/>
  <c r="S190" i="1"/>
  <c r="U190" i="1"/>
  <c r="AM190" i="1" s="1"/>
  <c r="AN190" i="1" s="1"/>
  <c r="Y190" i="1"/>
  <c r="S191" i="1"/>
  <c r="U191" i="1"/>
  <c r="AM191" i="1" s="1"/>
  <c r="AN191" i="1" s="1"/>
  <c r="Y191" i="1"/>
  <c r="S192" i="1"/>
  <c r="U192" i="1"/>
  <c r="AM192" i="1" s="1"/>
  <c r="AN192" i="1" s="1"/>
  <c r="Y192" i="1"/>
  <c r="S193" i="1"/>
  <c r="U193" i="1"/>
  <c r="AM193" i="1" s="1"/>
  <c r="AN193" i="1" s="1"/>
  <c r="Y193" i="1"/>
  <c r="S194" i="1"/>
  <c r="U194" i="1"/>
  <c r="AM194" i="1" s="1"/>
  <c r="AN194" i="1" s="1"/>
  <c r="Y194" i="1"/>
  <c r="AV194" i="1" s="1"/>
  <c r="S195" i="1"/>
  <c r="U195" i="1"/>
  <c r="AM195" i="1" s="1"/>
  <c r="AN195" i="1" s="1"/>
  <c r="Y195" i="1"/>
  <c r="AV195" i="1" s="1"/>
  <c r="S196" i="1"/>
  <c r="U196" i="1"/>
  <c r="Y196" i="1"/>
  <c r="AM196" i="1"/>
  <c r="AN196" i="1" s="1"/>
  <c r="S197" i="1"/>
  <c r="U197" i="1"/>
  <c r="Y197" i="1"/>
  <c r="AM197" i="1"/>
  <c r="AN197" i="1" s="1"/>
  <c r="S198" i="1"/>
  <c r="U198" i="1"/>
  <c r="AM198" i="1" s="1"/>
  <c r="Y198" i="1"/>
  <c r="AN198" i="1"/>
  <c r="AU198" i="1"/>
  <c r="AW198" i="1"/>
  <c r="S199" i="1"/>
  <c r="U199" i="1"/>
  <c r="AM199" i="1" s="1"/>
  <c r="AN199" i="1" s="1"/>
  <c r="Y199" i="1"/>
  <c r="S200" i="1"/>
  <c r="U200" i="1"/>
  <c r="AM200" i="1" s="1"/>
  <c r="AN200" i="1" s="1"/>
  <c r="Y200" i="1"/>
  <c r="AV200" i="1" s="1"/>
  <c r="S201" i="1"/>
  <c r="U201" i="1"/>
  <c r="AM201" i="1" s="1"/>
  <c r="AN201" i="1" s="1"/>
  <c r="Y201" i="1"/>
  <c r="S202" i="1"/>
  <c r="U202" i="1"/>
  <c r="AM202" i="1" s="1"/>
  <c r="AN202" i="1" s="1"/>
  <c r="Y202" i="1"/>
  <c r="S203" i="1"/>
  <c r="U203" i="1"/>
  <c r="AM203" i="1" s="1"/>
  <c r="AN203" i="1" s="1"/>
  <c r="Y203" i="1"/>
  <c r="S204" i="1"/>
  <c r="U204" i="1"/>
  <c r="AM204" i="1" s="1"/>
  <c r="AN204" i="1" s="1"/>
  <c r="Y204" i="1"/>
  <c r="S205" i="1"/>
  <c r="U205" i="1"/>
  <c r="AM205" i="1" s="1"/>
  <c r="AN205" i="1" s="1"/>
  <c r="Y205" i="1"/>
  <c r="S206" i="1"/>
  <c r="U206" i="1"/>
  <c r="AM206" i="1" s="1"/>
  <c r="AN206" i="1" s="1"/>
  <c r="Y206" i="1"/>
  <c r="S207" i="1"/>
  <c r="U207" i="1"/>
  <c r="AM207" i="1" s="1"/>
  <c r="AN207" i="1" s="1"/>
  <c r="Y207" i="1"/>
  <c r="S208" i="1"/>
  <c r="U208" i="1"/>
  <c r="Y208" i="1"/>
  <c r="AM208" i="1"/>
  <c r="AN208" i="1" s="1"/>
  <c r="S209" i="1"/>
  <c r="U209" i="1"/>
  <c r="AM209" i="1" s="1"/>
  <c r="AN209" i="1" s="1"/>
  <c r="Y209" i="1"/>
  <c r="S210" i="1"/>
  <c r="U210" i="1"/>
  <c r="AM210" i="1" s="1"/>
  <c r="AN210" i="1" s="1"/>
  <c r="Y210" i="1"/>
  <c r="S211" i="1"/>
  <c r="U211" i="1"/>
  <c r="Y211" i="1"/>
  <c r="AM211" i="1"/>
  <c r="AN211" i="1" s="1"/>
  <c r="S212" i="1"/>
  <c r="U212" i="1"/>
  <c r="AM212" i="1" s="1"/>
  <c r="AN212" i="1" s="1"/>
  <c r="Y212" i="1"/>
  <c r="S213" i="1"/>
  <c r="U213" i="1"/>
  <c r="Y213" i="1"/>
  <c r="AM213" i="1"/>
  <c r="AN213" i="1" s="1"/>
  <c r="AU213" i="1" s="1"/>
  <c r="S214" i="1"/>
  <c r="U214" i="1"/>
  <c r="AM214" i="1" s="1"/>
  <c r="AN214" i="1" s="1"/>
  <c r="Y214" i="1"/>
  <c r="AU214" i="1" s="1"/>
  <c r="S215" i="1"/>
  <c r="U215" i="1"/>
  <c r="AM215" i="1" s="1"/>
  <c r="AN215" i="1" s="1"/>
  <c r="AV215" i="1" s="1"/>
  <c r="Y215" i="1"/>
  <c r="S216" i="1"/>
  <c r="U216" i="1"/>
  <c r="AM216" i="1" s="1"/>
  <c r="AN216" i="1" s="1"/>
  <c r="Y216" i="1"/>
  <c r="S217" i="1"/>
  <c r="U217" i="1"/>
  <c r="AM217" i="1" s="1"/>
  <c r="AN217" i="1" s="1"/>
  <c r="Y217" i="1"/>
  <c r="S218" i="1"/>
  <c r="U218" i="1"/>
  <c r="Y218" i="1"/>
  <c r="AM218" i="1"/>
  <c r="AN218" i="1" s="1"/>
  <c r="S219" i="1"/>
  <c r="U219" i="1"/>
  <c r="AM219" i="1" s="1"/>
  <c r="AN219" i="1" s="1"/>
  <c r="Y219" i="1"/>
  <c r="S220" i="1"/>
  <c r="U220" i="1"/>
  <c r="AM220" i="1" s="1"/>
  <c r="AN220" i="1" s="1"/>
  <c r="Y220" i="1"/>
  <c r="S221" i="1"/>
  <c r="U221" i="1"/>
  <c r="AM221" i="1" s="1"/>
  <c r="AN221" i="1" s="1"/>
  <c r="Y221" i="1"/>
  <c r="S222" i="1"/>
  <c r="U222" i="1"/>
  <c r="AM222" i="1" s="1"/>
  <c r="AN222" i="1" s="1"/>
  <c r="Y222" i="1"/>
  <c r="S223" i="1"/>
  <c r="U223" i="1"/>
  <c r="Y223" i="1"/>
  <c r="AM223" i="1"/>
  <c r="AN223" i="1" s="1"/>
  <c r="S224" i="1"/>
  <c r="U224" i="1"/>
  <c r="AM224" i="1" s="1"/>
  <c r="AN224" i="1" s="1"/>
  <c r="Y224" i="1"/>
  <c r="S225" i="1"/>
  <c r="U225" i="1"/>
  <c r="AM225" i="1" s="1"/>
  <c r="AN225" i="1" s="1"/>
  <c r="Y225" i="1"/>
  <c r="S226" i="1"/>
  <c r="U226" i="1"/>
  <c r="AM226" i="1" s="1"/>
  <c r="AN226" i="1" s="1"/>
  <c r="Y226" i="1"/>
  <c r="S227" i="1"/>
  <c r="U227" i="1"/>
  <c r="AM227" i="1" s="1"/>
  <c r="AN227" i="1" s="1"/>
  <c r="Y227" i="1"/>
  <c r="S228" i="1"/>
  <c r="U228" i="1"/>
  <c r="Y228" i="1"/>
  <c r="AM228" i="1"/>
  <c r="AN228" i="1" s="1"/>
  <c r="S229" i="1"/>
  <c r="U229" i="1"/>
  <c r="AM229" i="1" s="1"/>
  <c r="AN229" i="1" s="1"/>
  <c r="Y229" i="1"/>
  <c r="S230" i="1"/>
  <c r="U230" i="1"/>
  <c r="AM230" i="1" s="1"/>
  <c r="AN230" i="1" s="1"/>
  <c r="Y230" i="1"/>
  <c r="S231" i="1"/>
  <c r="U231" i="1"/>
  <c r="AM231" i="1" s="1"/>
  <c r="AN231" i="1" s="1"/>
  <c r="Y231" i="1"/>
  <c r="S232" i="1"/>
  <c r="U232" i="1"/>
  <c r="AM232" i="1" s="1"/>
  <c r="AN232" i="1" s="1"/>
  <c r="Y232" i="1"/>
  <c r="S233" i="1"/>
  <c r="U233" i="1"/>
  <c r="Y233" i="1"/>
  <c r="AM233" i="1"/>
  <c r="AN233" i="1" s="1"/>
  <c r="AU233" i="1" s="1"/>
  <c r="S234" i="1"/>
  <c r="U234" i="1"/>
  <c r="AM234" i="1" s="1"/>
  <c r="AN234" i="1" s="1"/>
  <c r="Y234" i="1"/>
  <c r="S235" i="1"/>
  <c r="U235" i="1"/>
  <c r="AM235" i="1" s="1"/>
  <c r="AN235" i="1" s="1"/>
  <c r="Y235" i="1"/>
  <c r="S236" i="1"/>
  <c r="U236" i="1"/>
  <c r="AM236" i="1" s="1"/>
  <c r="AN236" i="1" s="1"/>
  <c r="Y236" i="1"/>
  <c r="S237" i="1"/>
  <c r="U237" i="1"/>
  <c r="AM237" i="1" s="1"/>
  <c r="AN237" i="1" s="1"/>
  <c r="Y237" i="1"/>
  <c r="S238" i="1"/>
  <c r="U238" i="1"/>
  <c r="Y238" i="1"/>
  <c r="AM238" i="1"/>
  <c r="AN238" i="1" s="1"/>
  <c r="S239" i="1"/>
  <c r="U239" i="1"/>
  <c r="Y239" i="1"/>
  <c r="AM239" i="1"/>
  <c r="AN239" i="1" s="1"/>
  <c r="S240" i="1"/>
  <c r="U240" i="1"/>
  <c r="AM240" i="1" s="1"/>
  <c r="AN240" i="1" s="1"/>
  <c r="Y240" i="1"/>
  <c r="S241" i="1"/>
  <c r="U241" i="1"/>
  <c r="AM241" i="1" s="1"/>
  <c r="AN241" i="1" s="1"/>
  <c r="Y241" i="1"/>
  <c r="AV132" i="1" l="1"/>
  <c r="AV48" i="1"/>
  <c r="AV137" i="1"/>
  <c r="AV138" i="1"/>
  <c r="AW4" i="1"/>
  <c r="AV112" i="1"/>
  <c r="AV71" i="1"/>
  <c r="AV126" i="1"/>
  <c r="AU206" i="1"/>
  <c r="AV153" i="1"/>
  <c r="AV77" i="1"/>
  <c r="AV73" i="1"/>
  <c r="AV111" i="1"/>
  <c r="AU167" i="1"/>
  <c r="AV113" i="1"/>
  <c r="AV53" i="1"/>
  <c r="AV87" i="1"/>
  <c r="AV76" i="1"/>
  <c r="AV63" i="1"/>
  <c r="AV38" i="1"/>
  <c r="AV207" i="1"/>
  <c r="AV199" i="1"/>
  <c r="AV158" i="1"/>
  <c r="AV152" i="1"/>
  <c r="AV172" i="1"/>
  <c r="AV237" i="1"/>
  <c r="AV177" i="1"/>
  <c r="AV110" i="1"/>
  <c r="AV91" i="1"/>
  <c r="AV72" i="1"/>
  <c r="AV198" i="1"/>
  <c r="AV86" i="1"/>
  <c r="AU37" i="1"/>
  <c r="AV191" i="1"/>
  <c r="AV187" i="1"/>
  <c r="AV176" i="1"/>
  <c r="AV186" i="1"/>
  <c r="AV192" i="1"/>
  <c r="AV122" i="1"/>
  <c r="AV98" i="1"/>
  <c r="AV92" i="1"/>
  <c r="AV185" i="1"/>
  <c r="AV180" i="1"/>
  <c r="AV151" i="1"/>
  <c r="AV133" i="1"/>
  <c r="AV127" i="1"/>
  <c r="AV68" i="1"/>
  <c r="AV43" i="1"/>
  <c r="AU238" i="1"/>
  <c r="AW238" i="1"/>
  <c r="AV196" i="1"/>
  <c r="AU232" i="1"/>
  <c r="AV232" i="1"/>
  <c r="AV155" i="1"/>
  <c r="AU28" i="1"/>
  <c r="AV28" i="1"/>
  <c r="AU237" i="1"/>
  <c r="AU218" i="1"/>
  <c r="AW218" i="1"/>
  <c r="AV188" i="1"/>
  <c r="AU208" i="1"/>
  <c r="AV208" i="1"/>
  <c r="AW208" i="1"/>
  <c r="AU3" i="1"/>
  <c r="AW3" i="1"/>
  <c r="AV3" i="1"/>
  <c r="AW233" i="1"/>
  <c r="AU223" i="1"/>
  <c r="AW223" i="1"/>
  <c r="AU23" i="1"/>
  <c r="AV23" i="1"/>
  <c r="AV123" i="1"/>
  <c r="AV105" i="1"/>
  <c r="AV93" i="1"/>
  <c r="AU228" i="1"/>
  <c r="AW228" i="1"/>
  <c r="AV229" i="1"/>
  <c r="AV224" i="1"/>
  <c r="AV219" i="1"/>
  <c r="AV209" i="1"/>
  <c r="AV205" i="1"/>
  <c r="AV161" i="1"/>
  <c r="AU142" i="1"/>
  <c r="AU132" i="1"/>
  <c r="AU75" i="1"/>
  <c r="AU122" i="1"/>
  <c r="AU108" i="1"/>
  <c r="AU70" i="1"/>
  <c r="AV190" i="1"/>
  <c r="AU25" i="1"/>
  <c r="AU112" i="1"/>
  <c r="AU103" i="1"/>
  <c r="AV204" i="1"/>
  <c r="AV171" i="1"/>
  <c r="AV131" i="1"/>
  <c r="AU98" i="1"/>
  <c r="AW237" i="1"/>
  <c r="AU107" i="1"/>
  <c r="AU93" i="1"/>
  <c r="AW213" i="1"/>
  <c r="AU130" i="1"/>
  <c r="AU111" i="1"/>
  <c r="AU88" i="1"/>
  <c r="AU4" i="1"/>
  <c r="AU83" i="1"/>
  <c r="AV175" i="1"/>
  <c r="AU125" i="1"/>
  <c r="AU78" i="1"/>
  <c r="AW232" i="1"/>
  <c r="AW227" i="1"/>
  <c r="AW222" i="1"/>
  <c r="AU120" i="1"/>
  <c r="AU73" i="1"/>
  <c r="AV212" i="1"/>
  <c r="AV202" i="1"/>
  <c r="AU115" i="1"/>
  <c r="AU87" i="1"/>
  <c r="AU68" i="1"/>
  <c r="AU63" i="1"/>
  <c r="AU58" i="1"/>
  <c r="AU53" i="1"/>
  <c r="AU48" i="1"/>
  <c r="AU43" i="1"/>
  <c r="AU38" i="1"/>
  <c r="AU33" i="1"/>
  <c r="AV197" i="1"/>
  <c r="AV101" i="1"/>
  <c r="AW28" i="1"/>
  <c r="AV239" i="1"/>
  <c r="AU110" i="1"/>
  <c r="AV96" i="1"/>
  <c r="AW23" i="1"/>
  <c r="AV18" i="1"/>
  <c r="AV13" i="1"/>
  <c r="AV8" i="1"/>
  <c r="AV178" i="1"/>
  <c r="AV168" i="1"/>
  <c r="AU114" i="1"/>
  <c r="AU86" i="1"/>
  <c r="AU72" i="1"/>
  <c r="AV67" i="1"/>
  <c r="AV62" i="1"/>
  <c r="AV57" i="1"/>
  <c r="AV52" i="1"/>
  <c r="AV47" i="1"/>
  <c r="AV42" i="1"/>
  <c r="AV37" i="1"/>
  <c r="AU105" i="1"/>
  <c r="AU32" i="1"/>
  <c r="AU128" i="1"/>
  <c r="AU109" i="1"/>
  <c r="AU100" i="1"/>
  <c r="AV81" i="1"/>
  <c r="AU76" i="1"/>
  <c r="AU27" i="1"/>
  <c r="AV167" i="1"/>
  <c r="AV162" i="1"/>
  <c r="AU133" i="1"/>
  <c r="AU95" i="1"/>
  <c r="AU71" i="1"/>
  <c r="AW196" i="1"/>
  <c r="AU123" i="1"/>
  <c r="AU90" i="1"/>
  <c r="AV142" i="1"/>
  <c r="AU118" i="1"/>
  <c r="AV108" i="1"/>
  <c r="AU85" i="1"/>
  <c r="AV66" i="1"/>
  <c r="AV61" i="1"/>
  <c r="AV56" i="1"/>
  <c r="AV51" i="1"/>
  <c r="AV46" i="1"/>
  <c r="AV41" i="1"/>
  <c r="AV36" i="1"/>
  <c r="AV31" i="1"/>
  <c r="AU138" i="1"/>
  <c r="AU127" i="1"/>
  <c r="AU113" i="1"/>
  <c r="AU80" i="1"/>
  <c r="AU241" i="1"/>
  <c r="AV241" i="1"/>
  <c r="AW241" i="1"/>
  <c r="AU203" i="1"/>
  <c r="AV203" i="1"/>
  <c r="AW203" i="1"/>
  <c r="AU240" i="1"/>
  <c r="AU236" i="1"/>
  <c r="AV236" i="1"/>
  <c r="AW236" i="1"/>
  <c r="AV193" i="1"/>
  <c r="AU227" i="1"/>
  <c r="AV227" i="1"/>
  <c r="AU222" i="1"/>
  <c r="AV222" i="1"/>
  <c r="AU239" i="1"/>
  <c r="AW239" i="1"/>
  <c r="AU235" i="1"/>
  <c r="AU231" i="1"/>
  <c r="AV231" i="1"/>
  <c r="AW231" i="1"/>
  <c r="AU226" i="1"/>
  <c r="AV226" i="1"/>
  <c r="AW226" i="1"/>
  <c r="AU221" i="1"/>
  <c r="AV221" i="1"/>
  <c r="AW221" i="1"/>
  <c r="AV216" i="1"/>
  <c r="AU216" i="1"/>
  <c r="AW216" i="1"/>
  <c r="AU201" i="1"/>
  <c r="AV201" i="1"/>
  <c r="AU234" i="1"/>
  <c r="AW234" i="1"/>
  <c r="AV234" i="1"/>
  <c r="AU230" i="1"/>
  <c r="AU225" i="1"/>
  <c r="AU220" i="1"/>
  <c r="AV206" i="1"/>
  <c r="AV210" i="1"/>
  <c r="AU229" i="1"/>
  <c r="AW229" i="1"/>
  <c r="AU224" i="1"/>
  <c r="AW224" i="1"/>
  <c r="AU219" i="1"/>
  <c r="AW219" i="1"/>
  <c r="AV214" i="1"/>
  <c r="AU150" i="1"/>
  <c r="AW150" i="1"/>
  <c r="AU146" i="1"/>
  <c r="AW146" i="1"/>
  <c r="AU89" i="1"/>
  <c r="AU21" i="1"/>
  <c r="AV21" i="1"/>
  <c r="AU16" i="1"/>
  <c r="AV16" i="1"/>
  <c r="AU11" i="1"/>
  <c r="AV11" i="1"/>
  <c r="AW211" i="1"/>
  <c r="AU172" i="1"/>
  <c r="AU163" i="1"/>
  <c r="AW163" i="1"/>
  <c r="AU154" i="1"/>
  <c r="AV154" i="1"/>
  <c r="AW154" i="1"/>
  <c r="AU137" i="1"/>
  <c r="AU65" i="1"/>
  <c r="AU60" i="1"/>
  <c r="AU55" i="1"/>
  <c r="AU50" i="1"/>
  <c r="AU45" i="1"/>
  <c r="AU40" i="1"/>
  <c r="AU35" i="1"/>
  <c r="AU30" i="1"/>
  <c r="AU217" i="1"/>
  <c r="AW217" i="1"/>
  <c r="AU200" i="1"/>
  <c r="AW200" i="1"/>
  <c r="AU196" i="1"/>
  <c r="AU184" i="1"/>
  <c r="AW184" i="1"/>
  <c r="AU126" i="1"/>
  <c r="AU117" i="1"/>
  <c r="AU79" i="1"/>
  <c r="AU207" i="1"/>
  <c r="AW207" i="1"/>
  <c r="AU188" i="1"/>
  <c r="AW188" i="1"/>
  <c r="AU180" i="1"/>
  <c r="AW180" i="1"/>
  <c r="AU176" i="1"/>
  <c r="AW176" i="1"/>
  <c r="AU158" i="1"/>
  <c r="AW158" i="1"/>
  <c r="AU149" i="1"/>
  <c r="AV149" i="1"/>
  <c r="AW149" i="1"/>
  <c r="AU74" i="1"/>
  <c r="AU20" i="1"/>
  <c r="AU15" i="1"/>
  <c r="AU10" i="1"/>
  <c r="AU5" i="1"/>
  <c r="AU192" i="1"/>
  <c r="AW192" i="1"/>
  <c r="AU145" i="1"/>
  <c r="AW145" i="1"/>
  <c r="AU141" i="1"/>
  <c r="AW141" i="1"/>
  <c r="AU121" i="1"/>
  <c r="AU69" i="1"/>
  <c r="AU64" i="1"/>
  <c r="AU59" i="1"/>
  <c r="AU54" i="1"/>
  <c r="AU49" i="1"/>
  <c r="AU44" i="1"/>
  <c r="AU39" i="1"/>
  <c r="AU34" i="1"/>
  <c r="AU29" i="1"/>
  <c r="AV213" i="1"/>
  <c r="AU153" i="1"/>
  <c r="AW153" i="1"/>
  <c r="AU136" i="1"/>
  <c r="AW136" i="1"/>
  <c r="AU24" i="1"/>
  <c r="AU210" i="1"/>
  <c r="AW210" i="1"/>
  <c r="AU199" i="1"/>
  <c r="AW199" i="1"/>
  <c r="AU162" i="1"/>
  <c r="AU179" i="1"/>
  <c r="AW179" i="1"/>
  <c r="AU175" i="1"/>
  <c r="AW175" i="1"/>
  <c r="AU171" i="1"/>
  <c r="AW171" i="1"/>
  <c r="AU144" i="1"/>
  <c r="AV144" i="1"/>
  <c r="AW144" i="1"/>
  <c r="AU102" i="1"/>
  <c r="AU187" i="1"/>
  <c r="AW187" i="1"/>
  <c r="AU183" i="1"/>
  <c r="AW183" i="1"/>
  <c r="AU166" i="1"/>
  <c r="AW166" i="1"/>
  <c r="AU157" i="1"/>
  <c r="AU140" i="1"/>
  <c r="AU135" i="1"/>
  <c r="AU106" i="1"/>
  <c r="AU97" i="1"/>
  <c r="AU195" i="1"/>
  <c r="AW195" i="1"/>
  <c r="AU148" i="1"/>
  <c r="AW148" i="1"/>
  <c r="AU129" i="1"/>
  <c r="AU92" i="1"/>
  <c r="AU209" i="1"/>
  <c r="AW209" i="1"/>
  <c r="AW206" i="1"/>
  <c r="AU191" i="1"/>
  <c r="AW191" i="1"/>
  <c r="AU161" i="1"/>
  <c r="AW161" i="1"/>
  <c r="AU152" i="1"/>
  <c r="AU101" i="1"/>
  <c r="AU202" i="1"/>
  <c r="AW202" i="1"/>
  <c r="AU174" i="1"/>
  <c r="AW174" i="1"/>
  <c r="AU170" i="1"/>
  <c r="AW170" i="1"/>
  <c r="AU139" i="1"/>
  <c r="AV139" i="1"/>
  <c r="AW139" i="1"/>
  <c r="AU134" i="1"/>
  <c r="AV134" i="1"/>
  <c r="AW134" i="1"/>
  <c r="AU82" i="1"/>
  <c r="AV238" i="1"/>
  <c r="AV233" i="1"/>
  <c r="AV228" i="1"/>
  <c r="AV223" i="1"/>
  <c r="AV218" i="1"/>
  <c r="AU178" i="1"/>
  <c r="AW178" i="1"/>
  <c r="AU165" i="1"/>
  <c r="AW165" i="1"/>
  <c r="AU156" i="1"/>
  <c r="AW156" i="1"/>
  <c r="AU119" i="1"/>
  <c r="AU91" i="1"/>
  <c r="AU77" i="1"/>
  <c r="AU194" i="1"/>
  <c r="AW194" i="1"/>
  <c r="AU182" i="1"/>
  <c r="AW182" i="1"/>
  <c r="AU143" i="1"/>
  <c r="AW143" i="1"/>
  <c r="AV32" i="1"/>
  <c r="AW32" i="1"/>
  <c r="AU212" i="1"/>
  <c r="AW212" i="1"/>
  <c r="AU190" i="1"/>
  <c r="AW190" i="1"/>
  <c r="AU186" i="1"/>
  <c r="AW186" i="1"/>
  <c r="AU169" i="1"/>
  <c r="AV169" i="1"/>
  <c r="AW169" i="1"/>
  <c r="AU160" i="1"/>
  <c r="AW160" i="1"/>
  <c r="AU147" i="1"/>
  <c r="AU67" i="1"/>
  <c r="AU62" i="1"/>
  <c r="AU57" i="1"/>
  <c r="AU52" i="1"/>
  <c r="AU47" i="1"/>
  <c r="AU42" i="1"/>
  <c r="AV27" i="1"/>
  <c r="AW27" i="1"/>
  <c r="AW240" i="1"/>
  <c r="AW235" i="1"/>
  <c r="AW230" i="1"/>
  <c r="AW225" i="1"/>
  <c r="AW220" i="1"/>
  <c r="AU205" i="1"/>
  <c r="AW205" i="1"/>
  <c r="AU164" i="1"/>
  <c r="AV164" i="1"/>
  <c r="AW164" i="1"/>
  <c r="AV22" i="1"/>
  <c r="AW22" i="1"/>
  <c r="AV17" i="1"/>
  <c r="AW17" i="1"/>
  <c r="AV12" i="1"/>
  <c r="AW12" i="1"/>
  <c r="AV7" i="1"/>
  <c r="AW7" i="1"/>
  <c r="AV240" i="1"/>
  <c r="AV235" i="1"/>
  <c r="AV230" i="1"/>
  <c r="AV225" i="1"/>
  <c r="AV220" i="1"/>
  <c r="AU215" i="1"/>
  <c r="AW215" i="1"/>
  <c r="AW193" i="1"/>
  <c r="AU173" i="1"/>
  <c r="AW173" i="1"/>
  <c r="AU151" i="1"/>
  <c r="AW151" i="1"/>
  <c r="AU22" i="1"/>
  <c r="AU17" i="1"/>
  <c r="AU12" i="1"/>
  <c r="AU7" i="1"/>
  <c r="AV2" i="1"/>
  <c r="AW2" i="1"/>
  <c r="AV211" i="1"/>
  <c r="AU177" i="1"/>
  <c r="AW177" i="1"/>
  <c r="AU159" i="1"/>
  <c r="AV159" i="1"/>
  <c r="AW159" i="1"/>
  <c r="AV146" i="1"/>
  <c r="AU104" i="1"/>
  <c r="AU66" i="1"/>
  <c r="AU61" i="1"/>
  <c r="AU56" i="1"/>
  <c r="AU51" i="1"/>
  <c r="AU46" i="1"/>
  <c r="AU41" i="1"/>
  <c r="AU36" i="1"/>
  <c r="AU31" i="1"/>
  <c r="AU2" i="1"/>
  <c r="AU211" i="1"/>
  <c r="AW201" i="1"/>
  <c r="AU197" i="1"/>
  <c r="AW197" i="1"/>
  <c r="AU189" i="1"/>
  <c r="AW189" i="1"/>
  <c r="AU185" i="1"/>
  <c r="AW185" i="1"/>
  <c r="AV163" i="1"/>
  <c r="AU155" i="1"/>
  <c r="AW155" i="1"/>
  <c r="AU99" i="1"/>
  <c r="AW26" i="1"/>
  <c r="AV217" i="1"/>
  <c r="AW214" i="1"/>
  <c r="AU204" i="1"/>
  <c r="AW204" i="1"/>
  <c r="AU193" i="1"/>
  <c r="AU181" i="1"/>
  <c r="AW181" i="1"/>
  <c r="AU168" i="1"/>
  <c r="AW168" i="1"/>
  <c r="AV150" i="1"/>
  <c r="AU94" i="1"/>
  <c r="AU26" i="1"/>
  <c r="AV26" i="1"/>
  <c r="AW21" i="1"/>
  <c r="AW16" i="1"/>
  <c r="AW11" i="1"/>
  <c r="AU6" i="1"/>
  <c r="AW131" i="1"/>
  <c r="AW126" i="1"/>
  <c r="AW121" i="1"/>
  <c r="AW116" i="1"/>
  <c r="AW111" i="1"/>
  <c r="AW106" i="1"/>
  <c r="AW101" i="1"/>
  <c r="AW96" i="1"/>
  <c r="AW91" i="1"/>
  <c r="AW86" i="1"/>
  <c r="AW81" i="1"/>
  <c r="AW76" i="1"/>
  <c r="AW71" i="1"/>
  <c r="AW66" i="1"/>
  <c r="AW61" i="1"/>
  <c r="AW56" i="1"/>
  <c r="AW51" i="1"/>
  <c r="AW46" i="1"/>
  <c r="AW41" i="1"/>
  <c r="AW36" i="1"/>
  <c r="AW31" i="1"/>
  <c r="AW6" i="1"/>
  <c r="AV121" i="1"/>
  <c r="AV116" i="1"/>
  <c r="AV6" i="1"/>
  <c r="AW138" i="1"/>
  <c r="AW133" i="1"/>
  <c r="AW128" i="1"/>
  <c r="AW123" i="1"/>
  <c r="AW118" i="1"/>
  <c r="AW113" i="1"/>
  <c r="AW108" i="1"/>
  <c r="AW103" i="1"/>
  <c r="AW98" i="1"/>
  <c r="AW93" i="1"/>
  <c r="AW88" i="1"/>
  <c r="AW83" i="1"/>
  <c r="AW78" i="1"/>
  <c r="AW73" i="1"/>
  <c r="AW68" i="1"/>
  <c r="AW63" i="1"/>
  <c r="AW58" i="1"/>
  <c r="AW53" i="1"/>
  <c r="AW48" i="1"/>
  <c r="AW43" i="1"/>
  <c r="AW38" i="1"/>
  <c r="AW33" i="1"/>
  <c r="AW18" i="1"/>
  <c r="AW13" i="1"/>
  <c r="AW8" i="1"/>
  <c r="AW140" i="1"/>
  <c r="AW135" i="1"/>
  <c r="AW130" i="1"/>
  <c r="AW125" i="1"/>
  <c r="AW120" i="1"/>
  <c r="AW115" i="1"/>
  <c r="AW110" i="1"/>
  <c r="AW105" i="1"/>
  <c r="AW100" i="1"/>
  <c r="AW95" i="1"/>
  <c r="AW90" i="1"/>
  <c r="AW85" i="1"/>
  <c r="AW80" i="1"/>
  <c r="AW75" i="1"/>
  <c r="AW70" i="1"/>
  <c r="AW65" i="1"/>
  <c r="AW60" i="1"/>
  <c r="AW55" i="1"/>
  <c r="AW50" i="1"/>
  <c r="AW45" i="1"/>
  <c r="AW40" i="1"/>
  <c r="AW35" i="1"/>
  <c r="AW30" i="1"/>
  <c r="AW25" i="1"/>
  <c r="AW20" i="1"/>
  <c r="AW15" i="1"/>
  <c r="AW10" i="1"/>
  <c r="AW5" i="1"/>
  <c r="AV120" i="1"/>
  <c r="AV115" i="1"/>
  <c r="AV100" i="1"/>
  <c r="AV95" i="1"/>
  <c r="AV90" i="1"/>
  <c r="AV85" i="1"/>
  <c r="AV80" i="1"/>
  <c r="AV75" i="1"/>
  <c r="AV70" i="1"/>
  <c r="AV65" i="1"/>
  <c r="AV60" i="1"/>
  <c r="AV55" i="1"/>
  <c r="AV50" i="1"/>
  <c r="AV45" i="1"/>
  <c r="AV40" i="1"/>
  <c r="AV35" i="1"/>
  <c r="AV30" i="1"/>
  <c r="AV25" i="1"/>
  <c r="AV20" i="1"/>
  <c r="AV15" i="1"/>
  <c r="AV10" i="1"/>
  <c r="AV5" i="1"/>
  <c r="AW172" i="1"/>
  <c r="AW167" i="1"/>
  <c r="AW162" i="1"/>
  <c r="AW157" i="1"/>
  <c r="AW152" i="1"/>
  <c r="AW147" i="1"/>
  <c r="AW142" i="1"/>
  <c r="AW137" i="1"/>
  <c r="AW132" i="1"/>
  <c r="AW127" i="1"/>
  <c r="AW122" i="1"/>
  <c r="AW117" i="1"/>
  <c r="AW112" i="1"/>
  <c r="AW107" i="1"/>
  <c r="AW102" i="1"/>
  <c r="AW97" i="1"/>
  <c r="AW92" i="1"/>
  <c r="AW87" i="1"/>
  <c r="AW82" i="1"/>
  <c r="AW77" i="1"/>
  <c r="AW72" i="1"/>
  <c r="AW67" i="1"/>
  <c r="AW62" i="1"/>
  <c r="AW57" i="1"/>
  <c r="AW52" i="1"/>
  <c r="AW47" i="1"/>
  <c r="AW42" i="1"/>
  <c r="AW37" i="1"/>
  <c r="AW129" i="1"/>
  <c r="AW124" i="1"/>
  <c r="AW119" i="1"/>
  <c r="AW114" i="1"/>
  <c r="AW109" i="1"/>
  <c r="AW104" i="1"/>
  <c r="AW99" i="1"/>
  <c r="AW94" i="1"/>
  <c r="AW89" i="1"/>
  <c r="AW84" i="1"/>
  <c r="AW79" i="1"/>
  <c r="AW74" i="1"/>
  <c r="AW69" i="1"/>
  <c r="AW64" i="1"/>
  <c r="AW59" i="1"/>
  <c r="AW54" i="1"/>
  <c r="AW49" i="1"/>
  <c r="AW44" i="1"/>
  <c r="AW39" i="1"/>
  <c r="AW34" i="1"/>
  <c r="AW29" i="1"/>
  <c r="AW24" i="1"/>
  <c r="AW19" i="1"/>
  <c r="AW14" i="1"/>
  <c r="AW9" i="1"/>
  <c r="AV129" i="1"/>
  <c r="AV124" i="1"/>
  <c r="AV119" i="1"/>
  <c r="AV114" i="1"/>
  <c r="AV109" i="1"/>
  <c r="AV104" i="1"/>
  <c r="AV99" i="1"/>
  <c r="AV94" i="1"/>
  <c r="AV89" i="1"/>
  <c r="AV84" i="1"/>
  <c r="AV79" i="1"/>
  <c r="AV74" i="1"/>
  <c r="AV69" i="1"/>
  <c r="AV64" i="1"/>
  <c r="AV59" i="1"/>
  <c r="AV54" i="1"/>
  <c r="AV49" i="1"/>
  <c r="AV44" i="1"/>
  <c r="AV39" i="1"/>
  <c r="AV34" i="1"/>
  <c r="AV29" i="1"/>
  <c r="AV24" i="1"/>
  <c r="AV19" i="1"/>
  <c r="AV14" i="1"/>
  <c r="AV9" i="1"/>
  <c r="AV4" i="1"/>
</calcChain>
</file>

<file path=xl/sharedStrings.xml><?xml version="1.0" encoding="utf-8"?>
<sst xmlns="http://schemas.openxmlformats.org/spreadsheetml/2006/main" count="4386" uniqueCount="2822">
  <si>
    <t>undefined</t>
  </si>
  <si>
    <t>Journal</t>
  </si>
  <si>
    <t>United States</t>
  </si>
  <si>
    <t>Article</t>
  </si>
  <si>
    <t>ar</t>
  </si>
  <si>
    <t>n</t>
  </si>
  <si>
    <t>Ann Arbor</t>
  </si>
  <si>
    <t>University of Michigan, Ann Arbor</t>
  </si>
  <si>
    <t>Journal of Insect Behavior</t>
  </si>
  <si>
    <t>Amherst MA</t>
  </si>
  <si>
    <t>University of Massachusetts Amherst</t>
  </si>
  <si>
    <t>United States;United States</t>
  </si>
  <si>
    <t>Japan</t>
  </si>
  <si>
    <t>Switzerland</t>
  </si>
  <si>
    <t>Netherlands</t>
  </si>
  <si>
    <t>60025778;60025778;60025778</t>
  </si>
  <si>
    <t>Italy</t>
  </si>
  <si>
    <t>Belgium</t>
  </si>
  <si>
    <t>Brussels</t>
  </si>
  <si>
    <t>Universit√© Libre de Bruxelles</t>
  </si>
  <si>
    <t>Canada</t>
  </si>
  <si>
    <t>Boston</t>
  </si>
  <si>
    <t>IEEE Transactions on Geoscience and Remote Sensing</t>
  </si>
  <si>
    <t>Germany;Germany</t>
  </si>
  <si>
    <t>Russian Federation</t>
  </si>
  <si>
    <t>Moscow</t>
  </si>
  <si>
    <t>Russian Academy of Sciences</t>
  </si>
  <si>
    <t>0004637X</t>
  </si>
  <si>
    <t>Astrophysical Journal</t>
  </si>
  <si>
    <t>Estonia</t>
  </si>
  <si>
    <t>Tallinn</t>
  </si>
  <si>
    <t>Academia Scientiarum Estoniae</t>
  </si>
  <si>
    <t>Koninklijke Militaire School - Ecole Royale Militaire</t>
  </si>
  <si>
    <t>IEEE Transactions on Electromagnetic Compatibility</t>
  </si>
  <si>
    <t>China</t>
  </si>
  <si>
    <t>Journal of Photochemistry and Photobiology, B: Biology</t>
  </si>
  <si>
    <t>Telecommunications and Radio Engineering (English translation of Elektrosvyaz and Radiotekhnika)</t>
  </si>
  <si>
    <t>Electronics Letters</t>
  </si>
  <si>
    <t>France</t>
  </si>
  <si>
    <t>Paris</t>
  </si>
  <si>
    <t>Finland</t>
  </si>
  <si>
    <t>Espoo</t>
  </si>
  <si>
    <t>Tokyo</t>
  </si>
  <si>
    <t>Fonds De La Recherche Scientifique - FNRS</t>
  </si>
  <si>
    <t>FNRS</t>
  </si>
  <si>
    <t>;</t>
  </si>
  <si>
    <t>Tsukuba</t>
  </si>
  <si>
    <t>Space Communications</t>
  </si>
  <si>
    <t>Kyoto</t>
  </si>
  <si>
    <t>Kyoto University</t>
  </si>
  <si>
    <t>Germany</t>
  </si>
  <si>
    <t>Berlin</t>
  </si>
  <si>
    <t>United Kingdom</t>
  </si>
  <si>
    <t>Melbourne</t>
  </si>
  <si>
    <t>National Institutes of Health</t>
  </si>
  <si>
    <t>NIH</t>
  </si>
  <si>
    <t>National Cancer Institute</t>
  </si>
  <si>
    <t>NCI</t>
  </si>
  <si>
    <t>United States;United States;United States</t>
  </si>
  <si>
    <t>Japan;Japan</t>
  </si>
  <si>
    <t>Zurich ZH,</t>
  </si>
  <si>
    <t>ETH Zurich</t>
  </si>
  <si>
    <t>Journal of Parasitology</t>
  </si>
  <si>
    <t>Padua</t>
  </si>
  <si>
    <t>Universit√† degli Studi di Padova</t>
  </si>
  <si>
    <t>63-74</t>
  </si>
  <si>
    <t>National Institute of General Medical Sciences</t>
  </si>
  <si>
    <t>NIGMS</t>
  </si>
  <si>
    <t>C</t>
  </si>
  <si>
    <t>Madison</t>
  </si>
  <si>
    <t>Chicago</t>
  </si>
  <si>
    <t>;;</t>
  </si>
  <si>
    <t>Urbana</t>
  </si>
  <si>
    <t>University of Illinois Urbana-Champaign</t>
  </si>
  <si>
    <t>Waltham</t>
  </si>
  <si>
    <t>Soviet journal of communications technology &amp; electronics</t>
  </si>
  <si>
    <t>Boeing Corporation</t>
  </si>
  <si>
    <t>Los Angeles;Santa Monica</t>
  </si>
  <si>
    <t>Yang H.</t>
  </si>
  <si>
    <t>Journal of the Acoustical Society of America</t>
  </si>
  <si>
    <t>Microwave and Optical Technology Letters</t>
  </si>
  <si>
    <t>Palo Alto</t>
  </si>
  <si>
    <t>Evanston</t>
  </si>
  <si>
    <t>Northwestern University</t>
  </si>
  <si>
    <t>;;;</t>
  </si>
  <si>
    <t>Austria</t>
  </si>
  <si>
    <t>Vienna</t>
  </si>
  <si>
    <t>International Journal of Infrared and Millimeter Waves</t>
  </si>
  <si>
    <t>Johns Hopkins APL Technical Digest (Applied Physics Laboratory)</t>
  </si>
  <si>
    <t>Tempe</t>
  </si>
  <si>
    <t>Arizona State University</t>
  </si>
  <si>
    <t>31-34</t>
  </si>
  <si>
    <t>0302766X</t>
  </si>
  <si>
    <t>Cell &amp; Tissue Research</t>
  </si>
  <si>
    <t>King, Ronold W.P.</t>
  </si>
  <si>
    <t>King R.</t>
  </si>
  <si>
    <t>Annales Des T√©l√©communications</t>
  </si>
  <si>
    <t>Cambridge</t>
  </si>
  <si>
    <t>Massachusetts Institute of Technology</t>
  </si>
  <si>
    <t>Los Angeles</t>
  </si>
  <si>
    <t>National Institute of Allergy and Infectious Diseases</t>
  </si>
  <si>
    <t>R37AI023253</t>
  </si>
  <si>
    <t>NIAID</t>
  </si>
  <si>
    <t>National Science Foundation</t>
  </si>
  <si>
    <t>NSF</t>
  </si>
  <si>
    <t>Dayton</t>
  </si>
  <si>
    <t>Spain</t>
  </si>
  <si>
    <t>Barcelona</t>
  </si>
  <si>
    <t>Ottawa</t>
  </si>
  <si>
    <t>Communications Research Centre</t>
  </si>
  <si>
    <t>60068852;60068852</t>
  </si>
  <si>
    <t>Netherlands;Netherlands</t>
  </si>
  <si>
    <t>Pimenov Y.</t>
  </si>
  <si>
    <t>Development</t>
  </si>
  <si>
    <t>Princeton</t>
  </si>
  <si>
    <t>Sheffield</t>
  </si>
  <si>
    <t>The University of Sheffield</t>
  </si>
  <si>
    <t>Er M.</t>
  </si>
  <si>
    <t>Singapore</t>
  </si>
  <si>
    <t>Singapore City</t>
  </si>
  <si>
    <t>Australia</t>
  </si>
  <si>
    <t>Basic Energy Sciences</t>
  </si>
  <si>
    <t>BES</t>
  </si>
  <si>
    <t>Ames</t>
  </si>
  <si>
    <t>Ames Laboratory</t>
  </si>
  <si>
    <t>121-125</t>
  </si>
  <si>
    <t>Chang D.</t>
  </si>
  <si>
    <t>Aalto University</t>
  </si>
  <si>
    <t>91-97</t>
  </si>
  <si>
    <t>London</t>
  </si>
  <si>
    <t>Queen Mary University of London</t>
  </si>
  <si>
    <t>Smith M.</t>
  </si>
  <si>
    <t>IEEE Antennas and Propagation Magazine</t>
  </si>
  <si>
    <t>Schweizerischer Nationalfonds zur F√∂rderung der Wissenschaftlichen Forschung</t>
  </si>
  <si>
    <t>SNF</t>
  </si>
  <si>
    <t>Nippon Telegraph and Telephone Corporation</t>
  </si>
  <si>
    <t>60005510;60005510</t>
  </si>
  <si>
    <t>Nanyang Technological University</t>
  </si>
  <si>
    <t>79-83</t>
  </si>
  <si>
    <t>Chengdu</t>
  </si>
  <si>
    <t>60003892;60003892;60003892</t>
  </si>
  <si>
    <t>60031004;60031004</t>
  </si>
  <si>
    <t>Brisbane</t>
  </si>
  <si>
    <t>The University of Queensland</t>
  </si>
  <si>
    <t>Waterhouse R.</t>
  </si>
  <si>
    <t>Tokyo;Tokyo</t>
  </si>
  <si>
    <t>Rennes</t>
  </si>
  <si>
    <t>Universite de Rennes 1</t>
  </si>
  <si>
    <t>135-138</t>
  </si>
  <si>
    <t>279-284</t>
  </si>
  <si>
    <t>Milan</t>
  </si>
  <si>
    <t>123-125</t>
  </si>
  <si>
    <t>Taiwan</t>
  </si>
  <si>
    <t>Er, M. H.</t>
  </si>
  <si>
    <t>West Lafayette</t>
  </si>
  <si>
    <t>Purdue University</t>
  </si>
  <si>
    <t>Greece</t>
  </si>
  <si>
    <t>Athens</t>
  </si>
  <si>
    <t>India</t>
  </si>
  <si>
    <t>Coventry</t>
  </si>
  <si>
    <t>Telent plc</t>
  </si>
  <si>
    <t>60025063;60025063</t>
  </si>
  <si>
    <t>7005545716;7003998197</t>
  </si>
  <si>
    <t>3000 Leuven</t>
  </si>
  <si>
    <t>KU Leuven</t>
  </si>
  <si>
    <t>Vandenbosch G.</t>
  </si>
  <si>
    <t>U.S. Department of Energy</t>
  </si>
  <si>
    <t>USDOE</t>
  </si>
  <si>
    <t>196-198</t>
  </si>
  <si>
    <t>Swindon</t>
  </si>
  <si>
    <t>Defence College of Management and Technology</t>
  </si>
  <si>
    <t>Hall P.</t>
  </si>
  <si>
    <t>Huang J.</t>
  </si>
  <si>
    <t>Santa Clara</t>
  </si>
  <si>
    <t>Santa Clara University</t>
  </si>
  <si>
    <t>Austin</t>
  </si>
  <si>
    <t>The University of Texas at Austin</t>
  </si>
  <si>
    <t>60012708;60012708</t>
  </si>
  <si>
    <t>7402422644;57208456003</t>
  </si>
  <si>
    <t>Stanford University</t>
  </si>
  <si>
    <t>Fang S.</t>
  </si>
  <si>
    <t>60028186;60028186</t>
  </si>
  <si>
    <t>Lausanne</t>
  </si>
  <si>
    <t>Swiss Federal Institute of Technology Lausanne</t>
  </si>
  <si>
    <t>Hatta A.</t>
  </si>
  <si>
    <t>60085149;60085149;60085149;60085149</t>
  </si>
  <si>
    <t>Stuttgart</t>
  </si>
  <si>
    <t>Daimler AG</t>
  </si>
  <si>
    <t>Luy J.</t>
  </si>
  <si>
    <t>Bokhari S.</t>
  </si>
  <si>
    <t>Birmingham</t>
  </si>
  <si>
    <t>University of Birmingham</t>
  </si>
  <si>
    <t>Lancaster M.</t>
  </si>
  <si>
    <t>60027509;60027509;60027509</t>
  </si>
  <si>
    <t>Rome</t>
  </si>
  <si>
    <t>Universit√† degli Studi di Roma "Tor Vergata"</t>
  </si>
  <si>
    <t>Advanced Telecommunications Research Institute International (ATR)</t>
  </si>
  <si>
    <t>College Station</t>
  </si>
  <si>
    <t>Texas A&amp;M University</t>
  </si>
  <si>
    <t>University of California, Los Angeles</t>
  </si>
  <si>
    <t>Fang, Sychyi;McVittie, James P.</t>
  </si>
  <si>
    <t>McLean</t>
  </si>
  <si>
    <t>MITRE Corporation</t>
  </si>
  <si>
    <t>Torrance</t>
  </si>
  <si>
    <t>60020547;60020547;60020547</t>
  </si>
  <si>
    <t>EFDA-JET</t>
  </si>
  <si>
    <t>60103653;60103653</t>
  </si>
  <si>
    <t>Leiden</t>
  </si>
  <si>
    <t>Airbus Group SE</t>
  </si>
  <si>
    <t>Munich</t>
  </si>
  <si>
    <t>60022148;60022148</t>
  </si>
  <si>
    <t>University College London</t>
  </si>
  <si>
    <t>Nagoya</t>
  </si>
  <si>
    <t>Antenna arrays | Antennas</t>
  </si>
  <si>
    <t>Commonwealth Scientific and Industrial Research Organization</t>
  </si>
  <si>
    <t>Edinburgh</t>
  </si>
  <si>
    <t>Heriot-Watt University</t>
  </si>
  <si>
    <t>New York</t>
  </si>
  <si>
    <t>955-969</t>
  </si>
  <si>
    <t>Japan;Japan;Japan;Japan</t>
  </si>
  <si>
    <t>60025555;60025555</t>
  </si>
  <si>
    <t>60027550;60027550;60027550</t>
  </si>
  <si>
    <t>521-525</t>
  </si>
  <si>
    <t>Berkeley</t>
  </si>
  <si>
    <t>University of California, Berkeley</t>
  </si>
  <si>
    <t>Konishi Y.</t>
  </si>
  <si>
    <t>United States;France</t>
  </si>
  <si>
    <t>76-79</t>
  </si>
  <si>
    <t>Weiner M.</t>
  </si>
  <si>
    <t>60008134;60008134;60008134;60008134</t>
  </si>
  <si>
    <t>CNRS Centre National de la Recherche Scientifique</t>
  </si>
  <si>
    <t>Astone P.</t>
  </si>
  <si>
    <t>60012345;60012345;60012345</t>
  </si>
  <si>
    <t>Kiel</t>
  </si>
  <si>
    <t>Christian-Albrechts-Universit√§t zu Kiel</t>
  </si>
  <si>
    <t>Boston University Marine Program</t>
  </si>
  <si>
    <t>Centre National de la Recherche Scientifique</t>
  </si>
  <si>
    <t>CNRS</t>
  </si>
  <si>
    <t>Universit√† degli Studi di Milano</t>
  </si>
  <si>
    <t>Harvard University</t>
  </si>
  <si>
    <t>Calgary</t>
  </si>
  <si>
    <t>New Brunswick</t>
  </si>
  <si>
    <t>Rutgers University‚ÄìNew Brunswick</t>
  </si>
  <si>
    <t>Saint Petersburg (ex Leningrad)</t>
  </si>
  <si>
    <t>1641-1645</t>
  </si>
  <si>
    <t>√âcole Normale Sup√©rieure</t>
  </si>
  <si>
    <t>Tokyo;Tsukuba</t>
  </si>
  <si>
    <t>Perth</t>
  </si>
  <si>
    <t>143-146</t>
  </si>
  <si>
    <t>60008734;60008734;60008734;60008734;60008023;60008023;60008023</t>
  </si>
  <si>
    <t>Kwa, S. L.S.;Groeneveld, F. G.;Dekker, J. P.;van Grondelle, R.;van Amerongen, H.;Lin, S.;Struve, W. S.</t>
  </si>
  <si>
    <t>Netherlands;United States</t>
  </si>
  <si>
    <t>Amsterdam;Ames</t>
  </si>
  <si>
    <t>Vrije Universiteit Amsterdam;Ames Laboratory</t>
  </si>
  <si>
    <t>60008734;60008023</t>
  </si>
  <si>
    <t>Kwa S.</t>
  </si>
  <si>
    <t>Steady-state and time-resolved polarized light spectroscopy of the green plant light-harvesting complex II</t>
  </si>
  <si>
    <t>Fusco, V. F.</t>
  </si>
  <si>
    <t>Belfast</t>
  </si>
  <si>
    <t>Queen's University Belfast</t>
  </si>
  <si>
    <t>Fusco V.</t>
  </si>
  <si>
    <t>17-19</t>
  </si>
  <si>
    <t>BBA - Bioenergetics</t>
  </si>
  <si>
    <t>60003878;60003878;60003878;60003878</t>
  </si>
  <si>
    <t>Sterrewacht Leiden</t>
  </si>
  <si>
    <t>Photosynthesis Research</t>
  </si>
  <si>
    <t>Radiophysics and Quantum Electronics</t>
  </si>
  <si>
    <t>Nederlandse Organisatie voor Wetenschappelijk Onderzoek</t>
  </si>
  <si>
    <t>NWO</t>
  </si>
  <si>
    <t>Journal of Chemical Ecology</t>
  </si>
  <si>
    <t>Mitsubishi Electric Advance</t>
  </si>
  <si>
    <t>Bulletin G√©od√©sique</t>
  </si>
  <si>
    <t>30-35</t>
  </si>
  <si>
    <t>Measurement Techniques</t>
  </si>
  <si>
    <t>Harrison M.</t>
  </si>
  <si>
    <t>60072285;60072285;60072285</t>
  </si>
  <si>
    <t>Mulheim an der Ruhr</t>
  </si>
  <si>
    <t>Max Planck Institute for Chemical Energy Conversion</t>
  </si>
  <si>
    <t>Holzwarth A.</t>
  </si>
  <si>
    <t>DFG</t>
  </si>
  <si>
    <t>0006291X</t>
  </si>
  <si>
    <t>Biochemical and Biophysical Research Communications</t>
  </si>
  <si>
    <t>Planta</t>
  </si>
  <si>
    <t>Journal of the American Chemical Society</t>
  </si>
  <si>
    <t>Journal of Comparative Physiology A</t>
  </si>
  <si>
    <t>Metrikin A.</t>
  </si>
  <si>
    <t>Tokatly, V. I.</t>
  </si>
  <si>
    <t>Tokatly V.</t>
  </si>
  <si>
    <t>Optics Communications</t>
  </si>
  <si>
    <t>Worcester</t>
  </si>
  <si>
    <t>Biochimica et Biophysica Acta (BBA)/Protein Structure and Molecular</t>
  </si>
  <si>
    <t>FEBS Letters</t>
  </si>
  <si>
    <t>['¬© 1992', 'work utilized', 'type lhc', 'thylakoid membrane', 'stably incorporated', 'resolution sds', 'residual lhc', 'range 30', 'psii core', 'protein subcomplex', 'protein complex', 'probably binds', 'polypeptide constituent', 'polypeptide composition', 'plant physiologists', 'molecular masses', 'may serve', 'major chl', 'jspp ).', 'japanese society', 'ii polypeptides', 'ii contains', 'ii complex', 'ii antenna', 'ii ).', 'harvesting function', 'green algae', 'fully understood', 'evolving photosystem', 'either absent', 'copy number', 'chl b', 'bulk lhc', '25 kda', '210 chl', '13 chl']</t>
  </si>
  <si>
    <t>Barley | Chlorina f2 mutant | Chlorophyll-binding protein | Light-harvesting | Polypeptide assembly | Thylakoid membrane</t>
  </si>
  <si>
    <t>In the oxygen-evolving photosystem-II (PSII) of higher plant chioroplasts and green algae, most of the light-harvesting function is performed by the chlorophyll (Chl) a-b-protein complex (LHC-II). On the average, the LHC-II contains about 210 Chl (a+b) molecules per PSII reaction center. The polypeptide composition, copy number and organization of assembly in the LHC-II complex are not fully understood at present. This work utilized the chlorina f2 mutant of barley (lacking Chl b and having a LHC-II antenna of only 13 Chl a molecules) to determine the organization and stability of assembly of proteins in the LHC-II. High-resolution SDS-PAGE and immunoblot analysis showed the presence of four main constitutive polypeptides in the wild-type LHC-II (termed here subunits a, b, c and d) with molecular masses in the range 30-25 kDa. Of those, only subunit d (a 25 kDa polypeptide) was found to occur at an equal copy number per PSII reaction center in both wild-type and in the Chl b-less chlorina f2 mutant. All other subunits were either absent or existed in much lower amounts in the mutant. Subunit d is a polypeptide constituent of the major Chl-protein subcomplex (CPII) of the LHC-II. It is stably incorporated in the thylakoid membrane in the absence of Chl b and probably binds the 13 Chl a molecules in the residual LHC-II antenna of the chlorina f2 mutant. We propose that, of all LHC-II polypeptides, subunit d is most proximal to the PSII core and may serve as a linker in the process of excitation energy transfer from the bulk LHC-II to the PSII reaction center in chloroplasts. ¬© 1992. The Japanese Society of Plant Physiologists (JSPP).</t>
  </si>
  <si>
    <t>627-637</t>
  </si>
  <si>
    <t>Plant and Cell Physiology</t>
  </si>
  <si>
    <t>60025038;60025038</t>
  </si>
  <si>
    <t>7401595128;57203081985</t>
  </si>
  <si>
    <t>Harrison, Michael A.;Melis, Anastasios</t>
  </si>
  <si>
    <t>Organization and stability of polypeptides associated with the chlorophyll a-b light-harvesting complex of photosystem-II</t>
  </si>
  <si>
    <t>2-s2.0-0000133898</t>
  </si>
  <si>
    <t>['tl data', 'tl bands', 'step calculation', 'simultaneous measurement', 'signal area', 'recorded signal', 'quantitative analysis', 'q band', 'produce luminescence', 'practical aspects', 'photosynthetic apparatus', 'photon counting', 'numerical minimization', 'luminescence yield', 'luminescence detection', 'important features', 'graphical fitting', 'described briefly', 'climatic factors', 'charge recombinations', 'averaging signals', 'averaged bands', 'additional information']</t>
  </si>
  <si>
    <t>chlorophyll fluorescence | heat | signal analysis | thermoluminescence</t>
  </si>
  <si>
    <t>A set-up for recording thermoluminescence emission together with the constant F0 fluorescence yield is described briefly. It is driven by a microcomputer through plugged-in cards. Practical aspects of the simulation of TL bands and of decomposition of complex TL signals are examined. A reproducible and linear temperature gradient and the use of photon counting for luminescence detection are important features for further analyzing the recorded signal. The simulation procedure used is a step-by-step calculation of the number of charge recombinations, which is then substracted from the number of remaining charge pairs able to produce luminescence. This procedure consists first of a graphical fitting, followed by a numerical minimization, with a maximum of five simulated components. The quality of the simulation is evaluated by the sum of squares of differences (signal-simulation), related to the signal area. Equivalent decomposition patterns may be found for the same recording and additional information is needed for interpretation of TL data. Averaging signals is feasible, provided that maximum temperatures Tm of averaged bands are sufficiently similar (¬±3¬∞C). Simultaneous measurement of the antenna fluorescence yield F0, using an ultra-weak pulsed blue LED, gives an estimate of the luminescence yield. This has to be taken into account in the analysis of the Q band and of high temperature (&gt;40¬∞C) bands. The simulation parameters appear to be dependent on plant growth conditions. Quantitative analysis of thermoluminescence emission could be useful in the study of the effects of climatic factors on the photosynthetic apparatus in plants. ¬© 1992 Kluwer Academic Publishers.</t>
  </si>
  <si>
    <t>15-27</t>
  </si>
  <si>
    <t>60007816;60007816</t>
  </si>
  <si>
    <t>6604059756;7003816297</t>
  </si>
  <si>
    <t>Ducruet, Jean Marc;Miranda, Teresa</t>
  </si>
  <si>
    <t>Gif-sur-Yvette</t>
  </si>
  <si>
    <t>Commissariat a L'Energie Atomique CEA</t>
  </si>
  <si>
    <t>Ducruet J.M.</t>
  </si>
  <si>
    <t>Graphical and numerical analysis of thermoluminescence and fluorescence F&lt;inf&gt;0&lt;/inf&gt; emission in photosynthetic material</t>
  </si>
  <si>
    <t>10.1007/BF00032979</t>
  </si>
  <si>
    <t>2-s2.0-0002771182</t>
  </si>
  <si>
    <t>['observed modulations', 'normal individuals', 'increasing dehydration', 'dehydrated cockroaches', 'behavioral response', 'antennal hygroreceptors']</t>
  </si>
  <si>
    <t>behavioral response | cockroach | dehydration | humidity stimulus</t>
  </si>
  <si>
    <t>Effects of dehydration on the behavioral response to humidity have been examined in the cockroach, Periplaneta americana L. Under normal conditions cockroaches prefer lower humidity, but the preference is reversed by dehydration. Dehydrated cockroaches can distinguish smaller differences between two air streams compared with normal individuals. Cockroach behavioral responses to humidification include swing of antennae and locomotion. The period from onset of humidification to behavioral response decreases with increasing dehydration, indicating that the humidity threshold required for behavioral response decreases. Observed modulations of the behavioral response are discussed in relation to the contribution of the antennal hygroreceptors. ¬© 1992 Plenum Publishing Corporation.</t>
  </si>
  <si>
    <t>479-490</t>
  </si>
  <si>
    <t>60011047;60011047</t>
  </si>
  <si>
    <t>36949619800;7103300201</t>
  </si>
  <si>
    <t>Doi, Naomi;Toh, Yoshihiro</t>
  </si>
  <si>
    <t>Fukuoka</t>
  </si>
  <si>
    <t>Kyushu University</t>
  </si>
  <si>
    <t>Doi N.</t>
  </si>
  <si>
    <t>Modification of cockroach behavior to environmental humidity change by dehydration (Dictyoptera: Blattidae)</t>
  </si>
  <si>
    <t>10.1007/BF01058193</t>
  </si>
  <si>
    <t>2-s2.0-0011869966</t>
  </si>
  <si>
    <t>['water table', 'unsaturated zone', 'tight clays', 'three wells', 'study site', 'southeastern u', 'scanning rate', 'profile depths', 'predict depths', 'penetrating radar', 'optimum method', 'observed depths', 'observed depth', 'located adjacent', 'lakeland sand', 'improve results', 'gpr chart', 'field site', 'distance recorded', 'depth standards', 'day interval', 'calibration techniques', 'calibration based', '100 ns']</t>
  </si>
  <si>
    <t>A study was conducted to assess the impacts of ground-penetrating radar (GPR) calibration techniques on the water table depths calculated from the GPR graphical output. A Geophysical Survey Systems, Inc., SIR-8 impulse radar with a 120 Mhz antenna operating at a scanning rate of 100 ns was used to produce GPR images along seven, 130 m transects of a field site. The study site is located near Tifton, Georgia, in the Coastal Plain physiographic region of southeastern U.S. The soil on the study site is classified as a Lakeland sand with profile depths from 1.9 to 4.4 m. Underlying the sand is a restricting layer consisting of tight clays. Twenty-eight shallow monitoring wells were located adjacent to the transects on a 12 √ó 12 m grid. Sections of 2.5 cm diameter galvanized iron pipe, 1 m in length, were buried at three depths beneath two of the transects as depth standards. The GPR was used to map the position of the water table nine times during a ten-day interval. Four different approaches were used to develop a calibration between the observed depth to the water table and the distance recorded on the GPR chart. Calibration based on observed depths to the water table in three wells is the optimum method. Adding more wells to the calibration did not improve results. Calibration of GPR to predict depths to the water table based upon known depths to buried iron pipes within the unsaturated zone did not produce accurate results.</t>
  </si>
  <si>
    <t>1161-1166</t>
  </si>
  <si>
    <t>Transactions of the American Society of Agricultural Engineers</t>
  </si>
  <si>
    <t>60029747;60029747;60029747;60029747</t>
  </si>
  <si>
    <t>57203756332;7004829557;7601532804;6603631399</t>
  </si>
  <si>
    <t>Smith, M. C.;Vellidis, G.;Thomas, D. L.;Breve, M. A.</t>
  </si>
  <si>
    <t>University of Georgia</t>
  </si>
  <si>
    <t>Measurement of water table fluctuations in a sandy soil using ground penetrating radar</t>
  </si>
  <si>
    <t>2-s2.0-0026891305</t>
  </si>
  <si>
    <t>['simultaneous direction', 'interference sources', 'generating circuit']</t>
  </si>
  <si>
    <t>An adaptive spatial filtering algorithm for use at the outputs of a pattern-generating circuit in a phased antenna array is proposed for simultaneous direction-finding of interference sources.</t>
  </si>
  <si>
    <t>6505804089;7801672568</t>
  </si>
  <si>
    <t>Byaliy, L. I.;Podturkin, V. V.</t>
  </si>
  <si>
    <t>Byaliy L.</t>
  </si>
  <si>
    <t>Algorithm for the adaptive filtering and direction-finding of interference sources in a phased antenna array system</t>
  </si>
  <si>
    <t>2-s2.0-0026893046</t>
  </si>
  <si>
    <t>['wire reflector', 'usually used', 'transmission antennas', 'sidelobe level', 'linear array', 'ground equipped', 'broadcasting systems', '2n hwdpwr']</t>
  </si>
  <si>
    <t>1/2n horizontal wideband dipoles with periodic wire reflectors (1/2n HWDPWR) antennas are a linear array of n balanced dipoles parallel to the ground equipped with a wire reflector. Such antennas are usually used as transmission antennas in communications and broadcasting systems. In this paper we show that the efficiency of such antennas can be increased and that the sidelobe level can be reduced by installing passive dipoles between the dipoles of 1/2n HWDPWR antennas and the ground.</t>
  </si>
  <si>
    <t>7007013967;6507998599</t>
  </si>
  <si>
    <t>Pimenov, Yu V.;Yampol'skiy, A. V.</t>
  </si>
  <si>
    <t>Method of improving the directional properties of decameter in-phase antennas using passive dipoles</t>
  </si>
  <si>
    <t>2-s2.0-0026894474</t>
  </si>
  <si>
    <t>['radiation patterns', 'given within', 'asymptotic solution']</t>
  </si>
  <si>
    <t>An asymptotic solution of a three-dimensional diffraction problem of the radiation of an electric dipole parallel to an ideally conducting rectangular screen is given within the framework of uniform geometrical diffraction theory. The radiation patterns of this system are calculated and analyzed.</t>
  </si>
  <si>
    <t>118-120</t>
  </si>
  <si>
    <t>7003374031;7801566711</t>
  </si>
  <si>
    <t>Gorobets, N. N.;Eliseyeva, N. P.</t>
  </si>
  <si>
    <t>Gorobets N.</t>
  </si>
  <si>
    <t>Radiation characteristics of an electric dipole parallel to a bounded plane screen</t>
  </si>
  <si>
    <t>2-s2.0-0026894589</t>
  </si>
  <si>
    <t>['signal received', 'combined estimation', 'carrier frequency']</t>
  </si>
  <si>
    <t>The accuracy of measurements of the carrier frequency and the direction of arrival of a signal received on a background of noise is analyzed and the capabilities of devices using successive and combined estimation of these parameters are compared.</t>
  </si>
  <si>
    <t>60-66</t>
  </si>
  <si>
    <t>6602806973;7801582523</t>
  </si>
  <si>
    <t>Radziyevskiy, V. G.;Zheltoukhov, O. V.</t>
  </si>
  <si>
    <t>Radziyevskiy V.</t>
  </si>
  <si>
    <t>Investigation of the accuracy of measurements of the frequency and direction of arrival of a radio signal in radio countermeasures equipment information systems</t>
  </si>
  <si>
    <t>2-s2.0-0026894671</t>
  </si>
  <si>
    <t>['spectral analogue', 'electromagnetic waves', 'effective method', 'approximate calculation']</t>
  </si>
  <si>
    <t>An effective method for the approximate calculation of the spectral analogue of Green's function that can be used to determine the kernels of integral equations describing the diffraction of electromagnetic waves by solids of revolution is proposed.</t>
  </si>
  <si>
    <t>114-117</t>
  </si>
  <si>
    <t>6506018515;6504456030</t>
  </si>
  <si>
    <t>Pulychev, Yu G.;Yeresko, S. A.</t>
  </si>
  <si>
    <t>Pulychev Y.</t>
  </si>
  <si>
    <t>Method for the numerical analysis of Green's function of a ring source</t>
  </si>
  <si>
    <t>2-s2.0-0026894672</t>
  </si>
  <si>
    <t>['side wall', 'mathematical model', 'linear system', 'internal space', 'finite thickness', 'arbitrary load']</t>
  </si>
  <si>
    <t>A mathematical model and an analysis of the characteristics of a linear system of slots in the side wall of a waveguide of finite thickness with an arbitrary load at the end that takes into account the interaction between the slots in both external and internal space are proposed.</t>
  </si>
  <si>
    <t>126-130</t>
  </si>
  <si>
    <t>6604035968;7003941013;6602493000</t>
  </si>
  <si>
    <t>Yatsuk, L. P.;Blinova, N. K.;Zhironkina, A. V.</t>
  </si>
  <si>
    <t>Yatsuk L.</t>
  </si>
  <si>
    <t>Mathematical model of a linear system of slots in a waveguide with an arbitrary reflecting load</t>
  </si>
  <si>
    <t>2-s2.0-0026894673</t>
  </si>
  <si>
    <t>National Institute on Deafness and Other Communication Disorders</t>
  </si>
  <si>
    <t>R01DC000131</t>
  </si>
  <si>
    <t>NIDCD</t>
  </si>
  <si>
    <t>['various durations', 'two neurons', 'two classes', 'temporal pattern', 'temporal distribution', 'temporal characteristics', 'spatial orientation', 'significant reductions', 'signal transduction', 'showed virtually', 'responses elicited', 'rectangular pulses', 'prolonged stimulation', 'neurons responded', 'neurons lacked', 'may provide', 'major component', 'extracellular recordings', 'dodecenyl acetate', 'blend discrimination']</t>
  </si>
  <si>
    <t>Adaptation | Insect | Olfaction | Pheromone | Receptor neuron | Temporal pattern</t>
  </si>
  <si>
    <t>The temporal pattern of response in chemoreceptor neurons reflects both the temporal distribution of stimuli and the timing of signal transduction, action potential generation and propagation. Here we analyze the temporal characteristics of the responses elicited in pheromone receptor neurons by computer-controlled rectangular pulses of odorant. Extracellular recordings from the HS sensilla trichodea on the antenna of male Trichoplusia ni reveal the activity of two neurons: the "A" neuron, which responds to the major component of the female pheromone blend, (Z)7-dodecenyl acetate and the "B" neuron, which responds to (Z)7-dodecenol. "B" neurons were divided into two classes (HR, LR), based on the magnitude and temporal pattern of their response to (Z)7-dodecenol. Most "A" and HR "B" neurons responded to rectangular pulses of various durations (0.1-40 s) with an initial phasic burst (‚àº100 ms), followed by a slowly declining tonic component. At moderate and elevated pheromone doses, prolonged stimulation resulted in significant reductions in the tonic response levels (adaptation); stimuli of increasing duration effected greater adaptation. Most LR "B" neurons lacked a phasic response component and showed virtually no adaptation with prolonged stimulation. Pheromone receptor neurons may differ in both their spectral and temporal response properties which may provide the animal with additional sensory information for blend discrimination and spatial orientation in complex natural pheromone plumes. The potential functional value of adaptation in the moth pheromone communication system is discussed. ¬© 1992 Springer-Verlag.</t>
  </si>
  <si>
    <t>691-700</t>
  </si>
  <si>
    <t>60000986;60000986</t>
  </si>
  <si>
    <t>6602169194;7103138825</t>
  </si>
  <si>
    <t>Borroni, Paola F.;O'Connell, Robert J.</t>
  </si>
  <si>
    <t>University of Massachusetts Medical School</t>
  </si>
  <si>
    <t>Borroni P.</t>
  </si>
  <si>
    <t>Temporal analysis of adaptation in moth (Trichoplusia ni) pheromone receptor neurons</t>
  </si>
  <si>
    <t>10.1007/BF00198979</t>
  </si>
  <si>
    <t>2-s2.0-0026897231</t>
  </si>
  <si>
    <t>['vegetation biomass', 'soil backscattering', 'sar applications', 'multispectral scanners', 'microwave measurements', 'microwave emission', 'indexed separately', 'atmospheric corrections', 'array antennas', 'agricultural areas', 'active phased']</t>
  </si>
  <si>
    <t>The Symposium materials contain 23 papers. The topics covered include classification of agricultural areas with multispectral scanners; multifrequency polarimetric SAR imagery; SAR focusing algorithms; real-time SAR processing; active phased-array antennas for SAR applications; microwave measurements of vegetation biomass and soil moisture content; Microwave emission from soils; Soil backscattering; snow remote sensing; snow-covered sea ice; atmospheric corrections; water vapor measurement with multifrequency microwave radiometer; and dual polarization radar observations of anomalous wintertime thunderclouds. All papers are abstracted and indexed separately.</t>
  </si>
  <si>
    <t>660-844</t>
  </si>
  <si>
    <t>Special issue on the 1991 International Geoscience and Remote Sensing Symposium (IGARSS '91)--Global Monitoring for Earth Management</t>
  </si>
  <si>
    <t>2-s2.0-0026897277</t>
  </si>
  <si>
    <t>['year cycle', 'temporal spectra', 'statistical characteristics', 'radiotelescope rt', 'horizontal angle', 'essential anisotropy', 'bandwidth 10', 'arrival components', 'arrival caused', '90 ghz', '101 hz']</t>
  </si>
  <si>
    <t>angle-of-arri val | boundary layer | fluctuations | millimeter waves | refraction | turbulence</t>
  </si>
  <si>
    <t>Variations of the millimeter waves amplitude and angle-of-arrival caused by an influence of the atmospheric surface layer turbulence and striation were investigated on the 14-km propagation path, where radiotelescope RT-7.5 was used as a receiver antenna operating at the frequency of 90 GHz. In experiments, performed during two-year cycle, a set of statistical characteristics of the vertical and horizontal angle-of-arrival components were studied. Particularly, temporal spectra at the bandwidth 10-5-101 Hz were obtained and an essential anisotropy of turbulence was found. ¬© 1992 Plenum Publishing Corporation.</t>
  </si>
  <si>
    <t>60029225;60029225;60033469</t>
  </si>
  <si>
    <t>16420487400;12785849800;57224338797</t>
  </si>
  <si>
    <t>Konkov, E. V.;Zrazhevsky, A. Y.;Solovev, G. N.</t>
  </si>
  <si>
    <t>Russian Federation;Russian Federation</t>
  </si>
  <si>
    <t>Moscow;Moscow</t>
  </si>
  <si>
    <t>Bauman Moscow State Technical University;Kotelnikov Institute of Radioengineering and Electronics (IRE) of Russian Academy of Sciences</t>
  </si>
  <si>
    <t>60033469;60029225</t>
  </si>
  <si>
    <t>Konkov E.V.</t>
  </si>
  <si>
    <t>Investigations of the near-millimeter-wave propagation on surface boundary layer path</t>
  </si>
  <si>
    <t>10.1007/BF01009620</t>
  </si>
  <si>
    <t>2-s2.0-34249838824</t>
  </si>
  <si>
    <t>['wave detector', 'rome group', 'particular reference', 'otpimum filter', 'noise ).', 'new filter', 'mostly based', 'idealized model', 'fixed values', 'filter theory', 'also report']</t>
  </si>
  <si>
    <t>Experimental test of general relativity and observations of gravitational radiation</t>
  </si>
  <si>
    <t>We report on the development of an adaptive optimum filter for processing the data of a resonant bar gravitational-wave detector. This filter, based on the matched-filter theory, is adaptive in the sense that the function it realizes is derived from the actual noise spectrum of the data being analysed (instead from an idealized model of the noise). Its implementation is mostly based on frequency domain techniques. We also report on the application of the new filter to the data of the cryogenic antenna Explorer of the Rome group, with particular reference to the comparison between its performance and that of an otpimum filter with fixed values of the parameters. ¬© 1992 Societ√† Italiana di Fisica.</t>
  </si>
  <si>
    <t>447-459</t>
  </si>
  <si>
    <t>Il Nuovo Cimento C</t>
  </si>
  <si>
    <t>60021660;60021660-60021199;60021660-60032350;60021660-60032350;60021660-60027509</t>
  </si>
  <si>
    <t>8728100700;7004641893;25649375000;7004243218;7003386560</t>
  </si>
  <si>
    <t>Astone, P.;Bonifazi, P.;Frasca, S.;Pallottino, G. V.;Pizzella, G.</t>
  </si>
  <si>
    <t>Italy;Italy;Italy;Italy</t>
  </si>
  <si>
    <t>Rome;Rome;Rome;Rome</t>
  </si>
  <si>
    <t>Sapienza Universit√† di Roma;Universit√† degli Studi di Roma "Tor Vergata";Istituto Nazionale di Fisica Nucleare - INFN;Consiglio Nazionale delle Ricerche</t>
  </si>
  <si>
    <t>60032350;60027509;60021660;60021199</t>
  </si>
  <si>
    <t>An adaptive filter for gravitational-wave antennas</t>
  </si>
  <si>
    <t>10.1007/BF02511745</t>
  </si>
  <si>
    <t>2-s2.0-51249170284</t>
  </si>
  <si>
    <t>['wave properties', 'wave antenna', 'three layers', 'terminal processing', 'similar devices', 'sector antenna', 'high resolution', 'engineering use', 'clearly displayed', 'better travelling', 'basic scheme']</t>
  </si>
  <si>
    <t>Subsurface target detection | Target imaging system | Transient EM pulse | Travelling-wave antenna</t>
  </si>
  <si>
    <t>A basic scheme for detecting subsurface targets with nanosecond EM pulse and an especially developed high quality travelling-wave antenna are described. The antenna is a sort of sector antenna with structure of three layers, which possesses higher radiation efficiency and better travelling-wave properties. A fine resolution graphic system and a high speed display are employed in terminal processing. Metal pipes buried about 1 m under the earth can be detected and clearly displayed. High resolution and short processing time of the system, compared with other similar devices, make it suitable for engineering use. ¬© 1992 Science Press.</t>
  </si>
  <si>
    <t>283-288</t>
  </si>
  <si>
    <t>Journal of Electronics (China)</t>
  </si>
  <si>
    <t>60016521;60016521;60016521;60016521;101055857;101055857</t>
  </si>
  <si>
    <t>57224435696;24784819300;24785122100;24783275600;24785284000;16551577400</t>
  </si>
  <si>
    <t>Baoyi, Wang;Runming, Xu;Yangjian, Deng;Huiqing, Yu;Xianhui, Long;Yongde, Wang</t>
  </si>
  <si>
    <t>China;China</t>
  </si>
  <si>
    <t>Chengdu;Chengdu</t>
  </si>
  <si>
    <t>Sichuan University;Southwest China Institute of Electronic Technology</t>
  </si>
  <si>
    <t>60016521;101055857</t>
  </si>
  <si>
    <t>Baoyi W.</t>
  </si>
  <si>
    <t>Application of transient electromagnetic pulse in detecting subsurface targets</t>
  </si>
  <si>
    <t>10.1007/BF02778742</t>
  </si>
  <si>
    <t>2-s2.0-51649136932</t>
  </si>
  <si>
    <t>['¬© 1992', 'well suited', 'verified experimentally', 'rights reserved', 'optical modulator', 'full integration', 'field sensors', 'electrical engineers', 'conventional electrodes']</t>
  </si>
  <si>
    <t>Dipole antennas | Electro-optics | Modulators</t>
  </si>
  <si>
    <t>A novel segmented electrode structure for integrated optical E-field sensors is proposed, which is well suited for full integration of a short dipole antenna and an electro-optical modulator. Simple theoretical considerations predict sensitivity improvements compared to conventional electrodes in the range 10¬∑20 dB, which are verified experimentally. ¬© 1992, The Institution of Electrical Engineers. All rights reserved.</t>
  </si>
  <si>
    <t>1327-1329</t>
  </si>
  <si>
    <t>60011604;60011604;60011604;60011604</t>
  </si>
  <si>
    <t>55619304539;6504007371;57207897339;57202644444</t>
  </si>
  <si>
    <t>Meier, Th;Kostrzcewa, K.;Sch√ºppert, B.;Petermann, K.</t>
  </si>
  <si>
    <t>Technical University of Berlin</t>
  </si>
  <si>
    <t>Meier T.</t>
  </si>
  <si>
    <t>Electro-optical E-field sensor with optimised electrode structure</t>
  </si>
  <si>
    <t>10.1049/el:19920843</t>
  </si>
  <si>
    <t>2-s2.0-0027109112</t>
  </si>
  <si>
    <t>['¬© 1992', 'simple method', 'rights reserved', 'reflecting plane', 'printed monopoles', 'method comes', 'input impedance', 'electrical engineers', 'different size', 'calculated results', 'babinet principle']</t>
  </si>
  <si>
    <t>Microstrip antennas | Modelling | Transmission lines</t>
  </si>
  <si>
    <t>A simple method to calculate the input impedance of a printed monopole situated above a reflecting plane is presented. The originality of this method comes from the association of the transmission line model applied to printed dipole antennas, and the Babinet principle. Printed monopoles of different size and substrate have been tested. The calculated results are validated by experiment. ¬© 1992, The Institution of Electrical Engineers. All rights reserved.</t>
  </si>
  <si>
    <t>1326-1327</t>
  </si>
  <si>
    <t>60030553;60030553;60030553</t>
  </si>
  <si>
    <t>6507555380;7003723658;7202044329</t>
  </si>
  <si>
    <t>Lebbar, H.;Himdi, M.;Daniel, J. P.</t>
  </si>
  <si>
    <t>Lebbar H.</t>
  </si>
  <si>
    <t>Transmission line analysis of printed monopole</t>
  </si>
  <si>
    <t>10.1049/el:19920842</t>
  </si>
  <si>
    <t>2-s2.0-0027109127</t>
  </si>
  <si>
    <t>['¬© 1992', 'w bands', 'several distances', 'rights reserved', 'reflecting plane', 'plane displacement', 'letter proposes', 'good accuracy', 'electrical engineers', 'distance variation']</t>
  </si>
  <si>
    <t>Antennas | Measurement</t>
  </si>
  <si>
    <t>For antenna gain measurement, the Purcell method needs the displacement of a reflecting plane at several distances. The Letter proposes the substitution of the distance variation by a suitable frequency variation. Mechanical problems due to plane displacement are avoided and an automated measuring method is obtained. Results are given in Ka and W bands with good accuracy. ¬© 1992, The Institution of Electrical Engineers. All rights reserved.</t>
  </si>
  <si>
    <t>1339-1340</t>
  </si>
  <si>
    <t>6701865849;6603795399;7006272544</t>
  </si>
  <si>
    <t>Coquet, Ph;Mahdjoubi, K.;Terret, C.</t>
  </si>
  <si>
    <t>Coquet P.</t>
  </si>
  <si>
    <t>Automatic antenna gain measurement at high frequencies</t>
  </si>
  <si>
    <t>10.1049/el:19920850</t>
  </si>
  <si>
    <t>2-s2.0-0027109171</t>
  </si>
  <si>
    <t>['¬© 1992', 'single dipole', 'rights reserved', 'proper distribution', 'new design', 'measured results', 'electrical engineers', 'dielectric slab', 'configuration consists', 'conclusions obtained']</t>
  </si>
  <si>
    <t>A new design for a planar superdirective array printed on a dielectric slab is presnted. The configuration consists of a single dipole as the excitation and a proper distribution of electromagnetically coupled resonant elements (open circular loops). Measured results of a seven element array and conclusions obtained from a free space simulation are included. ¬© 1992, The Institution of Electrical Engineers. All rights reserved.</t>
  </si>
  <si>
    <t>1332-1334</t>
  </si>
  <si>
    <t>101648858;101648858;101648858;101648858;101648858</t>
  </si>
  <si>
    <t>7006898765;7406228773;7006665188;7004724089;35609196900</t>
  </si>
  <si>
    <t>Bokhari, S. A.;Smith, H. K.;Mosig, J. R.;Z√ºrcher, J. F.;Gardiol, F. E.</t>
  </si>
  <si>
    <t>Laboratoir d'Electromang√©tisme et d'Acoustique</t>
  </si>
  <si>
    <t>Superdirective antenna array of printed parasitic elements</t>
  </si>
  <si>
    <t>10.1049/el:19920846</t>
  </si>
  <si>
    <t>2-s2.0-0027109173</t>
  </si>
  <si>
    <t>['¬© 1992', 'selfoscillating detector', 'selfdetector performance', 'rights reserved', 'radiated power', 'gaas mesfet', 'experimental results', 'element oscillates', 'electrical engineers', 'doppler frequency', 'active element', 'active device', '500 hz', '20 khz', '1 khz']</t>
  </si>
  <si>
    <t>Antennas | Radar | Self detectors</t>
  </si>
  <si>
    <t>Experimental results are presented for the (S + N)/N ratio of an active microstrip antenna operated as a selfoscillating detector. The antenna element uses a GaAs MESFET as the active device and is biased from a single sided DC supply (Vdc= 3¬∑77 V, Idc = 65 mA). The element oscillates at 1003GHz and produces approximately 4mW of radiated power. It is shown that the (S + N)/N ratio produced by the active element when operated as a selfoscillating detector varies nonlinearly between 6dB/30Hz and 60dB/30Hz for synthetically generated Doppler frequencies between 500 Hz and 20 kHz, respectively. The effect of bias voltage control on selfdetector performance is illustrated for a Doppler frequency of 1 kHz. ¬© 1992, The Institution of Electrical Engineers. All rights reserved.</t>
  </si>
  <si>
    <t>1362-1363</t>
  </si>
  <si>
    <t>Selfdetection performance of active microstrip antenna</t>
  </si>
  <si>
    <t>10.1049/el:19920866</t>
  </si>
  <si>
    <t>2-s2.0-0027109206</t>
  </si>
  <si>
    <t>Consiglio Nazionale delle Ricerche</t>
  </si>
  <si>
    <t>['¬© 1992', 'transferring energy', 'thus indicating', 'spectral form', 'reversible quenching', 'recent demonstration', 'reaction centres', 'permitted analysis', 'major light', 'linear combination', 'lhcii ).', 'isolated thylakoids', 'harvesting chlorophyll', 'greatest efficiency', 'emission associated']</t>
  </si>
  <si>
    <t>Chlorophyll spectral form | Fluorescence emission | Fluorescence quenching | Light-harvesting chlorophyll a/b protein complex II | Spinach thylakoid</t>
  </si>
  <si>
    <t>The recent demonstration that the room temperature fluorescence emission spectrum of Photosystem II may be described as a linear combination of Gaussian bands associated with the well-known chlorophyll spectral forms (Zucchelli, G., Jennings, R.C., Garlaschi, F.M. (1992) Biochim. Biophys. Acta, 1099, 163-169) has permitted analysis of a number of fluorescence quenching phenomena in terms of the chlorophyll spectral forms. In this context we have analysed the fluorescence quenching due to open reaction centres and also the light-induced, non-photochemical, non-reversible quenching in isolated thylakoids, a Photosystem II membrane preparation and the major light-harvesting chlorophyll a/b protein complex (LHCII). Whereas open reaction centres quench the emission associated with the spectral form chl688684 with greatest efficiency, thus indicating that it is this spectral form which is the most efficient in transferring energy to reaction centres, all the non-photochemical phenomena investigated show maximal quenching for both chl680678 and chl687684. It is concluded that the light-induced, non-photochemical, non-reversible quenching involves the generation of quenching centres within the Photosystem II antenna, possibly at the level of LHCII. ¬© 1992.</t>
  </si>
  <si>
    <t>60030318;60030318;60030318;60030318</t>
  </si>
  <si>
    <t>7201971898;7006530694;6701308180;6603326762</t>
  </si>
  <si>
    <t>Jennings, Robert C.;Zucchelli, Giuseppe;Garlaschi, Flavio M.;Vianelli, Alberto</t>
  </si>
  <si>
    <t>Jennings R.</t>
  </si>
  <si>
    <t>A comparison of the light-induced, non-reversible fluorescence quenching in Photosystem II with quenching due to open reaction centres in terms of the chlorophyll emission spectral forms</t>
  </si>
  <si>
    <t>016748389290470X</t>
  </si>
  <si>
    <t>10.1016/0167-4838(92)90470-X</t>
  </si>
  <si>
    <t>2-s2.0-0026749770</t>
  </si>
  <si>
    <t>['¬© 1992', 'state particles', 'quark width', 'perturbative formulation', 'kinematical configurations', 'detailed analysis', 'carefully defined', 'bw -.', 'antenna pattern']</t>
  </si>
  <si>
    <t>We present a detailed analysis of soft gluon radiation in e+e- ‚Üí tt ‚Üí bW+bW-. Regions of validity for the perturbative formulation are carefully defined and the "antenna pattern" decomposition of the radiation is used as a tool for finding the kinematical configurations of the final-state particles which are most sensitive to the top-quark width. ¬© 1992.</t>
  </si>
  <si>
    <t>413-442</t>
  </si>
  <si>
    <t>Nuclear Physics, Section B</t>
  </si>
  <si>
    <t>60022175;60022175;60014439</t>
  </si>
  <si>
    <t>24321026000;55663829200;7006831545</t>
  </si>
  <si>
    <t>Khoze1, V. A.;Stirling, W. J.;Orr, Lynne H.</t>
  </si>
  <si>
    <t>United Kingdom;United States</t>
  </si>
  <si>
    <t>Durham;Davis</t>
  </si>
  <si>
    <t>Durham University;University of California, Davis</t>
  </si>
  <si>
    <t>60022175;60014439</t>
  </si>
  <si>
    <t>Khoze1 V.</t>
  </si>
  <si>
    <t>Soft gluon radiation in e&lt;sup&gt;+&lt;/sup&gt;e&lt;sup&gt;-&lt;/sup&gt; ‚Üí tt</t>
  </si>
  <si>
    <t>10.1016/0550-3213(92)90603-9</t>
  </si>
  <si>
    <t>2-s2.0-0001162985</t>
  </si>
  <si>
    <t>['¬© 1992', 'theoretical results', 'slot coupled', 'rights reserved', 'electrical engineers', 'eigenvector expansion', 'coupling slot']</t>
  </si>
  <si>
    <t>Antenna feeders | Antennas | Microstrip</t>
  </si>
  <si>
    <t>An analysis of slot coupled, circular microstrip patch antennas is presented. The approach is based on conserving the reaction at the coupling slot. The cavity model together with an eigenvector expansion is used in the analysis. Theoretical results are compared with measurements. ¬© 1992, The Institution of Electrical Engineers. All rights reserved.</t>
  </si>
  <si>
    <t>1454-1455</t>
  </si>
  <si>
    <t>Baumer, C.</t>
  </si>
  <si>
    <t>Baumer C.</t>
  </si>
  <si>
    <t>Analysis of slot coupled, circular microstrip patch antennas</t>
  </si>
  <si>
    <t>10.1049/el:19920925</t>
  </si>
  <si>
    <t>2-s2.0-0026895591</t>
  </si>
  <si>
    <t>['¬© 1992', 'waves scattered', 'walls visible', 'transmitting antenna', 'rights reserved', 'receiving point', 'propagation model', 'electrical engineers', 'diffracted wave']</t>
  </si>
  <si>
    <t>Mobile radio systems | Modelling | Radiowave propagation</t>
  </si>
  <si>
    <t>A multipath delay profile prediction system has been implemented on a workstation. The proposed system predicts profiles on the basis of a topological building database by assuming a propagation model that consists of, at each receiving point, a direct-diffracted wave and waves scattered by those walls visible from the transmitting antenna. ¬© 1992, The Institution of Electrical Engineers. All rights reserved.</t>
  </si>
  <si>
    <t>1381-1382</t>
  </si>
  <si>
    <t>60011001;60011001;60011001</t>
  </si>
  <si>
    <t>55455371200;36641330100;7406244729</t>
  </si>
  <si>
    <t>Takeuchi, T.;Sako, M.;Yoshida, S.</t>
  </si>
  <si>
    <t>Takeuchi T.</t>
  </si>
  <si>
    <t>Multipath delay prediction on workstation for urban mobile radio environments</t>
  </si>
  <si>
    <t>10.1049/el:19920878</t>
  </si>
  <si>
    <t>2-s2.0-0026895596</t>
  </si>
  <si>
    <t>['¬© 1992', 'wave frequencies', 'tapes used', 'tape fixed', 'rights reserved', 'proposed method', 'presented expressing', 'prediction based', 'ground plane', 'gaps created', 'electrical engineers']</t>
  </si>
  <si>
    <t>Diffraction | Electromagnetic waves</t>
  </si>
  <si>
    <t>A new asymptotic high frequency technique is presented expressing the diffraction from the edges of a tape fixed on a ground plane. This technique is applicable to investigating the impact of tapes used to cover the gaps created between adjacent panels forming the reflector of a compact antenna test range (CATR), particularly at millimetre-wave frequencies. Results obtained experimentally in the 90 GHz band show good agreement with prediction based on the proposed method. ¬© 1992, The Institution of Electrical Engineers. All rights reserved.</t>
  </si>
  <si>
    <t>1413-1415</t>
  </si>
  <si>
    <t>60022109;60022109</t>
  </si>
  <si>
    <t>6701578608;7005244140</t>
  </si>
  <si>
    <t>Philippakis, M.;Parini, C. G.</t>
  </si>
  <si>
    <t>Philippakis M.</t>
  </si>
  <si>
    <t>Application of the parallel plate canonical problem in predicting diffraction caused by a tape fixed on a ground plane</t>
  </si>
  <si>
    <t>10.1049/el:19920899</t>
  </si>
  <si>
    <t>2-s2.0-0026895709</t>
  </si>
  <si>
    <t>['¬© 1992', 'rights reserved', 'presented along', 'microstrip element', 'lossy radome', 'foam spacer', 'electrical engineers', 'design formula', 'absorption characteristics']</t>
  </si>
  <si>
    <t>Antenna arrays | Microstrip</t>
  </si>
  <si>
    <t>A microstrip antenna fitted with a lossy radome is described which has the property of frequency selective interference suppression. A design formula is given for the radome which consists of an overlay of absorbing material separated from the antenna by a foam spacer and which can be fitted as an add-on for some fixed beam microstrip arrays. Measurements of a microstrip element and array are presented along with the absorption characteristics of the radome. ¬© 1992, The Institution of Electrical Engineers. All rights reserved.</t>
  </si>
  <si>
    <t>1465-1466</t>
  </si>
  <si>
    <t>60009658;60009658;60009658</t>
  </si>
  <si>
    <t>7403098104;16038771000;7403018268</t>
  </si>
  <si>
    <t>Henderson, A.;Abdelaziz, A. A.;James, J. R.</t>
  </si>
  <si>
    <t>Henderson A.</t>
  </si>
  <si>
    <t>Microstrip planar array with interference suppression radome</t>
  </si>
  <si>
    <t>10.1049/el:19920932</t>
  </si>
  <si>
    <t>2-s2.0-0026897371</t>
  </si>
  <si>
    <t>['¬© 1992', 'rights reserved', 'purely systolic', 'one type', 'electrical engineers', 'basic cell', 'also canonic']</t>
  </si>
  <si>
    <t>Digital filters | Filters | Systolic arrays</t>
  </si>
  <si>
    <t>A novel systolic array realisation of a general allpass digital filter of any arbitrary order suitable for high speed delayed N-path recursive digital filtering applications is presented. The proposed systolic array is a purely systolic (not semisystolic) design which is also canonic in the number of multipliers, modulator in having one type of basic cell, and has nearest neighbour interconnections. ¬© 1992, The Institution of Electrical Engineers. All rights reserved.</t>
  </si>
  <si>
    <t>1408-1409</t>
  </si>
  <si>
    <t>Kwan, H. K.</t>
  </si>
  <si>
    <t>Windsor</t>
  </si>
  <si>
    <t>University of Windsor</t>
  </si>
  <si>
    <t>Kwan H.</t>
  </si>
  <si>
    <t>Novel systolic array realisation of allpass digital filters for high speed applications</t>
  </si>
  <si>
    <t>10.1049/el:19920895</t>
  </si>
  <si>
    <t>2-s2.0-0026897513</t>
  </si>
  <si>
    <t>['¬© 1992', 'two modes', 'theoretical model', 'rights reserved', 'radiation frequencies', 'multidomain configuration', 'ferrite substrate', 'electrical engineers']</t>
  </si>
  <si>
    <t>Ferrite devices | Ferrites | Microstrip antennas</t>
  </si>
  <si>
    <t>The radiation frequencies of rectangular microstrip patch antenna deposited on ferrite substrate have been measured. Two different radiation modes were found whose frequencies behaved differently under the application of a biasing magnetic field. These two modes of radiation have been identified with a transverse mode whose radiation frequency increased with increasing magnetic field and a longitudinal mode whose radiation frequency decreased with the applied magnetic field. A theoretical model has been formulated for radiation of these two modes based on a multidomain configuration of the ferrite substrate. The theory compares reasonably well with the experiments. ¬© 1992, The Institution of Electrical Engineers. All rights reserved.</t>
  </si>
  <si>
    <t>1405-1406</t>
  </si>
  <si>
    <t>60028628;60076904;60029472;60028628</t>
  </si>
  <si>
    <t>7004498200;6603719894;35561475200;7005835162</t>
  </si>
  <si>
    <t>How, H.;Rainville, P.;Harackiewicz, F.;Vittoria, C.</t>
  </si>
  <si>
    <t>Wright-Patterson AFB;Carbondale;Boston</t>
  </si>
  <si>
    <t>Air Force Materiel Command;Southern Illinois University Carbondale;Northeastern University</t>
  </si>
  <si>
    <t>60076904;60029472;60028628</t>
  </si>
  <si>
    <t>How H.</t>
  </si>
  <si>
    <t>Radiation frequencies of ferrite patch antennas</t>
  </si>
  <si>
    <t>10.1049/el:19920893</t>
  </si>
  <si>
    <t>2-s2.0-0026897514</t>
  </si>
  <si>
    <t>['¬© 1992', 'theoretical justification', 'rights reserved', 'quiescent response', 'proposed approach', 'performance achievable', 'full processor', 'electrical engineers', 'closely maintained', 'adaptive dimension']</t>
  </si>
  <si>
    <t>Antenna arrays | Antennas | Beamformers</t>
  </si>
  <si>
    <t>In the Letter, a new linear array GSC beamforming structure employing DOA estimation and the null steering technique is presented. It has the advantages that the quiescent response of the beamformer can be closely maintained and that the adaptive dimension of the beamformer can be reduced to about half of that of the full processor. Theoretical justification of the proposed approach is given and the performance achievable is investigated via computer studies. ¬© 1992, The Institution of Electrical Engineers. All rights reserved.</t>
  </si>
  <si>
    <t>1417-1418</t>
  </si>
  <si>
    <t>NEW GSC beamformer employing doa estimation and null steering for linear array</t>
  </si>
  <si>
    <t>10.1049/el:19920901</t>
  </si>
  <si>
    <t>2-s2.0-0026899010</t>
  </si>
  <si>
    <t>['¬© 1992', 'rights reserved', 'radar cross', 'electrical engineers']</t>
  </si>
  <si>
    <t>Antenna arrays | Radar cross-section | Scattering</t>
  </si>
  <si>
    <t>A method is proposed for computing the external (structural) contribution to the radar cross-section of a planar antenna array. Results are compared to measurements. ¬© 1992, The Institution of Electrical Engineers. All rights reserved.</t>
  </si>
  <si>
    <t>1415-1417</t>
  </si>
  <si>
    <t>60022109;60022109;60022109</t>
  </si>
  <si>
    <t>57203176700;35565202000;7004219095</t>
  </si>
  <si>
    <t>McNamara, D. A.;Malherbe, J. A.G.;Pistorius, C. W.I.</t>
  </si>
  <si>
    <t>McNamara D.</t>
  </si>
  <si>
    <t>External contribution to electromagnetic scattering from planar antenna array of open rectangular waveguides</t>
  </si>
  <si>
    <t>10.1049/el:19920900</t>
  </si>
  <si>
    <t>2-s2.0-0026899011</t>
  </si>
  <si>
    <t>['¬© 1992', 'theoretical results', 'rights reserved', 'input impedance', 'good agreement', 'electrical engineers', 'analysis allows']</t>
  </si>
  <si>
    <t>Antennas | Microstrip</t>
  </si>
  <si>
    <t>The transmission line method is used for the analysis of microstrip antennas fed by several nonlinear slots with ‚ÄòH‚Äô shapes [1] or new geometries ‚Äò‚ê£‚Äô ‚Äò@@‚Äô and ‚Äò‚åô ‚Äô types. This analysis allows the input impedance of nonlinear slot coupled microstrip antennas to be calculated for the four different structures. The theoretical results are in good agreement with experiments. ¬© 1992, The Institution of Electrical Engineers. All rights reserved.</t>
  </si>
  <si>
    <t>1406-1408</t>
  </si>
  <si>
    <t>57103462700;7003723658;7202044329</t>
  </si>
  <si>
    <t>El Yazidi, M.;Himdi, M.;Daniel, J. P.</t>
  </si>
  <si>
    <t>El Yazidi M.</t>
  </si>
  <si>
    <t>Transmission line analysis of nonlinear slot coupled microstrip antenna</t>
  </si>
  <si>
    <t>10.1049/el:19920894</t>
  </si>
  <si>
    <t>2-s2.0-0026899603</t>
  </si>
  <si>
    <t>W-7405-Eng-82</t>
  </si>
  <si>
    <t>['state low', 'state absorption', 'spectral forms', 'special red', 'significant differences', 'rotational strength', 'room temperature', 'rights reserved', 'probe spectroscopy', 'possible presence', 'plane constituted', 'major chlorophyll', 'low temperature', 'linear dichroism', 'large part', 'harvesting complex', 'fluorescence arises', 'color pump', 'chl qy', 'b light', 'absorption region', 'absorbing pigments', '4 k']</t>
  </si>
  <si>
    <t>Antenna | Chlorophyll | Photosystem II | Polarized light spectroscopy | Pump-probe spectroscopy</t>
  </si>
  <si>
    <t>The major chlorophyll a/b light-harvesting complex from spinach thylakoid membranes was analyzed by steady-state polarized light spectroscopy at 4 K and by one-color and two-color pump-probe spectroscopy at room temperature. Steady-state absorption, linear dichroism and circular dichroism spectra indicate that the Chl Qy(0-0) absorption region is characterized by at least six transitions with significant differences in absorption, orientation and rotational strength. Steady-state low-temperature fluorescence spectra suggest that the fluorescence arises for a large part from several energetically similar species that form a circularly degenerate oscillator in the plane constituted by the two long axes of the particle. The possible presence of special red-absorbing pigments at low temperature is discussed. The time-resolved data suggest that the kinetics of chlorophyll b ‚Üí a excitation energy transfer, as well as those of downhill excitation transfer among chlorophyll a spectral forms, are heterogeneous with both sub-picosecond and picosecond lifetime components. ¬© 1992 Elsevier Science Publishers B.V. All rights reserved.</t>
  </si>
  <si>
    <t>7003789415;6603884011;7202457418;35599806700;7007181446;7407162691;57193129444</t>
  </si>
  <si>
    <t>S0005272805800052</t>
  </si>
  <si>
    <t>10.1016/0005-2728(92)90198-B</t>
  </si>
  <si>
    <t>2-s2.0-0026659543</t>
  </si>
  <si>
    <t>['¬© 1992', 'rights reserved', 'much less', 'monopole antenna', 'light levels', 'electrical engineers', 'antenna pattern']</t>
  </si>
  <si>
    <t>Antennas | Optoelectronics</t>
  </si>
  <si>
    <t>A monopole antenna is reconfigured for 200 or 375 MHz bands by optoelectronically switching two segments together. Light levels of much less than 1 mW significantly change the antenna pattern and gain. ¬© 1992, The Institution of Electrical Engineers. All rights reserved.</t>
  </si>
  <si>
    <t>1502-1503</t>
  </si>
  <si>
    <t>60030821;60030821;60030821</t>
  </si>
  <si>
    <t>10046396400;7003552628;7202160620</t>
  </si>
  <si>
    <t>Freeman, J. L.;Lamberty, B. J.;Andrews, G. S.</t>
  </si>
  <si>
    <t>Freeman J.</t>
  </si>
  <si>
    <t>Optoelectronically reconfigurable monopole antenna</t>
  </si>
  <si>
    <t>10.1049/el:19920954</t>
  </si>
  <si>
    <t>2-s2.0-0026897327</t>
  </si>
  <si>
    <t>['¬© 1992', 'simulation results', 'scan angles', 'rights reserved', 'results demonstrate', 'letter derives', 'experimental results', 'electrical engineers', 'antenna focusing', '30 ¬∞.']</t>
  </si>
  <si>
    <t>The Letter derives and verifies the concept of antenna focusing by planar ‚Äòmicrostrip reflectarray‚Äô antenna. Experimental results from schematically distributed patch radiators with microstrip delay lines are consistent with the simulation results. The advantages and disadvantages of such an antenna are described. The measured overall antenna efficiency is ~48% at scan angles up to 30¬∞. These results demonstrate the feasibility of such an antenna. ¬© 1992, The Institution of Electrical Engineers. All rights reserved.</t>
  </si>
  <si>
    <t>1489-1491</t>
  </si>
  <si>
    <t>60072419;60072419</t>
  </si>
  <si>
    <t>7403319741;56301213900</t>
  </si>
  <si>
    <t>Chang, D. C.;Huang, M. C.</t>
  </si>
  <si>
    <t>Longtan</t>
  </si>
  <si>
    <t>Chung-shan Institute of Science and Technology Taiwan</t>
  </si>
  <si>
    <t>Microstrip reflectarray antenna with offset feed</t>
  </si>
  <si>
    <t>10.1049/el:19920946</t>
  </si>
  <si>
    <t>2-s2.0-0026898806</t>
  </si>
  <si>
    <t>['¬© 1992', 'thin quarter', 'rights reserved', 'radial wires', 'radial efficiency', 'numerical results', 'moments nec', 'input impedance', 'electrical engineers']</t>
  </si>
  <si>
    <t>Antenna theory | Numerical methods</t>
  </si>
  <si>
    <t>Plots are presented of the radial efficiency and input impedance of a thin quarter-wave monopole element with a radial- wire ground plane in proximity to flat lossy Earth, as a function of the number and length of the radial wires. Numerical results are from the method-of-moments NEC-GS program developed by Lawrence Livermore National Laboratory. ¬© 1992, The Institution of Electrical Engineers. All rights reserved.</t>
  </si>
  <si>
    <t>1550-1551</t>
  </si>
  <si>
    <t>60012564;60012564;60026175</t>
  </si>
  <si>
    <t>7402253651;6507965925;7203060346</t>
  </si>
  <si>
    <t>Weiner, M. M.;Zamoscianyk, S.;Burke, G. J.</t>
  </si>
  <si>
    <t>Livermore;McLean</t>
  </si>
  <si>
    <t>Lawrence Livermore National Laboratory;MITRE Corporation</t>
  </si>
  <si>
    <t>60026175;60012564</t>
  </si>
  <si>
    <t>Radiation efficiency and input impedance of monopole elements with radial-wire ground planes in proximity to earth</t>
  </si>
  <si>
    <t>10.1049/el:19920984</t>
  </si>
  <si>
    <t>2-s2.0-0026898913</t>
  </si>
  <si>
    <t>['¬© 1992', 'theoretical values', 'rights reserved', 'poynting theorems', 'normalised conductance', 'nonradiating dielectric', 'metal wall', 'good agreement', 'electrical engineers']</t>
  </si>
  <si>
    <t>Dielectric waveguides | Slot antennas | Waveguides</t>
  </si>
  <si>
    <t>A modal expansion method is used with the reciprocity and Poynting theorems to derive the admittance of inclined slots cut in the metal wall of a nonradiating dielectric (NRD) waveguide. Theoretical values of normalised conductance and susceptance are compared with previously reported experimental results and are found to be in good agreement. ¬© 1992, The Institution of Electrical Engineers. All rights reserved.</t>
  </si>
  <si>
    <t>1500-1502</t>
  </si>
  <si>
    <t>60018714;60018714;60018714</t>
  </si>
  <si>
    <t>7403176992;57027512900;7004481899</t>
  </si>
  <si>
    <t>Reddy, C. J.;Ittipiboon, A.;Cuhaci, M.</t>
  </si>
  <si>
    <t>Reddy C.</t>
  </si>
  <si>
    <t>Analysis of slots in nonradiating dielectric waveguide using the modal expansion method</t>
  </si>
  <si>
    <t>10.1049/el:19920953</t>
  </si>
  <si>
    <t>2-s2.0-0026899419</t>
  </si>
  <si>
    <t>['‚ àí1', 'œ ≤.', 'œ ≤', '¬© 1992', 'title compounds', 'sset relative', 'sset ca', 'selectively excite', 'rights reserved', 'previously reported', 'nm light', 'modest amount', 'lower efficiency', 'intramolecular singlet', 'eqs 3', 'energy transfer', 'efficient intra', 'dps group', 'derived reduction', 'carbonyl groups', 'analogous set', '76 %),', '4 ).']</t>
  </si>
  <si>
    <t>We have previously reported that photolysis of 3Œ±-(dimethylphenylsiloxy-5Œ±-androstane-11,17-dione, in the presence of triethylamine (TEA) and with 266-nm light so as to selectively excite the dimethylphenylsiloxy (DPS) ‚Äúantenna‚Äù, primarily gives rise to triplet-derived reduction at C17. We now report on an analogous set of steroids, with a DPS antenna Œ± or Œ≤ at C3 and carbonyl groups at C6 and C17 (the title compounds, 3 and 4). In these compounds, intramolecular singlet/singlet energy transfer (intra-SSET) from the DPS group to C6 is rapid (kintra-SSET = ca. 3 √ó 109 s‚àí1) and efficient (œïintra-SSET ca. 76%), but this energy transfer is followed by a ca. 85% efficient intra-SSET from C6 to C17. The result is exclusively singlet chemistry (e.g., chemistry resulting from Œ± cleavage) at C17 (with 60 mM TEA: 3, œï= 0.23; 4, œï= 0.098; eqs 3 and 4). The lower efficiency for the Œ≤ isomer reflects a more than 2-fold less efficient intra-SSET relative to 3Œ±-DPS. There is also a modest amount of triplet-derived reduction at C6 (œïred = 0.046 at 60 mM TEA) with a 3Œ±-DPS antenna, but no such reduction is observed when the DPS group is Œ≤. Through-bond-mediated exchange energy transfer is proposed for both the DPS ‚Üí C6 and the C6 ‚Üí C17 intra-SSET. ¬© 1992, American Chemical Society. All rights reserved.</t>
  </si>
  <si>
    <t>6640-6648</t>
  </si>
  <si>
    <t>60009254;60009254;60009254</t>
  </si>
  <si>
    <t>55196384300;7202698508;7103158461</t>
  </si>
  <si>
    <t>Wu, Zheng Zhi;Nash, John;Morrison, Harry</t>
  </si>
  <si>
    <t>Wu Z.Z.</t>
  </si>
  <si>
    <t>Antenna-Initiated Photochemistry in Polyfunctional Steroids. Photoepimerization of 3Œ±-(Dimethylphenylsiloxy)-5Œ±-androstane-6,17-dione and Its 3Œ≤ Isomer by Through-Bond Exchange Energy Transfer</t>
  </si>
  <si>
    <t>10.1021/ja00043a005</t>
  </si>
  <si>
    <t>2-s2.0-0026706903</t>
  </si>
  <si>
    <t>367-368</t>
  </si>
  <si>
    <t>Naturwissenschaften</t>
  </si>
  <si>
    <t>60018491;60018491;60018491;60078971;60002306;60002306;60006832</t>
  </si>
  <si>
    <t>7006196798;7007168968;7006335669;7004291458;11239811800;13808187100;16424002600</t>
  </si>
  <si>
    <t>Gries, G.;Borden, J. H.;Gries, R.;Lafontaine, J. P.;Dixon, E. A.;Wieser, H.;Whitehead, A. T.</t>
  </si>
  <si>
    <t>Canada;Canada;United States;Canada</t>
  </si>
  <si>
    <t>Delta;Burnaby;Provo;Calgary</t>
  </si>
  <si>
    <t>Pherotech International Inc.;Simon Fraser University;Brigham Young University;University of Calgary</t>
  </si>
  <si>
    <t>60078971;60018491;60006832;60002306</t>
  </si>
  <si>
    <t>Gries G.</t>
  </si>
  <si>
    <t>4-Methylene-6,6-dimethylbicyclo[3.1.1]hept-2-ene (verbenene): New aggregation pheromone of the scolytid beetle Dendroctonus rufipennis</t>
  </si>
  <si>
    <t>10.1007/BF01140182</t>
  </si>
  <si>
    <t>2-s2.0-0026780703</t>
  </si>
  <si>
    <t>['southern blots', 'second locus', 'proteins encoded', 'predicted sequences', 'polypeptides encoded', 'photosynthetic apparatus', 'mature protein', 'inverted orientation', 'genes encoding', 'encoding chlorophyll', 'different types', 'cab type', 'cab genes', 'binding polypeptides', 'arabidopsis thaliana', '10 ],', '), demonstrating']</t>
  </si>
  <si>
    <t>gene duplication | photosynthesis | RFLP | Southern blots</t>
  </si>
  <si>
    <t>A second locus (Lhb1B) encoding Photosystem II Type I chlorophyll a/b-binding (CAB) polypeptides was identified in Arabidopsis thaliana. This locus carries two genes in an inverted orientation. The predicted sequences of the polypeptides encoded by these two genes show substantial divergence in their amino termini relative to each other and to the proteins encoded by the three Lhb1 CAB genes previously characterized [10], but little divergence within the predicted primary structure of the mature protein. DNA probes derived from seven additional types of tomato CAB genes, encoding chlorophyll a/b-binding polypeptides of several antenna systems of the photosynthetic apparatus, were tested against A. thaliana. Each of these hybridized in Southern blots to unique DNA fragment(s), demonstrating the existence of each of these different types of CAB genes in the genome of A. thaliana. The number of genes encoding each CAB type in A. thaliana was estimated to be similar to that of tomato. ¬© 1992 Kluwer Academic Publishers.</t>
  </si>
  <si>
    <t>725-733</t>
  </si>
  <si>
    <t>Plant Molecular Biology</t>
  </si>
  <si>
    <t>60025778;60006297;60006297;60006297;60025778</t>
  </si>
  <si>
    <t>7402677681;6602325035;57197660786;35595869800;7005046349</t>
  </si>
  <si>
    <t>McGrath, J. Mitchell;Terzaghi, William B.;Sridhar, Padma;Cashmore, Anthony R.;Pichersky, Eran</t>
  </si>
  <si>
    <t>Ann Arbor;Philadelphia</t>
  </si>
  <si>
    <t>University of Michigan, Ann Arbor;University of Pennsylvania</t>
  </si>
  <si>
    <t>60025778;60006297</t>
  </si>
  <si>
    <t>McGrath J.M.</t>
  </si>
  <si>
    <t>Sequence of the fourth and fifth Photosystem II Type I chlorophyll a/b-binding protein genes of Arabidopsis thaliana and evidence for the presence of a full complement of the extended CAB gene family</t>
  </si>
  <si>
    <t>10.1007/BF00027069</t>
  </si>
  <si>
    <t>2-s2.0-0026902770</t>
  </si>
  <si>
    <t>['shaped reradiator', 'passive ring', 'passive reradiator', 'optimum choice', 'geometrical dimensions', 'available consisting']</t>
  </si>
  <si>
    <t>An antenna is available consisting of an exciter - an elementary electric dipole - and a passive ring-shaped reradiator with a circular axial line and a plane (or circular) transverse cross section. The use of a passive reradiator enables one, by an optimum choice of the geometrical dimensions of the antenna, to increase its gain by 5-6 dB compared with an elementary electric dipole without a passive reradiator.</t>
  </si>
  <si>
    <t>42-45</t>
  </si>
  <si>
    <t>Yampol'skiy, A. V.</t>
  </si>
  <si>
    <t>Yampol'skiy A.</t>
  </si>
  <si>
    <t>Passive ring-shaped reradiator for a balanced electric dipole</t>
  </si>
  <si>
    <t>2-s2.0-0026906238</t>
  </si>
  <si>
    <t>['widely used', 'supply line', 'simple method', 'sharp bend', 'mirror antennas', 'main lobe', 'horn needs', 'h planes']</t>
  </si>
  <si>
    <t>Dephased horn antennas with a sharp bend are widely used as the radiators of mirror antennas. In addition to the fact that the main lobe is identical in the E and H planes and the low sidelobe level, these radiators have an extremely good natural match to the supply line. However, when using such horns in multichannel communication systems the matching of the horn needs to be improved. In this paper we describe a simple method of improving the matching of dephased horn antennas with a sharp bend in the generatrix.</t>
  </si>
  <si>
    <t>33-36</t>
  </si>
  <si>
    <t>55393868200;7006279744</t>
  </si>
  <si>
    <t>Timofeyeva, A. V.;Kozlovskaya, I. A.</t>
  </si>
  <si>
    <t>Timofeyeva A.</t>
  </si>
  <si>
    <t>Method of improving the matching of dephased horns with a sharp bend in the generatices over a specified frequency band</t>
  </si>
  <si>
    <t>2-s2.0-0026906716</t>
  </si>
  <si>
    <t>['widely employed', 'usually solved', 'usually necessary', 'specified interference', 'paper proposes', 'linear functionals', 'linear constraints', 'lagrange multipliers', 'given numbers', 'communications systems']</t>
  </si>
  <si>
    <t>The problem of determining the optimal weighting factor vector (WFV) when there are a number of linear constraints is widely employed when synthesizing phase antenna arrays for communications systems. In this case, it is usually necessary to minimize the quadratic quality factor when limits are imposed as equalities of linear functionals to given numbers. An analogous mathematical problem arises when synthesizing multichannel communications systems that are invariant to a set of specified interference, multichannel amplifier channels with a minimum generalized gain, etc. Such problems are usually solved by the method of Lagrange multipliers. This paper proposes a more effective approach based on solving an L-problem of moments.</t>
  </si>
  <si>
    <t>133-139</t>
  </si>
  <si>
    <t>6603184526;6503910446</t>
  </si>
  <si>
    <t>Bukharin, S. V.;Podkopayeva, I. L.</t>
  </si>
  <si>
    <t>Bukharin S.</t>
  </si>
  <si>
    <t>Optimal synthesis of space-time signal-processing systems based on the L-problem of moments</t>
  </si>
  <si>
    <t>2-s2.0-0026907180</t>
  </si>
  <si>
    <t>['wave transmitters', 'test batches', 'successfully used', 'smarskii branch', 'promsvyaz factory', 'frequency switch', 'control apparatus', 'characteristic impedance', 'balanced feeders', '300 ohm']</t>
  </si>
  <si>
    <t>The AK-100 antenna switch was developed by the Smarskii Branch of the Scientific Research Institute of Radio for automated radio transmitting centers. These switches, test batches of which have been manufactured at the Promsvyaz factory for a number of years, have been successfully used in the POR-1 radio centers. The AK-100 switches short-wave transmitters having balanced feeders with a characteristic impedance of 300 ohm, and consists of control apparatus and a high-frequency switch.</t>
  </si>
  <si>
    <t>46-48</t>
  </si>
  <si>
    <t>Lozinskii, V. M.</t>
  </si>
  <si>
    <t>Lozinskii V.</t>
  </si>
  <si>
    <t>AK-100 antenna switch of radio transmitting centers</t>
  </si>
  <si>
    <t>2-s2.0-0026907208</t>
  </si>
  <si>
    <t>['waveguide launcher', 'results indicate', 'radiation pattern', 'radiation coming', 'pulsed gyrotron', 'originally proposed', 'optical antennas', 'mirror focusing', 'gyrotron power', 'good focusing', 'free space', 'focusing mirror', 'experimental results', 'experimental investigation', 'directed beams', 'critical importance', 'combined launcher', 'azimuthal direction', '6 mw', '2 mode']</t>
  </si>
  <si>
    <t>gyrotron | millimeter wave | mode converter | Quasi-optical antenna</t>
  </si>
  <si>
    <t>Results are reported of a theoretical and experimental investigation of a quasi-optical mode converter for the transformation of whispering gallery mode gyrotron output into a linearly polarized Gaussian like beam. The mode converter consists of a helically cut waveguide launcher, similar to that originally proposed by Vlasov et al, followed by a focusing mirror. Theoretical results using aperture field methods indicate that the length of the waveguide launcher is of critical importance in providing a confined radiation pattern. Experimental results on the radiation pattern were obtained for several launcher lengths using a 0.6 MW, 149 GHz pulsed gyrotron operating in the TE16,2 mode. Radiation pattern results for the optimum launcher length agree well with theoretical calculations using the Stratton-Chu aperture radiation theory for unperturbed waveguide modes. A mirror focusing in the azimuthal direction was designed by a geometrical optics approach to focus the radiation coming from the launcher. Good focusing with 91.4% efficiency (power in the focused beam divided by gyrotron power) was found experimentally using the combined launcher and mirror with the pulsed gyrotron. These results indicate that quasi-optical antennas are useful for transforming high order, high frequency gyrotron modes into directed beams in free space. ¬© 1992 Plenum Publishing Corporation.</t>
  </si>
  <si>
    <t>1033-1063</t>
  </si>
  <si>
    <t>60022195;60022195;60022195;60022195;60022195</t>
  </si>
  <si>
    <t>16421969900;36474557300;57191783563;7403291815;7005160662</t>
  </si>
  <si>
    <t>M√∂bius, A. W.;Casey, J. A.;Kreischer, K. E.;Li, A.;Temkin, R. J.</t>
  </si>
  <si>
    <t>M√∂bius A.</t>
  </si>
  <si>
    <t>An improved design for quasi-optical mode conversion of whispering gallery mode gyrotron radiation</t>
  </si>
  <si>
    <t>10.1007/BF01009050</t>
  </si>
  <si>
    <t>2-s2.0-0026909393</t>
  </si>
  <si>
    <t>['superdirective antennas', 'size reduction', 'size approaches', 'required order', 'realize current', 'radiation pattern', 'normal conductors', 'nonlinear properties', 'lower limit', 'low losses', 'f .)', 'experimental results', 'decouple subantennas', 'critical size', 'considerable margin', 'bandpass characteristics', 'antennas show', 'antenna systems', '1 %,']</t>
  </si>
  <si>
    <t>antennas | electrically small antennas | High-temperature superconductivity | microwave switches | multiport antennas</t>
  </si>
  <si>
    <t>The low radio frequency (r.f.) losses in epitaxial HTS thin films allow the realization of novel antenna structures which have to be excluded in conventional antenna techniques with normal conductors because of the highly reduced radiation efficiency. Thus, the design of miniaturized but nevertheless highly efficient antennas down to a lower limit determined by both the required order of radiation pattern and the frequency bandwidth becomes possible. For a bandwidth of more than about 1%, a considerable margin for a size reduction below the "critical size" is restricted to the case of electrically small antennas and of superdirective antennas with a relatively low order of the radiation pattern, e.g. antennas with a beam of less than 15 dB maximum gain. If the size approaches the lower limit, the antennas show a sharp bandpass frequency response. This is demonstrated by means of experimental results for a novel HTS meander antenna. These bandpass characteristics can be utilized in compact multiport antenna systems in order to decouple subantennas for adjacent frequency bands. Besides the low losses in HTS's, their nonlinear properties can be used in order to realize current-controlled HTS switches for antenna systems. ¬© 1992 Plenum Publishing Corporation.</t>
  </si>
  <si>
    <t>403-416</t>
  </si>
  <si>
    <t>Journal of Superconductivity</t>
  </si>
  <si>
    <t>Chaloupka, H.</t>
  </si>
  <si>
    <t>Wuppertal</t>
  </si>
  <si>
    <t>Bergische Universit√§t Wuppertal</t>
  </si>
  <si>
    <t>Chaloupka H.</t>
  </si>
  <si>
    <t>High-temperature superconductor antennas: Utilization of low rf losses and of nonlinear effects</t>
  </si>
  <si>
    <t>10.1007/BF00618141</t>
  </si>
  <si>
    <t>2-s2.0-0026910454</t>
  </si>
  <si>
    <t>['¬± 0', 'variable duration', 'temperature variation', 'response nonlinearity', 'remote studies', 'radiometer based', 'proposed scheme', 'noise temperatures', 'natural environment', 'linearly relates', 'law detector', 'filter bandwidth', 'antenna channel', '315 k', '25 k', '18 cm', '1 k', '1 hz', '03 k']</t>
  </si>
  <si>
    <t>A radiometer based on a new, modified null method is described. An additional, power-invariable noise signal is fed into the antenna channel from a generator in pulses of variable duration. A formula is derived that linearly relates this duration to the signal from the antenna, in which the noise temperatures of the semiconductor noise generator and the matched load act as two reference values. The radiometer has an unconventional measuring channel after the square-law detector. An instrument with the proposed scheme at a wavelength of 18 cm is described that is designed for operation in the field and optimization of remote studies of the natural environment. Its fluctuational sensitivity threshold is 0.03 K for an output-filter bandwidth of 1 Hz. The absolute measurement error is not more than 1 K for a maximum input signal and an ambient-temperature variation of from -25 to +35¬∞C. The response nonlinearity is not over ¬±0.25 K for input noise temperatures of 75-315 K. ¬© 1993 Plenum Publishing Corporation.</t>
  </si>
  <si>
    <t>419-423</t>
  </si>
  <si>
    <t>6506190773;55951130500</t>
  </si>
  <si>
    <t>Bordonskii, G. S.;Filatov, A. V.</t>
  </si>
  <si>
    <t>Bordonskii G.</t>
  </si>
  <si>
    <t>Null radiometer with pulse-duration modulation of reference signal and digital output</t>
  </si>
  <si>
    <t>10.1007/BF01047215</t>
  </si>
  <si>
    <t>2-s2.0-34249832261</t>
  </si>
  <si>
    <t>['various approximations', 'studied using', 'spectral method', 'radiator edges', 'radiating elements', 'mutual coupling', 'microstrip structures', 'microstrip antennas', 'function singularity', 'field singularities', 'analytic accuracy']</t>
  </si>
  <si>
    <t>The mutual coupling of the radiating elements in microstrip antennas is studied using a rigorous electrodynamic approach in which the field singularities at the radiator edges are taken into account with analytic accuracy. A spectral method is employed in combination with a method of semi-inversion by extraction of the Green-function singularity. The degree of interaction of the elements of microstrip structures at the fundamental and higher current harmonicsis determined, and the applicability of various approximations is assessed. ¬© 1993 Plenum Publishing Corporation.</t>
  </si>
  <si>
    <t>440-451</t>
  </si>
  <si>
    <t>56262738500;57198109055;54419121500</t>
  </si>
  <si>
    <t>Vorob'ev, S. N.;Nechaev, Yu B.;Prosvirnin, S. L.</t>
  </si>
  <si>
    <t>Vorob'ev S.</t>
  </si>
  <si>
    <t>Mutual coupling of elements in finite microstrip antennas</t>
  </si>
  <si>
    <t>10.1007/BF01047219</t>
  </si>
  <si>
    <t>2-s2.0-34249832687</t>
  </si>
  <si>
    <t>['¬© 1992', 'strongly exciton', 'reaction center', 'prove experimentally', 'natural antenna', 'intact cells', 'hole burning', 'fluorescence excitation', 'emission spectra', 'direclly detected', 'chromophore system', 'chlorosomal antenna', 'bchl c', '8 k']</t>
  </si>
  <si>
    <t>Chloroflexus aurantiacus cell | Energy transfer | Light-harvesting antenna: Pigment oligomerization</t>
  </si>
  <si>
    <t>Spectral hole burning has been used to prove experimentally the existence in natural antenna of one of the predicted structural optimizing factors - antenna pigment oligomerization [J. Theor. Biol. 140 (1989) 167]-ensuring high efficiency of excitation energy transfer from antenna to reaction center, This point has been examined for the chlorosomal antenna of green bacterium Chloroflexus auranticus by hole burning in fluorescence excitation and emission spectra of intact cells at 1.8 K. The persistent hole spectra have been found to be consistent with a strongly exciton-coupled bacteriochloraphyll c (BChl c) chromophore system. The lowest exciton state of BChl c oligomers has been direclly detected and separated as the lowest energy inhomogeneously broadened band (FWHM ‚àº90 cm-1, position of maximum, at ‚àº752 nm) from the near-infrared BChl c band (FWHM ‚àº350 cm-1, position or maximum, at ‚àº74 nm) of 1.8 K excitation spectrum. ¬© 1992.</t>
  </si>
  <si>
    <t>371-374</t>
  </si>
  <si>
    <t>60007457;60068852</t>
  </si>
  <si>
    <t>7003830809;56624809700</t>
  </si>
  <si>
    <t>Fetisova, Z. G.;Mauring, K.</t>
  </si>
  <si>
    <t>Estonia;Russian Federation</t>
  </si>
  <si>
    <t>Tallinn;Moscow</t>
  </si>
  <si>
    <t>Academia Scientiarum Estoniae;Lomonosov Moscow State University</t>
  </si>
  <si>
    <t>60068852;60007457</t>
  </si>
  <si>
    <t>Fetisova Z.</t>
  </si>
  <si>
    <t>Experimental evidence of oligomeric organization of antenna bacteriochlorophyll c in green bacterium Chloroflexus aurantiacus by spectral hole burning</t>
  </si>
  <si>
    <t>001457939280715S</t>
  </si>
  <si>
    <t>10.1016/0014-5793(92)80715-S</t>
  </si>
  <si>
    <t>2-s2.0-0026639355</t>
  </si>
  <si>
    <t>['¬© 1992', 'simple technique', 'rights reserved', 'multimodal phase', 'multibeam null', 'electrical engineers', 'considerably improved', 'confining circular', 'comparison direction', 'angular sectors']</t>
  </si>
  <si>
    <t>A simple technique for confining circular-array phase modes to angular sectors is introduced. Each sectoral phase mode (SPM) is a broadband directional beam characterised by an approximately linear phase slope. It is shown that the performance of a multimodal phase-comparison direction-finder in a multiple signal environment and the null steering agility of a multibeam null-steering system may be considerably improved. ¬© 1992, The Institution of Electrical Engineers. All rights reserved.</t>
  </si>
  <si>
    <t>1581-1582</t>
  </si>
  <si>
    <t>7202821654;6603103278</t>
  </si>
  <si>
    <t>Griffiths, H. D.;Eiges, R.</t>
  </si>
  <si>
    <t>Griffiths H.</t>
  </si>
  <si>
    <t>Sectoral phase modes from circular antenna arrays</t>
  </si>
  <si>
    <t>10.1049/el:19921006</t>
  </si>
  <si>
    <t>2-s2.0-0026907912</t>
  </si>
  <si>
    <t>['¬© 1992', 'simulation results', 'rights reserved', 'previous analytical', 'electrical engineers', 'bit length']</t>
  </si>
  <si>
    <t>Cordless telephone systems | Digital Communication Systems | Indoor radio | Radiocommunication</t>
  </si>
  <si>
    <t>The effect of indoor radio channels with small delay spreads on the performance of a DECT-like radio link were measured and compared to previous analytical and simulation results. It was found that delay spreads less than 4¬∑5% of the bit length without antenna diversity, and less than 20% of the bit length with instantaneous (slot-by-slot) error-rate driven antenna diversity, are tolerable to obtain an average bit error rate below 10‚àí3. ¬© 1992 The Institution of Electrical Engineers. All rights reserved.</t>
  </si>
  <si>
    <t>1625-1627</t>
  </si>
  <si>
    <t>60018163;60018163</t>
  </si>
  <si>
    <t>7006352592;6602874711</t>
  </si>
  <si>
    <t>Schultes, G.;Crohn, I.</t>
  </si>
  <si>
    <t>Technische Universit√§t Wien</t>
  </si>
  <si>
    <t>Schultes G.</t>
  </si>
  <si>
    <t>Measured performance of dect transmission in low dispersive indoor radio channel</t>
  </si>
  <si>
    <t>10.1049/el:19921034</t>
  </si>
  <si>
    <t>2-s2.0-0026910889</t>
  </si>
  <si>
    <t>['¬© 1992', 'primary processes', 'present understanding', 'photosystem ii', 'isolated d1', 'higher plants', 'energy transfer', 'energy migration', 'discussion focuses', 'charge recombination']</t>
  </si>
  <si>
    <t>photosystem II. | Picosecond fluorescence spectroscopy | reaction centre | singlet excited state</t>
  </si>
  <si>
    <t>Our present understanding of the energy migration and trapping in the photosystems of higher plants is highlighted, summarizing recent results from picosecond fluorescence spectroscopy. The discussion focuses on three main topics: (i) the problem of deciding between trap- vs. diffusion-limited exciton kinetics in photosystem I antenna-reaction centre particles; (ii) the manifestation of heterogeneity for photosystem II in terms of molecular rate constants for the primary processes; (iii) the processes of energy transfer, primary charge separation and charge recombination in isolated D1-D2-cytochrome-b559 reaction centre preparations from photosystem II. ¬© 1992.</t>
  </si>
  <si>
    <t>45-62</t>
  </si>
  <si>
    <t>60072285;60072285</t>
  </si>
  <si>
    <t>35501122300;55885753800</t>
  </si>
  <si>
    <t>Holzwarth, Alfred R.;Roelofs, Theo A.</t>
  </si>
  <si>
    <t>Recent advances in the understanding of chlorophyll excited state dynamics in thylakoid membranes and isolated reaction centre complexes</t>
  </si>
  <si>
    <t>101113449287005T</t>
  </si>
  <si>
    <t>10.1016/1011-1344(92)87005-T</t>
  </si>
  <si>
    <t>2-s2.0-0026640015</t>
  </si>
  <si>
    <t>['¬© 1992', 'temperature emission', 'spectroscopic characteristics', 'reaction centers', 'ps ii', 'plastoquinone pool', 'photosystem ii', 'induction kinetics', 'heterogeneity displayed', 'fundamental properties', 'electron flow', 'effective tools', 'chlorophyll molecules', 'chlorophyll fluorescence', 'antenna composition', 'although numerous']</t>
  </si>
  <si>
    <t>Chlorophyll a fluorescence, photosystem II heterogeneity, active and inactive photosystem II reaction centers, PS IIŒ± and PS IIŒ≤, Q -reducing and non-reducing centers B | quinones (spinach thylakoid).</t>
  </si>
  <si>
    <t>This paper summarizes recent fluorescence investigations which probe the heterogeneity displayed by photosystem II (PS II) reaction centers. Those studies which reveal PS II functional and structural heterogeneity using chlorophyll fluorescence transients and steady state intensities are highlighted. Chlorophyll fluorescence measurements are especially well suited for revealing the existence of heterogeneity within PS II reaction centers in terms of both their antenna composition and their efficiency of electron flow to the plastoquinone pool. The spectroscopic characteristics of chlorophyll fluorescence - in particular, the intensity and induction kinetics of the steady state room-temperature emission - reflect the fundamental properties of the chlorophyll molecules and their environment. Although numerous other effective tools for the elucidation of PS II heterogeneity are available, this discussion is limited to considerations of the de-excitation of electronically excited chlorophyll molecules via fluorescence emission as an indicator of PS II organization and function. ¬© 1992.</t>
  </si>
  <si>
    <t>Karukstis, Kerry K.</t>
  </si>
  <si>
    <t>Claremont</t>
  </si>
  <si>
    <t>Harvey Mudd College</t>
  </si>
  <si>
    <t>Karukstis K.</t>
  </si>
  <si>
    <t>Chlorophyll fluorescence analyses of photosystem II reaction center heterogeneity</t>
  </si>
  <si>
    <t>101113449287006U</t>
  </si>
  <si>
    <t>10.1016/1011-1344(92)87006-U</t>
  </si>
  <si>
    <t>2-s2.0-0026644204</t>
  </si>
  <si>
    <t>['¬© 1992', 'various temperatures', 'temperature dependence', 'spectral inhomogeneity', 'singlet annihilation', 'room temperature', 'reaction centres', 'quantum yield', 'paper addresses', 'low temperature', 'lattice spacing', 'kinetic measurements', 'harvesting antenna', 'experimental data', 'energy trapping', 'becomes important', 'approximately 1', '8 times', '4 k']</t>
  </si>
  <si>
    <t>excitation migration | light-harvesting antenna | Photosynthesis | Rhodospirillum rubrum | spectral and spatial inhomogeneity | trapping.</t>
  </si>
  <si>
    <t>This paper addresses the temperature dependence of the rate and quantum yield of energy trapping by reaction centres (RCs) in the purple bacterium Rhodospirillum rubrum. A simple kinetic model is presented which takes into account the spectral inhomogeneity of the light-harvesting antenna. The description of the excitation decay kinetics at room temperature, using the excitation migration rate extracted from the singlet-singlet annihilation, indicates that the distance between the RC and the antenna is approximately 1.8 times the lattice spacing of the antenna (assuming a square lattice model). The spectral inhomogeneity of the light-harvesting antenna, as shown by the experimental data, becomes important only at low temperature (less than 100 K). The present model enables us to explain the kinetic measurements at various temperatures (300-4 K) and various initial states of the RCs and is consistent with the results from singlet-singlet annihilation measurements. ¬© 1992.</t>
  </si>
  <si>
    <t>159-170</t>
  </si>
  <si>
    <t>60044940;60008734;60008734</t>
  </si>
  <si>
    <t>7003564034;7003691142;35599806700</t>
  </si>
  <si>
    <t>Valkunas, Leonas;van Mourik, Frank;van Grondelle, Rienk</t>
  </si>
  <si>
    <t>Lithuania;Netherlands</t>
  </si>
  <si>
    <t>Vilnius;Amsterdam</t>
  </si>
  <si>
    <t>Lithuanian Academy of Sciences;Vrije Universiteit Amsterdam</t>
  </si>
  <si>
    <t>60044940;60008734</t>
  </si>
  <si>
    <t>Valkunas L.</t>
  </si>
  <si>
    <t>On the role of spectral and spatial antenna inhomogeneity in the process of excitation energy trapping in photosynthesis</t>
  </si>
  <si>
    <t>101113449287013Y</t>
  </si>
  <si>
    <t>10.1016/1011-1344(92)87013-Y</t>
  </si>
  <si>
    <t>2-s2.0-0026687848</t>
  </si>
  <si>
    <t>Deutsche Forschungsgemeinschaft</t>
  </si>
  <si>
    <t>['œ ±', '¬© 1992', 'violobilin chromophore', 'type chromophore', 'subsequently recombined', 'reversible reduction', 'reduced chromophores', 'recombination led', 'quaternary structure', 'produce reaggregation', 'pc near', 'modified chromophores', 'modifications consisted', 'mercurial p', 'mastigocladus laminosus', 'induced reaggregation', 'heterohexamer destabilization', 'bilin chromophores', 'approximately 0', 'also responsible', 'aggregate destabilization', 'aerobic conditions', '753 ).', '4 nm', '350 nm', '283 ),']</t>
  </si>
  <si>
    <t>antenna | biliprotein | borohydride. | chromophore modification | energy transfer | Mastigocladus laminosus | photobleaching | Photosynthesis | phycobilisome | phycocyanin | phycoerythrocyanin</t>
  </si>
  <si>
    <t>The bilin chromophores of the Œ± or Œ≤ subunit of C-phycocyanin (PC) from Mastigocladus laminosus were modified, and subsequently recombined with the respective complementary unmodified chromophores. The modifications consisted of photobleaching (350 nm) or reversible reduction of the verdin- to rubin-type chromophore(s). Recombination led to heterodimers (Œ±Œ≤)1, but the heterohexameric aggregation state (Œ±Œ≤)3 could not be obtained with the modified chromophores. Autoxidation of the reduced Œ±-84 chromophore in such a hybrid, which occurred on standing under aerobic conditions, induced reaggregation to heterohexamers. Chemical re-oxidation of the reduced chromophores did not produce reaggregation, and it was not promoted by a 22 kDa linker peptide fragment (Gottschalk et al., Photochem. Photobiol., 54 (1991) 283), which in unmodified samples stabilized heterohexameric aggregates. Binding of the mercurial p-chloromercury-benzenesulphonate to the single free cysteine of PC near (approximately 0.4 nm) the Œ≤-84 chromophore had only a moderately destabilizing effect on the heterohexamer (Œ±Œ≤)3. It was concluded that the intact chromophore structure is an important factor determining the quaternary structure of biliproteins. The tendency of heterohexamer destabilization is related to the situation in phycoerythrocyanin, where photoisomerization of the violobilin chromophore of the Œ± subunit near the heterodimer-heterodimer contact region is also responsible for aggregate destabilization (Siebzehnr√ºbl et al., Photochem. Photobiol., 46 (1989) 753). ¬© 1992.</t>
  </si>
  <si>
    <t>91-103</t>
  </si>
  <si>
    <t>60028717;60028717</t>
  </si>
  <si>
    <t>55458487300;57216047370</t>
  </si>
  <si>
    <t>Fischer, R.;Scheer, H.</t>
  </si>
  <si>
    <t>Ludwig-Maximilians-Universit√§t M√ºnchen</t>
  </si>
  <si>
    <t>Fischer R.</t>
  </si>
  <si>
    <t>Dissociating effect of chromophore modifications on C-phycocyanin heterohexamers</t>
  </si>
  <si>
    <t>101113449287008W</t>
  </si>
  <si>
    <t>10.1016/1011-1344(92)87008-W</t>
  </si>
  <si>
    <t>2-s2.0-0026743985</t>
  </si>
  <si>
    <t>31-25179.88</t>
  </si>
  <si>
    <t>['œ ±-', '¬© 1992', 'three families', 'terminal domain', 'structural similarities', 'structural basis', 'strict organization', 'specific types', 'specific clusters', 'rhodospirillaneae indicates', 'purple bacteria', 'possible arrangements', 'polypeptide interactions', 'pigment molecules', 'peripheral light', 'multiple forms', 'important structural', 'hierarchical organization', 'harvesting polypeptides', 'harvesting complexes', 'good evidence', 'functional features', 'equally important', 'entire antenna', 'domain structure', 'dimensional structure', 'cyclic arrangements', 'bchl cluster', 'basic units', 'antenna systems', 'antenna system', 'antenna polypeptides', 'antenna complexes']</t>
  </si>
  <si>
    <t>antenna polypeptide heterodimer | antenna types | aromatic amino acids | cyclic hexamers | pigment cluster | Pigment populations | primary structure antenna model | structure-spectrum relations | Œ± /Œ≤  basic units. 2 2</t>
  </si>
  <si>
    <t>Comparative primary structural analysis of polypeptides from antenna complexes from species of the three families of Rhodospirillaneae indicates the structural principles responsible for the formation of spectrally distinct light-harvesting complexes. In many of the characterized antenna systems the basic structural minimal unit is an Œ±/Œ≤ polypeptide pair. Specific clusters of amino acid residues, in particular aromatic residues in the C-terminal domain, identify the antenna polypeptides to specific types of antenna systems, such as B880 (strong circular dichroism (CD)), B870 (weak CD), B800-850 (high), B800-850 (low) or B800-820. The core complex B880 (B1020) of species from Ectothiorhodospiraceae and Chromatiaceae apparently consists of four (Œ±1Œ±2Œ≤1Œ≤2 ) or three (2Œ±Œ≤1Œ≤2) chemically dissimilar antenna polypeptides respectively. There is good evidence that the so-called variable antenna complexes, such as the B800-850 (high), B800-850 (low) or B800-820 of Rp. acidophila, Rp. palustris and Cr. vinosum, are comprised of multiple forms of peripheral light-harvesting polypeptides. Structural similarities between prokaryotic and eukaryotic antenna polypeptides are discussed in terms of similar pigment organization. The structural basis for the strict organization of pigment molecules (bacteriochlorophyll (BChl) cluster) in the antenna system of purple bacteria is the hierarchical organization of the Œ±- and Œ≤-antenna polypeptides within and between the antenna complexes. On the basis of the three-domain structure of the antenna polypeptides with the central hydrophobic domain, forming a transmembrane Œ± helix, possible arrangements of the antenna polypeptides in the three-dimensional structure of core and peripheral antenna complexes are discussed. Important structural and functional features of these polypeptides and therefore of the BChl cluster are the Œ±/Œ≤ heterodimers, the Œ±2,Œ≤2 basic units and cyclic arrangements of these basic units. Equally important for the formation of the antenna complexes or the entire antenna are polypeptide-polypeptide, pigment-pigment and pigment-polypeptide interactions. ¬© 1992.</t>
  </si>
  <si>
    <t>113-140</t>
  </si>
  <si>
    <t>60025858;60025858</t>
  </si>
  <si>
    <t>6603669964;7006345218</t>
  </si>
  <si>
    <t>Brunisholz, Ren√© A.;Zuber, Herbert</t>
  </si>
  <si>
    <t>Brunisholz R.</t>
  </si>
  <si>
    <t>Structure, function and organization of antenna polypeptides and antenna complexes from the three families of Rhodospirillaneae</t>
  </si>
  <si>
    <t>10.1016/1011-1344(92)87010-7</t>
  </si>
  <si>
    <t>2-s2.0-0026754595</t>
  </si>
  <si>
    <t>['¬© 1992', 'trapping appears', 'tightly coupled', 'room temperature', 'results show', 'relatively slow', 'reaction centre', 'pigments occurs', 'much faster', 'highly heterogeneous', 'harvesting antenna', 'energy transfer', 'energy pigments', 'energy migrates', 'bchl b', 'approximately described', '77 k', '60 ps', '1 ps']</t>
  </si>
  <si>
    <t>Bacteriochlorophyll | energy transfer | purple bacteria | reaction centre.</t>
  </si>
  <si>
    <t>Using IR transient absorption spectroscopy we have studied how energy migrates through the light-harvesting antenna of photosynthetic purple bacteria, and how the energy is trapped by the reaction centre. In bacteriochlorophyll (Bchl) a-containing purple bacteria the light-harvesting antenna is highly heterogeneous, consisting of several spectroscopically distinct pigments. Energy transfer between these pigments occurs on several different time scales. The overall trapping time at room temperature is about 60 ps, while energy transfer from the high-energy to the low-energy pigments of the light-harvesting antenna only takes approximately 10 ps (measured at 77 K). This implies that trapping is relatively slow, approximately 35 ps at 77 K, and probably not much faster at room temperature. Energy transfer between neighbouring Bchl molecules within a pigment-protein complex occurs on the 1 ps to subpicosecond time scale. For the Bchl b-containing purple bacterium Rhodopseudomonas viridis the results show that the antenna appears homogeneous at room temperature and 77 K, and that trapping appears to be very fast, and approximately described by a random-walk model using known spectral properties of the antenna and reaction centre also appear to be much more tightly coupled than in the Bchl a-containing purple bacteria. ¬© 1992.</t>
  </si>
  <si>
    <t>141-150</t>
  </si>
  <si>
    <t>60031040;60008734</t>
  </si>
  <si>
    <t>7006706612;35599806700</t>
  </si>
  <si>
    <t>Sundstr√∂m, Villy;van Grondelle, Rienk</t>
  </si>
  <si>
    <t>Sweden;Netherlands</t>
  </si>
  <si>
    <t>Umea;Amsterdam</t>
  </si>
  <si>
    <t>Ume√• Universitet;Vrije Universiteit Amsterdam</t>
  </si>
  <si>
    <t>Sundstr√∂m V.</t>
  </si>
  <si>
    <t>Ultrafast dynamics of excitation energy transfer and trapping in Bchl a and Bchl b-containing photosynthetic bacteria</t>
  </si>
  <si>
    <t>101113449287011W</t>
  </si>
  <si>
    <t>10.1016/1011-1344(92)87011-W</t>
  </si>
  <si>
    <t>2-s2.0-0026774309</t>
  </si>
  <si>
    <t>['¬© 1992', 'time seems', 'room temperature', 'photosynthetic systems', 'low temperatures', 'excitation lifetime', 'broader class', 'antenna complex', '4 k', '10 ps']</t>
  </si>
  <si>
    <t>chromatophores | fluorescence and its kinetics | light-harvesting antenna | photoexcitation energy transfer | Photosynthesis | pigment-protein complexes | Rhodospirillum rubrum. | spectral inhomogeneity | trapping and quenching</t>
  </si>
  <si>
    <t>Time- and spectrally-resolved picosecond fluorescence of light-harvesting antenna complexes B880, isolated from the membranes of the photosynthetic purple bacterium Rhodospirillum rubrum were studied over a wide temperature range from room temperature down to 4 K. At low temperatures, the kinetics are dependent on the fluorescence recording wavelength, analogous with the observation for chromatophores. The kinetics presumably reflect excitation transfer between different antenna complexes in the spectrally inhomogeneous antenna. An excitation lifetime in an antenna complex of the order of 10 ps, which is insensitive to temperature, was measured. This time seems to be characteristic of the "macroscopic" light excitation transfer in a broader class of photosynthetic systems. ¬© 1992.</t>
  </si>
  <si>
    <t>151-158</t>
  </si>
  <si>
    <t>7005109792;6701855945</t>
  </si>
  <si>
    <t>Freiberg, Arvi;Timpmann, K√µu</t>
  </si>
  <si>
    <t>Freiberg A.</t>
  </si>
  <si>
    <t>Picosecond fluorescence spectroscope of light-harvesting antenna complexes from Rhodospirillum rubrum in the 300-4 K temperature range. Comparison with the data on chromatophores</t>
  </si>
  <si>
    <t>101113449287012X</t>
  </si>
  <si>
    <t>10.1016/1011-1344(92)87012-X</t>
  </si>
  <si>
    <t>2-s2.0-0026774310</t>
  </si>
  <si>
    <t>DE-FG-85ER13388</t>
  </si>
  <si>
    <t>['¬© 1992', 'whole cells', 'spectral overlap', 'results interpreted', 'pelodictyon phaeoclathratiforme', 'overlap factors', 'isolated chlorosomes', 'gaussian curves', 'fluorescence spectra', 'energy transfer', 'containing bacteriochlorophyll', 'bacteriochlorophyll e', 'bacteriochlorophyll c', 'b795 calculated']</t>
  </si>
  <si>
    <t>antenna | bacteriochlorophyll | Chlorosome | energy transfer | green bacteria. | photosynthesis</t>
  </si>
  <si>
    <t>Energy transfer properties of whole cells and chlorosome antenna complexes isolated from the green sulfur bacteria Chlorobium limicola (containing bacteriochlorophyll c), Chlorobium vibrioforme (containing bacteriochlorophyll d) and Pelodictyon phaeoclathratiforme (containing bacteriochlorophyll e) were measured. The spectral overlap of the major chlorosome pigment (bacteriochlorophyll c, d or, e) with the bacteriochlorophyll a B795 chlorosome baseplate pigment is greatest for bacteriochlorophyll c and smallest for bacteriochlorophyll e. The absorbance and fluorescence spectra of isolated chlorosomes were measured, fitted to gaussian curves and the overlap factors with B795 calculated. Energy transfer times from the bacteriochlorophyll c, d or e to B795 were measured in whole cells and the results interpreted in terms of the F√∂rster theory of energy transfer. ¬© 1992.</t>
  </si>
  <si>
    <t>171-179</t>
  </si>
  <si>
    <t>6602911490;7005522646;57203046340</t>
  </si>
  <si>
    <t>Causgrove, Timothy P.;Brune, Daniel C.;Blankenship, Robert E.</t>
  </si>
  <si>
    <t>Causgrove T.P.</t>
  </si>
  <si>
    <t>F√∂rster energy transfer in chlorosomes of green photosynthetic bacteria</t>
  </si>
  <si>
    <t>101113449287014Z</t>
  </si>
  <si>
    <t>10.1016/1011-1344(92)87014-Z</t>
  </si>
  <si>
    <t>2-s2.0-0026774463</t>
  </si>
  <si>
    <t>['¬© 1992', 'volume msw', 'transmitting antenna', 'surface msw', 'principle one', 'paper reports', 'optical response', 'magnetostatic waves', 'limited sample', 'guided light', 'ggg waveguide', 'frequency response', 'ferrimagnetic film', 'experimental investigation', 'dimensional yig', 'collinear interaction', '6 ).']</t>
  </si>
  <si>
    <t>To increase the efficiency of the diffraction of optical waveguide modes by magnetostatic waves (MSW) and thus to improve the performance of the magnetooptical devices based on this principle one has to confine both waves in a limited sample of a ferrimagnetic film. This paper reports the results of the experimental investigation of the peculiarities of the collinear interaction of guided light with surface MSW in a three-dimensional YIG-GGG waveguide. While measuring the frequency response of the interaction we scanned the light beam across the film. This made it possible to identify the optical response of different transverse modes of surface MSW (n=1, 2, 3, 4) and of volume MSW (n=6). To excite different numbers of transverse modes including antisymmetric ones we changed the orientation of the transmitting antenna with respect to the direction of the bias magnetic field. ¬© 1992.</t>
  </si>
  <si>
    <t>100922732;100922732;100922732</t>
  </si>
  <si>
    <t>6506659780;6701760439;7003602737</t>
  </si>
  <si>
    <t>Matyushev, V. V.;Stashkevich, A. A.;Lukyanov, A. I.</t>
  </si>
  <si>
    <t>Institute of Electrical Engineering</t>
  </si>
  <si>
    <t>Matyushev V.</t>
  </si>
  <si>
    <t>Interaction of optical waveguide modes with magnetostatic surface waves in tangentially magnetized finite samples</t>
  </si>
  <si>
    <t>003040189290213B</t>
  </si>
  <si>
    <t>10.1016/0030-4018(92)90213-B</t>
  </si>
  <si>
    <t>2-s2.0-0026901896</t>
  </si>
  <si>
    <t>['‚ àº1', 'œ ©', 'two experiments', 'simulate images', 'radiative cooling', 'lower limits', 'limits assume', 'hubble constant', 'hot gas', 'fluctuations produced', 'epoch x', 'different values', 'conservative assumptions', 'confidence levels', 'compton scattering', 'clusters ),', 'cluster evolution', 'changing h0', 'background photons', 'arcminute scales', 'antenna patterns', '75 km', '50 km', '1 mpc', '1 modifies', '1 ).']</t>
  </si>
  <si>
    <t>Cosmic microwave background | Cosmology: theory | Galaxies: clustering</t>
  </si>
  <si>
    <t>Lower limits on the cosmological density parameter Œ©, in the framework of self-similar cluster evolution, are derived from observed upper limits to the cosmic microwave background anisotropy on arcminute scales. We also consider models with no cluster evolution. Using the present-epoch X-ray cluster data, we simulate images of the cosmic microwave background radiation (CMBR) fluctuations produced by Compton scattering of the background photons with hot gas in clusters, under conservative assumptions about radiative cooling and the gas density profile. Simulated images calculated for different values of Œ© and for a range of spectra of primordial density fluctuations are convolved with the antenna patterns from two experiments and compared with observations. Combining the two experiments, the 95% confidence lower limit for Œ© is found to be ‚àº1/10 for a primordial fluctuation spectral index n = -1 (which approximates the CDM mass spectrum for clusters), while for n = 0 it is 1/7; and for n = +1 the limit is Œ© &gt; 1/5, if the gas density profile extends to 5 core radii. With the less conservative assumption that the gas density extends to 8 core radii, we derive lower limits on Œ© of 1/5, 1/3, and 0.6 (for n = -1, 0, and +1). These limits assume a Hubble constant of 50 km s-1 Mpc-1, but changing H0 from 50 to 75 km s-1 Mpc-1 modifies the confidence levels by only a few percent.</t>
  </si>
  <si>
    <t>326-338</t>
  </si>
  <si>
    <t>60020680-60017989;60020680-60024941;60020680;60020680;60017989</t>
  </si>
  <si>
    <t>57206562188;7003637799;7004932112;26037072800;7103289119</t>
  </si>
  <si>
    <t>Markevitch, M.;Blumenthal, G. R.;Forman, W.;Jones, C.;Sunyaev, R. A.</t>
  </si>
  <si>
    <t>United States;United States;Russian Federation</t>
  </si>
  <si>
    <t>Santa Cruz;Cambridge;Moscow</t>
  </si>
  <si>
    <t>University of California, Santa Cruz;Harvard-Smithsonian Center for Astrophysics;Space Research Institute of the Russian Academy of Sciences</t>
  </si>
  <si>
    <t>60024941;60020680;60017989</t>
  </si>
  <si>
    <t>Markevitch M.</t>
  </si>
  <si>
    <t>Arcminute fluctuations in the microwave background from clusters of galaxies</t>
  </si>
  <si>
    <t>10.1086/171655</t>
  </si>
  <si>
    <t>2-s2.0-0009757720</t>
  </si>
  <si>
    <t>['significantly disrupted', 'shifted 2', 'scale features', 'partially overlap', 'fcrao 14', 'events associated', 'co emission', '6 pc', '3 km', '12co j']</t>
  </si>
  <si>
    <t>ISM: bubbles | ISM: clouds | ISM: individual (Orion Nebula) | ISM: jets and outflows | ISM: kinematics and dynamics | ISM: molecules</t>
  </si>
  <si>
    <t>Images of the Orion A molecular cloud constructed from spectra of 12CO J = 1-0 emission observed with the FCRAO 14 m antenna are presented. An inspection of the kinematics of the Orion A cloud reveals several regions with large-scale expanding motions manifest by nearly circular emission features with radii 10‚Ä≤-26‚Ä≤ (1.0-2.6 pc) and secondary velocity components which are shifted 2-3 km s-1 from the ambient cloud velocity. The presence of these large-scale features, which partially overlap with each other in projection, suggests that the diffuse molecular component of the Orion A cloud as traced by CO emission has been significantly disrupted by events associated with the energetic star forming activity within its domain.</t>
  </si>
  <si>
    <t>2 PART 2</t>
  </si>
  <si>
    <t>60014313;60014313;60014313;60014313;60014313</t>
  </si>
  <si>
    <t>7004515774;55451280500;55663305800;7101697233;7102734848</t>
  </si>
  <si>
    <t>Heyer, M. H.;Morgan, J.;Schloerb, F. P.;Snell, R. L.;Goldsmith, P. F.</t>
  </si>
  <si>
    <t>Heyer M.H.</t>
  </si>
  <si>
    <t>Evidence for large-scale expanding motions within the Orion A molecular cloud</t>
  </si>
  <si>
    <t>10.1086/186497</t>
  </si>
  <si>
    <t>2-s2.0-0040920157</t>
  </si>
  <si>
    <t>['¬© 1992', 'rights reserved', 'microstrip antennas', 'feed structure', 'extracted directly', 'electrical engineers', 'coaxial probe']</t>
  </si>
  <si>
    <t>A simple transmission line feed model is presented for microstrip antennas in a two-sided structure coupling through a coaxial probe. The parameters of the model are extracted directly from the feed structure. The validity of the feed model combined with the recently developed transmission line model of microstrip antennas is verified by measurement. ¬© 1992, The Institution of Electrical Engineers. All rights reserved.</t>
  </si>
  <si>
    <t>1722-1724</t>
  </si>
  <si>
    <t>60025063;60025063;60025063;60025063</t>
  </si>
  <si>
    <t>54679304800;6602576643;7005721326;7003998197</t>
  </si>
  <si>
    <t>An, H.;Demuynck, F.;Nauwelaers, B.;van de Capelle, A.</t>
  </si>
  <si>
    <t>An H.</t>
  </si>
  <si>
    <t>Simple transmission line feed model for microstrip antennas in two-sided structure with coaxial probe coupling</t>
  </si>
  <si>
    <t>10.1049/el:19921095</t>
  </si>
  <si>
    <t>2-s2.0-0026907611</t>
  </si>
  <si>
    <t>['¬© 1992', 'sequential rotation', 'rights reserved', 'reduced crosspolarisation', 'larger sections', 'input vswr', 'electrical engineers', 'applying rotation', '10 db']</t>
  </si>
  <si>
    <t>Antenna arrays | Antenna radiation patterns | Antennas</t>
  </si>
  <si>
    <t>The use of sequential rotation in circularly polarised antenna arrays leads to reduced crosspolarisation and input VSWR but also gives rise to significant crosspolarised grating lobes. It is shown that these lobes can be reduced by applying rotation over larger sections of the array. Results are given for configurations where rotation is applied to 2 √ó 2 element subarrays and where rotation is applied over an 8 √ó 8 element subarray. Off-principal-plane crosspolarised lobes are reduced by up to 10 dB over conventional sequential rotation arrays with lobes of less than ‚àí29¬∑5 dB for an array with 4 dB element axial ratio. ¬© 1992 The Institution of Electrical Engineers. All rights reserved.</t>
  </si>
  <si>
    <t>1761-1763</t>
  </si>
  <si>
    <t>60009658;60030813</t>
  </si>
  <si>
    <t>57213425197;55495914500</t>
  </si>
  <si>
    <t>Hall, P. S.;Smith, M. S.</t>
  </si>
  <si>
    <t>Canada;United Kingdom</t>
  </si>
  <si>
    <t>Toronto;Swindon</t>
  </si>
  <si>
    <t>Nortel Networks;Defence College of Management and Technology</t>
  </si>
  <si>
    <t>60030813;60009658</t>
  </si>
  <si>
    <t>Sequentially rotated arrays with reduced sidelobe levels</t>
  </si>
  <si>
    <t>10.1049/el:19921121</t>
  </si>
  <si>
    <t>2-s2.0-0026909108</t>
  </si>
  <si>
    <t>['¬© 1992', 'rights reserved', 'particular antenna', 'modal components', 'impedance behaviour', 'fourier decomposed', 'excited field', 'electrical engineers']</t>
  </si>
  <si>
    <t>Antennas | Microstrip | Modelling</t>
  </si>
  <si>
    <t>A coaxially fed microstrip antenna is analysed by using the transmission line model. The excited field under the patch is Fourier decomposed into its modal components. The influence of the higher order modes on the impedance behaviour and far field patterns is shown and illustrated for a particular antenna. ¬© 1992, The Institution of Electrical Engineers. All rights reserved.</t>
  </si>
  <si>
    <t>1732-1734</t>
  </si>
  <si>
    <t>57194926301;7003998197</t>
  </si>
  <si>
    <t>Demuynck, E.;van de Capelle, A.</t>
  </si>
  <si>
    <t>Demuynck E.</t>
  </si>
  <si>
    <t>Higher order modes in microstrip antenna design via the transmission line model</t>
  </si>
  <si>
    <t>10.1049/el:19921101</t>
  </si>
  <si>
    <t>2-s2.0-0026909913</t>
  </si>
  <si>
    <t>R01GM030353</t>
  </si>
  <si>
    <t>['¬© 1992', 'trans carotenouds', 'systematic crossover', 'seven carbon', 's1 states', 's1 energies', 'previously thought', 'photosynthetic systems', 'photosynthetic antenna', 'longer carotenoids', 'long carotenoids', 'energy transfer', 'chlorophyll partners', 'antenna complexes', '21ag states']</t>
  </si>
  <si>
    <t>Carotenoid | Energy transfer | Excited state | Fluorescence | Light harvesting | Photosynthetic bacterium</t>
  </si>
  <si>
    <t>Four all-trans carotenouds, spheroidene, 3,4-dihydrospheroidene, 3,4,5,6-tetrahydrospheroidene, and 3,4,7,8-tetrahydrospheroidene, have been purified using HPLC techniques and analyzed using absorption, fluorescence excitation spectroscopy of room temperature solutions. This series of molecules, for which the extent of œÄ-electron conjugation decreases from 10 to seven carbon-carbon double bonds, exhibits a systematic crossover from S2 ‚Üí S0 (11Ba ‚Üí 11Ag) to S1 ‚Üí S0 (21Ag ‚Üí 11Ag) emission with decreasing chain length. Extrapolation of the S1 ‚Üí S0 transition energies indicates that the 21Ag states of longer carotenoids have considerably lower energies than previously thought. The energies of the S1 states of spheroidenes and other long carotenoids are correlated with the S1 energies of their chlorophyll partners in antenna complexes of photosynthetic systems. Implications for energy transfer in photosynthetic antenna are discussed. ¬© 1992.</t>
  </si>
  <si>
    <t>107-114</t>
  </si>
  <si>
    <t>60000144;60000144;60019816;60019816;60022659;60022659</t>
  </si>
  <si>
    <t>6507052804;7202426300;57202105869;7006085551;6603256372;7201842354</t>
  </si>
  <si>
    <t>DeCoster, Beverly;Christensen, Ronald L.;Gebhard, Ronald;Lugtenburg, Johan;Farhoosh, Roya;Frank, Harry A.</t>
  </si>
  <si>
    <t>United States;Netherlands;United States</t>
  </si>
  <si>
    <t>Storrs;Leiden;Brunswick</t>
  </si>
  <si>
    <t>University of Connecticut;Leiden University;Bowdoin College</t>
  </si>
  <si>
    <t>60022659;60019816;60000144</t>
  </si>
  <si>
    <t>DeCoster B.</t>
  </si>
  <si>
    <t>Low-lying electronic states of carotenoids</t>
  </si>
  <si>
    <t>000527289290070I</t>
  </si>
  <si>
    <t>10.1016/0005-2728(92)90070-I</t>
  </si>
  <si>
    <t>2-s2.0-0026808985</t>
  </si>
  <si>
    <t>['¬© 1992', 'scattering control', 'related subjects', 'high gain', 'future research', 'circuit antennae', 'also discussed']</t>
  </si>
  <si>
    <t>The applications of printed-circuit antennae on non-reciprocal magnetic thin films are discussed. Accurate circuit models based on a full-wave numerical analysis are described. These models are essential to the design of microwave- and millimeter-wave integrated circuits with ferrites. The advantages of using ferrite substrates in printed-circuit antennae including pattern shaping, scattering control and high gain, are highlighted. Future research on related subjects is also discussed. ¬© 1992.</t>
  </si>
  <si>
    <t>189-197</t>
  </si>
  <si>
    <t>Thin Solid Films</t>
  </si>
  <si>
    <t>100357905;60027550</t>
  </si>
  <si>
    <t>7406565241;7004468161</t>
  </si>
  <si>
    <t>Yang, Hung Yu;Alexopoulos, Nicolaos G.</t>
  </si>
  <si>
    <t>University of California, Los Angeles;Phraxos Research &amp; Dev Inc</t>
  </si>
  <si>
    <t>60027550;100357905</t>
  </si>
  <si>
    <t>Printed-circuit antennae on non-reciprocal magnetic thin films</t>
  </si>
  <si>
    <t>004060909290893G</t>
  </si>
  <si>
    <t>10.1016/0040-6090(92)90893-G</t>
  </si>
  <si>
    <t>2-s2.0-44049111032</t>
  </si>
  <si>
    <t>['waterproof paste', 'thus lateralization', 'stimulus velocity', 'small bag', 'significantly distinguished', 'rostrolateral stimulation', 'reversibly covering', 'reduced compared', 'pronounced directionality', 'procambarus clarkii', 'prey behind', 'mean sweep', 'juvenile crayfish', 'intensity dependence', 'important role', 'distance increase', 'directions differing', 'directional dependence', 'contralateral antenna', 'caudolateral stimulation', 'antennal sweeps', 'antennal response', '7 ).', '5b ).', '5a ).', '40 mm', '4 ).', '3 ).', '250 mm', '200 mm', '2 top', '2 bottom']</t>
  </si>
  <si>
    <t>Antenna | Crayfish | Hydrodynamic stimulus | Orientation | Tailfan</t>
  </si>
  <si>
    <t>Directionality and intensity dependence of antennal sweeps elicited by water jet stimulation of the tailfan in tethered, reversibly blinded adult and juvenile crayfish (Procambarus clarkii) were analyzed. Resting crayfish keep their antennae at about 50¬∞ symmetrically to the longitudinal body axis (Figs. 2 bottom, and 3). In adults, tailfan stimulation elicits synchronous backward sweeps of both antennae, which increase for more caudal stimulus directions (Figs. 2-4 and 5A). Directions differing by 30¬∞-60¬∞ are significantly distinguished (Fig. 4). The mean sweep of the ipsilateral antenna significantly overrides that of the contralateral antenna for rostrolateral stimulation at 40-200 mm/s stimulus velocity and lateral to caudolateral stimulation at 40 mm/s and thus lateralization of the stimulus is revealed (Figs. 2 top, 4 and 5A). Mean antennal sweeps at a given stimulus direction and distance increase with increasing stimulus velocity (40-250 mm/s, Fig. 5A). In juveniles, the directional dependence of antennal sweeps is reduced compared to that of adults, while a similar intensity dependence is found (Fig. 5B). The pronounced directionality of the antennal response in adult crayfish vanishes and response latencies increase after reversibly covering the tailfan with a small bag or the telson with waterproof paste (Figs. 6 and 7). Thus, tailfan and especially telson mechanoreceptors play an important role in the localization of water movements elicited by predators or prey behind the crayfish. ¬© 1992 Springer-Verlag.</t>
  </si>
  <si>
    <t>617-627</t>
  </si>
  <si>
    <t>Schmitz, Barbara</t>
  </si>
  <si>
    <t>Konstanz</t>
  </si>
  <si>
    <t>Universit√§t Konstanz</t>
  </si>
  <si>
    <t>Schmitz B.</t>
  </si>
  <si>
    <t>Directionality of antennal sweeps elicited by water jet stimulation of the tailfan in the crayfish Procambarus clarkii</t>
  </si>
  <si>
    <t>10.1007/BF00194109</t>
  </si>
  <si>
    <t>2-s2.0-0000151575</t>
  </si>
  <si>
    <t>['thresholds similar', 'specific blends', 'single best', 'shallower stimulus', 'second antenna', 'response function', 'receptor cells', 'organ level', 'mean threshold', 'lateral antennules', 'independent receptors', 'hyp function', 'hyp ).', 'homarus americanus', 'far dominated', 'equimolar mixture', 'different blends', 'cell type', 'best cells', 'antennae resembles', 'amino acids', '4 cells', '3 cells']</t>
  </si>
  <si>
    <t>Amino acids | Antenna | Chemoreceptor organs | Concentration dependent tuning | Lobster</t>
  </si>
  <si>
    <t>1. We determined the spectral tuning properties of 47 chemoreceptor cells of the antenna of Homarus americanus to amino acids and other compounds. Tests with 17 single compounds at 10-4M showed 40 of 47 cells responded best to hydroxyproline, 4 cells to taurine and 3 cells to betaine. Mean tuning breadth (H-metric) doubled with 10 fold increase in concentration. 2. In hydroxyproline-best cells the mean threshold for hydroxyproline (Hyp) was found between 10-7M and 10-8M. An equimolar mixture of the 17 compounds generated a shallower stimulus-response function with thresholds similar to Hyp function (mixture suppression). Hyp-best cells were relatively narrowly tuned, often with arginine or leucine as second best stimuli. 3. Thus, physiologically the second antenna of H. americanus is a major chemoreceptor organ. It is more than any of the 5 chemoreceptor organs studied so far dominated by a single best-cell type (Hyp). Receptor cell composition of antennae resembles that of antennules more than legs or maxillipeds. Hyp-best cells in antennae and lateral antennules have similar tuning spectra. 4. Our cell tuning studies argue for independent receptors for all amino acids tested. We conclude that diversity of receptor cell tuning is created by cell-specific blends of receptors. At the organ level, differences in organ tuning result from different blends of receptor cells. ¬© 1992 Springer-Verlag.</t>
  </si>
  <si>
    <t>673-683</t>
  </si>
  <si>
    <t>60009611;60009611</t>
  </si>
  <si>
    <t>7102357672;7004860580</t>
  </si>
  <si>
    <t>Voigt, Rainer;Atema, Jelle</t>
  </si>
  <si>
    <t>Voigt R.</t>
  </si>
  <si>
    <t>Tuning of chemoreceptor cells of the second antenna of the American lobster (Homarus americanus) with a comparison of four of its other chemoreceptor organs</t>
  </si>
  <si>
    <t>10.1007/BF00194115</t>
  </si>
  <si>
    <t>2-s2.0-0000970005</t>
  </si>
  <si>
    <t>['x chromosome', 'third chromosome', 'second tarsi', 'geotaxis effect', 'deletion analysis', 'biometrical analysis', 'band 89c', 'aristae amputated', 'antennal mutants']</t>
  </si>
  <si>
    <t>behavior genetics | biometrical analysis | deletion mapping | Drosophila | genetic analysis | ss a</t>
  </si>
  <si>
    <t>The homeotic mutation spineless-aristapedia (ssa) transforms the aristae into second tarsi. Flies with a SSa phenotype also show extremely positive geotaxis as measured in a Hirsch-type geotaxis maze. Other antennal mutants and flies with their aristae amputated do not show such extreme positive geotaxis. Deletion analysis has comapped the geotaxis effect with SSa in band 89C on the third chromosome. Finally, a biometrical analysis has detected additional genes on the X chromosome that also affects geotaxis. ¬© 1992 Plenum Publishing Corporation.</t>
  </si>
  <si>
    <t>557-573</t>
  </si>
  <si>
    <t>Behavior Genetics</t>
  </si>
  <si>
    <t>60119141;</t>
  </si>
  <si>
    <t>7101707094;7201541246</t>
  </si>
  <si>
    <t>McMillan, Paul A.;McGuire, Terry R.</t>
  </si>
  <si>
    <t>McMillan P.</t>
  </si>
  <si>
    <t>The homeotic gene spineless-aristapedia affects geotaxis in Drosophila melanogaster</t>
  </si>
  <si>
    <t>10.1007/BF01074308</t>
  </si>
  <si>
    <t>2-s2.0-0026775309</t>
  </si>
  <si>
    <t>['two p', 'three genes', 'strongly supports', 'similar way', 'rn gene', 'rn function', 'proper development', 'present study', 'least three', 'imaginal discs', 'identically organized', 'genital disc', 'fine characterization', 'female genitalia', 'domains along', 'distribution partitions', 'distal structure', 'distal region', 'central region', 'also show']</t>
  </si>
  <si>
    <t>Drosophila | Imaginal discs | Pattern formation | rotund</t>
  </si>
  <si>
    <t>In Drosophila imaginal discs, pattern formation requires the activity of three positional information systems, antero-posterior (A/P), dorso-ventral (D/V) and proximo-distal (P/D). Three genes, Decapentaplegic, Distal-less and rotund (rn), involved in pattern formation along the P/D axis have been characterized. The rn gene is required in a sub-distal region, localized at a similar position along the P/D axis in all appendages; it encodes two major transcripts, m1.7 and m5.3, both expressed in the central region of all the major imaginal discs. The present study of these transcripts in several rn mutant favours m5.3 as encoding rn morphogenetic function in the imaginal discs. The fine characterization of its distribution partitions all major imaginal discs in domains along the P/D axis. The ventral and dorsal discs appear to be similarly but not identically organized: two P/D domains are evident in the wing and haltere discs whilst the leg and antenna discs appear to be composed of at least three. We also show that m5.3 is sex-regulated in the genital disc and that rn function is required for proper development of a sub-distal structure of the female genitalia. This suggests that the primordia of the female genitalia may be organized in a similar way to the other imaginal discs, and strongly supports the hypothesis that rn function is specific to pattern formation along the P/D axis and that it may be involved in the establishment or maintenance of this pattern. ¬© 1992 Springer-Verlag.</t>
  </si>
  <si>
    <t>284-295</t>
  </si>
  <si>
    <t>1432041X</t>
  </si>
  <si>
    <t>0930035X</t>
  </si>
  <si>
    <t>Roux's Archives of Developmental Biology</t>
  </si>
  <si>
    <t>6602973811;6602792540;6602835968;6603188316</t>
  </si>
  <si>
    <t>Agnel, Magali;R√∂der, Laurence;Griffin-Shea, Ruth;Vola, Christine</t>
  </si>
  <si>
    <t>Agnel M.</t>
  </si>
  <si>
    <t>The spatial expression of Drosophila rotund gene reveals that the imaginal discs are organized in domains along the proximal-distal axis</t>
  </si>
  <si>
    <t>10.1007/BF00592109</t>
  </si>
  <si>
    <t>2-s2.0-0026783091</t>
  </si>
  <si>
    <t>['six subarrays', 'noise amplifier', 'enhanced efficiency', 'author reports', 'approximately 900x900mm']</t>
  </si>
  <si>
    <t>The author reports on the development of a planar antenna composed of triplate-feeder patch antenna elements for communication satellite reception. Approximately 1600 elements are used, and the aperture is approximately 900x900mm. The antenna is divided into six subarrays, each of which has a built-in low-noise amplifier (LNA) for enhanced efficiency of 60 % or better. The design of the antenna is described, together with its construction and performance.</t>
  </si>
  <si>
    <t>14-16</t>
  </si>
  <si>
    <t>Chatani, Yoshiyuki</t>
  </si>
  <si>
    <t>Chatani Y.</t>
  </si>
  <si>
    <t>Planar array receiving antenna for satellite communications</t>
  </si>
  <si>
    <t>2-s2.0-0026911928</t>
  </si>
  <si>
    <t>['surface error', 'radio telescopes', 'carefully assessed', 'boundary discontinuities', 'antennas comprised', '84œºm rms', '45m telescope']</t>
  </si>
  <si>
    <t>The use of radio holographic metrology to measure the surface error of antennas has received increasing interest for improving the performance of radio telescopes. The 45m telescope of the Nobeyama Radio Observatory was found to have a surface error of 150Œºm rms using this method. For those antennas comprised of panels, boundary discontinuities between panels can be a source of error, and should therefore be carefully assessed. A best-fit surface error analysis model that takes into account panel configuration was developed for this purpose. Surface panel adjustments based on this method successfully improved surface accuracy to 84Œºm rms.</t>
  </si>
  <si>
    <t>7003367274;7402182464</t>
  </si>
  <si>
    <t>Ukita, Nobuharu;Masuda, Masanori</t>
  </si>
  <si>
    <t>Ukita N.</t>
  </si>
  <si>
    <t>Radio holographic metrology used to evaluate surface accuracy of a 45m radio telescope</t>
  </si>
  <si>
    <t>2-s2.0-0026912012</t>
  </si>
  <si>
    <t>['techniques employed', 'study undertaken', 'shaped beams', 'shaped beam', 'reflection coefficient', 'reduced set', 'provide c', 'practical considerations', 'neighbouring islands', 'mutual coupling', 'mode horns', 'methods used', 'horn inputs', 'feed arrays', 'feed array', 'especial concern', 'continental usa', 'brief description', 'band communications', 'antenna geometry']</t>
  </si>
  <si>
    <t>Outcomes of a study undertaken by CSIRO on the six possible shaped beams for the Galaxy HS601C satellites are described. These satellites will provide C- and Ku-band communications to continental USA and neighbouring islands. Of especial concern in the study was the effect on performance of mutual coupling between the multi-mode horns in the feed arrays for the reflectors which generate the shaped beams. Mutual coupling influences the reflection coefficient at the horn inputs as well as the directivity of the shaped beam. After a brief description of the antenna geometry, methods used to analyse the antennas are outlined. Results are presented for possible antenna designs with and without mutual coupling in the feed array. We describe some techniques employed to optimize the array beamforming networks. Due to practical considerations it was possible to change only some of the beamforming network couplers and the impact of shaped beam design with a reduced set of couplers is discussed.</t>
  </si>
  <si>
    <t>267-273</t>
  </si>
  <si>
    <t>Journal of Electrical and Electronics Engineering, Australia</t>
  </si>
  <si>
    <t>60029470;60029470</t>
  </si>
  <si>
    <t>7202832083;6507611231</t>
  </si>
  <si>
    <t>Bird, T. S.;Sroka, C.</t>
  </si>
  <si>
    <t>Bird T.</t>
  </si>
  <si>
    <t>Design of the KU-band antennas for the Galaxy HS601C satellites</t>
  </si>
  <si>
    <t>2-s2.0-0026912064</t>
  </si>
  <si>
    <t>['well approximated', 'unexplained increase', 'uncertainty inherent', 'space boundary', 'small size', 'program nec', 'poor ground', 'one allows', 'occur due', 'modelling predictions', 'mismatch loss', 'highest frequencies', 'ground screen', 'ground properties', 'ground losses', 'generally consistent', 'free space', 'equivalent dipole', 'directive gain', 'constant value', 'commendably tolerant', 'apply outside', 'applications requiring', 'absolute gain', '8 mhz', '8 db', '26 mhz']</t>
  </si>
  <si>
    <t>We have investigated the gain of a broadband vertical monopole antenna employed in HF ground wave measurements. The concept of gain and basic transmission loss for an idealised vertical monopole located on a perfectly conducting half-space boundary have been reviewed. For more realistic lossy ground, the program NEC-GS has been used to model a short vertical monopole with ground screen in order to predict its mismatch loss and gain. The modelling predictions have been checked by measurements of different ground properties. We find that at frequencies between 8 and 26 MHz, the gain is well approximated by a constant value of 1.8 dB, as expected for the equivalent dipole in free space. Below 8 MHz, the NEC-GS program predicts that the gain is reduced by ground losses which occur due to the small size of the ground screen with respect to a wavelength. The measurements are generally consistent with these predictions, provided that one allows for the uncertainty inherent in the correction for mismatch loss. An unexplained increase in gain is measured at the highest frequencies for poor ground. It is recommended that the use of this antenna in applications requiring a knowledge of absolute gain be restricted to frequencies between 8 and 26 MHz, due to the uncertainties which apply outside this band. Within this band, both the impedance and the directive gain are commendably tolerant of variations in ground properties.</t>
  </si>
  <si>
    <t>290-299</t>
  </si>
  <si>
    <t>60026242;60026242</t>
  </si>
  <si>
    <t>15038478900;6603542641</t>
  </si>
  <si>
    <t>Thomas, R. M.;Haack, G. R.</t>
  </si>
  <si>
    <t>Salisbury</t>
  </si>
  <si>
    <t>Defence Science and Technology Laboratory</t>
  </si>
  <si>
    <t>Thomas R.</t>
  </si>
  <si>
    <t>Power gain of a vertical monopole antenna for ground wave propagation</t>
  </si>
  <si>
    <t>2-s2.0-0026912160</t>
  </si>
  <si>
    <t>['telemetry tracking', 'september 1989', 'scientific satellites', 'satellite control', 'rocket launch', 'data transmission', 'data acquisition', 'astronautical science']</t>
  </si>
  <si>
    <t>An S/X-band 20m antenna was delivered by Mitsubishi to the Institute of Space and Astronautical Science under Japan's Ministry of Education, Science and Culture. The antenna is used in the telemetry tracking and command of scientific satellites during rocket launch, as well as for satellite control, data acquisition and maintenance. It was installed at the Kagoshima Space Center in September 1989, and in 1990 was employed in the launching of the scientific research satellite 'Hiten,' whose mission was to enable precise orientation of planetary exploration orbits and for experiments on control and high-precision data transmission. In 1991, the solar flare observation satellite 'Youkou' was launched, at present the antenna is employed in the tracking, telemetry, command and data transmission of this satellite.</t>
  </si>
  <si>
    <t>100382458;100382458</t>
  </si>
  <si>
    <t>57215931048;6701467402</t>
  </si>
  <si>
    <t>Ichikawa, Mitsuru;Betsudan, Shin'ichi</t>
  </si>
  <si>
    <t>Inst of Space and Astronautical</t>
  </si>
  <si>
    <t>Ichikawa M.</t>
  </si>
  <si>
    <t>S/X-band 20m antenna for tracking scientific satellites</t>
  </si>
  <si>
    <t>2-s2.0-0026912312</t>
  </si>
  <si>
    <t>['striking development', 'mitsubishi electric', 'laboratories around', 'japanese research', 'field developed', 'field began', 'different applications']</t>
  </si>
  <si>
    <t>A half-century has passed since research began in the 1940s on phased-array antenna technology in laboratories around the world. Such antennas have come into widespread practical use in a number of different applications. Japanese research in this field began in the 1960s, making especially rapid progress in the last 15 years, spurred by the striking development of microwave semiconductor technology. This article describes technology in the field developed at Mitsubishi Electric.</t>
  </si>
  <si>
    <t>20-21</t>
  </si>
  <si>
    <t>101125417;101125417;101125417</t>
  </si>
  <si>
    <t>6508135487;7403079794;6602281424</t>
  </si>
  <si>
    <t>Orime, Nobutake;Satoh, Shin'ichi;Akaishi, Akira</t>
  </si>
  <si>
    <t>Microwave Systems Lab</t>
  </si>
  <si>
    <t>Orime N.</t>
  </si>
  <si>
    <t>Phased-array antenna technology</t>
  </si>
  <si>
    <t>2-s2.0-0026913110</t>
  </si>
  <si>
    <t>['time observations', 'telescope employs', 'systematic full', 'survey involves', 'speed drive', 'sky survey', 'protostar evolution', 'noise superconductor', 'night observations', 'interstellar gases', 'huge amount', 'gravitational contraction', 'efficient observations', 'critical step', 'also developed']</t>
  </si>
  <si>
    <t>The gravitational contraction of interstellar gases to form massive objects is a critical step in the protostar evolutionary process. The contraction is accompanied by strong radio emissions from carbon monoxide molecules at 115GHz. A systematic full-sky survey of these CO spectra would be useful in elucidating the mechanisms of protostar evolution. Since such a survey involves a huge amount of information, a dedicated 4m sky-survey telescope capable of rapid, efficient observations was developed. The telescope employs a stiff, lightweight carbon fiber reinforced plastic (CFRP) main reflector capable of high-speed drive, and suitable for both daylight and night observations. Also developed was a low-noise superconductor-insulator-superconductor (SIS) receiver. The system was constructed at the Nagoya University campus, and full-time observations are expected to begin in 1992.</t>
  </si>
  <si>
    <t>60000264;60000264</t>
  </si>
  <si>
    <t>55293583300;6603456245</t>
  </si>
  <si>
    <t>Fukui, Yasuo;Sakakibara, Osamu</t>
  </si>
  <si>
    <t>Nagoya University</t>
  </si>
  <si>
    <t>Fukui Y.</t>
  </si>
  <si>
    <t>4m Millimeter-wave radio telescope for Nagoya University</t>
  </si>
  <si>
    <t>2-s2.0-0026914547</t>
  </si>
  <si>
    <t>['superior cross', 'route congestion', 'reflector antennas', 'reducing inter', 'polarization interference', 'polarization characteristics', 'levels achievable', 'given rise', 'existing horn', 'excellent wide', 'electrical design', 'brief summary', 'article describes', '6ghz bands']</t>
  </si>
  <si>
    <t>The combination of route congestion and the switchover from analog to digital data transmission in terrestrial microwave relay links in the 4-6GHz bands has given rise to the need for antennas with excellent wide-angle radiation pattern and superior cross-polarization characteristics. The new antenna must be capable of reducing inter-route and polarization interference below the levels achievable by existing horn-reflector antennas. In response to this need, offset antennas composed of three reflecting mirrors were studied. This article describes the electrical design of the newly developed offset antennas, and provides a brief summary of trial fabrication results.</t>
  </si>
  <si>
    <t>8355553700;7004509347</t>
  </si>
  <si>
    <t>Yamada, Yoshihide;Furuno, Takayoshi</t>
  </si>
  <si>
    <t>Yamada Y.</t>
  </si>
  <si>
    <t>Tri-reflector offset antennas for terrestrial microwave relay links</t>
  </si>
  <si>
    <t>2-s2.0-0026914888</t>
  </si>
  <si>
    <t>['single null', 'quadratic inequality', 'numerical techniques', 'numerical examples', 'new method', 'great deal', 'computational complexity', 'circular array', 'certain constraints', 'array processor', 'approach taken']</t>
  </si>
  <si>
    <t>In this paper, a new method is presented for the formation of a single null in an otherwise omnidirectional pattern using a circular array which gives a great deal of controllability over the characteristics of the null. The approach taken in this paper is the constrained minimisation technique. The optimal weight vector of the array processor is obtained by minimising the mean square deviation between the response and the desired unity response over the entire 360¬∞ coverage, subject to certain constraints. Depending on the characteristics of the null under control, the constraints are either linear equality or quadratic inequality. In the case of quadratic inequality, numerical techniques are introduced to reduce the computational complexity. The features of the method are illustrated by numerical examples.</t>
  </si>
  <si>
    <t>318-322</t>
  </si>
  <si>
    <t>57191645263;7102842938</t>
  </si>
  <si>
    <t>Yang, X.;Er, M. H.</t>
  </si>
  <si>
    <t>Yang X.</t>
  </si>
  <si>
    <t>Formulation of a single controlled null in an omnidirectional pattern using a circular array</t>
  </si>
  <si>
    <t>2-s2.0-0026914905</t>
  </si>
  <si>
    <t>['transmitting beacon', 'tested successfully', 'sophisticated single', 'road transports', 'rescue guidance', 'received pass', 'radio transmitter', 'noise ratio', 'marketed commercially', 'locator beacon', 'erectable wide', 'band enhances', 'automatic windowing', 'application also', '2000 km', '16 mhz']</t>
  </si>
  <si>
    <t>A light-weight, compact, low-cost, low-power (10 W), high frequency (3-16 MHz) radio transmitter and easily-erectable wide-band (loop) antenna have been developed as a locator beacon for aircraft in distress, with application also to ships, road transports and individuals such as bush-walkers. Skyloc, a sophisticated single-station-location receiving system, marketed commercially, receives the transmitted signals via the ionosphere, identifies the transmitting beacon and computes its location; the system has been tested successfully at ranges up to 2000 km. Automatic windowing of the received pass-band enhances the signal-to-noise ratio. Significantly, the Department of Transport and Communications which has responsibility for search and rescue guidance, has three operational Skyloc systems near Perth, Darwin and Brisbane. The use of the transmitter is being extended to serve a second potential market as part of an HF data communication system.</t>
  </si>
  <si>
    <t>286-289</t>
  </si>
  <si>
    <t>7201955515;6508053109;6505636437</t>
  </si>
  <si>
    <t>Goodwin, G. L.;Jeffrey, Z. R.;Hichens, D. J.</t>
  </si>
  <si>
    <t>Goodwin G.</t>
  </si>
  <si>
    <t>High frequency radio location system</t>
  </si>
  <si>
    <t>2-s2.0-0026916626</t>
  </si>
  <si>
    <t>['various types', 'station facilities', 'single antenna', 'routing satellite', 'reliable ground', 'line availability', 'growing demand', 'ground stations', 'equipment suppliers', 'dynamic channel', 'beam 30', 'authors report', '20 ghz']</t>
  </si>
  <si>
    <t>With growing demand for satellite telecommunications services, equipment suppliers and purchasers are seeking more compact and reliable ground-station facilities. Various types of ground stations employ multibeam configurations in which a single antenna is used to access several geostationary satellites. Shared equipment reduces the cost of installation, and dual-satellite links insure much higher levels of line availability. The authors report on a dual-beam 30/20 GHz-band antenna used in ground stations for a dynamic channel-assigning and routing satellite-aided digital network (DYANET) service.</t>
  </si>
  <si>
    <t>7402411659;56327656300</t>
  </si>
  <si>
    <t>Hori, Toshikazu;Aoki, Katsuhiko</t>
  </si>
  <si>
    <t>Hori T.</t>
  </si>
  <si>
    <t>30/20GHz-band dual-beam antenna for NTT's DYANET system</t>
  </si>
  <si>
    <t>2-s2.0-0026917431</t>
  </si>
  <si>
    <t>['wall facing', 'transmitting antenna', 'test antennas', 'required quantities', 'reference values', 'recently made', 'probe distance', 'precisely determine', 'power radiowave', 'new family', 'mitsubishi electric', 'kamakura works', 'indoor testing', 'inclement weather', 'generally required', 'frequently subject', 'field measurements', 'external testing', 'computer technology', 'area 12', 'anechoic chamber', 'accuracy better', 'absorbing material', '8m high', '7m wide', '27m long', '16m wide', '16m high', '1 shows']</t>
  </si>
  <si>
    <t>Measuring antenna radiation patterns has generally required an outdoor test facility to allow ample separation between the transmitting and test antennas. Advances in computer technology have recently made it possible to determine radiation patterns using near-field measurements in an anechoic chamber. This is desirable because indoor testing can be conducted in inclement weather, and external testing is frequently subject to restriction by radio communication regulations. Fig. 1 shows an anechoic test chamber constructed at the Kamakura Works of Mitsubishi Electric, and Fig. 2 a scanner for near-field measurements. The chamber is designed for experiments at high power levels. It is large - 16m high, 16m wide and 27m long - and the wall facing the transmitting antenna is fitted with high-power radiowave-absorbing material. The scanner performs measurements over an area 12.7m wide and 8m high, and the probe distance can be set to an accuracy better than 0.24mm. Phased-array and deployable antennas designed for satellite use require new measurement techniques. This article describes several applications of a new family of methods that precisely determine the required quantities by numerical analysis without requiring extra equipment or reference values.</t>
  </si>
  <si>
    <t>22-24</t>
  </si>
  <si>
    <t>Katagi, Takashi</t>
  </si>
  <si>
    <t>Electro-Optics and Microwave Systems</t>
  </si>
  <si>
    <t>Katagi T.</t>
  </si>
  <si>
    <t>Antenna measurement and evaluation techniques</t>
  </si>
  <si>
    <t>2-s2.0-0026917712</t>
  </si>
  <si>
    <t>['synthesizing apparatus', 'optimal complexing', 'markov theory', 'data distribution', 'board two']</t>
  </si>
  <si>
    <t>The problem of synthesizing apparatus for complex signal processing in an on-board two-coordinate radio detection finder with a two-dimensional antenna array using methods of the Markov theory of optimal complexing and employing the principle of data distribution is solved.</t>
  </si>
  <si>
    <t>95-101</t>
  </si>
  <si>
    <t>Ochnev, A. V.</t>
  </si>
  <si>
    <t>Ochnev A.</t>
  </si>
  <si>
    <t>Complex data processing in two-coordinate radio direction-finders</t>
  </si>
  <si>
    <t>2-s2.0-0026918729</t>
  </si>
  <si>
    <t>['type radio', 'special construction', 'end wall', 'antenna measurements', 'absorbing material']</t>
  </si>
  <si>
    <t>A chamber for antenna measurements in which the angle of inclination of pyramids of scattering-type radio-absorbing material is controlled by a special construction of the end wall of the chamber, is considered.</t>
  </si>
  <si>
    <t>Rumyantsev, R. I.</t>
  </si>
  <si>
    <t>Rumyantsev R.</t>
  </si>
  <si>
    <t>Chamber for antenna measurements with a reduced level of reflections</t>
  </si>
  <si>
    <t>2-s2.0-0026918734</t>
  </si>
  <si>
    <t>['resonance frequency', 'input impedance', 'frequency dependencies', 'frame antennas', 'cylindrical body', 'conducting body', 'complex amplitudes']</t>
  </si>
  <si>
    <t>Algorithms for taking into account the interaction between frame antennas and the effect of the conducting body on which they are placed on the input impedance of the radiators are developed. The distributions of the complex amplitudes of the currents on the cylindrical body, the frequency dependencies of the input impedance, the shift of the resonance frequency, and the change in the Q-factor of the radiators in the 5-100 kHz band are obtained.</t>
  </si>
  <si>
    <t>126-131</t>
  </si>
  <si>
    <t>6701557645;6508025411</t>
  </si>
  <si>
    <t>Onishchenko, L. A.;Chubinskii, N. P.</t>
  </si>
  <si>
    <t>Onishchenko L.</t>
  </si>
  <si>
    <t>Input impedance of two frame antennas on a conducting cylinder</t>
  </si>
  <si>
    <t>2-s2.0-0026918743</t>
  </si>
  <si>
    <t>['difference converters']</t>
  </si>
  <si>
    <t>A method of analyzing the effect of the parameters of sum-difference converters on the accuracy of measurements of the angular coordinates made with a single-pulse direction finder is proposed.</t>
  </si>
  <si>
    <t>86-91</t>
  </si>
  <si>
    <t>Latinskiy, S. M.</t>
  </si>
  <si>
    <t>Latinskiy S.</t>
  </si>
  <si>
    <t>Analysis of the effect of the parameters of the sum-difference converter of a single-pulse direction finder on the accuracy of the angular coordinates of a target</t>
  </si>
  <si>
    <t>2-s2.0-0026918781</t>
  </si>
  <si>
    <t>['underlying surface', 'system carrier', 'sensing system', 'scale nonuniformities', 'receiving channels', 'problems involved', 'heat contrasts', 'given conditions', 'detecting small']</t>
  </si>
  <si>
    <t>The problems involved in constructing and organizing a scanning multibeam radiometer system for detecting small-scale nonuniformities from their radio-heat contrasts with the underlying surface are considered. Relations are obtained which enable the diameter of the antenna and the number of receiving channels in the remote-sensing system to be chosen for given conditions of the flight of the system carrier and the characteristics of the receiving radiometer channels.</t>
  </si>
  <si>
    <t>55-58</t>
  </si>
  <si>
    <t>6603199379;6602818677;57197513612</t>
  </si>
  <si>
    <t>Kalinkin, S. I.;Kudryashev, V. E.;Khomenko, E. V.</t>
  </si>
  <si>
    <t>Kalinkin S.</t>
  </si>
  <si>
    <t>Choice of the parameters of a multichannel radiometry system for detecting small-scale nonuniformities</t>
  </si>
  <si>
    <t>2-s2.0-0026921736</t>
  </si>
  <si>
    <t>['wave radiation', 'v behavior', 'room temperature', 'process technology', 'microstrip antenna']</t>
  </si>
  <si>
    <t>A resonant tunneling structure is used for the detection of mm-wave radiation. The double barrier Si/Si Ge layer sequence is grown by MBE on a patterned high resistivity silicon substrate. Employing a SIMMWIC (Silicon Monolithic Millimeter Wave IC) process technology a monolithically integrated chip including a microstrip antenna is realized. At room temperature no resonant tunneling feature but symmetric I-V behavior is observed and the chip can be used as zero bias detector at around 90 GHz.</t>
  </si>
  <si>
    <t>370-373</t>
  </si>
  <si>
    <t>AEU. Archiv fur Elektronik und Ubertragungstechnik</t>
  </si>
  <si>
    <t>7004589090;7003507147;7005637821;7006718227</t>
  </si>
  <si>
    <t>Luy, Johann F.;Strohm, Karl M.;Buchler, Josef;Harth, Wolfgang</t>
  </si>
  <si>
    <t>91 GHz Si/SiGe resonant tunneling detector</t>
  </si>
  <si>
    <t>2-s2.0-0026923302</t>
  </si>
  <si>
    <t>['useful hints', 'polar near', 'paper discloses', 'known aspects', 'first plane', 'expansion coefficients', 'convergency properties', 'bessel method', 'also investigated', 'accurate use']</t>
  </si>
  <si>
    <t>This paper discloses some of the less-known aspects of the one of the first plane-polar near-field to far-field transformation method. More specifically the convergency properties of the modified Jacobi polynomials in the near-field and the behaviour of the expansion in the far-field is studied. The influence of the near-field sampling point density on the accuracy of the expansion coefficients is also investigated. To conclude, some useful hints for an accurate use of the Jacobi-Bessel method are given.</t>
  </si>
  <si>
    <t>313-320</t>
  </si>
  <si>
    <t>6701321570;7401501734;57225224782;55954216700</t>
  </si>
  <si>
    <t>Van Lil, Emmanuel;Cao, Chen;Capelle, Antoine Van de;Klooster, Kees Van t.</t>
  </si>
  <si>
    <t>Van Lil E.</t>
  </si>
  <si>
    <t>Plane-polar near-field to far-field transformation with Jacobi-Bessel expansion</t>
  </si>
  <si>
    <t>2-s2.0-0026923694</t>
  </si>
  <si>
    <t>['zero gravity', 'unknown amplitude', 'undergoing large', 'stiffening effect', 'space stations', 'space applications', 'softening effect', 'simply supported', 'quadratic term', 'plane stretching', 'pinned beam', 'perturbation method', 'parabolic antennas', 'paper presents', 'multiple scales', 'motion used', 'mode oscillations', 'large slender', 'initially deflected', 'initial tension', 'hardening term', 'ground tests', 'gravitational loading', 'governing equation', 'fundamental frequency', 'extreme importance', 'end beams', 'end beam', 'depending upon', 'dead weight', 'dead load', 'cubic functions', 'critical problem', 'boundary conditions', 'bending moment', 'axial tension', 'axial displacements', 'assumption provides', 'approximate solution', 'amplitude symmetric', 'amplitude relationship', 'amplitude oscillations', '4 ].']</t>
  </si>
  <si>
    <t>Beam | gravity effect | method of multiple scales | nonlinear oscillations</t>
  </si>
  <si>
    <t>A critical problem in designing large structures for space applications, such as space stations and parabolic antennas, is the limitation of testing these structures and their substructures on earth. These structures will exhibit very high flexibilities due to the small loads expected to be encountered in orbit. It has been reported in the literature that the gravitational sag effect under dead weight is of extreme importance during ground tests of space-station structural components [1-4]. An investigation of a horizontal, pinned-pinned beam with complete axial restraint and undergoing large-amplitude oscillations about the statically deflected position is presented here. This paper presents a solution for the frequency-amplitude relationship of the nonlinear free oscillations of a horizontal, immovable-end beam under the influence of gravity. The governing equation of motion used for the analysis is the Bernoulli-Euler type modified to include the effects of mid-plane stretching and gravity. Boundary conditions are simply supported such that at both ends there is no bending moment and no transverse and axial displacements. These boundary conditions give rise to an initial tension in the statically deflected shape. The displacement function consists of an assumed space mode using a simple sine function and unknown amplitude which is a function of time. This assumption provides for satisfaction of the boundary conditions and leads to an ordinary differential equation which is nonlinear, containing both quadratic and cubic functions of the amplitude. The perturbation method of multiple scales is used to provide an approximate solution for the fundamental frequency-amplitude relationship. Since the beam is initially deflected the small-amplitude fundamental natural frequency always increases relative to the free vibration situation provided in zero gravity. The nonlinear equation provides for interactions between frequency and amplitude in that both hardening and softening effects arise. The coefficient of the quadratic term in the nonlinear equation arises from the static (dead load) portion of the deflection. This quadratic term, depending upon its magnitude, introduces a softening effect that overcomes the hardening term (due to initial axial tension developed by deflection) for large slenderness ratios. For very large slender, immovable-end beams, the fundamental natural frequency is greater than that of beams without axial constraints undergoing small amplitude oscillations. This phenomenon is attributed to the stiffening effect of the statically-induced axial tension. However, the stiffening effect of axial tension in beams with slenderness ratios greater than approximately 392 undergoing large-amplitude symmetric-mode oscillations is overpowered by the presence of gravitational loading. ¬© 1992 Kluwer Academic Publishers.</t>
  </si>
  <si>
    <t>365-373</t>
  </si>
  <si>
    <t>1573269X</t>
  </si>
  <si>
    <t>0924090X</t>
  </si>
  <si>
    <t>Nonlinear Dynamics</t>
  </si>
  <si>
    <t>60030931;60030931</t>
  </si>
  <si>
    <t>56250843100;7102722979</t>
  </si>
  <si>
    <t>Hughes, G. C.;Bert, C. W.</t>
  </si>
  <si>
    <t>Norman</t>
  </si>
  <si>
    <t>University of Oklahoma</t>
  </si>
  <si>
    <t>Hughes G.</t>
  </si>
  <si>
    <t>Effect of gravity on nonlinear oscillations of a horizontal, immovable-end beam</t>
  </si>
  <si>
    <t>10.1007/BF00045072</t>
  </si>
  <si>
    <t>2-s2.0-34249838442</t>
  </si>
  <si>
    <t>['spatial suppression', 'array excitation', 'analytic optimization']</t>
  </si>
  <si>
    <t>The spatial suppression of clutter is examined and analytic optimization of antenna-array excitation is performed. ¬© 1993 Plenum Publishing Corporation.</t>
  </si>
  <si>
    <t>Pluzhnikov, A. D.</t>
  </si>
  <si>
    <t>Pluzhnikov A.</t>
  </si>
  <si>
    <t>Space orthogonalization of signal and clutter at a high azimuthal scanning velocity</t>
  </si>
  <si>
    <t>10.1007/BF01044972</t>
  </si>
  <si>
    <t>2-s2.0-34249840558</t>
  </si>
  <si>
    <t>['‚ äô', '¬± 2', 'velocity profiles', 'taurus complex', 'tauri stars', 'taking account', 'solar nebulae', 'solar nebula', 'rotation axis', 'radio observations', 'radiative transfer', 'numerically calculated', 'numerical results', 'nro ).', 'lines emitted', 'inclination angle', 'gas dissipates', 'double peaks', 'co lines', 'antenna temperatures', 'ambient emission', '5 km', '15 k']</t>
  </si>
  <si>
    <t>ISM: molecules | Planets &amp; satellites: general | Solar system: formation | Stars: formation | Stars: pre-main sequence</t>
  </si>
  <si>
    <t>Velocity profiles of the 12CO (J = 1-0) and 13CO (J = 1-0) lines emitted from the solar nebula are numerically calculated by taking account of the radiative transfer of the lines. For the solar nebula we adopt the two theoretical models of a low-mass (‚àº0.01 M‚äô) nebula (i.e., Kyoto model) and a high-mass (‚àº1 M‚äô) nebula (i.e., Cameron model). It is shown that the calculated profiles typically have double peaks at the velocities of ¬± 2-5 km s-1, which are separable from ambient emission, and that the profiles vary greatly depending on the inclination angle between the rotation axis of the nebula and the line of sight. The peak flux densities of the profiles are converted into the antenna temperatures of 0.005 to 0.15 K for T Tauri stars in the Taurus complex (140 pc), if we use the 45 m telescope of the Nobeyama Radio Observatory (NRO). It is concluded from our numerical results that the gas of other solar nebulae with the radius of ‚àº 100 AU can be detected by radio observations of the CO lines until the gas dissipates.</t>
  </si>
  <si>
    <t>60028088;60028088;60000099</t>
  </si>
  <si>
    <t>6603810354;57202464337;43961182800</t>
  </si>
  <si>
    <t>Omodaka, Toshihiro;Kitamura, Yoshimi;Kawazoe, Eiko</t>
  </si>
  <si>
    <t>Kagoshima;Mito</t>
  </si>
  <si>
    <t>Kagoshima University;Ibaraki University</t>
  </si>
  <si>
    <t>60028088;60000099</t>
  </si>
  <si>
    <t>Omodaka T.</t>
  </si>
  <si>
    <t>On the detectability of the gas of other solar nebulae</t>
  </si>
  <si>
    <t>10.1086/186523</t>
  </si>
  <si>
    <t>2-s2.0-0008863267</t>
  </si>
  <si>
    <t>['¬© 1992', 'small number', 'rights reserved', 'passive antenna', 'extra gain', 'electrical engineers', 'active devices', '8 db']</t>
  </si>
  <si>
    <t>Active antennas | Microstrip | Microwave amplifiers | Transistors</t>
  </si>
  <si>
    <t>A packaged microwave bipolar transistor has been integrated directly onto a rectangular microstrip patch to obtain extra power gain and to reduce power losses. The radiating element geometry has been modified to incorporate the active devices. This active antenna uses a small number of components and takes the same place as a passive antenna. An extra gain of 8 dB is obtained at l¬∑68GHz. ¬© 1992 The Institution of Electrical Engineers. All rights reserved.</t>
  </si>
  <si>
    <t>1808-1810</t>
  </si>
  <si>
    <t>60110693;60110693;60110693</t>
  </si>
  <si>
    <t>7103125122;6603558105;7003385210</t>
  </si>
  <si>
    <t>Robert, B.;Razban, T.;Papiernik, A.</t>
  </si>
  <si>
    <t>Nice</t>
  </si>
  <si>
    <t>Universit√© C√¥te d'Azur</t>
  </si>
  <si>
    <t>Robert B.</t>
  </si>
  <si>
    <t>Compact amplifier integration in square patch antenna</t>
  </si>
  <si>
    <t>10.1049/el:19921153</t>
  </si>
  <si>
    <t>2-s2.0-0026924077</t>
  </si>
  <si>
    <t>['¬© 1992', 'rights reserved', 'port decoupling', 'experimental results', 'electrical engineers', 'crosspolarisation level']</t>
  </si>
  <si>
    <t>A new feeding technique is proposed for the dual polarised broadband aperture-coupled printed antenna, to optimise the port decoupling and crosspolarisation level. Experimental results are compared with those of a more classical feeding technique. ¬© 1992 The Institution of Electrical Engineers. All rights reserved.</t>
  </si>
  <si>
    <t>1785-1787</t>
  </si>
  <si>
    <t>6508155100;24722105800;7006272544</t>
  </si>
  <si>
    <t>Edimo, M.;Sharaiha, A.;Terret, C.</t>
  </si>
  <si>
    <t>Edimo M.</t>
  </si>
  <si>
    <t>Optimised feeding of dual polarised broadband aperture-coupled printed antenna</t>
  </si>
  <si>
    <t>10.1049/el:19921138</t>
  </si>
  <si>
    <t>2-s2.0-0026924168</t>
  </si>
  <si>
    <t>['¬© 1992', 'rights reserved', 'reduction process', 'numerical effort', 'final result', 'electrical engineers', 'coaxial probe', 'coaxial feed', 'analytical way', 'admittance contribution', 'account analytically']</t>
  </si>
  <si>
    <t>Antenna feeders | Electromagnetic field theory</t>
  </si>
  <si>
    <t>It is known that, using a reduction process, the admittance contribution of the higher order modes of the current on a coaxial probe can be calculated in an analytical way. In this Letter it is proven that, once the lower order modes are determined, they can also be taken into account analytically. The final result is that no numerical effort at all is needed to determine the admittance of the coaxial feed in terms of the probe current modes. ¬© 1992 The Institution of Electrical Engineers. All rights reserved.</t>
  </si>
  <si>
    <t>1780-1781</t>
  </si>
  <si>
    <t>Vandenbosch, G. A.E.;van de Capelle, A. R.</t>
  </si>
  <si>
    <t>Admittance of coaxial feed between two finite parallel conductors</t>
  </si>
  <si>
    <t>10.1049/el:19921135</t>
  </si>
  <si>
    <t>2-s2.0-0026925664</t>
  </si>
  <si>
    <t>['¬© 1992', 'waveguide simulator', 'wave analysis', 'verified using', 'theoretical model', 'rights reserved', 'infinite array', 'excellent agreement', 'electrical engineers', 'barrier diodes']</t>
  </si>
  <si>
    <t>Antenna arrays | Antennas | Diodes | Microstrip | Modelling | Schottky-barrier devices</t>
  </si>
  <si>
    <t>A full-wave analysis of an infinite array of probe-fed rectangular microstrip patches loaded with Schottky-barrier diodes is described. The theoretical model was verified using a waveguide simulator and excellent agreement was achieved. ¬© 1992 The Institution of Electrical Engineers. All rights reserved.</t>
  </si>
  <si>
    <t>1799-1801</t>
  </si>
  <si>
    <t>Waterhouse, R. B.</t>
  </si>
  <si>
    <t>Modelung of schottky-barrier diode loaded microstrip array elements</t>
  </si>
  <si>
    <t>10.1049/el:19921147</t>
  </si>
  <si>
    <t>2-s2.0-0026925936</t>
  </si>
  <si>
    <t>['¬© 1992', 'wide variety', 'successive projections', 'rights reserved', 'newton technique', 'electrical engineers', 'applications across']</t>
  </si>
  <si>
    <t>Antennas | Reflector antennas</t>
  </si>
  <si>
    <t>A power pattern synthesis technique for mesh reflector antennas using the method of successive projections is described. The technique is computationally more efficient than the quasi-Newton technique and has applications across a wide variety of antennas. ¬© 1992, The Institution of Electrical Engineers. All rights reserved.</t>
  </si>
  <si>
    <t>1837-1839</t>
  </si>
  <si>
    <t>60022109;60022109;60030000;60031004</t>
  </si>
  <si>
    <t>23062556900;7006192058;7003443054;7101875340</t>
  </si>
  <si>
    <t>Zhou, H.;Clarricoats, P. J.B.;Poulton, G. T.;Hay, S. G.</t>
  </si>
  <si>
    <t>Australia;Australia;United Kingdom</t>
  </si>
  <si>
    <t>Brisbane;Sydney;London</t>
  </si>
  <si>
    <t>The University of Queensland;CSIRO Industrial Physics;Queen Mary University of London</t>
  </si>
  <si>
    <t>60031004;60030000;60022109</t>
  </si>
  <si>
    <t>Zhou H.</t>
  </si>
  <si>
    <t>Power pattern synthesis for mesh reflectors using the method of successive projections</t>
  </si>
  <si>
    <t>10.1049/el:19921172</t>
  </si>
  <si>
    <t>2-s2.0-0026926501</t>
  </si>
  <si>
    <t>['¬© 1992', 'visible spectra']</t>
  </si>
  <si>
    <t>aggregation | bacteriochlorophyll | photosynthesis. | supramolecular structure | Zinc chlorin</t>
  </si>
  <si>
    <t>UV-visible spectra of synthetic zinc chlorins in non-polar organic solvents indicate a supramolecular structure similar to the aggregates of bacteriochlorophylls-c in the extramembranous antenna complexes of green photosynthetic bacteria. ¬© 1992.</t>
  </si>
  <si>
    <t>355-360</t>
  </si>
  <si>
    <t>7006346090;35501122300;7006711511</t>
  </si>
  <si>
    <t>Tamiaki, Hitoshi;Holzwarth, Alfred R.;Schaffner, Kurt</t>
  </si>
  <si>
    <t>Tamiaki H.</t>
  </si>
  <si>
    <t>A synthetic zinc chlorin aggregate as a model for the supramolecular antenna complexes in the chlorosomes of green bacteria</t>
  </si>
  <si>
    <t>101113449285141G</t>
  </si>
  <si>
    <t>10.1016/1011-1344(92)85141-G</t>
  </si>
  <si>
    <t>2-s2.0-0026714630</t>
  </si>
  <si>
    <t>['¬© 1992', 'symmetrically load', 'rights reserved', 'pull operation', 'power output', 'novel dual', 'electrical engineers', '47 mw']</t>
  </si>
  <si>
    <t>Active antennas | Antenna</t>
  </si>
  <si>
    <t>A novel dual-FET active patch antenna element for quasioptical power combining arrays is described. The circuit uses two FETs which symmetrically load a split patch antenna. The push-pull operation of the devices decreases H-plane crosspolarisation dramatically. A power output of 47 mW was achieved at 8¬∑1 GHz. ¬© 1992, The Institution of Electrical Engineers. All rights reserved.</t>
  </si>
  <si>
    <t>1853-1854</t>
  </si>
  <si>
    <t>55714833100;14822227800;7404879378</t>
  </si>
  <si>
    <t>Wu, X. D.;Leverich, K.;Chang, K.</t>
  </si>
  <si>
    <t>Wu X.</t>
  </si>
  <si>
    <t>Novel fet active patch antenna</t>
  </si>
  <si>
    <t>10.1049/el:19921185</t>
  </si>
  <si>
    <t>2-s2.0-0026925005</t>
  </si>
  <si>
    <t>['¬© 1992', 'wavelength chl', 'using one', 'unresolvably fast', 'triexponential analyses', 'taken together', 'stimulated emission', 'spectral forms', 'spectral equilibration', 'shifting due', 'qualitatively consistent', 'prompt photo', 'profiles yield', 'probe techniques', 'possibly due', 'photosystem ii', 'later times', 'intermediate wavelengths', 'ii trimers', 'equilibration among', 'energy transfer', 'dynamic red', 'color pump', 'color experiments', 'bipolar signal', '675 nm', '670 nm', '650 nm', '640 nm', '6 ps', '5 ps', '36 ps', '3 ps']</t>
  </si>
  <si>
    <t>Antenna | Chlorophyll | Light-harvesting complex | Photosystem II | Plant photosynthesis | Pump-probe spectroscopy | Ultralast spectroscopy</t>
  </si>
  <si>
    <t>Time-resolved absorption difference profiles were obtained for LHC-II trimers, isolated from Photosystem II in spinach with n-dodecyl Œ≤-d-maltoside, using one-color and two-color pump-probe techniques. The one-color isotropic signals are predominantly excited state absorption at 640 nm, and a combination of photobleaching and stimulated emission at wavelengths ‚â• 665 nm. At intermediate wavelengths, dynamic red-shifting due to downhill energy transfer among the chlorophyll (Chl) spectral forms produces a bipolar signal, in which prompt photo-bleaching/stimulated emission is superseded at later times by excited state absorption. Triexponential analyses of these profiles yield the lifetime components 2-6 ps (associated with the spectral shifting), 14-36 ps (possibly due to energy transfer between LHC-II monomers), and several hundred picoseconds. The one-color anisotropy decays are resolvable at 665-675 nm, with lifetimes of 4.3 to 6.3 ps. They are unresolvably fast (i.e., exhibit subpicosecond lifetimes) at 640-650 nm. The two-color isotropic absorption difference signals show clear spectral evolution arising from equilibration among the LHC-II spectral components for excitation wavelengths shorter than 670 nm. However, most of this spectral evolution occurs within less than 2.5 ps. No resolvable anisotropy decay was observed in the two-color experiments. Taken together, the one-color and two-color experiments indicate that both picosecond and subpicosecond energy transfer steps occur in this antenna. The faster processes appear to dominate the spectral equilibration; slower processes occur in isoenergetic energy transfers among the longer-wavelength Chl a spectral forms that absorb between 665 and 675 nm. The values of the long-time anisotropic r(x), measured in the one-color and two-color experiments, are qualitatively consistent with static linear dichroism spectra of these preparations. ¬© 1992.</t>
  </si>
  <si>
    <t>202-212</t>
  </si>
  <si>
    <t>60008734;60008023;60008023;60008734;60008734;60008023</t>
  </si>
  <si>
    <t>7003789415;7007181446;7407162691;7202457418;35599806700;57193129444</t>
  </si>
  <si>
    <t>Kwa, Stefan L.S.;van Amerongen, Herbert;Lin, Su;Dekker, Jan P.;van Grondelle, Rienk;Struve, Walter S.</t>
  </si>
  <si>
    <t>Ultrafast energy transfer in LHC-II trimers from the Chl a b light-harvesting antenna of Photosystem II</t>
  </si>
  <si>
    <t>10.1016/0005-2728(92)90101-7</t>
  </si>
  <si>
    <t>2-s2.0-0026646995</t>
  </si>
  <si>
    <t>SCI-0004</t>
  </si>
  <si>
    <t>['¬© 1992', 'using ionic', 'stronger compared', 'strong increase', 'sphaeroides indicated', 'rhodopsculomonas palustris', 'rhodobacter sphaeroides', 'reaction centers', 'octyl glucoside', 'lhii fluorescence', 'isolated complexes', 'ionic detergents', 'functional interaction', 'functional association', 'fluorescence spectroscopy', 'energy transfer', 'either one', 'easily disrupted', 'differed among', 'detergent sensitivity', 'core antenna', 'circular dichroism', 'bacteria investigated', 'antenna complexes', '77 k']</t>
  </si>
  <si>
    <t>(E. mobilis) | (Rb. sphacroides) | (Rps. palustris) | Detergent solubilization | Energy transfer | Light-harvesting antenna | Pigment-protein complex | Reaction center | Spectroscopy</t>
  </si>
  <si>
    <t>Reaction centers (RC's) with either one or both light-harvesting complexes attached (RC/LH1- or RC/LH1/LHII complexes), have been isolated from the photosynthetic purple bacteria Ectothiorhodospira mobilis, Rhodopsculomonas palustris and Rhodobacter sphaeroides, using ionic and non-ionic detergents. The isolated complexes were analyzed with respect to their physical and functional properties using low-temperature (77 K) absorption, circular dichroism and fluorescence spectroscopy. The stability of the association between the antenna complexes and the RC, and consequently the functional interaction of the RC/antenna complexes after isolation, differed among the bacteria investigated in this study, particularly with respect to detergent sensitivity. By using the non-ionic detergent octyl glucoside we were able to isolate functionally intact RC/antenna complexes from E. mobilis, while for the isolation of these complexes from Rps. palustris and Rb. sphaeroides the ionic detergent cholate had to be used. In the RC/antenna complexes from E. mobilis, the energy transfer between LHII and the core antenna was sensitive to detergents, as judged by an increase of the LHII fluorescence at 77 K. A strong increase in the LH1 and LHII fluorescence in RC/antenna complexes isolated with octyl glucoside from Rb. sphaeroides indicated that in this organism the functional interaction between both LHII and LH1, as well as between LH1 and the RC was easily disrupted. In Rps. palustris, the functional association between the antenna complexes and the RC was stronger compared to the other two investigated species. ¬© 1992.</t>
  </si>
  <si>
    <t>177-185</t>
  </si>
  <si>
    <t>60002483;60008734;60002483;60008734;60002483</t>
  </si>
  <si>
    <t>6507777239;7004878962;7003813456;35599806700;7006111539</t>
  </si>
  <si>
    <t>Leguijt, Tina;Visschers, Ronald W.;Crielaard, Wim;van Grondelle, Rienk;Hellingwerf, Klaas J.</t>
  </si>
  <si>
    <t>Amsterdam;Amsterdam</t>
  </si>
  <si>
    <t>Vrije Universiteit Amsterdam;Universiteit van Amsterdam</t>
  </si>
  <si>
    <t>60008734;60002483</t>
  </si>
  <si>
    <t>Leguijt T.</t>
  </si>
  <si>
    <t>Low-temperature fluorescence and absorption spectroscopy of reaction center/antenna complexes from Ectothiorhodospira mobilis, Rhodopseudomonas palustris and Rhodobacter sphaeroides</t>
  </si>
  <si>
    <t>000527289290098M</t>
  </si>
  <si>
    <t>10.1016/0005-2728(92)90098-M</t>
  </si>
  <si>
    <t>2-s2.0-0026697549</t>
  </si>
  <si>
    <t>['¬© 1992', 'trapping process', 'thylakoid membranes', 'stationary fluorescence', 'splitting side', 'remains constant', 'proton transition', 'ph 6', 'oxidized qa', 'overall quenching', 'mainly contribute', 'low ph', 'little affected', 'internal acidification', 'high irradiance', 'fluorescence recovered', 'excitation energy', 'e donation', 'charge recombination', 'artificial e', 'apparent pk', '680 +.', '6 ns', '500 ps', '5 ns', '5 ),', '30 ps']</t>
  </si>
  <si>
    <t>Charge recombination | Chlorophyll a fluorescence lifetime | Fluorescence quenching | Photosynthesis | Photosystem II | Proton gradient</t>
  </si>
  <si>
    <t>Quenching of chlorophyll a fluorescence by low pH ('high-energy quenching') has been characterized by stationary fluorescence and time-resolved fluorescence decay in thylakoid membranes and photosystem PS II preparations. Fluorescence is quenched when the pH on the lumen-side of PS II decreases below 5.5. It is likely to involve an one-proton transition (apparent pK = 4.5-4.8) and quenching is accompanied by an inactivation of the photosynthetic oxygen evolution. The overall quenching is due to a decline in the two nanosecond fluorescence decay components (œÑ = 1.6 ns and 5 ns at pH 6.5), which mainly contribute to the stationary fluorescence in the presence of the reduced acceptor QA. Two picosecond components (œÑ = 30 ps and 500 ps at pH 6.5) are little affected by low pH and the stationary Fu--fluorescence (with oxidized QA) remains constant. When artificial e- donors were added at low pH, the fluorescence recovered, suggesting that quenching is caused by inhibition of e donation from the water-splitting side. There is no indication that the transfer of excitation energy from the antennae to centers or the trapping process itself is disturbed by internal acidification. We propose that, at centers with an inactive donor side, excitation-energy is 'quenched' by charge recombination between QA and P-680+. Under physiological conditions quenching induced by a high ŒîpH may serve to dissipate excess excitation-energy and to keep QA oxidized, even at high irradiance. ¬© 1992.</t>
  </si>
  <si>
    <t>167-176</t>
  </si>
  <si>
    <t>60025310;60106017;60000401</t>
  </si>
  <si>
    <t>7102388158;7003638379;7004274316</t>
  </si>
  <si>
    <t>Krieger, A.;Moya, I.;Weis, E.</t>
  </si>
  <si>
    <t>France;Germany;Germany</t>
  </si>
  <si>
    <t>Saint-Aubin;Dusseldorf;Munster</t>
  </si>
  <si>
    <t>Universite Paris-Saclay;Heinrich-Heine-Universit√§t D√ºsseldorf;Westf√§lische Wilhelms-Universit√§t M√ºnster</t>
  </si>
  <si>
    <t>60106017;60025310;60000401</t>
  </si>
  <si>
    <t>Krieger A.</t>
  </si>
  <si>
    <t>Energy-dependent quenching of chlorophyll a fluorescence: effect of pH on stationary fluorescence and picosecond-relaxation kinetics in thylakoid membranes and Photosystem II preparations</t>
  </si>
  <si>
    <t>000527289290097L</t>
  </si>
  <si>
    <t>10.1016/0005-2728(92)90097-L</t>
  </si>
  <si>
    <t>2-s2.0-0026757544</t>
  </si>
  <si>
    <t>['¬© 1992', 'zwittergent 14', 'separated antennae', 'protein complexes', 'prochlorothrix hollandica', 'photosystem ii', 'higher plant', 'gel electrophoresis', 'functional positioning', 'fractions enriched', 'fluorescence spectroscopy', 'b ratio', 'b antennae', 'antennae contain', '36 kda']</t>
  </si>
  <si>
    <t>(Oxychlorobacteria) | (P. hollandica) | (Prochlorophytes) | Chlorophyll b | Light-harvesting complex | Photosystem I | Photosystem II</t>
  </si>
  <si>
    <t>Photosystem I and Photosystem II plus associated chlorophyll a b-protein complexes were isolated from washed thylakoid membranes of the oxychlorobacterium (prochlorophyte) Prochlorothrix hollandica. Separation was achieved by solubilization with Zwittergent 14 and sucrose gradient centrifugation. Characterization involved non-denaturing and SDS- gel electrophoresis, immunodecoration, pigment content estimation by HPLC and analysis by absorbance and fluorescence spectroscopy. The data obtained indicate a functional positioning of the chlorophyll a b antennae in the vicinity of Photosystem II. Fractions enriched in these antennae contain at least four polypeptides, of 28 to 30, 32, 34 and 36 kDa. The chlorophyll a to b ratio of the separated antennae was estimated to be about 4. As opposed to higher plant and green algal chloroplasts, Photosystem I of Prochlorothrix does not appear to have its own separate chlorophyll b containing antenna. ¬© 1992.</t>
  </si>
  <si>
    <t>220-228</t>
  </si>
  <si>
    <t>60002483;60002483;60002483;60008734;60002483</t>
  </si>
  <si>
    <t>6603448285;24315835500;6507142165;7003691142;7004127941</t>
  </si>
  <si>
    <t>van der Staay, Georg W.M.;Brouwer, Annet;Baard, Robert L.;van Mourik, Frank;Matthijs, Hans C.P.</t>
  </si>
  <si>
    <t>van der Staay G.</t>
  </si>
  <si>
    <t>Separation of Photosystems I and II from the oxychlorobacterium (prochlorophyte) Prochlorothrix hollandica and association of chlorophyll b binding antennae with Photosystem II</t>
  </si>
  <si>
    <t>10.1016/0005-2728(92)90103-9</t>
  </si>
  <si>
    <t>2-s2.0-0026760842</t>
  </si>
  <si>
    <t>['œît ),', 'two types', 'temperature decrease', 'state activity', 'state activities', 'periplaneta americana', 'one type', 'olfactory sensilla', 'olfactory receptors', 'negatively related', 'moist receptor', 'little reflected', 'less pronounced', 'instantaneous temperature', 'hygroreceptive sensilla', 'h cells', 'given temperatures', 'dt ).', 'dry receptor', 'differential sensitivity', 'decreasing temperature', 'constant temperature', 'constant rates', 'cold receptors', 'cold receptor', 'also observed', 'also affected', 'adapting temperature', '9 ),', '7 ).', '11 ).', '10 ),', ')/¬∞ c']</t>
  </si>
  <si>
    <t>Antenna | Cockroach | Cold receptor | Periplaneta americana | Thermoreceptor</t>
  </si>
  <si>
    <t>1. There are two types of cold receptors on the antennae of Periplaneta americana. One type of cold receptor is present in a thermo- and hygroreceptive sensillum along with a moist receptor and a dry receptor, and the other is in a thermoreceptive and olfactory sensillum along with olfactory receptors. These two types of cold receptors were investigated using stimulations of constant temperature (T), stepwise decrease of temperature (ŒîT), and constant rates of temperature decrease (dT/dt). 2. For cold receptors in the thermo- and hygroreceptive sensilla (C-H cells), steady-state activities are higher at lower constant temperatures (T) within the range of 16-31 ¬∞C examined (n = 7). On the other hand, those of the cold receptors in the thermoreceptive and olfactory sensilla (C-O cells) have individually a broad activity maximum in the range of 18-27 ¬∞C (n = 7). 3. The differential sensitivity to downward temperature steps (ŒîT) of C-H cells was in the range of - 5.4 to - 12.4 (impulses/s)/¬∞C (n = 11). It was higher at lower adapting temperature, from which changes were initiated, in the range of about 21 to 31 ¬∞C, that is, it was reflected by the steady-state activity at the initial and adapting temperature. On the other hand, the differential sensitivity of C-O cells was in the range of - 10.7 to- 15.2 (impulses/s)/¬∞C (n = 9), and was little reflected by the steady-state activity. 4. Responses to decreasing temperature in C-H cells (n = 14) are negatively related to the rate of temperature decrease (dT/dt) in the range of about 0 to - 0.16 ¬∞C/s at given temperatures, and are also affected by instantaneous temperature (T) in the range of 18 to 30 ¬∞C. This dependence is also observed in C-O cells (n = 10), but less pronounced than in C-H cells. ¬© 1992 Springer-Verlag.</t>
  </si>
  <si>
    <t>299-307</t>
  </si>
  <si>
    <t>60031720;60031720;60031720</t>
  </si>
  <si>
    <t>7402607188;6602486562;16180199200</t>
  </si>
  <si>
    <t>Nishikawa, Michiko;Yokohari, Fumio;Ishibashi, Takaaki</t>
  </si>
  <si>
    <t>Fukuoka University</t>
  </si>
  <si>
    <t>Nishikawa M.</t>
  </si>
  <si>
    <t>Response characteristics of two types of cold receptors on the antennae of the cockroach, Periplaneta americana L.</t>
  </si>
  <si>
    <t>10.1007/BF00223960</t>
  </si>
  <si>
    <t>2-s2.0-0000503174</t>
  </si>
  <si>
    <t>Direcci√≥n General de Investigaci√≥n Cient√≠fica y T√©cnica</t>
  </si>
  <si>
    <t>PB88-0084</t>
  </si>
  <si>
    <t>DGICT</t>
  </si>
  <si>
    <t>['¬© 1992', 'starting material', 'rights reserved', 'results emphasize', 'relative amount', 'pigment composition', 'membrane preparations', 'large enrichments', 'francis group', 'deficient plants', 'control plants', 'better characterization']</t>
  </si>
  <si>
    <t>The composition of thylakoids and photosystem II membrane preparations obtained from iron deficient sugar beet leaves was different from that of membrane preparations obtained from control plants. Spectroscopic and photosynthetic pigment analysis indicated that the relative amount of some carotenoids, thought to be part of the photosystem II antenna, was larger in membrane preparations from iron deficient plants than in preparations from iron sufficient plants. However, the pigment composition of thylakoids and photosystem II membrane preparations from iron deficient sugar beet leaves depended on the starting material, very chlorotic leaves resulting in large enrichments in carotenoids. Results emphasize the need for a better characterization of the photosynthetic membrane fractions obtained from Fe-deficient plants. ¬© 1992, Taylor &amp; Francis Group, LLC. All rights reserved.</t>
  </si>
  <si>
    <t>1809-1819</t>
  </si>
  <si>
    <t>Journal of Plant Nutrition</t>
  </si>
  <si>
    <t>60006754;60006754;60006754</t>
  </si>
  <si>
    <t>6506260487;57216717561;7006255100</t>
  </si>
  <si>
    <t>Qu√≠lez, Rebeca;Abad√≠a, Anunciaci√≥n;Abad√≠a, Javier</t>
  </si>
  <si>
    <t>Madrid</t>
  </si>
  <si>
    <t>Consejo Superior de Investigaciones Cient√≠ficas</t>
  </si>
  <si>
    <t>Qu√≠lez R.</t>
  </si>
  <si>
    <t>Characteristics of thylakoids and photosystem ii membrane preparations from iron deficient and iron sufficient sugar beet (beta vulgaris l.)</t>
  </si>
  <si>
    <t>10.1080/01904169209364441</t>
  </si>
  <si>
    <t>2-s2.0-0008559915</t>
  </si>
  <si>
    <t>['wave matching', 'superconductors offer', 'paper describes', 'cu antenna', 'branch circuits', 'array antenna', '900 mhz', '80 k']</t>
  </si>
  <si>
    <t>helical radiators | High-temperature superconductors | impedance matching circuits | small antennas | superdirective array antennas</t>
  </si>
  <si>
    <t>Superconductors offer the potential for achieving highly efficient small and/or superdirective array antennas. This paper describes the design and reports experimental results for a two-element superdirective array antenna fabricated with YBaCuO superconducting material. 0.05Œª helical radiators and quarter-wave matching and branch circuits were designed for an array antenna with a 0.09Œª radiator spacing, to obtain a superdirective radiation pattern at 900 MHz. The array antenna thus fabricated realized good impedance matching and higher radiation efficiency than a Cu antenna, and a unidirectional radiation pattern at 80 K and around 900 MHz. ¬© 1992 Plenum Publishing Corporation.</t>
  </si>
  <si>
    <t>485-490</t>
  </si>
  <si>
    <t>60025555;60025555;60025555;60025555;60025555;60025555</t>
  </si>
  <si>
    <t>37019710800;7005560212;7402580660;7404604430;6603648105;7006534690</t>
  </si>
  <si>
    <t>Itoh, Keiichiro;Ishii, Osamu;Nagai, Yasuhiro;Suzuki, Naobumi;Kimachi, Yoshihiro;Michikami, Osamu</t>
  </si>
  <si>
    <t>Itoh K.</t>
  </si>
  <si>
    <t>Two-element superdirective array antenna composed of high-T&lt;inf&gt;c&lt;/inf&gt; superconducting small helical radiators</t>
  </si>
  <si>
    <t>10.1007/BF00620509</t>
  </si>
  <si>
    <t>2-s2.0-0008754837</t>
  </si>
  <si>
    <t>['vitro assay', 'results indicate', 'redox control', 'photosynthetic apparatus', 'phosphorylated polypeptide', 'phosphorylated lhi', 'effect resulted', 'defective mutants', 'assay medium', 'also observed']</t>
  </si>
  <si>
    <t>Antenna protein | Protein phosphorylation | Rhodobacter capsulatus</t>
  </si>
  <si>
    <t>Labelling of Rhodobacter capsulatus cells with (32P)Pi in a phototrophic culture results in phosphorylation of a membrane-bound polypeptide identified as the Œ± subunit of the LHI antenna complex of the photosynthetic apparatus. Phosphorylation of the same polypeptide was also observed by incubation of chromatophores with (32P)ATP or under conditions of photophosphorylation with ADP and (32P)Pi. The identity of the phosphorylated LHI-Œ± subunit was demonstrated by N-terminal protein sequencing of the phosphorylated polypeptide and by failure of labelling in LHI-defective mutants. Pre-aeration of the samples or addition of the oxidant potassium ferrcyanide stimulated the kinase activity whereas the presence of soluble cytoplasmic proteins impaired phosphorylation in an in vitro assay. No effect resulted from addition of reductants to the assay medium. The results indicate the presence of a membrane-bound protein kinase in R. capsulatus that phosphorylates the Œ± subunit of the LHI antenna complex under redox control. ¬© 1992 Springer-Verlag.</t>
  </si>
  <si>
    <t>315-319</t>
  </si>
  <si>
    <t>1432072X</t>
  </si>
  <si>
    <t>Archives of Microbiology</t>
  </si>
  <si>
    <t>60025641;60001563;60025641;60025641;60025641;60025641</t>
  </si>
  <si>
    <t>6602759193;7404608866;7005687711;6601975192;7005195244;7102742634</t>
  </si>
  <si>
    <t>Cortez, Nestor;Garcia, Augusto F.;Tadros, Monier H.;Gad'on, Nasser;Schiltz, Emil;Drews, Gerhart</t>
  </si>
  <si>
    <t>Germany;Argentina</t>
  </si>
  <si>
    <t>Freiburg im Breisgau;Buenos Aires</t>
  </si>
  <si>
    <t>Universit√§t Freiburg im Breisgau;Universidad de Buenos Aires</t>
  </si>
  <si>
    <t>60025641;60001563</t>
  </si>
  <si>
    <t>Cortez N.</t>
  </si>
  <si>
    <t>Redox-controlled, in vivo and in vitro phosphorylation of the Œ± subunit of the light-harvesting complex I in Rhodobacter capsulatus</t>
  </si>
  <si>
    <t>10.1007/BF00245359</t>
  </si>
  <si>
    <t>2-s2.0-0026707859</t>
  </si>
  <si>
    <t>['wgm antenna', 'subsequently obtained', 'small area', 'radiation fields', 'radiation contributions', 'radiation characteristics', 'present calculation', 'linearly changing', 'geometrical theory', 'field amplitude', 'assumed uniform', 'antenna aperture']</t>
  </si>
  <si>
    <t>By use of the geometrical theory of optics the radiation characteristics of a WGM antenna have already been investigated and designed. In order to improve the accuracy of the present calculation it was necessary to account for diffraction. Since the conventional method based on Kirchhoff-Huygens principle requires much computational time and memory, a numerical analysis method has been developed to overcome such a difficulty, i.e. the antenna aperture is subdivided into a series of subapertures of small area so that the field amplitude can be assumed uniform with the phase either uniform or linearly changing. The radiation fields from the subapertures are evaluated by use of an appropriate analytical solution. The radiated field pattern of the aperture is subsequently obtained by summing the radiation contributions from each of the subapertures in turn. Results from the most recent WGM calculations will be presented.</t>
  </si>
  <si>
    <t>279-298</t>
  </si>
  <si>
    <t>pt 4</t>
  </si>
  <si>
    <t>Memoirs of the Faculty of Engineering, Kyoto University</t>
  </si>
  <si>
    <t>100635820;100635820</t>
  </si>
  <si>
    <t>7402932480;6507514570</t>
  </si>
  <si>
    <t>Nakajima, Masamitsu;Winning, Paul R.</t>
  </si>
  <si>
    <t>Dep of Electronics</t>
  </si>
  <si>
    <t>Nakajima M.</t>
  </si>
  <si>
    <t>High-speed numerical analysis technique for millimetre wave aperture antennae</t>
  </si>
  <si>
    <t>2-s2.0-0026930516</t>
  </si>
  <si>
    <t>['upper part', 'survivable means', 'range paths', 'frequency band', 'discone antenna', 'communication systems', 'civilian applications', 'achieve non', '30 mhz']</t>
  </si>
  <si>
    <t>Under the sponsorship of the Defense Nuclear Agency. The Johns Hopkins University Applied Physics Laboratory investigated high-frequency ground wave propagation as a nuclear-survivable means of communication for land-mobile missile systems in Europe. Using a frequency band of 20 to 30 MHz and a portable, broadband, discone antenna, high-frequency ground wave propagation characteristics have been demonstrated that could be exploited in communication systems. Test results show that with such antennas, the upper part of the high-frequency band could be used to achieve non-line-of-sight, nonfading, communication over short-range paths for both military and civilian applications.</t>
  </si>
  <si>
    <t>515-525</t>
  </si>
  <si>
    <t>Champion, James R.</t>
  </si>
  <si>
    <t>Dahlgren</t>
  </si>
  <si>
    <t>Strategic Systems Department</t>
  </si>
  <si>
    <t>Champion J.</t>
  </si>
  <si>
    <t>Empirical investigation of high-frequency ground wave propagation</t>
  </si>
  <si>
    <t>2-s2.0-0026932466</t>
  </si>
  <si>
    <t>['well known', 'use low', 'unmatched input', 'schottky barrier', 'reflection coefficient', 'reflected wave', 'recent years', 'receiving mode', 'noise temperature', 'new class', 'narrow band', 'mobility electrons', 'limitations must', 'latter case', 'insufficiently stable', 'input device', 'ground station', 'frequency channels', 'forward losses', 'even exceed', 'etc .)', 'effect transistors', 'distinctive feature', 'classical method', 'circuit methods', 'carrying capacity', 'best specimens', 'balanced stages', 'antenna gain', 'additional feedback', 'accessible methods', '50 k', '3 db', '2 db', '120 k']</t>
  </si>
  <si>
    <t>The main power characteristic of the ground station of a satellite communications system in the receiving mode, which determines its carrying capacity, is, as is well known, the selectivity, which is equal to the ratio of the antenna gain to the overall noise temperature of the ground station. One of the most accessible methods of increasing the selectivity is to use low-noise input devices with the lowest inherent noise, which have become widely used in recent years. Improvements in field-effect transistors with a Schottky barrier and the availability of a new class of devices - transistors with high-mobility electrons, has enabled the noise temperature of the input device to be reduced to 30-50 K in the 4 GHz band, and to 70-120 K in the 11 GHz band. Microwave transistor amplifiers have the distinctive feature that the tuning for a minimum of the reflection coefficient and for a minimum of the noise temperature do not coincide, and the VSWR in the latter case can be 5-7 and even exceed these values. In the classical method of preventing a reflected wave nonreciprocal ferrite devices are employed, but even the best specimens of microstrip ferrite isolators and circulators have forward losses in the 4 and 11 GHz bands of not less than 0.3 dB, which reduces the selectivity of a station by 0.8-1.2 dB. Circuit methods of compensating the reflected wave (balanced stages, additional feedback, etc.) are insufficiently stable, are narrow band and do not guarantee that the minimum possible noise temperature will be obtained. Under these conditions it is of interest to estimate what results will be obtained by using an input device with an unmatched input in the ground station of a satellite communications system and in a TV broadcasting station, and what limitations must be imposed in this case on the parameters of the high-frequency channels.</t>
  </si>
  <si>
    <t>27-31</t>
  </si>
  <si>
    <t>7006743328;6602664562</t>
  </si>
  <si>
    <t>Lokshin, B. A.;Tsirlin, V. M.</t>
  </si>
  <si>
    <t>Lokshin B.</t>
  </si>
  <si>
    <t>Acceptable mismatch of the input devices of satellite communications and broadcasting stations</t>
  </si>
  <si>
    <t>2-s2.0-0026933949</t>
  </si>
  <si>
    <t>['wavelengths long', 'wavelength ).', 'wave antennas', 'unbalanced stripline', 'television systems', 'stripline occurs', 'several tens', 'satellite communications', 'reactive loads', 'radiating components', 'periodic change', 'ohmic losses', 'normal ).', 'including along', 'high gains', 'given nowadays', 'finding ways', 'electromagnetic power', 'direction specified', 'direction perpendicular', 'considerable effect', 'considerable amount', 'centimeter band', 'antenna gain', '30 db']</t>
  </si>
  <si>
    <t>A considerable amount of attention is being given nowadays to finding ways of designing stripline antennas having high gains (greater than 30 dB) for satellite communications and television systems. One of the trends in the investigations is based on the development of antenna arrays consisting of linear `leaking' wave antennas, along which their constructional parameters vary. These including, for example, an unbalanced stripline, in which reactive loads are connected in series and in parallel with a period T‚â™Œª (Œª is the wavelength). When there is a periodic change in the line impedance W1 and in the susceptance of the parallel-connected loads radiation of electromagnetic power in a direction perpendicular to the stripline occurs. In practice, the design of such antennas as radiating components of planar highly directional antenna arrays in the centimeter band has encountered the difficulty of producing reactive loads. Moreover, in long radiating striplines (several tens of wavelengths long) ohmic losses in the additionally connected reactive loads have a considerable effect on the antenna gain. In this paper, using a method of synthesizing `ladder-type' lines, it is shown that it is sufficient to vary the stripline impedance sinusoidally, for electromagnetic radiation connected with the line to be radiated in a direction specified with respect to the stripline (including along the normal).</t>
  </si>
  <si>
    <t>7003963010;7004942050;7801666490;7201567438</t>
  </si>
  <si>
    <t>Tereshin, O. N.;Antipov, A. N.;Dvurechenskii, V. D.;Fedotov, A. Yu</t>
  </si>
  <si>
    <t>Tereshin O.N.</t>
  </si>
  <si>
    <t>Radiating stripline with a variable impedance</t>
  </si>
  <si>
    <t>2-s2.0-0026933972</t>
  </si>
  <si>
    <t>['waveguide radio', 'time taken', 'three forms', 'steel plate', 'simultaneously performs', 'scarce material', 'reduced considerably', 'modern antenna', 'mirror antenna', 'mast tube', 'lattice towers', 'kuznetsov ).', 'guy ropes', 'flexible elliptic', 'feeder system', 'days ).', 'aluminum alloy', "8 ')", '5 two', '200 tons', '20 tons']</t>
  </si>
  <si>
    <t>The AMD-2.5 two-mirror antenna and three forms of waveguide (flexible elliptic (EVG-6), semiflexible rectangular (PG-84) or aluminum continuous lengths from Hungary) are employed in modern antenna-waveguide radio-relay link channels in the 7.9-8.4 GHz band. As a rule, the waveguides are mounted on lattice towers about 40 m high. 15-20 tons of scarce material (steel plate, angle or tubes) are required to construct such towers, as well as the foundations (approximately 100 m3) together with 200 tons of concrete. It usually takes several months to set up the towers. In the proposed new antenna-feeder system (the `Shpora-8') these materials are not required, there is no need for foundations, and the time taken to set the system up is reduced considerably (to a few days). It is based on a strengthened tubular mast held with guy ropes, in which the mast tube, made of aluminum alloy, simultaneously performs the function of supporting the construction and acting as a waveguide for transmitting and receiving the signals (this form of mast was proposed and developed by A.A. Voevodin, and the idea of combining the functions of the mast and waveguide was suggested by V.D. Kuznetsov).</t>
  </si>
  <si>
    <t>41-49</t>
  </si>
  <si>
    <t>6602120722;7003981708</t>
  </si>
  <si>
    <t>Metrikin, A. A.;Malin, V. V.</t>
  </si>
  <si>
    <t>Radio-relay channel for a 7.9-8.4 GHz radio-relay link</t>
  </si>
  <si>
    <t>2-s2.0-0026933978</t>
  </si>
  <si>
    <t>['numerical calculation', 'communications repeater']</t>
  </si>
  <si>
    <t>The results of a numerical calculation on a computer of the mean carrying capacity of the beam of a communications repeater and the mean data transmission delay are presented, and an analysis of these results is presented.</t>
  </si>
  <si>
    <t>6507376808;6701799459</t>
  </si>
  <si>
    <t>Vil'dyayev, I. K.;Pakhomov, I. S.</t>
  </si>
  <si>
    <t>Vil'dyayev I.</t>
  </si>
  <si>
    <t>Calculation of the characteristics of random access to a switched communications repeater by analyzing points of equilibrium</t>
  </si>
  <si>
    <t>2-s2.0-0026935389</t>
  </si>
  <si>
    <t>['single dipole', 'simplified method', 'resonance dipole', 'presented using', 'passive dipoles', 'natural impedances', 'mutual effect', 'input impedance', 'induced emfs', 'including dipoles', 'director structure', 'arbitrary parameters', 'also calculated']</t>
  </si>
  <si>
    <t>Graphs and a simplified method (without complex calculations) for determining the optimum geometrical dimensions and input impedance of a resonance dipole are presented using the method of induced emfs. The natural impedances of a single dipole with arbitrary parameters and the mutual effect of active and passive dipoles (including dipoles with a director structure) are also calculated.</t>
  </si>
  <si>
    <t>145-150</t>
  </si>
  <si>
    <t>Brustovskiy, V. F.</t>
  </si>
  <si>
    <t>Brustovskiy V.</t>
  </si>
  <si>
    <t>Determination of the natural and induced impedances of parallel dipoles of arbitrary dimensions</t>
  </si>
  <si>
    <t>2-s2.0-0026935390</t>
  </si>
  <si>
    <t>['spatial characteristics', 'radar system', 'analytic expressions']</t>
  </si>
  <si>
    <t>Analytic expressions are obtained for estimating the probability of detecting spatially extended targets depending on their spatial characteristics and the characteristics of the radar system.</t>
  </si>
  <si>
    <t>98-102</t>
  </si>
  <si>
    <t>6603342337;6504450043</t>
  </si>
  <si>
    <t>Pon'kin, V. A.;Zuyev, I. M.</t>
  </si>
  <si>
    <t>Pon'kin V.</t>
  </si>
  <si>
    <t>Probability of detecting extended targets</t>
  </si>
  <si>
    <t>2-s2.0-0026936698</t>
  </si>
  <si>
    <t>['wire antennas', 'transmitting single', 'subsurface sounding', 'spaced receiving', 'lfm signal', 'difference processing']</t>
  </si>
  <si>
    <t>A model of a system for subsurface sounding with spaced receiving and transmitting single-wire antennas with an LFM signal in the 800-1200 MHz frequency band with spectral-difference processing is described. The results of an experiment to detect a buried metal plate and a buried plastic drainage pipe are presented.</t>
  </si>
  <si>
    <t>132-135</t>
  </si>
  <si>
    <t>7004850705;6504546734;6701734876</t>
  </si>
  <si>
    <t>Andreyev, G. A.;Argatin, S. G.;Khokhlov, G. I.</t>
  </si>
  <si>
    <t>Andreyev G.</t>
  </si>
  <si>
    <t>Method of subsurface sounding using an LFM signal</t>
  </si>
  <si>
    <t>2-s2.0-0026936701</t>
  </si>
  <si>
    <t>['shaping network', 'radiation pattern', 'priori information', 'network rapidly', 'interference deviates', 'interference compensator', 'desired direction', 'calculated value', 'broadband signals', 'adaptive processor']</t>
  </si>
  <si>
    <t>A method of designing a pattern-shaping network for an adaptive antenna array using a priori information on the directions of arrival of broadband signals (both useful and interference) is described. The pattern-shaping network is designed so that it is itself an interference compensator. Computer modeling showed that the use of the weights of the interference compensator as the initial (reference) parameters of the pattern-shaping network enables the adaptive processor to tune the network rapidly when the direction of arrival of the interference deviates from the calculated value, orienting the `zero' of the radiation pattern in the desired direction.</t>
  </si>
  <si>
    <t>50-54</t>
  </si>
  <si>
    <t>Rodionov, A. M.</t>
  </si>
  <si>
    <t>Rodionov A.</t>
  </si>
  <si>
    <t>Method of designing the pattern-shaping network of an adaptive antenna array</t>
  </si>
  <si>
    <t>2-s2.0-0026936846</t>
  </si>
  <si>
    <t>['received continuously', 'located antennas', 'indian ocean', 'bt laboratories', '3 ¬∞).', '3 ¬∞']</t>
  </si>
  <si>
    <t>An experiment has been carried out at BT Laboratories to determine whether slant-path attenuation statistics are dependent on the beamwidth of the earth station receiving antenna. The 11.2 GHz beacon signal from an INTELSAT satellite positioned over the Indian Ocean was received continuously for a six month period in 1987 via two co-located antennas having widely different beamwidths (3¬∞ and 0.3¬∞). It is concluded that, for path attenuation statistics up to at least 12 dB, there is no significant beamwidth dependence.</t>
  </si>
  <si>
    <t>76-81</t>
  </si>
  <si>
    <t>British Telecom technology journal</t>
  </si>
  <si>
    <t>57197256796;7201534708</t>
  </si>
  <si>
    <t>Thorn, R. W.;Howell, R. G.</t>
  </si>
  <si>
    <t>Thorn R.</t>
  </si>
  <si>
    <t>11 GHz dual-beam attenuation measurements at BT Laboratories</t>
  </si>
  <si>
    <t>2-s2.0-0026938119</t>
  </si>
  <si>
    <t>['range 11', 'polarization scaling', 'paper reports', 'olympus satellites', 'extensive programme', 'crosspolar discrimination', 'covers frequencies', '6 ghz', '30 ghz', '1991 using']</t>
  </si>
  <si>
    <t>Radio propagation data is required in order to design satellite systems to meet internationally accepted performance criteria. To obtain this data BT carried out an extensive programme of measurements between 1975 and 1991 using the ATS-6, OTS, INTELSAT-V and OLYMPUS satellites. This paper reports the results of the crosspolar measurements carried out using these satellites and covers frequencies in the range 11.6 GHz to 30 GHz. Statistics of crosspolar discrimination, frequency and polarization scaling of crosspolar discrimination, durations and rates of change of crosspolar discrimination, crosspolar/attenuation joint statistics and data on depolarization by ice are presented.</t>
  </si>
  <si>
    <t>52-61</t>
  </si>
  <si>
    <t>7201534708;56918940300;57220368999</t>
  </si>
  <si>
    <t>Howell, R. G.;Harris, J. W.;Mehler, M.</t>
  </si>
  <si>
    <t>Howell R.G.</t>
  </si>
  <si>
    <t>Satellite crosspolar measurements at BT laboratories</t>
  </si>
  <si>
    <t>2-s2.0-0026939542</t>
  </si>
  <si>
    <t>['range hardware', 'pattern produced', 'measuring antennas', 'consulting company']</t>
  </si>
  <si>
    <t>The evolution of a range for developing and measuring antennas in the author's home, which is the location of his consulting company, is discussed. The range hardware is described. Examples of the pattern produced by the system are presented.</t>
  </si>
  <si>
    <t>78-80</t>
  </si>
  <si>
    <t>Dietrich, Fred J.</t>
  </si>
  <si>
    <t>F D Engineering</t>
  </si>
  <si>
    <t>Dietrich F.</t>
  </si>
  <si>
    <t>Backyard range--A real backyard (actually front yard, garage and driveway) antenna range on a shoestring</t>
  </si>
  <si>
    <t>10.1109/74.163821</t>
  </si>
  <si>
    <t>2-s2.0-0026939597</t>
  </si>
  <si>
    <t>['varied fields', 'us army', 'technology ).', 'strong interest', 'national institute', 'national bureau', 'manufacturing --', 'jr .,', 'jones went', 'jones took', 'hdl ),', 'encouraging students', 'could improve', 'active role', '37 years']</t>
  </si>
  <si>
    <t>The life and career of Howard S. Jones, Jr., a US Government engineer now in semiretirement after 37 years at the US Army's Harry Diamond Laboratory (HDL), are profiled. Noted for his work in radar, and holding 31 patents, Jones' wide interests led him to such varied fields as materials, circuitry, and manufacturing--and from theory to systems integration--anything that could improve the cost, performance, and quality of antennas. Following his studies at Virginia Union University, Jones went to work as a junior engineering aide at the National Bureau of Standards (now the National Institute of Standards and Technology). He returned to NBS after service in the army during World War II, and spent most of his career at the HDL, which was divested from the National Bureau of Standards in 1953. Jones took a strong interest in his employees' careers and continues to take an active role in encouraging students.</t>
  </si>
  <si>
    <t>70-72</t>
  </si>
  <si>
    <t>IEEE Spectrum</t>
  </si>
  <si>
    <t>Adam, John A.</t>
  </si>
  <si>
    <t>Adam J.</t>
  </si>
  <si>
    <t>Howard S. Jones, Jr.</t>
  </si>
  <si>
    <t>2-s2.0-0026939613</t>
  </si>
  <si>
    <t>['urban environments', 'two antennas', 'prevalent scintillation', 'elevation angle', 'directly relevant', 'closely spaced', 'atmospheric multipath', 'also described', '3 ¬∞']</t>
  </si>
  <si>
    <t>Results are presented of an investigation into slant-path propagation effects at Goonhilly earth station for an elevation angle of 3.3¬∞ in the 11 GHz satellite band. A technique is also described which allows the effects of the prevalent scintillation and atmospheric multipath to be alleviated with two antennas, closely spaced, in a height diversity configuration. The technique is directly relevant to the expansion of satellite services using small antennas (e.g. IBS or VSAT) at low elevation angles, particularly in urban environments.</t>
  </si>
  <si>
    <t>68-75</t>
  </si>
  <si>
    <t>Bryant, D. L.</t>
  </si>
  <si>
    <t>Bryant D.L.</t>
  </si>
  <si>
    <t>Low elevation angle 11 GHz beacon measurements at Goonhilly earth station</t>
  </si>
  <si>
    <t>2-s2.0-0026939724</t>
  </si>
  <si>
    <t>['window functions', 'signal processing', 'new approach', 'first revealed', 'fir filter', 'antenna design']</t>
  </si>
  <si>
    <t>The relation between equispaced antenna array and finite impulse response (FIR) filter of signal processing is first revealed. As a kind of FIR filter, window functions are introduced for antenna design. The new approach is simpler and more efficient than the traditional polynominal methods. ¬© 1992 Plenum Publishing Corporation.</t>
  </si>
  <si>
    <t>60005244;60005244</t>
  </si>
  <si>
    <t>7101707919;7404076936</t>
  </si>
  <si>
    <t>Qi, Songxin;Yang, Quanrang</t>
  </si>
  <si>
    <t>Nanjing</t>
  </si>
  <si>
    <t>Southeast University</t>
  </si>
  <si>
    <t>Qi S.</t>
  </si>
  <si>
    <t>Antenna array design using window function</t>
  </si>
  <si>
    <t>10.1007/BF01009241</t>
  </si>
  <si>
    <t>2-s2.0-0026939777</t>
  </si>
  <si>
    <t>['sixteen years', 'required data', 'present details', 'papers included', 'paper describes', 'near ipswich', 'measurement complex', 'martlesham heath']</t>
  </si>
  <si>
    <t>Radio propagation data is required in order to design satellite systems to meet internationally accepted performance criteria. In 1971 BT set up a measurement complex at Martlesham Heath, near Ipswich, to collect the required data. This paper describes this measurement complex and forms an introduction to other papers included in this issue which present details of the satellite propagation measurements obtained over a period of sixteen years.</t>
  </si>
  <si>
    <t>7201534708;6701312655;56918940300</t>
  </si>
  <si>
    <t>Howell, R. G.;Stuckey, R. L.;Harris, J. W.</t>
  </si>
  <si>
    <t>Howell R.</t>
  </si>
  <si>
    <t>BT laboratories slant-path measurement complex</t>
  </si>
  <si>
    <t>2-s2.0-0026940142</t>
  </si>
  <si>
    <t>['total hco', 'spectrum indicates', 'results highlight', 'ngc 7027', 'large antennas', 'inner shell', 'flux density', 'expanding torus', 'emitting material', 'emission arises', 'central star', 'bima array', '9 jy', '5 jy', '1 km', '0 hco']</t>
  </si>
  <si>
    <t>Circumstellar matter | Planetary nebulae: individual (NGC 7027)</t>
  </si>
  <si>
    <t>The J = 1-0 HCO+ emission from NGC 7027 was observed with the BIMA array. We present the first convincing evidence that the HCO+ emitting material is distributed in an expanding torus. The spectrum indicates that there are two velocity components : the bulk of the HCO+ emission arises from material with a projected outflow velocity of ‚àº15 km s-1, and there is a higher velocity component presumably due to an inner shell. The observed source size is ‚àº20‚Ä≥ √ó 30‚Ä≥, the continuum flux density is 4.5 ¬± 0.5 Jy, and the peak line flux density is 11.2 ¬± 0.9 Jy (in 1 km s-1 channels). The HCO+ extends relatively far from the central star (2 √ó 1017 cm). Previous observations underestimated the total HCO+ flux density and emission region size. These results highlight the drawbacks of observing extended sources with large antennas.</t>
  </si>
  <si>
    <t>Likkel, Lauren</t>
  </si>
  <si>
    <t>Likkel L.</t>
  </si>
  <si>
    <t>BIMA observations of HCO&lt;sup&gt;+&lt;/sup&gt; emission from the planetary nebula NGC 7027</t>
  </si>
  <si>
    <t>10.1086/186558</t>
  </si>
  <si>
    <t>2-s2.0-11944275699</t>
  </si>
  <si>
    <t>['¬© 1992', 'typical samples', 'two orders', 'tuned circuit', 'probe consisted', 'nmr part', 'movable reflector', 'mm eio', 'microwave source', 'klystron d3070', 'cw mode', 'cross polarization', '80sy spectrometer', '54 ghz', '13c dnp']</t>
  </si>
  <si>
    <t>DNP magnetic resonance spectrometer | dynamic nuclear polarization (DNP) | solid-state NMR</t>
  </si>
  <si>
    <t>We describe a home-made dynamic nuclear polarization (DNP) spectrometer at a field of 1.94 T, corresponding to Larmor frequencies 83 MHz and 54 GHz for proton and electron, respectively. Its NMR part is a modified Bruker WP-80SY spectrometer. A 6-mm EIO (extended interaction oscillator) Klystron D3070, with a maximum output power of 30W in cw mode, served as the microwave source of ESR. In 1H and 13C DNP and DNP-CP (cross polarization) experiments the probe consisted of a horn-antenna, a movable reflector and a double-tuned circuit for 1H and 13C. The proton and carbon NMR signals were enhanced by one to two orders of magnitude for typical samples. Some results are presented in this paper. ¬© 1992.</t>
  </si>
  <si>
    <t>1214-1221</t>
  </si>
  <si>
    <t>Science in China (Scientia Sinica) Series A</t>
  </si>
  <si>
    <t>60019706;60019706;60019706;60019706;60019706</t>
  </si>
  <si>
    <t>7501450358;7403309919;55475630000;56092138500;7202202328</t>
  </si>
  <si>
    <t>Li, Li yun;Qiu, Jian qing;Hu, Shu guang;Liu, Wu yang;Ye, Chao hui</t>
  </si>
  <si>
    <t>Wuhan</t>
  </si>
  <si>
    <t>Wuhan Institute of Physics and Mathematics Chinese Academy of Sciences</t>
  </si>
  <si>
    <t>Li L.</t>
  </si>
  <si>
    <t>A DNP spectrometer at 1.94 T magnetic field</t>
  </si>
  <si>
    <t>100165119290034J</t>
  </si>
  <si>
    <t>2-s2.0-28844488733</t>
  </si>
  <si>
    <t>['widelane ambiguity', 'trimble sdt', 'trimble receivers', 'sst antennas', 'similarly located', 'resolve ambiguities', 'receiver type', 'primary objectives', 'phase centers', 'limiting factor', 'ionospheric effect', 'initially surveyed', 'february 1990', 'displacements observed', 'codeless receivers', 'codeless receiver', 'code receivers', 'bias indicates', 'baselines measured', 'baselines longer', 'baseline show', 'baltra ).', 'assumed location', 'ambiguity resolution', '4100 receivers', '100 km']</t>
  </si>
  <si>
    <t>Many GPS networks which were initially surveyed with Texas Instruments TI-4100 receivers have now been resurveyed with mixtures of TI-4100 and Trimble 4000 receivers or exclusively with Trimble receivers. In order to make confident tectonic interpretation of displacements observed between such surveys, it is necessary to understand any biases which may be introduced by using different receiver types or by mixing receivers within a network. Therefore, one of the primary objectives of the Ecuador 1990 GPS campaign (February 1990) was to provide a direct long baseline comparison between the TI-4100 and Trimble 4000SDT GPS receivers. p ]During this campaign, TI and Trimble receivers were co-located at each end of a 1323 kilometer baseline (Jerusalen to Baltra). Solutions for this baseline show no variation with receiver type. Zero-length baseline solutions showed no evidence for any intrinsic bias caused by mixing the two receiver types. Short baseline solutions indicate a bias of -34¬±10 mm in the baseline vertical component; the sign of the bias indicates that either the assumed phase center location for the TI is too low or the assumed location for the Trimble is too high. The bias is explainable if the phase centers of the Trimble SDT and SST antennas are similarly located. p ]Solutions for baselines measured with codeless receivers (such as the Trimble) should be as precise as those for baselines measured with P-code receivers (such as the TI) as long as it is possible to resolve ambiguities. Resolution of the widelane ambiguity is the limiting factor in ambiguity resolution with any codeless receiver, and in the February 1990 campaigns it was not successful fore baselines longer than 100 km. Without explicit modeling of the ionospheric effect on the widelane, ambiguity resolution with codeless receivers will not be successful for baselines longer than about 100 km, depending on the local ionospheric conditions. ¬© 1992 Springer-Verlag.</t>
  </si>
  <si>
    <t>272-280</t>
  </si>
  <si>
    <t>Freymueller, Jeffrey T.</t>
  </si>
  <si>
    <t>Freymueller J.</t>
  </si>
  <si>
    <t>Comparison of baseline results for the TI-4100 and Trimble 4000SDT geodetic GPS receivers</t>
  </si>
  <si>
    <t>10.1007/BF02033187</t>
  </si>
  <si>
    <t>2-s2.0-34249832287</t>
  </si>
  <si>
    <t>['¬© 1992', 'passive control', 'nodal coordinates', 'modified structure', 'modified geometry', 'material properties', 'load data', 'indeterminate truss', 'given loading', 'four cases', 'determinate truss', 'coordinates iteratively', 'case studies', 'case iv', 'case iii', 'case ii', 'boundary conditions', 'assumed given', 'amount equal']</t>
  </si>
  <si>
    <t>Passive control is achieved by modifying the nodal coordinates of the structure such that the modified structure deforms to the original (unmodified) geometry under the given loading. The modified geometry is obtained by changing the coordinates iteratively, by an amount equal and opposite to the deflections that occurred under the given loading. For this purpose, the structural and material properties and the boundary conditions of the truss, and the load data are assumed given. The technique is illustrated in four cases. In Cases I-III a determinate truss is utilized. In Case I, a modified structural geometry and in Case II, a modified surface geometry under single loading condition is sought and achieved. In Case III, a single modified surface geometry, which would satisfy two loading conditions simultaneously, was sought and an average modified geometry was found. In Case IV, an indeterminate truss was investigated under a single loading condition. In all case studies, the convergence to the modified structure was both rapid and monotonic. ¬© 1992.</t>
  </si>
  <si>
    <t>297-305</t>
  </si>
  <si>
    <t>Computers and Structures</t>
  </si>
  <si>
    <t>60020304;60008724</t>
  </si>
  <si>
    <t>36973619900;24318211100</t>
  </si>
  <si>
    <t>Trak, A. B.;R.J, Melosh</t>
  </si>
  <si>
    <t>College Park;Durham</t>
  </si>
  <si>
    <t>University of Maryland, College Park;Duke University</t>
  </si>
  <si>
    <t>Trak A.</t>
  </si>
  <si>
    <t>Passive shape control of space antennas with truss support structures</t>
  </si>
  <si>
    <t>004579499290413T</t>
  </si>
  <si>
    <t>10.1016/0045-7949(92)90413-T</t>
  </si>
  <si>
    <t>2-s2.0-0027110975</t>
  </si>
  <si>
    <t>['various examples', 'trail following', 'starting point', 'serves thus', 'scent trails', 'response function', 'physical chemistry', 'phenomenological model', 'patterns emerge', 'osmotropotactic behaviour', 'model presented', 'model concentrates', 'linear perception', 'individual using', 'flexible response', 'complex behaviour', 'collective patterns', 'chemical stimulus', 'certain amount', 'behavioural response', 'account interactions']</t>
  </si>
  <si>
    <t>A phenomenological model for osmotropotactic behaviour in ants and termites is presented. The model concentrates on the physical chemistry of scent trails and the dynamics between a chemical stimulus and the behavioural response at the level of the individual using a non-linear perception-response function. The model reproduces experimental data and shows that a flexible response, saturation at the level of perception and a certain amount of noise are necessary to obtain trail following. The comparison between theoretical and experimental results reveals what factors are important in general for orientation on scent trails. The same model also describes orientation towards point sources. Various examples for collective patterns, which are based on trail following or aggregation, are known in ants and termites. These patterns emerge from the integration of individual behaviour taking into account interactions between the individuals. The model presented can be used for a group of equally equipped individuals and serves thus as a starting point for the description of complex behaviour. ¬© 1992 Academic Press Limited.</t>
  </si>
  <si>
    <t>359-393</t>
  </si>
  <si>
    <t>Journal of Theoretical Biology</t>
  </si>
  <si>
    <t>60000145;60000145</t>
  </si>
  <si>
    <t>6602650846;7004387896</t>
  </si>
  <si>
    <t>Calenbuhr, V.;Deneubourg, J. L.</t>
  </si>
  <si>
    <t>Calenbuhr V.</t>
  </si>
  <si>
    <t>A model for osmotropotactic orientation (I)</t>
  </si>
  <si>
    <t>S0022-5193(05)80738-6</t>
  </si>
  <si>
    <t>10.1016/S0022-5193(05)80738-6</t>
  </si>
  <si>
    <t>2-s2.0-0026497384</t>
  </si>
  <si>
    <t>['¬© 1992', 'reaction center', 'purified b880', 'photosynthetic membranes', 'photoreceptor units', 'native membranes', 'native membrane', 'micrographs revealed', 'marina showed', 'like structure', 'isolated core', 'isolated b880', 'image processing', 'highly ordered', 'hexagonal lattice', 'first time', 'electron micrographs', 'data indicate', 'crystalline structure', 'complex exhibits', 'complex consists', 'center distance', '6 subunits']</t>
  </si>
  <si>
    <t>2D crystallisation | Quasi crystalline membrane | Rhodopseudomonas viridis | Ring-like structure</t>
  </si>
  <si>
    <t>Electron micrographs of photosynthetic membranes of the BChla-containing bacterium Rp, marina showed a quasi-crystalline structure. The photoreceptor units are arranged in a hexagonal lattice with a reaction center to reaction center distance of 102¬± √Ö. Purified B880-complex was concentrated up to an OD? of 60 which induced the formation of large protein vesicles. The protein complexes within these vesicles were highly ordered and showed a hexagonal lattice with the same center to center distance of 102¬±3 √Ö as was observed in the native membranes. Image processing of the micrographs revealed a ring-like structure of the B880-complex at 26 √Ö resolution and suggests that the B880-complex consists of 5 or 6 subunits. For the first time it can be shown that an isolated core-complex is in a stable, ring-like structure even without the reaction center which is supposed to be located in the middle of the B880-ring. The data indicate that the isolated B880-complex exhibits the same structure as in the native membrane. ¬© 1992.</t>
  </si>
  <si>
    <t>60025858;60025858;60025858;60025858</t>
  </si>
  <si>
    <t>7005916698;6505821115;6603669964;7006345218</t>
  </si>
  <si>
    <t>Meckenstock, Rainer U.;Krusche, Katarina;Brunisholz, Ren√© A.;Zuber, Herbert</t>
  </si>
  <si>
    <t>Meckenstock R.</t>
  </si>
  <si>
    <t>The light-harvesting core-complex and the B820-subunit from Rhodopseudomonas marina. Part II. Electron microscopic characterisation</t>
  </si>
  <si>
    <t>001457939281384X</t>
  </si>
  <si>
    <t>10.1016/0014-5793(92)81384-X</t>
  </si>
  <si>
    <t>2-s2.0-0026757848</t>
  </si>
  <si>
    <t>['œ ±-', '¬© 1992', 'sulfate precipitation', 'six b820', 'rhodopseudomonas marina', 'photosynthetic membranes', 'molecular weights', 'marina consists', 'four polypeptides', 'developed subcomplex', 'detergent n', 'detergent ldao', 'containing b880', 'complex retained', 'bchla ratio', 'b820 ).', 'absorption maximum', '820 nm', '32 kda', '24 polypeptides', '1 ],']</t>
  </si>
  <si>
    <t>B820 | B880 | Bacteriochlorophyll Œ± | Light-harvesting complex | Non-sulfur purple bacteria | Rhodospirillaceae</t>
  </si>
  <si>
    <t>The BChla-containing B880-complex (core-complex) of Rhodopseudomonas marina (Rhodospirillaceae) was isolated with a new purification method. The isolation of the B880-complex was performed by solubilisation of the photosynthetic membranes with the detergent LDAO and subsequent fractionated ammonium-sulfate precipitation with about 50% recovery. The B880-complex retained its original spectral properties as revealed with absorption, fluorescence and circular dichroism spectroscopy. Furthermore, we dissociated the B880-complex with the detergent n-octyl-Œ≤-glucoside (OG) and purified the developed subcomplex by the method of Miller et al. [1], which showed an absorption maximum at 820 nm (B820). The Œ±- to Œ≤-polypeptide ratio and the Œ±- or Œ≤-polypeptide to BChla ratio, respectively, were estimated to be 1:1 in both complexes. The molecular weights of the B880 and the B820-complexes, determined by gel filtration chromatography, were 181 and 32 kDa, respectively. Thus, it appears that the B880-complex of RP. marina consists of 24 polypeptides and the B820-complex of four polypeptides. Six B820-complexes or possible subunits could form the B880-complex. On the basis of these data we propose a model for the structure or BChla containing core-complexes. ¬© 1992.</t>
  </si>
  <si>
    <t>128-134</t>
  </si>
  <si>
    <t>60025858;60025858;60025858</t>
  </si>
  <si>
    <t>7005916698;6603669964;7006345218</t>
  </si>
  <si>
    <t>Meckenstock, Rainer U.;Brunisholz, Ren√© A.;Zuber, Herbert</t>
  </si>
  <si>
    <t>The light-harvesting core-complex and the B820-subunit from Rhodopseudomonas marina. Part I. Purification and characterisation</t>
  </si>
  <si>
    <t>001457939281383W</t>
  </si>
  <si>
    <t>10.1016/0014-5793(92)81383-W</t>
  </si>
  <si>
    <t>2-s2.0-0026767553</t>
  </si>
  <si>
    <t>['western blotting', 'various exposures', 'various apoproteins', 'topological stability', 'thylakoid components', 'tentative scheme', 'stroma lamellae', 'spinach leaves', 'specific sites', 'reaction center', 'proteins lhci', 'protein cp43', 'protein complexes', 'polyclonals raised', 'photosystem ii', 'photosynthetic apparatus', 'photoinhibitory light', 'photoinhibitory conditions', 'oligomerization state', 'events occurring', 'antenna chlorophyll', '2 ¬∑']</t>
  </si>
  <si>
    <t>The structural and topological stability of thylakoid components under photoinhibitory conditions (4,500 ŒºE ¬∑ m-2 ¬∑ s-1 white light) was studied on Mn depleted thylakoids isolated from spinach leaves. After various exposures to photoinhibitory light, the chlorophyll-protein complexes of both photosystems I and II were separated by sucrose gradient centrifugation and analysed by Western blotting, using a set of polyclonals raised against various apoproteins of the photosynthetic apparatus. A series of events occurring during donor side photoinhibition are described for photosystem II, including: (a) lowering of the oligomerization state of the photosystem II core; (b) cleavage of 32-kD protein D1 at specific sites; (c) dissociation of chlorophyll-protein CP43 from the photosystem II core; and (d) migration of damaged photosystem II components from the grana to the stroma lamellae. A tentative scheme for the succession of these events is illustrated. Some effects of photoinhibition on photosystem I are also reported involving dissociation of antenna chlorophyll-proteins LHCI from the photosystem I reaction center.</t>
  </si>
  <si>
    <t>325-336</t>
  </si>
  <si>
    <t>Journal of Cell Biology</t>
  </si>
  <si>
    <t>60000481;60000481;60000481;60000481;60000481</t>
  </si>
  <si>
    <t>7003283287;6701344764;6603683440;57213857520;16207173300</t>
  </si>
  <si>
    <t>Barbato, R.;Friso, G.;Rigoni, F.;Vecchia, F. D.;Giacometti, G. M.</t>
  </si>
  <si>
    <t>Barbato R.</t>
  </si>
  <si>
    <t>Structural changes and lateral redistribution of photosystem II during donor side photoinhibition of thylakoids</t>
  </si>
  <si>
    <t>10.1083/jcb.119.2.325</t>
  </si>
  <si>
    <t>2-s2.0-0026668044</t>
  </si>
  <si>
    <t>['œ ±', 'unexpected occurrence', 'two exons', 'split rpeb', 'rpeb intron', 'previously reported', 'plastid genes', 'phycoerythrin subunits', 'phycobiliproteins form', 'major component', 'main difference', 'intervening sequence', 'harvesting antennae', 'genome level', 'corresponding genes']</t>
  </si>
  <si>
    <t>cloning | phycobilisome | plastid genome | rhodophyta | sequencing</t>
  </si>
  <si>
    <t>The phycobilisome of the eukaryotic unicellular red alga Rhodella violacea presents in some respects an organization that is intermediate between those of the homologous counterparts found in cyanobacteria (the putative chloroplast progenitor) and more advanced, pluricellular red algae. This suggests evolutionary relationships that we investigated at the genome level. The present work describes the sequences of two rhodophytan phycobilisome genes, rpeA and rpeB. These chloroplast genes encode the Œ± and Œ≤ subunits of phycoerythrin, the major component of the light-harvesting antennae and one of the most abundant cellular proteins in these algae. The amino acid sequences deduced from both rpeA and rpeB present strong homologies with those previously reported for phycoerythrin subunits of cyanobacteria, rhodophyta, and cryptomonads. The main difference with the corresponding cyanobacterial genes was the unexpected occurrence of an intervening sequence that split rpeB into two exons. This intervening sequence presents characteristics of group II introns but lacks several structural domains. Transcriptional analyses showed that the two rpe genes are cotranscribed and that the major RNA species detected corresponds to a mature mRNA lacking the intron. As the phycobiliproteins form a group of closely related polypeptides in cyanobacteria and rhodophyta, the molecular events affecting the corresponding genes, such as the rpeB intron, may be a clue to elucidate some aspects of the molecular processes involved in the evolution of plastid genes.</t>
  </si>
  <si>
    <t>9564-9568</t>
  </si>
  <si>
    <t>Proceedings of the National Academy of Sciences of the United States of America</t>
  </si>
  <si>
    <t>60000179;60000179;60000179;60000179;60000179;60000179;60000179</t>
  </si>
  <si>
    <t>7202462186;7406566233;7003272049;16152217200;7003924932;7003457396;6603028745</t>
  </si>
  <si>
    <t>Bernard, C.;Thomas, J. C.;Mazel, D.;Mousseau, A.;Castets, A. M.;De Marsac, N. T.;Dubacq, J. P.</t>
  </si>
  <si>
    <t>Bernard C.</t>
  </si>
  <si>
    <t>Characterization of the genes encoding phycoerythrin in the red alga Rhodella violacea: Evidence for a splitting of the rpeB gene by an intron</t>
  </si>
  <si>
    <t>10.1073/pnas.89.20.9564</t>
  </si>
  <si>
    <t>2-s2.0-0026686680</t>
  </si>
  <si>
    <t>Ministry of Education, Culture, Sports, Science and Technology</t>
  </si>
  <si>
    <t>['¬© 1992', 'wsxws motif', 'wide range', 'transmembrane region', 'signal peptide', 'laying hen', 'extracellular units', 'extracellular domains', 'extracellular domain', 'cysteine residues', 'cprlr gene']</t>
  </si>
  <si>
    <t>Chicken prolactin receptor (cPRLR) deciphere from the cDNA sequence showed a unique double antenna structure in its extracellular domain. The predicted cPRLR preprotein was composed of 831 amino acids and contained a signal peptide and a transmembrane region. The extracellular domain comprised 438 residues, and was divided into two tandemly repeated, highly homologous units, each of which corresponded to the extracellular domains of mammalian prolactin receptors. Both extracellular units of cPRLR possessed two structural features characteristic of the ligand binding units of cytokine/prolactin receptor family, namely two pairs of cysteine residues and a WSXWS motif. These findings strongly suggest that cPRLR contains two repeated ligand binding units, that is a double antenna structure. The cPRLR gene is expressed in a wide range of tissues of laying hen. ¬© 1992.</t>
  </si>
  <si>
    <t>490-496</t>
  </si>
  <si>
    <t>60021475;60021475;60018873;60021475</t>
  </si>
  <si>
    <t>57199958068;37044397300;7201618599;7401503649</t>
  </si>
  <si>
    <t>Tanaka, Minoru;Maeda, Kayoko;Okubo, Takeshi;Nakashima, Kunio</t>
  </si>
  <si>
    <t>Tsu;Tsu</t>
  </si>
  <si>
    <t>Mie University Faculty of Medicine;Mie University</t>
  </si>
  <si>
    <t>60021475;60018873</t>
  </si>
  <si>
    <t>Tanaka M.</t>
  </si>
  <si>
    <t>Double antenna structure of chicken prolactin receptor deduced from the cDNA sequence</t>
  </si>
  <si>
    <t>0006291X92910822</t>
  </si>
  <si>
    <t>10.1016/0006-291X(92)91082-2</t>
  </si>
  <si>
    <t>2-s2.0-0026457552</t>
  </si>
  <si>
    <t>['wider wings', 'western basin', 'squared condition', 'seasonal prevalence', 'posterior edge', 'plumose condition', 'parasitized males', 'parasitized females', 'october 1985', 'ninth sternite', 'midge emerges', 'lake erie', 'genital opening', 'fully sclerotized', 'eighth tergite', 'antennae lacked', 'also exhibited', 'adult midges', '37 %.']</t>
  </si>
  <si>
    <t>The midge Chironomus decorus is common and abundant in the western basin of Lake Erie. Adult midges were found to be parasitized by the mermithid nematode Limnomermis bathybia from May through October 1985, with a seasonal prevalence of about 37%. Parasitic juvenile worms leave the host after the midge emerges from the pupa to the flying adult stage. Gross changes induced in C. decorus by the parasite were as follows. Parasitized males had wider wings than normal and antennae lacked the plumose condition and also exhibited a reduction of flagellomeres. The eighth tergite of males was altered from a rounded to a squared condition and the eighth sternite exhibited bristle pads characteristic of the female. In parasitized females, the posterior edge of the ninth sternite was fully sclerotized and the genital opening and spermathecae were lacking.</t>
  </si>
  <si>
    <t>872-875</t>
  </si>
  <si>
    <t>60018306;60018306</t>
  </si>
  <si>
    <t>7801478048;7102831301</t>
  </si>
  <si>
    <t>Hubschmann, J. H.;Stack, M. A.</t>
  </si>
  <si>
    <t>Wright State University</t>
  </si>
  <si>
    <t>Hubschmann J.H.</t>
  </si>
  <si>
    <t>Parasite-induced changes in Chironomous decorus (Diptera: Chironomidae)</t>
  </si>
  <si>
    <t>10.2307/3283320</t>
  </si>
  <si>
    <t>2-s2.0-0026613145</t>
  </si>
  <si>
    <t>['strongly affected', 'significant reduction', 'reflective properties', 'reflection intensity', 'reference strains', 'photoreceptor pigment', 'photoreceptor current', 'photoelectrical responses', 'photoelectric measurements', 'oriented cells', 'organized eyespot', 'observations demonstrate', 'nm light', 'mutant eyespot', 'mutant cells', 'latter effect', 'interference reflection', 'intact eyespot', 'high concentrations', 'growth conditions', 'functional state', 'eyespot apparatus', 'electron microscopy', 'directional sensitivity', 'developed eyespot', 'conditions supporting', 'antenna complex', 'amplitude ratio', '440 nm']</t>
  </si>
  <si>
    <t>Chlamydomonas | Confocal laser scanning microscopy | Eyespot | Photoreceptor potential | Phototaxis | Retinal</t>
  </si>
  <si>
    <t>The function of the eyespot in phototaxis of the flagellate green alga Chlamydomonas reinhardtii Dangeard was studied using quantitative reflection confocal laser scanning microscopy and photoelectric measurements. The reflective properties of the eyespot and the photoreceptor current of the C. reinhardtii eyespot mutant ey 627, mt- were compared with those of Chlamydomonas strains possessing a well-developed eyespot. Under growth conditions in which strongly disorganized eyespots were observed in the mutant by electron microscopy, there was a significant reduction in the reflection intensity of the eyespot and in the amplitude ratio (500:440 nm) of photoreceptor currents induced by flashes of 500- and 440-nm light in non-oriented cells. Photoelectrical responses of pre-oriented cells revealed that the latter effect is caused by an altered directional sensitivity of the antenna complex, whereas the functional state of the photoreceptor pigment is not strongly affected in mutant cells. Both the reflection intensity and the amplitude ratio of photoreceptor currents increased to the level of reference strains under conditions supporting the development of a well-organized eyespot in the mutant. Furthermore, incubation of the mutant with high concentrations of all-trans-retinal (10 ŒºM), independent of whether carotenoid biosynthesis was inhibited or not, was found to increase the reflection intensity of the eyespot. An increase in the rate of photoorientation of the mutant occurred concomitant with the increase in the reflective properties of the mutant eyespot. These observations demonstrate the importance of an intact eyespot for interference reflection and absorption of phototactically active light, and thus for the directional sensitivity of the eyespot apparatus. ¬© 1992 Springer-Verlag.</t>
  </si>
  <si>
    <t>513-521</t>
  </si>
  <si>
    <t>60024025;60024025;60012556;60024025;60012556;60024025</t>
  </si>
  <si>
    <t>6701681608;16422150900;7003825671;16423449900;6701322294;16453973000</t>
  </si>
  <si>
    <t>Kreimer, Georg;Overl√§nder, Claudia;Sineshchekov, Oleg A.;Stolzis, Heike;Nultsch, Wilhelm;Melkonian, Michael</t>
  </si>
  <si>
    <t>Koln;Marburg</t>
  </si>
  <si>
    <t>University of Cologne;Philipps-Universit√§t Marburg</t>
  </si>
  <si>
    <t>60024025;60012556</t>
  </si>
  <si>
    <t>Kreimer G.</t>
  </si>
  <si>
    <t>Functional analysis of the eyespot in Chlamydomonas reinhardtii mutant ey 627, mt&lt;sup&gt;-&lt;/sup&gt;</t>
  </si>
  <si>
    <t>10.1007/BF00197043</t>
  </si>
  <si>
    <t>2-s2.0-0000116173</t>
  </si>
  <si>
    <t>['weak bursts', 'total bandwidth', 'time resolution', 'new method', 'may 11', 'fast structures', 'different parts', 'configuration allows', 'burst position', 'antenna axis', 'active region', '48 ghz', '400 mhz', '1991 show', '1 ms']</t>
  </si>
  <si>
    <t>In this paper a new method for the determination of the position of microwave burst sources on the Sun, its implementation and first observational results, are presented. The 13.7 m antenna at Itapetinga with a five-channel receiver operating at 48 GHz and with a time resolution of 1 ms is used. Five horn antennas clustered around the focus of the Cassegrain reflector provide 5 beams diverging by about 2‚Ä≤. This configuration allows the observation of different parts of an active region and the determination of the center of the burst position with an accuracy of 5‚Ä≥ to 20‚Ä≥ depending on the angular distance relative to the antenna axis. The field of view is ‚âà 2‚Ä≤ by ‚âà 4‚Ä≤. The time resolution of 1 ms is suitable to search for fast structures at 48 GHz. A total bandwidth of 400 MHz is used in order to achieve a sensitivity of 0.04 s.f.u. sufficient for the detection of weak bursts. First observational results of the flare on May 11, 1991 show a well-located source position during all stages. ¬© 1992 Kluwer Academic Publishers.</t>
  </si>
  <si>
    <t>157-170</t>
  </si>
  <si>
    <t>1573093X</t>
  </si>
  <si>
    <t>Solar Physics</t>
  </si>
  <si>
    <t>60020486;60020486;100602264;100602264;100602264</t>
  </si>
  <si>
    <t>56284440000;7003495950;7402461263;56234873200;7201921496</t>
  </si>
  <si>
    <t>Herrmann, R.;Magun, A.;Costa, J. E.R.;Correia, E.;Kaufmann, P.</t>
  </si>
  <si>
    <t>Switzerland;Brazil</t>
  </si>
  <si>
    <t>Bern;Sao Paulo</t>
  </si>
  <si>
    <t>University of Bern;Ctro. Radioastronomia Aplicacoes E.</t>
  </si>
  <si>
    <t>60020486;100602264</t>
  </si>
  <si>
    <t>Herrmann R.</t>
  </si>
  <si>
    <t>A multibeam antenna for solar MM-wave burst observations with high spatial and temporal resolution</t>
  </si>
  <si>
    <t>10.1007/BF00156639</t>
  </si>
  <si>
    <t>2-s2.0-0000225574</t>
  </si>
  <si>
    <t>['upwind flight', 'studies suggests', 'source location', 'six sex', 'significantly reduced', 'significant numbers', 'pulsing device', 'pulsed alternately', 'optimal evocation', 'odor plume', 'neurophysiological evidence', 'major component', 'filaments composed', 'experimentally modified', 'entire blend', 'electroantennogram recordings', 'components loaded', 'component essential', 'appropriate ratios', 'antenna simultaneously', '4 filaments', '1 œºg']</t>
  </si>
  <si>
    <t>filaments | Heliothis virescens | Lepidoptera | Noctuidae | sex pheromone | upwind flight</t>
  </si>
  <si>
    <t>Aspects of the intermittent fine structure of an odor plume were mimicked and experimentally modified in the wind tunnel using an air-pulsing device. Filaments of a behaviorally active blend of six sex-pheromone components created by the device in a temporally regular fashion elicited sustained upwind flight and source location in male Heliothis virescens. Males did not exhibit sustained upwind flight in significant numbers until a frequency of 4 filaments/s was delivered, at a loading of 1 Œºg of the major component, Z11-16: Ald, with the other components loaded at their appropriate ratios. A loading of 10 Œºg Z11-16: Ald was found to be optimal at this filament delivery rate. Electroantennogram recordings to different filament delivery rates of the complete blend indicated that a stationary male antenna can respond to the pulse rates used in this study. Importantly, when a main component necessary for upwind flight, Z9-14:Ald, was isolated into its own filaments and pulsed alternately against filaments of the five other components (including the other component essential for upwind flight, Z11-16: Ald), upwind flight to the source was significantly reduced (9%) compared to upwind flight and source location in response to filaments composed of the entire blend (30%), indicating that the complete pheromone blend must arrive on the antenna simultaneously for optimal evocation of sustained upwind progress. Neurophysiological evidence from other studies suggests that higher-order interneurons whose phasic response is enhanced when the entire blend is presented simultaneously may be of importance in explaining this behavioral difference stemming from synchronous vs asynchronous arrival of the components. ¬© 1992 Plenum Publishing Corporation.</t>
  </si>
  <si>
    <t>669-687</t>
  </si>
  <si>
    <t>60029526;60029526</t>
  </si>
  <si>
    <t>55946927900;7402604731</t>
  </si>
  <si>
    <t>Vickers, Neil J.;Baker, Thomas C.</t>
  </si>
  <si>
    <t>Riverside</t>
  </si>
  <si>
    <t>University of California, Riverside</t>
  </si>
  <si>
    <t>Vickers N.</t>
  </si>
  <si>
    <t>Male Heliothis virescens maintain upwind flight in response to experimentally pulsed filaments of their sex pheromone (Lepidoptera: Noctuidae)</t>
  </si>
  <si>
    <t>10.1007/BF01047979</t>
  </si>
  <si>
    <t>2-s2.0-0011779798</t>
  </si>
  <si>
    <t>['true number', 'thus estimated', 'small glomeruli', 'shell around', 'relative positions', 'related fields', 'precise geometry', 'positions relative', 'ordinary glomeruli', 'one individual', 'one al', 'neuronal somata', 'neural structures', 'methods employed', 'identification criteria', 'homologies proposed', 'glomerulus ),', 'glomeruli belong', 'glomeruli arrayed', 'generated maps', 'exact locations', 'either directly', 'computer maps', 'coarse neuropil', 'central region', 'cell groups', 'antennal lobes', 'anomalous glomeruli', 'also invariant', 'also identified', 'adjacent groups', 'accurately identified', '9 ).']</t>
  </si>
  <si>
    <t>Antennal lobe | Insect nervous system | Manduca sexta (Insecta) | Olfactory system</t>
  </si>
  <si>
    <t>Computer-assisted neuroanatomical methods have been used to demonstrate unique identities of the glomeruli of the antennal lobes (ALs) in males of the sphinx moth Manduca sexta. The glomerular neuropil consists of the male-specific macroglomerular complex, which comprises two closely apposed bulky subunits, and 64¬±1 "ordinary" glomeruli arrayed in a shell around a central region of coarse neuropil. Computergenerated maps show the exact locations of all glomeruli and adjacent groups of neuronal somata in a constant Cartesian coordinate system, such that these can be accurately identified in any individual. The glomeruli belong to three classes according to the number and type of identification criteria they satisfy. The larger class comprises glomeruli (n=44) identified only in the computer-generated maps on the basis of their relative positions. The other two classes include glomeruli that were also identified in sections, either directly from their proximity to readily identifiable structures and their shape and size (n=10, including the labial-palp-pit-organ (LPO) glomerulus), or indirectly from their positions relative to the former (n=9). Two very small glomeruli were present in only one AL, demonstrating the existence of anomalous glomeruli, whereas another glomerulus had no homologue in both ALs of one individual. The true number of ordinary glomeruli (per male AL) was thus estimated to be 64. The uncertainty in delineating some glomeruli might affect this number without implying modification of the homologies proposed. The locations of tracts and cell groups, both within and near the AL, are also invariant with respect to glomeruli, as shown in the computer maps. The methods employed are general and might be useful to researchers in related fields. The results obtained call for more attention to the precise geometry of neural structures. ¬© 1992 Springer-Verlag.</t>
  </si>
  <si>
    <t>205-227</t>
  </si>
  <si>
    <t>60003274;60010065</t>
  </si>
  <si>
    <t>7003680929;7102653635</t>
  </si>
  <si>
    <t>Rospars, J. P.;Hildebrand, J. G.</t>
  </si>
  <si>
    <t>Tucson;Versailles</t>
  </si>
  <si>
    <t>The University of Arizona;Centre de recherche √éle-de-France-Versailles - Grignon</t>
  </si>
  <si>
    <t>60010065;60003274</t>
  </si>
  <si>
    <t>Rospars J.P.</t>
  </si>
  <si>
    <t>Anatomical identification of glomeruli in the antennal lobes of the male sphinx moth Manduca sexta</t>
  </si>
  <si>
    <t>10.1007/BF00328007</t>
  </si>
  <si>
    <t>2-s2.0-0026774131</t>
  </si>
  <si>
    <t>['wide spread', 'specific advantages', 'small size', 'planar technology', 'new services', 'narrow beamwidth', 'millimeter waves', 'military needs', 'military market', 'lightweight equipment', 'lan systems', 'increasing rapidly', 'increasing interest', 'hybrid integration', 'hampered due', 'either point', 'early 1970', 'distinguished nowadays', 'development efforts', 'corresponding research', 'control systems', 'component technology', 'commercial applications']</t>
  </si>
  <si>
    <t>Military application | Millimetric wave | Radar | Radiocommunication | Road traffic | State of the art</t>
  </si>
  <si>
    <t>Over the past two decades millimeter wave technology was fostered by military needs and applications, as it offers a number of commonly known advantages, such as narrow beamwidth with relatively small antenna dimensions, high radar resolution and high radar cross section, as well as small size and lightweight equipment. However, wide spread application was hampered due to the lack of suitable power sources and the comparatively high component costs. As corresponding research and development efforts were ongoing worldwide since the early 1970's, today's component technology, e.g. planar and quasi-planar technology for hybrid integration, is not only available, but mature and wide spread. Two major market oriented employment areas can be distinguished nowadays, communications and traffic-control systems, the earlier being either point-to-point or lan systems, the later incorporating radar- and beacon-systems. Millimeter wave systems have found an increasing interest for such purposes, due to their specific advantages, as well as the lack of frequencies for new services. While the military market is decreasing, commercial applications of millimeter waves are increasing rapidly. ¬© 1992 Springer-Verlag.</t>
  </si>
  <si>
    <t>456-468</t>
  </si>
  <si>
    <t>Meinel, Holger H.</t>
  </si>
  <si>
    <t>Meinel H.</t>
  </si>
  <si>
    <t>Millimeter wave applications and technology trends</t>
  </si>
  <si>
    <t>10.1007/BF02998307</t>
  </si>
  <si>
    <t>2-s2.0-0026943176</t>
  </si>
  <si>
    <t>DE-AC05-840R21400</t>
  </si>
  <si>
    <t>['unenergized 448', 'three larger', 'return strokes', 'reasonable agreement', 'predicted voltages', 'one end', 'measurements represent', 'measured simultaneously', 'measured fields', 'magnetic fields', 'line termination', 'lightning direction', 'inputs show', 'incident angle', 'good agreement', 'field measurements', 'earlier experiments', 'earlier experiment', 'domain transmission', 'distribution line', 'coupling model', '5 km']</t>
  </si>
  <si>
    <t>Lightning-induced voltages due to return strokes in ground flashes beyond about 5 km were measured simultaneously at both ends of an unenergized 448-m power-distribution line. The measurements represent an extension of an earlier experiment on the same line in which voltages are obtained at only one end of the line. In addition to the induced voltage measurements, the causative lightning electric and magnetic fields are recorded. The voltage and field measurements are made as a function of the lightning direction and of the power-line termination. For both measured and idealized electric fields as inputs to a time-domain transmission-line coupling model, the authors calculate line voltages as a function of the incident angle of the lightning electromagnetic radiation and of the line termination. Measured and predicted voltages calculated from the coupling model with measured fields as inputs show, overall, good agreement in waveshape, but the predicted voltages are about a factor of three larger in amplitude. To the extent that the results can be compared, there is reasonable agreement with the earlier experiments on the same line.</t>
  </si>
  <si>
    <t>451-460</t>
  </si>
  <si>
    <t>60007566;60007566;60007566;60007566;60007566</t>
  </si>
  <si>
    <t>7003307123;7201682529;7006300896;56990393300;7101847747</t>
  </si>
  <si>
    <t>Georgiadis, Nikolaos;Rubinstein, Marcos;Uman, Martin A.;Medelius, Pedro J.;Thomson, Ewen M.</t>
  </si>
  <si>
    <t>Baton Rouge</t>
  </si>
  <si>
    <t>Louisiana State University</t>
  </si>
  <si>
    <t>Georgiadis N.</t>
  </si>
  <si>
    <t>Lightning-induced voltages at both ends of a 448-m power-distribution line</t>
  </si>
  <si>
    <t>10.1109/15.179278</t>
  </si>
  <si>
    <t>2-s2.0-0026943381</t>
  </si>
  <si>
    <t>['study indicate', 'simulator structure', 'simulator fields', 'simple analysis', 'reference fields', 'memps simulator', 'lossy air', 'incident e', 'h field', 'fields produced', 'earth interface', 'dispersive nature', 'currents flowing', 'current distribution', 'calculational model', 'author discusses', 'arbitrary location']</t>
  </si>
  <si>
    <t>The author discusses a simple analysis for determining the electromagnetic fields produced by the MEMPS simulator. A transmission line solution for the currents flowing on the simulator structure is obtained, taking into account both the resistive loading along the simulator and the dispersive nature of the earth under the simulator. Once the current distribution is determined, the fields at an arbitrary location are found by integrating the fields produced by an electric current element located over the lossy air-earth interface. Using this model, a procedure for estimating the fields at an arbitrary location within the simulator is described. This requires a knowledge of the primary transient E and H field components at a reference point near the simulator, or equivalently, a knowledge of the incident E or H field at this point. Results of this study indicate that it is possible to predict the simulator fields at other points, based on the reference fields and the calculational model.</t>
  </si>
  <si>
    <t>381-390</t>
  </si>
  <si>
    <t>Tesche, Frederick M.</t>
  </si>
  <si>
    <t>Tesche F.</t>
  </si>
  <si>
    <t>Prediction of the E and H fields produced by the Swiss mobile EMP simulator (MEMPS)</t>
  </si>
  <si>
    <t>10.1109/15.179270</t>
  </si>
  <si>
    <t>2-s2.0-0026943573</t>
  </si>
  <si>
    <t>['two types', 'optical techniques', 'new principles', 'new developments', 'new concepts', 'new applications', 'military applications', 'interesting properties', 'integrated subsystems', 'important progresses', 'high frequencies', 'general view', 'first developments', 'finline technologies', 'especially civilian', 'describe first', 'cost reductions', 'civilian ones']</t>
  </si>
  <si>
    <t>Active antenna | Measurement sensor | Microstrip technology | Microwave integrated circuit | Millimetric wave | Monolithic integrated circuit | Quasi-optical technology | Radar | Radiocommunication | Technical progress</t>
  </si>
  <si>
    <t>This paper will give a general view of the new developments of integrated subsystems for millimeter wave applications in Europe. Since the first developments of the microstrip and the finline technologies for millimeter wave applications, important progresses have been observed in the mastery and the affordability of these technologies, as well as for the search and the development of new concepts. We describe first the new developments of subassemblies using microstrip and finline technologies, mostly for military applications, but also for some civilian ones. We will see, afterwards, that the emergence of new applications, especially civilian, and the search for cost reductions, have favoured the appearence of new principles of integration, among which the most promising are quasi-optical techniques. The need for cost reductions have also favoured R&amp;D activities in the field of monolithic millimeter wave circuits development. Two types of technologies are concerned: microwave monolithic integrated circuits on GaAs (mmlcs) and silicon monolithic millimeter wave integrated circuits (SlMMWlCS), silicon having very interesting properties at such high frequencies. ¬© 1992 Springer-Verlag.</t>
  </si>
  <si>
    <t>478-484</t>
  </si>
  <si>
    <t>Funck, Ronald</t>
  </si>
  <si>
    <t>Saint-Cloud</t>
  </si>
  <si>
    <t>Dassault Electronique</t>
  </si>
  <si>
    <t>Funck R.</t>
  </si>
  <si>
    <t>New integrated subsystems for millimeter wave applications</t>
  </si>
  <si>
    <t>10.1007/BF02998309</t>
  </si>
  <si>
    <t>2-s2.0-0026944162</t>
  </si>
  <si>
    <t>['œºm wavelength', 'zehnder interferometer', 'whose width', 'whose half', 'wave voltage', 'sensor indicates', 'moment method', 'measured results', 'improved sensor', 'fiber link', 'element length', 'dipole antenna', 'analyzed using', '750 mhz', '50 mhz', '5 ns', '4 v', '300 mhz', '25 mw', '22 mv', '100 hz', '10 v', '079 mv']</t>
  </si>
  <si>
    <t>The sensitivity of an electromagnetic field sensor which uses a LiNbO3 electrooptical crystal and an optical-fiber link is improved by using a Mach-Zehnder interferometer, whose half-wave voltage is about 4 V at 1.3-Œºm wavelength, and a YAG laser pumped by a laser diode whose output power is 25 mW. The resulting frequency response is about flat from 100 Hz to 300 MHz, and the minimum detectable electric field strengths are 0.22 mV/m at 50 MHz and 0.079 mV/m at 750 MHz. The variation of the sensitivity with the frequency and element length are analyzed using the moment method, and the calculated results agree with the measured results. The measurement of the cross-polarization of the sensor indicates that this property is similar to that of a dipole antenna. The improved sensor can measure an electromagnetic impulse whose peak value is larger than 10 V/m and whose width is wider than 5 ns.</t>
  </si>
  <si>
    <t>391-396</t>
  </si>
  <si>
    <t>7005750067;7403103010;25634188400;7004348998</t>
  </si>
  <si>
    <t>Kuwabara, Nobuo;Tajima, Kimihiro;Kobayashi, Ryuichi;Amemiya, Fujio</t>
  </si>
  <si>
    <t>Kuwabara N.</t>
  </si>
  <si>
    <t>Development and analysis of electric field sensor using LiNbO&lt;inf&gt;3&lt;/inf&gt; optical modulator</t>
  </si>
  <si>
    <t>10.1109/15.179271</t>
  </si>
  <si>
    <t>2-s2.0-0026944193</t>
  </si>
  <si>
    <t>['tuned dipoles', 'theoretical investigations', 'test sites', 'numerical evaluations', 'nsa measurements', 'metal plane', 'general formulation', 'csa ).', 'considered requisite', 'chain matrices', 'antenna circuits']</t>
  </si>
  <si>
    <t>EMI standards require test sites to be validated by measuring the normalized site attenuation (NSA) instead of the classical site attenuation (CSA). Theoretical investigations are, therefore, carried out on the general formulation of NSA and CSA, where chain matrices are introduced to account for the effects of antenna circuits. It is found that the theoretical NSA values given by the standards are based on three assumptions inappropriate to measurements using tuned dipole antennas. Thus, correction is considered requisite for every NSA measurement when tuned dipoles are used. In this connection, new correction factors are proposed for various measurement configurations at 3-, 10-, and 30-m test sites. In addition, numerical evaluations are made on the correction factors applicable to the NSA measurements with antenna factors calibrated at 2 or 3 m above a metal plane.</t>
  </si>
  <si>
    <t>461-470</t>
  </si>
  <si>
    <t>36176445900;7007005159;55378388500</t>
  </si>
  <si>
    <t>Sugiura, Akira;Shinozuka, Takashi;Nishikata, Atsuhiro</t>
  </si>
  <si>
    <t>Sugiura A.</t>
  </si>
  <si>
    <t>Correction factors for normalized site attenuation</t>
  </si>
  <si>
    <t>10.1109/15.179279</t>
  </si>
  <si>
    <t>2-s2.0-0026945907</t>
  </si>
  <si>
    <t>['two antennas', 'transmitting antenna', 'specular reflection', 'space voltage', 'reliable data', 'reflection coefficients', 'reflected waves', 'measurement results', 'direction dependency', 'arbitrary directions', 'anechoic chamber']</t>
  </si>
  <si>
    <t>For measurements of reflection coefficients in an anechoic chamber by the free-space voltage-standing-wave-ratio (VSWR) method, the composite antenna technique, using a combination of two antennas, is proposed. Reliable data on reflection coefficients can be obtained by this technique, with respect to reflected waves from arbitrary directions. Using the measurement results, the direction dependency of reflection coefficients is studied in relation to specular reflection and to the directivity of a transmitting antenna.</t>
  </si>
  <si>
    <t>397-403</t>
  </si>
  <si>
    <t>60031293;60031293;60031293;60031293</t>
  </si>
  <si>
    <t>35566120800;6701739441;55439471500;56317538200</t>
  </si>
  <si>
    <t>Hatakeyama, Ken ichi;Togawa, Hitoshi;Kawamura, Takuya;Sato, Yoshiro</t>
  </si>
  <si>
    <t>NEC Corporation</t>
  </si>
  <si>
    <t>Hatakeyama K.</t>
  </si>
  <si>
    <t>Experimental study on direction dependency of reflection coefficients of microwave electromagnetic anechoic chamber</t>
  </si>
  <si>
    <t>10.1109/15.179272</t>
  </si>
  <si>
    <t>2-s2.0-0026946266</t>
  </si>
  <si>
    <t>['transmit data', 'transmission rate', 'total number', 'thereby minimize', 'specific number', 'service territory', 'rvz ).', 'particular structure', 'partial channels', 'orbit spacecraft', 'mutual interference', 'individual satellites', 'including frequency', 'frequency axis', 'different spacecraft', 'continuous coverage']</t>
  </si>
  <si>
    <t>It is necessary to set up clusters of satellites in a particular structure that will include a specific number of satellites when designing satellite communications systems using low-orbit spacecraft for continuous coverage of the service territory by radio visibility zones (RVZ). As the satellites approach one another in orbit, their radio visibility zones overlap, thereby giving rise to mutual interference. To avoid this, it is necessary to ensure that the signals from individual satellites are separated. A variety f signal separation methods are employed, including frequency, time, waveform, spatial, polarization, etc., separation. The problem here is too achieve maximum repeated use of frequencies by means of such methods on different spacecraft and thereby minimize the total number of frequency bands required for each satellite too transmit data with a specific carrying capacity without mutual interference. Note that these group frequency signal bands are determined not only by the number of partial channels and the transmission rate but also by their type of modulation and the 'packing' density of channels on the frequency axis. However, this problem is not considered in this paper.</t>
  </si>
  <si>
    <t>25-29</t>
  </si>
  <si>
    <t>6603396396;57198218600;6508306404;7003797760</t>
  </si>
  <si>
    <t>Mescheryakov, V. I.;Sokolov, V. V.;Piltsov, V. A.;Zakharova, V. I.</t>
  </si>
  <si>
    <t>Mescheryakov V.</t>
  </si>
  <si>
    <t>Methods for the repeated use of frequencies in low-orbit satellite communication systems</t>
  </si>
  <si>
    <t>2-s2.0-0026947601</t>
  </si>
  <si>
    <t>['worth noting', 'specific applications', 'shall discuss', 'sce ).', 'overall complexity', 'main aspects', 'increasing integration', 'improving reliability', 'important role', 'higher play', 'frequency band', 'continuous increase', 'continuous improvement', 'circuit engineering', '1 ghz']</t>
  </si>
  <si>
    <t>Analog signal processors that use the frequency band up to 1 GHz or higher play an important role in modern satellite communications equipment (SCE). In considering the future for the development and incorporation of analog microminiature devices for SCE is worth noting the continuous improvement in circuit engineering and structural designs aimed at increasing integration and improving reliability, which are accompanied by a continuous increase in the overall complexity of the equipment. We shall discuss the main aspects of the development and specific applications of analog microelectric devices.</t>
  </si>
  <si>
    <t>44-45</t>
  </si>
  <si>
    <t>6603838837;6505519510</t>
  </si>
  <si>
    <t>Annenkov, Yu Z.;Yeudokimov, D. P.</t>
  </si>
  <si>
    <t>Annenkov Y.</t>
  </si>
  <si>
    <t>Development of analog microelectronic devices for satellite communications equipment</t>
  </si>
  <si>
    <t>2-s2.0-0026947602</t>
  </si>
  <si>
    <t>['zone service', 'radical improvement', 'power potential', 'limited solely', 'like methods', 'fundamental theoretical', 'experimental investigation', 'carrying capacity']</t>
  </si>
  <si>
    <t>Zone service provides a method for a radical improvement in the utilization of the power potential of satellite communications links and frequency bands assigned for their operation. The effectiveness of such methods is limited solely by the complexity of the apparatus, although even today it is possible to increase the carrying capacity by an order of magnitude. The problems of implementing multistation access with zone service, like methods of improving the flexibility of such systems, deserve a fundamental theoretical and experimental investigation.</t>
  </si>
  <si>
    <t>6602734810;7006236775</t>
  </si>
  <si>
    <t>Nemirovskiy, M. S.;Volkov, L. N.</t>
  </si>
  <si>
    <t>Nemirovskiy M.</t>
  </si>
  <si>
    <t>Promising multistation access systems and methods: characteristics and implementation problems</t>
  </si>
  <si>
    <t>2-s2.0-0026947605</t>
  </si>
  <si>
    <t>['station equipment', 'size considerably', 'satellite tracking', 'requirements imposed', 'obligatory improvements', 'mobile facilities', 'ins systems', 'ins accounts', 'important problem', 'form part', 'commonly included', 'based facilities', 'acs ).']</t>
  </si>
  <si>
    <t>An inertial navigation system (INS) is employed for satellite tracking by satellite radio communications stations employing directional antennas and installed on mobile facilities. INS systems are commonly included in equipment on aircraft and ships. The specification of the INS may either fully satisfy or not satisfy the requirements imposed on the system by the station. Many mobile facilities (ground-based facilities) do not have their own INS systems. In this case, they are included in the station equipment and form part of the antenna control system (ACS). The INS accounts for up to 30% of the volume and cost of equipment in existing satellite radio communications stations. Hence, obligatory improvements in INS performance characteristics will reduce equipment cost and size considerably. In this connection, the problem of developing a specialized inertial navigation systems (SINS) is an important problem.</t>
  </si>
  <si>
    <t>6701375073;6504610863;6506916178</t>
  </si>
  <si>
    <t>Vorobev, V. S.;Dyakov, O. P.;Norkin, G. A.</t>
  </si>
  <si>
    <t>Vorobev V.</t>
  </si>
  <si>
    <t>Problems of developing a specialized inertial navigation system for satellite radio communications stations on mobile facilities</t>
  </si>
  <si>
    <t>2-s2.0-0026947656</t>
  </si>
  <si>
    <t>['traveling vehicle', 'railroad car', 'output power', 'noise ratio', 'motor vehicle', 'may deviate', 'decisive effect']</t>
  </si>
  <si>
    <t>The characteristics of adaptive antenna arrays (AAA) installed on a traveling vehicle (aircraft, railroad car or motor vehicle) include the signal-to-noise ratio and the output power. These may deviate from the optimal values due to the motion of this vehicle. Since these characteristics have a decisive effect on the operation of mobile adaptive communications systems, it is necessary to employ special technical solutions aims at improving reception conditions.</t>
  </si>
  <si>
    <t>36-43</t>
  </si>
  <si>
    <t>Sobolev, A. P.</t>
  </si>
  <si>
    <t>Sobolev A.</t>
  </si>
  <si>
    <t>Use of data on the angular motion of a traveling vehicle in mobile adaptive antenna arrays</t>
  </si>
  <si>
    <t>2-s2.0-0026947657</t>
  </si>
  <si>
    <t>['satellite repeaters', 'domestic industry', 'consider methods', '66 ghz']</t>
  </si>
  <si>
    <t>Static multichannel microwave switches are of interest for application in satellite repeaters (RPT) designed for fixed zonal satellite communications systems. The development of multichannel switches operating directly within the millimeter operating band of the repeater (44-66 GHz) is a difficult engineering problem. Moreover, it is difficult to fabricate solid state (semiconductor or ferrite) switches with satisfactory characteristics within the framework of existing production capabilities, at least as far as domestic industry is concerned. In this paper we consider methods of fabricating an electromechanically controlled multichannel matrix switch.</t>
  </si>
  <si>
    <t>62-68</t>
  </si>
  <si>
    <t>7202403760;7004312503</t>
  </si>
  <si>
    <t>Orlov, A. G.;Platonov, N. I.</t>
  </si>
  <si>
    <t>Orlov A.G.</t>
  </si>
  <si>
    <t>Matrix waveguide switch for millimeter band multibeam antenna systems</t>
  </si>
  <si>
    <t>2-s2.0-0026949473</t>
  </si>
  <si>
    <t>['zones illuminated', 'working frequencies', 'subscribers located', 'single station', 'single point', 'satellite transmitter', 'satellite repeaters', 'satellite antenna', 'radiated signal', 'particularly serious', 'multibeam antennas', 'large majority', 'important advantages', 'illuminated zone', 'ground stations', 'global nature', 'frequency limit', 'final analysis', 'establish communications', 'different beams', 'carrying capacity']</t>
  </si>
  <si>
    <t>One of the important advantages of satellite communications systems is their global nature, although therein also lies a drawback: in the large majority of cases, the radiated signal is needed at a single point on the earth's surface, while the power from the satellite transmitter is radiated over the entire zone illuminated by the satellite antenna. The unused power losses from the satellite transmitter are greater, the larger the illuminated zone. The drawback is particularly serious in fixed communications service were the position of the ground stations is known in advance and on which high carrying capacity requirements are imposed. Multibeam antennas have recently been employed more extensively on satellite repeaters (RPT) to reduce the zone of useless transmitter power scattering. Their application has had two positive effects: first, the required signal energy radiated by the repeater and directed to the single station is reduced, which extends the threshold of the power limit n the carrying capacity f the repeater and, in the final analysis, makes possible communications with small inexpensive stations. Second, it permits multiple use of working frequencies (on different beams), which extends the threshold of the frequency limit on the carrying capacity. The price of these advantages in addition to more complex antennas include the need to incorporate signal switching in the repeater to establish communications between subscribers located in zones illuminated by different beams.</t>
  </si>
  <si>
    <t>Romanovskiy, M. I.</t>
  </si>
  <si>
    <t>Romanovskiy M.</t>
  </si>
  <si>
    <t>Features of multibeam satellite communications systems employing signal switching</t>
  </si>
  <si>
    <t>2-s2.0-0026949664</t>
  </si>
  <si>
    <t>['technology develops', 'sts converters', 'small size', 'required area', 'receiving antennas', 'one version', 'may occur', 'main approaches', 'important component', 'following requirements', 'enable devices', 'commercial manufacturing']</t>
  </si>
  <si>
    <t>Designers of satellite television stations (STS) have recently devoted considerable attention to STS converters -- an important component of ground-based STS receivers. As this field of technology develops, the following requirements on STS converters become increasingly important: a low noise factor, which reduces the required area of the receiving antennas, small size, which eliminates antenna blocking which may occur in the event of a small antenna area, and low labor costs in commercial manufacturing. In this paper we analyze the main approaches to the design of STS converters which enable devices to be developed that satisfy these requirements. One version of a converter is proposed.</t>
  </si>
  <si>
    <t>46-50</t>
  </si>
  <si>
    <t>6602970075;6602111934</t>
  </si>
  <si>
    <t>Alybin, V. G.;Dmitriyev, S. C.</t>
  </si>
  <si>
    <t>Alybin V.</t>
  </si>
  <si>
    <t>Satellite television converter</t>
  </si>
  <si>
    <t>2-s2.0-0026949665</t>
  </si>
  <si>
    <t>['terrain conditions', 'stations must', 'sparsely populated', 'russian federation', 'relatively inexpensive', 'obviously best', 'large number', 'isolated facilities', 'inaccessible regions', 'fairly small', 'easily transportable', 'develop communications', 'considerable portion', 'communications services']</t>
  </si>
  <si>
    <t>A considerable portion of the territory of the Russian Federation has a poorly developed communications infrastructure, and many populated regions and isolated facilities, particularly in remote or inaccessible regions, do not have communications services at all. It is obviously best to use satellite radio communications to develop communications in these territories. However, such communications will only be effective if the systems employed serve a large number of subscriber stations located at any, even the most sparsely populated, sites. For this purpose, the stations must be fairly small in size, easily transportable and installable under any terrain conditions and be relatively inexpensive.</t>
  </si>
  <si>
    <t>6508275150;57198218600</t>
  </si>
  <si>
    <t>Mescheryakov, B. I.;Sokolov, V. V.</t>
  </si>
  <si>
    <t>Mescheryakov B.</t>
  </si>
  <si>
    <t>Features of the design of satellite communications systems with spacecraft in circular orbits</t>
  </si>
  <si>
    <t>2-s2.0-0026949852</t>
  </si>
  <si>
    <t>['van tend', 'sufficiently strong', 'spread around', 'retardation instability', 'retardation effect', 'radiative damping', 'momentum equation', 'magnetic fields', 'magnetic field', 'kuperus equilibrium', 'greater heights', 'filament moves', 'filament goes', 'filament follows', 'energy build', 'emission process', 'destabilizing effect', 'current result']</t>
  </si>
  <si>
    <t>We investigate the influence of the finite Alfv√©n velocity on the evolution of an active region filament. In general, variations of a current result in variations of the magnetic fields which spread around with the Alfv√©n velocity. As a consequence of the fact that a magnetic field can only change with the Alfv√©n velocity, a filament will experience the photospheric boundary conditions as these were at an Alfv√©n travel time back in time. The inclusion of this retardation effect in the momentum equation of a filament leads effectively to an extra force term. This force contribution acts in the direction in which the filament moves and has therefore a destabilizing effect on the filament. Because a moving filament acts as an antenna of Alfv√©n waves, the filament loses energy by the emission process. This leads to a radiative damping term in the equation of motion of the filament. In general, the radiative damping will be sufficiently strong to counteract the retardation instability. Numerical simulations show that during the energy build-up phase a filament follows the van Tend-Kuperus equilibrium curve. After the van Tend-Kuperus equilibrium has disappeared the filament goes through a transient phase moving with a sub-Alfv√©nic velocity upward. At greater heights the repulsive Lorentz force of the photospheric surface current magnetic field is balanced by the radiative damping, resulting in a decreasing filament velocity. ¬© 1992 Kluwer Academic Publishers.</t>
  </si>
  <si>
    <t>113-129</t>
  </si>
  <si>
    <t>60070174;60070174</t>
  </si>
  <si>
    <t>6603436132;8942244500</t>
  </si>
  <si>
    <t>Van Den Oord, G. H.J.;Kuperus, M.</t>
  </si>
  <si>
    <t>Utrecht</t>
  </si>
  <si>
    <t>Sterrekundig Instituut Utrecht</t>
  </si>
  <si>
    <t>Van Den Oord G.</t>
  </si>
  <si>
    <t>The effect of retardation on the stability of current filaments</t>
  </si>
  <si>
    <t>10.1007/BF00156636</t>
  </si>
  <si>
    <t>2-s2.0-3142618324</t>
  </si>
  <si>
    <t>['weaker effect', 'small correlation', 'sbh instrument', 'relativistic electrons', 'radio burst', 'may 17', 'least part', 'june 10', 'isee 3', 'interplanetary space', 'helios spacecraft', 'given size', 'flare site', 'faiii bursts', 'electron event', 'clear indication', 'broad scatter', 'brightness temperature', 'accelerated together', '51 flare', '5 higher', '5 au', '49 %)', '25 bursts']</t>
  </si>
  <si>
    <t>For the time periods 1979 April 22-May 17 and 1980 May 9-June 10, when the HELIOS spacecraft were located inside 0.5 AU, we compared the antenna temperature TA of the 466 kHz type III bursts measured by the SBH instrument on ISEE 3 with the fluxes of ‚àº 0.5 MeV electrons measured by HELIOS. For 51 flare-associated kilometric type III bursts (FAIII bursts) with log(TA) &gt; 10 we find: (1) 25 bursts (49%) are accompanied by a relativistic electron event in interplanetary space, (2) the probability for detection of an electron event decreases from more than 74% inside a cone of ¬± 20 ¬∞ to 56% inside a cone of ¬± 60¬∞ around the flare site, (3) there is only a small correlation between the brightness temperature of the radio burst and the size of the electron event, and (4) despite the broad scatter of these values there is a clear indication that for a given size of the relativistic electron event the intensity of the type III burst is about a factor of 5 higher if it is accompanied by a type II burst. These results give evidence (a) that at least part of the relativistic electrons frequently is accelerated together with non-relativistic electrons and (b) that the coronal shock associated with the metric type II burst has a weaker effect on relativistic than on non-relativistic electrons. ¬© 1992 Kluwer Academic Publishers.</t>
  </si>
  <si>
    <t>143-155</t>
  </si>
  <si>
    <t>16420243000;6603283104;8424168800</t>
  </si>
  <si>
    <t>Hucke, S.;Kallenrode, M. B.;Wibberenz, G.</t>
  </si>
  <si>
    <t>Hucke S.</t>
  </si>
  <si>
    <t>Interplanetary type III radiobursts and relativistic electrons</t>
  </si>
  <si>
    <t>10.1007/BF00156638</t>
  </si>
  <si>
    <t>2-s2.0-33748605493</t>
  </si>
  <si>
    <t>1335-1343</t>
  </si>
  <si>
    <t>Electric field meter with dipole antenna in an alternating nonuniform electric field</t>
  </si>
  <si>
    <t>10.1007/BF01821927</t>
  </si>
  <si>
    <t>2-s2.0-34250073907</t>
  </si>
  <si>
    <t>['working frequency', 'three detectors', 'squid preamplifier', 'short pulse', 'resonant frequency', 'remote observed', 'recently reached', 'real time', 'november 1989', 'may 1990', 'march 1992', 'lsu antenna', 'last period', 'gravitational wave', 'first test', 'explorer antenna', 'cryogenic gravitational', 'coincidence analysis', 'best sensitivity', 'april 1991', '8 khz', '2500 kg', '2300 kg', '20 mk', '2 k', '1 khz', '0 k']</t>
  </si>
  <si>
    <t>Astronomical observations | Experimental tests of general relativity and observations of gravitational radiation</t>
  </si>
  <si>
    <t>We report on the experimental results obtained with the cryogenic Gravitational-Wave resonant detector ALTAIR located in Frascati (Italy) at the Istituto di Fisica dello Spazio Interplanetario of Consiglio Nazionale delle Ricerche. The peculiarity of this experiment is its working frequency. The first longitudinal mode of resonance of the antenna is at 1.8 kHz. The antenna, now equipped with a resonant capacitive transducer and a d.c. SQUID preamplifier, after a first test in November 1989, has operated almost continuously from May 1990. The best sensitivity, recently reached, expressed in terms of the effective noise temperature T eff, is 20 mK, corresponding, for a short pulse of gravitational wave, to a metric perturbation h of 3√ó10-18. In the last period of measurements (from April 1991 to March 1992) two other antennas were operating: the Explorer antenna (2300 kg, T=2.0 K) at CERN in Geneva and the LSU antenna (2500 kg, T=4.2 K) at Louisiana State University in USA, both having a resonant frequency below 1 kHz. The data of these three detectors can be remote observed, in real time, by the international computer network. Coincidence analysis between the data of these three detectors is in progress. ¬© 1992 Societ√† Italiana di Fisica.</t>
  </si>
  <si>
    <t>943-954</t>
  </si>
  <si>
    <t>60082962;60082962</t>
  </si>
  <si>
    <t>7004641893;6603743635</t>
  </si>
  <si>
    <t>Bonifazi, P.;Visco, M.</t>
  </si>
  <si>
    <t>Istituto di Fisica dello Spazio Interplanetario, Rome</t>
  </si>
  <si>
    <t>Bonifazi P.</t>
  </si>
  <si>
    <t>The ALTAIR cryogenic gravitational-wave experiment</t>
  </si>
  <si>
    <t>10.1007/BF02506687</t>
  </si>
  <si>
    <t>2-s2.0-51249165868</t>
  </si>
  <si>
    <t>['virgo suspensions', 'special suspensions', 'seismic noise', 'preliminary results', 'permanent magnets', 'optical components', 'given together', 'frequency region', 'frequency range', 'based antenna', '10 hz']</t>
  </si>
  <si>
    <t>Experimental tests of general relativity and observations of gravitational radiation</t>
  </si>
  <si>
    <t>To detect gravitational waves (GW) in a frequency range between 10 Hz and few kHz a ground-based antenna was designed by the French-Italian collaboration VIRGO. The antenna is a 3 km long interferometer with special suspensions for the optical components, planned to reduce the seismic noise in order to reach the low-frequency region. Results on the seismic isolation devices are given together with some preliminary results on the use of permanent magnets on the VIRGO suspensions. ¬© 1992 Societ√† Italiana di Fisica.</t>
  </si>
  <si>
    <t>955-971</t>
  </si>
  <si>
    <t>Giazotto, A.</t>
  </si>
  <si>
    <t>Pisa</t>
  </si>
  <si>
    <t>Istituto Nazionale di Fisica Nucleare, Sezione di Pisa</t>
  </si>
  <si>
    <t>Giazotto A.</t>
  </si>
  <si>
    <t>Wide-band measurement of gravitational waves: the VIRGO project</t>
  </si>
  <si>
    <t>10.1007/BF02506688</t>
  </si>
  <si>
    <t>2-s2.0-51249166496</t>
  </si>
  <si>
    <t>['treated perturbatively', 'string may', 'resonant phenomenon', 'large extent', 'incident wave', 'gravitational waves', 'gravitational wave', 'gravitational interaction', 'fixed ends', 'e ¬±', 'condition k']</t>
  </si>
  <si>
    <t>04.80 | 11.17 | Experimental tests of general relativity and observations of gravitational radiation | Theories of strings and other extended objects</t>
  </si>
  <si>
    <t>We consider the motion of a string with fixed ends, under the influence of a plane monochromatic gravitational wave. The gravitational interaction is treated perturbatively and by choosing an appropriate orthonormal gauge the equations of motion are simplified to a large extent. A resonant phenomenon is observed when the condition k(E¬±T 0 d)=2œÄT 0 n is satisfied, where k(E) is the energy of the gravitational wave (string) and d is the length of the string projected along the direction of the incident wave. We suggest that the string may be used as a detector for gravitational waves. ¬© 1992 Societ√† Italiana di Fisica.</t>
  </si>
  <si>
    <t>1261-1266</t>
  </si>
  <si>
    <t>Il Nuovo Cimento B Series 11</t>
  </si>
  <si>
    <t>60015331;60015331</t>
  </si>
  <si>
    <t>6603718965;6506939669</t>
  </si>
  <si>
    <t>Nicolaidis, A.;Taramopoulos, A.</t>
  </si>
  <si>
    <t>Thessaloniki</t>
  </si>
  <si>
    <t>Aristotle University of Thessaloniki</t>
  </si>
  <si>
    <t>Nicolaidis A.</t>
  </si>
  <si>
    <t>String as a gravitational antenna</t>
  </si>
  <si>
    <t>10.1007/BF02726091</t>
  </si>
  <si>
    <t>2-s2.0-51649145306</t>
  </si>
  <si>
    <t>Emory Eye Center</t>
  </si>
  <si>
    <t>EEC</t>
  </si>
  <si>
    <t>['¬© 1992', 'rhodopseudomonas palustris', 'rhodobacter sphaeroides', 'resolved spectroscopy', 'rather different', 'light b800', 'harvesting complexes', 'conserved arrangement', 'comparison shows', 'b850 occurs', 'b850 component', 'b800 component', 'b800 band', '850 equivalent', '850 complex', '850 antenna']</t>
  </si>
  <si>
    <t>(Rhodopseudomonas palustris) | Antenna complex | Light harvesting complex | Photosynthetic bacteria | Spectroscopic study</t>
  </si>
  <si>
    <t>The low-light B800-850 antenna-complex from Rhodopseudomonas palustris has been studied using polarized-light and time-resolved spectroscopy. The low-light B800-850 complex from Rps. palustris is compared with its high-light B800-850 equivalent from the same species, and with the B800ndash;850 complex from Rhodobacter sphaeroides. The comparison shows that the B850 component of all these light-harvesting complexes is very similar, indicating a conserved arrangement of the bacteriochlorophyll molecules contributing to this band. However, the B800 component of these light-harvesting complexes is rather different. In contrast to the B800-850 of Rb. sphaeroides, the low-light B800-850 complex of Rps. palustris shows strong exciton splitting of the B800 band as manifested by the low-temperature circular-, linear dichroism and polarized fluorescence spectra in the 800 nm spectral region. Moreover, picosecond absorption recovery measurements indicate that fast excitation energy transfer processes take place within the 800 nm band before transfer to B850 occurs. The results are explained by the increased B800 pigment density in the low-light B800-850 complex, resulting in relatively strong bacteriochlorophyll (BChl) a-BChl a interactions. ¬© 1992.</t>
  </si>
  <si>
    <t>85-93</t>
  </si>
  <si>
    <t>60008734;60001490;60008734;60001490-60031101;60001490;60031040;60008734</t>
  </si>
  <si>
    <t>7003691142;6602660561;16225384600;7404539442;7006465617;7006706612;35599806700</t>
  </si>
  <si>
    <t>van Mourik, Frank;Hawthornthwaite, Anna M.;Vonk, Carine;Evans, Mark B.;Cogdell, Richard J.;Sundstr√∂m, Villy;van Grondelle, Rienk</t>
  </si>
  <si>
    <t>United Kingdom;Sweden;Netherlands;United Kingdom</t>
  </si>
  <si>
    <t>Cambridge;Umea;Amsterdam;Glasgow</t>
  </si>
  <si>
    <t>University of Cambridge;Ume√• Universitet;Vrije Universiteit Amsterdam;University of Glasgow</t>
  </si>
  <si>
    <t>60031101;60031040;60008734;60001490</t>
  </si>
  <si>
    <t>van Mourik F.</t>
  </si>
  <si>
    <t>Spectroscopic characterization of the low-light B800-850 light-harvesting complex of Rhodopseudomonas palustris, strain 2.1.6</t>
  </si>
  <si>
    <t>000527289290023U</t>
  </si>
  <si>
    <t>10.1016/0005-2728(92)90023-U</t>
  </si>
  <si>
    <t>2-s2.0-0026440503</t>
  </si>
  <si>
    <t>['¬© 1992', 'somewhat faster', 'reaction center', 'rapid process', 'ps decay', 'kinetics showed', 'heliobacterium chlorum', 'excitation energy', 'essentially equal', 'energy transfer', 'efficient quencher', 'earlier measurements', 'bleaching maximum', 'ao occurs', 'antenna excitations', 'acta 1058', '798 nm', '670 nm', '585 nm', '344 ).', '20 ps', '100 ps', '10 ps', '., aartsma']</t>
  </si>
  <si>
    <t>(H. chlorum) | Charge separation | Energy transfer | Picosecond transient absorption | Primary electron acceptor</t>
  </si>
  <si>
    <t>Transfer of excitation energy to the reaction center and photo-oxidation of the primary electron donor, P798, were studied in membranes of Heliobacterium chlorum with a time-resolution of 10 ps or less. The absorption difference spectrum of excited antenna pigments was dominated by a bleaching around 805 nm and analysis of the kinetics showed that the life-time of excited antenna BChl g was essentially equal (about 20 ps) for all three spectral BChl g species, BChl g 778, BChl g 793 and BChl g 808. This indicates that the excitation energy rapidly equilibrates within the antenna and that most of the excitations have accumulated on BChl g 808 within a few ps after excitation. The 20-ps decay is attributed to energy transfer to the reaction center. After 100 ps, the excited BChl g had dissappeared and the remaining absorption difference signal showed a bleaching maximum at 798 nm, caused by the oxidation of the primary electron donor, P798. The rate of decay of antenna excited states was somewhat faster in the presence of P798+ than with reduced reaction centers, which is in agreement with earlier measurements that showed that P798+ is an efficient quencher of fluorescence (Deinum, G., Kramer, H., Kleinherenbrink, F.A.M., Aartsma, T.J. and Amesz, J. (1991) Biochim. Biophys. Acta 1058, 339-344). The time-resolved absorption difference spectrum also showed a bleaching around 670 nm, due to reduction of the primary electron acceptor, Ao, which was induced upon excitation at 585 nm, as well as in the Qy-band of antenna BChl g. From the kinetics at 670 nm, we conclude that the reduction of Ao occurs at essentially the same rate as the decay of antenna excitations, indicating that charge-separation is a very rapid process. ¬© 1992.</t>
  </si>
  <si>
    <t>15-21</t>
  </si>
  <si>
    <t>7006490282;6506043214;7003777767;7004456032</t>
  </si>
  <si>
    <t>Van Noort, Paula I.;Gormin, David A.;Aartsma, Thijs J.;Amesz, Jan</t>
  </si>
  <si>
    <t>Van Noort P.</t>
  </si>
  <si>
    <t>Energy transfer and primary charge separation in Heliobacterium chlorum studied by picosecond time-resolved transient absorption spectroscopy</t>
  </si>
  <si>
    <t>000527289290014S</t>
  </si>
  <si>
    <t>10.1016/0005-2728(92)90014-S</t>
  </si>
  <si>
    <t>2-s2.0-0026469787</t>
  </si>
  <si>
    <t>['¬© 1992', 'wavelengths longer', 'spectral forms', 'spectral equilibration', 'several tens', 'respectively ).', 'probe techniques', 'pcc 6301', 'occurs irrespective', 'lifetime components', 'isotropic profiles', 'initial anisotropies', 'identical pump', 'excitation wavelengths', 'excitation wavelength', 'different combinations', 'core antenna', 'contains approx', 'color studies', 'color pump', 'color experiments', 'amplitude components', '680 nm', '676 nm', '670 nm', '657 nm', '5 ps', '14 ps', '100 chlorophyll']</t>
  </si>
  <si>
    <t>(Synechococcus) | Antenna | Chlorophyll a | Cyanobacterium | Photosystem I | Pump-probe spectroscopy | Ultrafast spectroscopy</t>
  </si>
  <si>
    <t>Time-resolved absorption difference profiles were obtained using one-color and two-color pump-probe techniques on the P700-containing core protein from the blue-green bacterium Synechococcus sp. PCC 6301, which contains approx. 100 chlorophyll (Chl) a antenna pigments per reaction center. Excitation wavelengths in the two-color studies were 665 and 680 nm; probe wavelengths ranged from 650 to 676 nm. The isotropic absorption difference spectra show evidence for rapid equilibration among Chl a spectral forms in the core antenna. In addition, they exhibit a dynamic blue shift with lifetime ‚àº 9-14 ps, which occurs irrespective of excitation wavelength. Analyses of isotropic profiles for different combinations of pump and probe wavelengths yield four families of lifetime components: &lt; 5 ps, which is attributed to spectral equilibration; 9-14 ps; several tens of ps (observed at wavelengths longer than 665 nm); and at least several hundred ps (observed at probe wavelengths 650 and 657 nm under 665 nm excitation). Anisotropic decays observed with identical pump and probe wavelengths exhibit large-amplitude components with easily resolved lifetimes (‚àº 15 ps and ‚àº 7 ps at 665 and 670 nm, respectively). The initial anisotropies are &lt; 0.4, indicating that much faster depolarization processes also occur in these one-color experiments. The two-color anisotropy functions tend to be dominated by unresolvably fast decay, suggesting that mainstream energy transfer steps in the core antenna occur on a subpicosecond time scale. ¬© 1992.</t>
  </si>
  <si>
    <t>60008023;60008023;60008023</t>
  </si>
  <si>
    <t>7407162691;7007181446;57193129444</t>
  </si>
  <si>
    <t>Lin, Su;van Amerongen, Herbert;Struve, Walter S.</t>
  </si>
  <si>
    <t>Lin S.</t>
  </si>
  <si>
    <t>Ultrafast pump-probe spectroscopy of the P700- and F&lt;inf&gt;x&lt;/inf&gt;-containing Photosystem I core protein from Synechococcus sp. PCC 6301 (Anacystis nidulans)</t>
  </si>
  <si>
    <t>000527289290013R</t>
  </si>
  <si>
    <t>10.1016/0005-2728(92)90013-R</t>
  </si>
  <si>
    <t>2-s2.0-0026484969</t>
  </si>
  <si>
    <t>['previous work', 'performance improvement', 'paper proposes', 'noise ratio', 'method proposed', 'method exploits', 'desired signal', 'deliberate jamming', 'correlated interferences', 'beamformer using', 'band case']</t>
  </si>
  <si>
    <t>The correlation between the desired signal and unwanted interferences exists in situations of multipath and deliberate jamming, and it can degrade the performance of an antenna array significantly. Most of the previous work to cancel the correlated interferences has been for the narrow-band case. This paper proposes and analyzes a method to cancel the correlated broadband directional interferences. The method exploits the structure of the array correlation matrix to achieve the performance improvement. Examples are included to show that, in the presence of broadband correlated arrivals, the beamformer using the method proposed in the paper is able to achieve very high output signal-to-noise ratio in comparison to the optimal and the conventional beamforming methods.</t>
  </si>
  <si>
    <t>2702-2708</t>
  </si>
  <si>
    <t>Godara, L. C.</t>
  </si>
  <si>
    <t>Canberra</t>
  </si>
  <si>
    <t>University of New South Wales at Australian Defence Force Academy</t>
  </si>
  <si>
    <t>Godara L.C.</t>
  </si>
  <si>
    <t>Beamforming in the presence of broadband correlated arrivals</t>
  </si>
  <si>
    <t>10.1121/1.404386</t>
  </si>
  <si>
    <t>2-s2.0-0026442191</t>
  </si>
  <si>
    <t>['white noise', 'thermoelastic regime', 'significant improvement', 'shown experimentally', 'separation distance', 'noise ratio', 'line sources', 'line source', 'like narrow', 'interferometric system', 'greater part', 'generated using', 'effective number', 'easy control', 'detected signal', 'array parameters']</t>
  </si>
  <si>
    <t>Tone-burst-like narrow-band surface waves are generated in the thermoelastic regime by illuminating the surface of a solid with an array of laser-generated line sources. The laser line array is formed by a system of lenses and an optical diffraction grating that provide for flexible and easy control of the line-array parameters. It is shown experimentally, consistent with theory, that the generation of narrow-band surface waves can be controlled by adjusting the line-array parameters such as the number of line sources in the array, the width of each line source, and the separation distance between them. Certain optimum generation conditions are experimentally determined whereby the amplitude of the narrow-band surface waves can be increased by a factor of N (the effective number of lines in the array) over the corresponding broadband signals that would be generated using only a single line source. A laser-interferometric system is used to detect the generated surface waves. By suitably bandpass filtering the detected signal, the greater part of the white noise in the system can be eliminated, leading to a significant improvement in the signal-to-noise ratio and hence the sensitivity of the whole laser ultrasonic system.</t>
  </si>
  <si>
    <t>2527-2531</t>
  </si>
  <si>
    <t>60007363;60007363;60007363</t>
  </si>
  <si>
    <t>13607579500;7101611733;35563664200</t>
  </si>
  <si>
    <t>Huang, J.;Krishnaswamy, S.;Achenbach, J. D.</t>
  </si>
  <si>
    <t>Laser generation of narrow-band surface waves</t>
  </si>
  <si>
    <t>10.1121/1.404422</t>
  </si>
  <si>
    <t>2-s2.0-0026458268</t>
  </si>
  <si>
    <t>['temporal evolution', 'power absorption', 'plasma transport', 'plasma production', 'plasma densities', 'numerical simulation', 'dimensional model', 'cylindrical system', 'antenna location']</t>
  </si>
  <si>
    <t>For the numerical simulation of electron cyclotron resonance plasma production, a two-dimensional model that describes wave propagation and plasma transport is developed. The modeling code calculates profiles of electromagnetic wave fields, power absorption of electrons, and temporal evolution of plasma densities in a bounded, inhomogeneous, cylindrical system. The calculation of the plasma production in a mirror magnetic field shows that the plasma production property is very sensitive to the antenna location.</t>
  </si>
  <si>
    <t>2652-2658</t>
  </si>
  <si>
    <t>Journal of Applied Physics</t>
  </si>
  <si>
    <t>60011001;60023147;60011001;60011001</t>
  </si>
  <si>
    <t>56102798000;7005509402;7006582192;6701429033</t>
  </si>
  <si>
    <t>Yasaka, Yasuyoshi;Fukuyama, Atsushi;Hatta, Akimitsu;Itatani, Ryohei</t>
  </si>
  <si>
    <t>Okayama;Kyoto</t>
  </si>
  <si>
    <t>Okayama University;Kyoto University</t>
  </si>
  <si>
    <t>60023147;60011001</t>
  </si>
  <si>
    <t>Yasaka Y.</t>
  </si>
  <si>
    <t>Two-dimensional modeling of electron cyclotron resonance plasma production</t>
  </si>
  <si>
    <t>10.1063/1.351566</t>
  </si>
  <si>
    <t>2-s2.0-0000096322</t>
  </si>
  <si>
    <t>['trapped charge', 'surface states', 'sio2 interface', 'simulation program', 'sheath model', 'plasma leads', 'plasma etching', 'oxide damage', 'local imbalance', 'ion currents', 'gate charging', 'article discusses', 'antenna capacitors']</t>
  </si>
  <si>
    <t>A model is developed to explain how plasma etching/ashing can damage gate covered oxides via plasma nonuniformity. In addition, the role of antenna structure parameters on this damage is examined. Plasma nonuniformity leads to a local imbalance between electron and ion currents from the plasma. This imbalance of local particle currents from the plasma leads to gate charging and subsequent thin oxide degradation. This article discusses a sheath model for this charging where measurements of plasma potential nonuniformity are used to calculate the peak surface charging potential and subsequent thin oxide tunneling current. It is this oxide tunneling current that generates the surface states at the Si/SiO2 interface and the trapped charge in the oxide that degrades oxide yield and reliability. This model is applied to analyze oxide damage in an O2 magnetron plasma, via the simulation program with integrated circuits emphasis, Langmuir probe measurements, and antenna capacitor breakdown measurements. The oxide current derived from this model shows good agreement with experimental damage data of antenna capacitors. Finally, oxide damage is shown to depend on antenna structure parameters and is explained by this model.</t>
  </si>
  <si>
    <t>4865-4872</t>
  </si>
  <si>
    <t>Charging damage to gate oxides in an O&lt;inf&gt;2&lt;/inf&gt; magnetron plasma</t>
  </si>
  <si>
    <t>10.1063/1.352051</t>
  </si>
  <si>
    <t>2-s2.0-0000323364</t>
  </si>
  <si>
    <t>['two types', 'thermal link', 'rome group', 'new generation', 'mechanical suspension', 'dilution refrigerator', 'crucial problem', '1 k']</t>
  </si>
  <si>
    <t>We discuss here the use of a mechanical suspension for the new generation of resonant gravitational wave antennas, cooled at temperatures below 0.1 K. The crucial problem of these detectors is the isolation from all external mechanical vibrations in the presence of the unavoidable solid thermal link with a dilution refrigerator. Measurements of the mechanical transfer function performed with two types of suspension-thermal link configurations are reported. This study has led to the design of the suspension and thermal link of the first ultralow temperature antenna of the Rome group "Nautilus.".</t>
  </si>
  <si>
    <t>5432-5434</t>
  </si>
  <si>
    <t>Review of Scientific Instruments</t>
  </si>
  <si>
    <t>7005568912;7003483214;7003738313</t>
  </si>
  <si>
    <t>Coccia, E.;Fafone, V.;Modena, I.</t>
  </si>
  <si>
    <t>Coccia E.</t>
  </si>
  <si>
    <t>Suspension and thermal link of an ultralow temperature gravitational wave antenna</t>
  </si>
  <si>
    <t>10.1063/1.1143414</t>
  </si>
  <si>
    <t>2-s2.0-0001027612</t>
  </si>
  <si>
    <t>['submillisecond pulsars', 'reached 3', 'quadrupole mode', 'original frequency', 'objective frequency', 'easily tuned', 'antenna made', 'almost half', '2 k']</t>
  </si>
  <si>
    <t>A new-type disk antenna has been developed to search for continuous gravitational waves emitted from millisecond and submillisecond pulsars. The antenna not only has a wide tunable range of the eigenfrequency that covers down to almost half of the original frequency of the quadrupole mode, but also is easily tuned to an objective frequency with an accuracy of 4√ó10 -5 at 4.2 K. The mechanical quality factor has reached 3.0√ó107 at 4.2 K in an antenna made of Al5056.</t>
  </si>
  <si>
    <t>1880-1883</t>
  </si>
  <si>
    <t>60003218-60025272;60025272;60003218;60003218;60003218-60025272</t>
  </si>
  <si>
    <t>55548726800;57215787442;23985950800;35740802700;16414277700</t>
  </si>
  <si>
    <t>Suzuki, T.;Akasaka, N.;Ogawa, Y.;Kudo, N.;Morimoto, K.</t>
  </si>
  <si>
    <t>The University of Tokyo;High Energy Accelerator Research Organization, Tsukuba</t>
  </si>
  <si>
    <t>60025272;60003218</t>
  </si>
  <si>
    <t>Suzuki T.</t>
  </si>
  <si>
    <t>A new-type antenna for continuous gravitational radiation</t>
  </si>
  <si>
    <t>10.1063/1.1143298</t>
  </si>
  <si>
    <t>2-s2.0-0001968275</t>
  </si>
  <si>
    <t>['two bits', 'track locomotion', 'stereotypical behaviors', 'small animals', 'electronically polling', 'detect location', 'das capable', 'das ).', 'contact plates', 'antenna effect', 'animal passes', 'acquisition system']</t>
  </si>
  <si>
    <t>A simple electronic device to detect location or to track locomotion of small animals is described. The device is based on an antenna effect-it responds to a change in capacitance as the body of the animal passes between an antenna and one of a series of contact plates. A digital address system is incorporated that is capable of electronically polling the contact plates according to instructions from a data-acquisition system (DAS). Any DAS capable of generating an address of two bits or more and of reading a one-bit data line may be employed. The device is ideal for mazes or other apparatus in which the exclusion of stereotypical behaviors is desired. ¬© 1992 Psychonomic Society, Inc.</t>
  </si>
  <si>
    <t>515-518</t>
  </si>
  <si>
    <t>Behavior Research Methods, Instruments, &amp; Computers</t>
  </si>
  <si>
    <t>60014232;60014232;60014232</t>
  </si>
  <si>
    <t>7403070868;55727434500;7004253468</t>
  </si>
  <si>
    <t>Clarke, Rex L.;Smith, Robert F.;Justesen, Don R.</t>
  </si>
  <si>
    <t>VA Medical Center</t>
  </si>
  <si>
    <t>Clarke R.</t>
  </si>
  <si>
    <t>A programmable proximity-contact sensor to detect location or locomotion of animals</t>
  </si>
  <si>
    <t>10.3758/BF03203597</t>
  </si>
  <si>
    <t>2-s2.0-0003670816</t>
  </si>
  <si>
    <t>['œºg cartridges', 'trienal blended', 'trienal alone', 'spiking cell', 'spikes evoked', 'spike amplitude', 'significantly different', 'least 0', 'large cell', 'elicit spiking', 'electrophysiological activity', 'effective mimic', 'dodecatrienyl formate', 'dispensers containing', 'date gardens', 'compounds stimulated', 'cartridges loaded', 'carob moth', 'attracting males', '1 œºg']</t>
  </si>
  <si>
    <t>(Z,E)-7,9,11-dodecatrienyl formate | (Z,E)-9,11,13-tetradecatrienal | attractant | electrophysiology | Lepidoptera | mimic | Pyralidae | receptor cell | sex pheromone | wind tunnel</t>
  </si>
  <si>
    <t>The behavioral and electrophysiological activity of a mimic [(Z,E)7,9,11-dodecatrienyl formate] of the major sex pheromone component [(Z,E) 9,11,13-tetradecatrienal] of carob moth was assessed. Wind-tunnel bioassays demonstrated that the formate was as effective as natural gland extracts, and significantly more effective than the trienal alone or than the trienal blended with two minor pheromone components, in evoking source contact. Dispensers containing the formate were as effective as trienal-containing blend lures in attracting males when placed at the same dosage in traps in date gardens. Single-cell recordings showed that at least two olfactory neurons, differentiated by spike amplitude, are located in the long trichoid hairs on male carob moth antennae. Dose-response relationships indicated that puffs from cartridges loaded with at least 0.1 Œºg of the formate or of the trienal were necessary to elicit spiking by either the small or the large-spiking cell within a sensillum. Cross-adaptation studies demonstrated that both compounds stimulated the same large-spiking cell. The frequencies of spikes evoked from the large cell when stimulated by emissions from 0.1-Œºg, 1-Œºg, or 10-Œºg cartridges of either the formate or the trienal were not significantly different, suggesting that the formate is an effective mimic of the trienal at the antennal receptor cell level. ¬© 1992 Plenum Publishing Corporation.</t>
  </si>
  <si>
    <t>2331-2352</t>
  </si>
  <si>
    <t>60029526;60029526;60029526;60029526</t>
  </si>
  <si>
    <t>7402060011;7203077089;7103032996;7402604731</t>
  </si>
  <si>
    <t>Todd, J. L.;Millar, J. G.;Vetter, R. S.;Baker, T. C.</t>
  </si>
  <si>
    <t>Todd J.</t>
  </si>
  <si>
    <t>Behavioral and electrophysiological activity of (Z,E)-7,9,11-dodecatrienyl formate, a mimic of the major sex pheromone component of carob moth, Ectomyelois ceratoniae</t>
  </si>
  <si>
    <t>10.1007/BF00984953</t>
  </si>
  <si>
    <t>2-s2.0-0005244177</t>
  </si>
  <si>
    <t>['two techniques', 'two configurations', 'semiconductor laser', 'quantum efficiencies', 'optically generate', 'mode locking', 'millimeter waves', 'heterodyne detected', 'dipole antennas', '60 ghz']</t>
  </si>
  <si>
    <t>Millimeter wave sources at 60 GHz have been demonstrated using optically driven heterojunction bipolar transistors configured as photodetectors. Two techniques were used to optically generate the millimeter waves; the mixing of two cw lasers and the mode locking of a semiconductor laser. The millimeter wave power generated from these two configurations was radiated into free space using integrated planar twin-dipole antennas and heterodyne detected with signal-to-noise ratios ‚â≥40 dB. As part of these experiments, the dc optical gains and quantum efficiencies of the heterojunction bipolar transistor photodetectors were determined.</t>
  </si>
  <si>
    <t>Applied Physics Letters</t>
  </si>
  <si>
    <t>7404952877;7006054958;7006388096</t>
  </si>
  <si>
    <t>Scott, D. C.;Plant, D. V.;Fetterman, H. R.</t>
  </si>
  <si>
    <t>Scott D.C.</t>
  </si>
  <si>
    <t>60 GHz sources using optically driven heterojunction bipolar transistors</t>
  </si>
  <si>
    <t>10.1063/1.107648</t>
  </si>
  <si>
    <t>2-s2.0-0006579456</t>
  </si>
  <si>
    <t>['zero phase', 'wide range', 'textor using', 'textor ),', 'successful operation', 'screenless antenna', 'plasma temperature', 'plasma conditions', 'operational conditions', 'fs ),', 'first demonstration', 'etc .,', 'antenna conductor']</t>
  </si>
  <si>
    <t>After the first demonstration of successful operation with ion cyclotron resonance heating (ICRH) on TEXTOR using an antenna without Faraday shield (FS), a further comparison of an antenna with FS and an antenna without FS has been made over a wide range of plasma conditions (including the improved confinement regime on TEXTOR), in zero phase and pi phase operation, using various heating scenarios. No restriction in the operational conditions was found to exist for the screenless antenna. A theoretical analysis shows that antenna side limiters are sufficient to protect the antenna conductor from the plasma and that the plasma in front of the antenna can take over the role of the FS without introducing additional losses. The impact of the operation with both antennas on plasma temperature, density, energy, impurities, etc., is discussed in detail.</t>
  </si>
  <si>
    <t>1913-1925</t>
  </si>
  <si>
    <t>I03</t>
  </si>
  <si>
    <t>Nuclear Fusion</t>
  </si>
  <si>
    <t>60004280;60004280;60004280;60004280;60004280;60004280;60004280;60004280;60004280;60004280;60004280;60004280;60004280;60004280;60004280;60004280</t>
  </si>
  <si>
    <t>22996159600;55663908500;22995740800;55665662600;7006330022;55663810700;55663694600;55665087500;55666127300;55665050900;22995474800;55664332600;55665871600;55667134300;22996071500;55663632100</t>
  </si>
  <si>
    <t xml:space="preserve">R. Van Nieuwenhove, ;R. Koch, ;G. Van Oost, ;J.a. Boedo, ;P. Dumortier, ;F. Durodie, ;P. Lamalle, ;D. Lebeau, ;A.m. Messiaen, ;J. Ongena, ;B. Schweer, ;C. Stickelmann, ;G. Telesca, ;P.e. Vandenplas, ;G. Van Wassenhove, ;M. Vervier, </t>
  </si>
  <si>
    <t xml:space="preserve">R. Van Nieuwenhove </t>
  </si>
  <si>
    <t>Comparison of the performance of ICRF antennas with and without Faraday shield on TEXTOR</t>
  </si>
  <si>
    <t>10.1088/0029-5515/32/11/I03</t>
  </si>
  <si>
    <t>2-s2.0-0006740344</t>
  </si>
  <si>
    <t>['‚ àº25', 'w pe', 'two places', 'region wce', 'present scheme', 'plasma parameters', 'plasma density', 'mirror throat', 'microwave frequencies', 'magnetic field', 'helical coil', 'electron temperature', 'electron cyclotron', 'ecr region', 'coupling microwave', '650 w', '45 ghz']</t>
  </si>
  <si>
    <t>In this ECR ion source, the possibility of maintaining the plasma by slow wave structures (SWS), helical coil, and slotted line antennas, in the region where wce, wpe ‚â´ wrf (wce, w pe, and wrf are electron cyclotron, plasma, and microwave frequencies, respectively) is exploited. The plasma parameters, plasma density, and electron temperature are maximized by coupling microwave (frequency: 2.45 GHz; power: 650 W) at two places in a magnetic mirror machine (mirror ratio Rm = 1.45) to obtain higher beam current. Initially, the plasma is produced by coupling microwave to SWS at the mirror throat. The microwave is coupled by exciting the dominant slow wave field component of SWS, using an E-plane horn antenna. Then the plasma is brought to the region wce, wpe ‚â´ wrf at the mirror throat by increasing the magnetic field. Simultaneously, the ECR region is shifted from mirror throat to the center where second microwave coupling is done at the resonant region using another horn antenna. The characterization of plasma parameters are presented for both helical coil and slotted line antennas. Enhancement of plasma parameters are observed in the present scheme. Also, the SLA is found to produce better plasmas (ne ‚àº 7 √ó 1012 cm-3 and Te ‚àº 12 eV) than the helical coil and hence the SLA is chosen for the ion beam characterization. The extracted ion beam current density in the present scheme is ‚àº25 mA/cm2 at 2-kV extraction voltage.</t>
  </si>
  <si>
    <t>2525-2528</t>
  </si>
  <si>
    <t>60008263;60008263;60008263</t>
  </si>
  <si>
    <t>7004238247;55916063300;6701849946</t>
  </si>
  <si>
    <t>Baskaran, R.;Jain, S. K.;Ramamurthi, S. S.</t>
  </si>
  <si>
    <t>Indore</t>
  </si>
  <si>
    <t>Raja Ramanna Centre for Advanced Technology</t>
  </si>
  <si>
    <t>Baskaran R.</t>
  </si>
  <si>
    <t>ECR ion source using slow wave structures</t>
  </si>
  <si>
    <t>10.1063/1.1142877</t>
  </si>
  <si>
    <t>2-s2.0-0007302046</t>
  </si>
  <si>
    <t>['solving maxwell', 'electromagnetic equations']</t>
  </si>
  <si>
    <t>The effect of a weak plane gravitational wave on a beam of light is analysed by solving Maxwell's electromagnetic equations in a curved background geometry. The results are applied to the consideration of the function of laser-interferometric GW antennae.</t>
  </si>
  <si>
    <t>1385-1394</t>
  </si>
  <si>
    <t>Classical and Quantum Gravity</t>
  </si>
  <si>
    <t>Lobo, J. A.</t>
  </si>
  <si>
    <t>Universitat de Barcelona</t>
  </si>
  <si>
    <t>Lobo J.</t>
  </si>
  <si>
    <t>Effect of a weak plane GW on a light beam</t>
  </si>
  <si>
    <t>10.1088/0264-9381/9/5/019</t>
  </si>
  <si>
    <t>2-s2.0-0009086956</t>
  </si>
  <si>
    <t>['results compare', 'q factors', 'predicted using', 'linear relationship', 'impurity level', 'finite conductivity', 'copper counterparts', '77 k']</t>
  </si>
  <si>
    <t>The radar cross section and Q factors of electrically small dipole and loop antennas made with a YBCO high Tc superconductor are predicted using a two-fluid-moment method model, in order to determine the effects of finite conductivity on the performances of such antennas. The results compare the useful operating bandwidths of YBCO antennas exhibiting varying degrees of impurity with their copper counterparts at 77 K, showing a linear relationship between bandwidth and impurity level.</t>
  </si>
  <si>
    <t>60001881;60001881;60001881;60001881</t>
  </si>
  <si>
    <t>55328764600;6701323282;7007084505;7401707506</t>
  </si>
  <si>
    <t>Cook, G. G.;Khamas, S. K.;Kingsley, S. P.;Woods, R. C.</t>
  </si>
  <si>
    <t>Cook G.</t>
  </si>
  <si>
    <t>Performance prediction of high T&lt;inf&gt;c&lt;/inf&gt; superconducting small antennas using a two-fluid-moment method model</t>
  </si>
  <si>
    <t>10.1063/1.107344</t>
  </si>
  <si>
    <t>2-s2.0-0010465090</t>
  </si>
  <si>
    <t>['spectroscopy ).', 'space mm', 'sampling circuits', 'receiving elements', 'received pulse', 'fourier transformation', 'experimental apparatus', 'article describes', '3 db']</t>
  </si>
  <si>
    <t>This article describes an experimental apparatus for free-space mm-wave transmission measurements (spectroscopy). GaAs nonlinear transmission lines and sampling circuits are used as picosecond pulse generators and detectors, with planar monolithic bowtie antennas with associated substrate lenses used as the radiating and receiving elements. The received pulse is 270 mV amplitude and 2.4 ps rise time. Through Fourier transformation of the received pulse, 30-250 GHz measurements are demonstrated with ‚â§0.3 dB (rms) accuracy.</t>
  </si>
  <si>
    <t>2829-2831</t>
  </si>
  <si>
    <t>60029241;60029241;60029241;60029241;60029241;60029241;60031581</t>
  </si>
  <si>
    <t>37020904600;6602754772;7102315646;57202115849;7006645981;7103208478;7102803490</t>
  </si>
  <si>
    <t>Konishi, Y.;Kamegawa, M.;Case, M.;Yu, R.;Rodwell, M. J.W.;York, R. A.;Rutledge, D. B.</t>
  </si>
  <si>
    <t>Pasadena;Santa Barbara</t>
  </si>
  <si>
    <t>California Institute of Technology;University of California, Santa Barbara</t>
  </si>
  <si>
    <t>60031581;60029241</t>
  </si>
  <si>
    <t>Picosecond electrical spectroscopy using monolithic GaAs circuits</t>
  </si>
  <si>
    <t>10.1063/1.108051</t>
  </si>
  <si>
    <t>2-s2.0-0011429604</t>
  </si>
  <si>
    <t>['turn antenna', 'strong dependence', 'source efficiency', 'measure uniformity', 'low powers', 'langmuir probes', 'internal antenna', 'gas pressure', 'fusion applications', '7 mtorr', '3 kw', '2 mhz']</t>
  </si>
  <si>
    <t>A rf ion source with a large extraction area suitable for fusion applications is considered. The source is a metallic magnetic multipole bucket with an internal antenna to couple the rf (at a frequency of 2 MHz) to the plasma. The source is diagnosed by an array of Langmuir probes to measure uniformity, density, and temperature and a small probe accelerator to extract a negative ion beam. A two-turn antenna is found to couple more power into the plasma than a half-turn antenna. When operated as a negative ion source at low powers, the source efficiency is found to be high and not to have a strong dependence on gas pressure. An extracted negative ion current density of about 4 mA/cm2 at 7 mTorr was obtained when 3 kW of power was coupled into the plasma.</t>
  </si>
  <si>
    <t>2735-2737</t>
  </si>
  <si>
    <t>60033317;60033317;60033317;60033317;60033317</t>
  </si>
  <si>
    <t>57197474218;7005398504;23015875400;57197629350;35351968800</t>
  </si>
  <si>
    <t>Wells, S. B.;Takeiri, Y.;Newman, A. F.;McAdams, R.;Holmes, A. J.T.</t>
  </si>
  <si>
    <t>Abingdon</t>
  </si>
  <si>
    <t>Culham Centre for Fusion Energy</t>
  </si>
  <si>
    <t>Wells S.B.</t>
  </si>
  <si>
    <t>Development of large area rf ion sources for fusion applications</t>
  </si>
  <si>
    <t>10.1063/1.1142839</t>
  </si>
  <si>
    <t>2-s2.0-0011946515</t>
  </si>
  <si>
    <t>['thin wire', 'current induced', 'author shows', 'also shown']</t>
  </si>
  <si>
    <t>In this paper the author shows that the Pocklington and Hallen integral equations for the current induced on a thin wire by an incident harmonic electromagnetic field are well-posed. It is also shown that the solutions must lie in certain Sobolev spaces of absolutely continuous functions. ¬© 1992 Oxford University Press.</t>
  </si>
  <si>
    <t>35-44</t>
  </si>
  <si>
    <t>IMA Journal of Applied Mathematics (Institute of Mathematics and Its Applications)</t>
  </si>
  <si>
    <t>Rynne, Bryan P.</t>
  </si>
  <si>
    <t>Rynne B.</t>
  </si>
  <si>
    <t>The well-posedness of the integral equations for thin wire antennas</t>
  </si>
  <si>
    <t>10.1093/imamat/49.1.35</t>
  </si>
  <si>
    <t>2-s2.0-0026441604</t>
  </si>
  <si>
    <t>['transducer technology', 'room temperatures', 'new ultra', 'maximum sensitivity', 'laboratory study', 'authors present']</t>
  </si>
  <si>
    <t>In order to reach the maximum sensitivity of the new ultra-low temperature gravitational wave antennas, a further improvement in transducer technology is necessary. The authors present the test system developed for the laboratory study of the resonant capacitive transducer and discuss some of the experimental results obtained at low and room temperatures.</t>
  </si>
  <si>
    <t>501-507</t>
  </si>
  <si>
    <t>Measurement Science and Technology</t>
  </si>
  <si>
    <t>60021660;60021660;60021660</t>
  </si>
  <si>
    <t>7003816910;7003636273;7103269533</t>
  </si>
  <si>
    <t>Majorana, E.;Rapagnani, P.;Ricci, F.</t>
  </si>
  <si>
    <t>Istituto Nazionale di Fisica Nucleare - INFN</t>
  </si>
  <si>
    <t>Majorana E.</t>
  </si>
  <si>
    <t>Test facility for resonance transducers of cryogenic gravitational wave antennas</t>
  </si>
  <si>
    <t>10.1088/0957-0233/3/5/010</t>
  </si>
  <si>
    <t>2-s2.0-0026866456</t>
  </si>
  <si>
    <t>['unshielded antennas', 'unshielded antenna', 'sheath current', 'results demonstrate', 'plasma response', 'parasitic loading', 'harmonic generation', 'experimental study', 'awh antennas', 'also presented']</t>
  </si>
  <si>
    <t>The authors present experimental measurements of the parasitic loading resulting from a radio-frequency (RF) Langmuir or sheath current which flows from an unshielded antenna to the scrape-off layer (SOL) during Alfven wave heating (AWH) in TCA. The measurements are of relevance to ion cyclotron resonance heating where RF currents drawn by either electrostatic screens or side limiters lead to parasitic loading and harmonic generation in the SOL. An experimental study of the plasma response to AWH after the installation of screens on the AWH antennas is also presented. The results demonstrate that the RF sheath current and some of the parasitic phenomena observed in the SOL during AWH with unshielded antennas are eliminated by screens. The plasma bulk response, however, is dominated by a large density rise which is unaffected by screens.</t>
  </si>
  <si>
    <t>801-13</t>
  </si>
  <si>
    <t>I07</t>
  </si>
  <si>
    <t>22991143800;6701703963</t>
  </si>
  <si>
    <t>Borg, G. G.;Joye, B.</t>
  </si>
  <si>
    <t>Borg G.G.</t>
  </si>
  <si>
    <t>Parasitic antenna loading measurements and comparison between shielded and unshielded antenna excitation during Alfven wave heating in TCA</t>
  </si>
  <si>
    <t>10.1088/0029-5515/32/5/I07</t>
  </si>
  <si>
    <t>2-s2.0-0026869518</t>
  </si>
  <si>
    <t>['rf rectification', 'release mechanism', 'purposes negligible', 'practical purposes', 'power coupled', 'plasma centre', 'plasma boundary', 'observed dependences', 'negligible level', 'necessary conditions', 'monopole phasing', 'magnetic field', 'large angle', 'k ||', 'jet operation', 'ions accelerated', 'heating efficiency', 'fs elements', 'fs ),', 'front face', 'faraday screens', 'exceed œübefs', 'dipole phasing', 'beryllium influx', 'arcing across', 'antenna phasing', '1 kev', '005 mw', '), confirm']</t>
  </si>
  <si>
    <t>The JET ICRF antennas, equipped with beryllium (Be) Faraday screens (FS), can be operated in such a way that the RF specific effects on the plasma boundary, by the impurity influx originating at the screens, are reduced to a negligible level. In dipole phasing, k|| = 7 m-1, the influx is for all purposes negligible. In monopole phasing (k|| = 0 m-1) the beryllium influx does not exceed œÜBeFS = 1 √ó 1019 atoms.MW-1.s-1 and the corresponding delta Zeff/PRF is &lt; 0.005 MW -1. The observed dependences of œÜBeFS (in monopole phasing) on plasma density antenna voltage, antenna phasing, and the angle between FS elements and the magnetic field in the boundary, B(a) = B Œ∏(a) + BT(a), confirm that the release mechanism is sputtering by ions accelerated in the RF enhanced Bohm-Debye sheaths forming at the front face of the FS. When the angle between FS and B(a) is ‚âà 22¬∞, the fraction of the RF power radiated by the antenna, dissipated at the screen, can reach 40%. At high antenna voltage, arcing across the FS can occur. With dipole phasing the heating efficiency is not degraded, even with the large angle, and all the power coupled by the antenna is absorbed at the resonance position near the plasma centre. The open screen design did not introduce any disadvantages. The experience from JET operation at powers of up to 22 MW shows that, if the necessary conditions are met, i.e. if RF rectification is minimized, antennas are phased as dipoles and material with low sputtering coefficients at energies of 0.5-1 keV is used, then the influx from the FS is, for all practical purposes, eliminated.</t>
  </si>
  <si>
    <t>1139-1145</t>
  </si>
  <si>
    <t>I05</t>
  </si>
  <si>
    <t>60025104;60025104;60025104;60025104;60025104;60025104;;</t>
  </si>
  <si>
    <t>57212335886;7005524697;7005377624;7202427847;7003994552;7103355564;7004011751;7004139188</t>
  </si>
  <si>
    <t>Bures, M.;Jacquinot, J. J.;Stamp, M. F.;Summers, D. D.R.;Start, D. F.H.;Wade, T.;D'Ippolito, D. A.;Myra, J. R.</t>
  </si>
  <si>
    <t>Bures M.</t>
  </si>
  <si>
    <t>Assessment of beryllium Faraday screens on the JET ICRF antennas</t>
  </si>
  <si>
    <t>10.1088/0029-5515/32/7/I05</t>
  </si>
  <si>
    <t>2-s2.0-0026884903</t>
  </si>
  <si>
    <t>['substantial increases', 'planck code', 'minority tail', 'magnetic fields', 'loading measurements', 'langmuir probes', 'improved loading', 'icrf power', 'high density', 'frequency range', 'efficient thermalization', 'edge rf', 'atf plasma', 'atf ).', 'antenna loading', '8 mhz', '53 ghz', '400 ms', '350 kw', '2 mhz']</t>
  </si>
  <si>
    <t>Fast wave heating experiments in the ion cyclotron range of frequencies (ICRF) were performed on target plasmas produced by 350 kW of electron cyclotron heating at 53 GHz and also by neutral beam injection in the Advanced Toroidal Facility (ATF). Various heating regimes were investigated in the frequency range between 9.2 MHz and 28.8 MHz with magnetic fields of 0.95 T and 1.9 T on axis. The nominal pulse lengths of up to 200 kW RF power were in the range between 100 and 400 ms. Data from spectroscopy, loading measurements, and edge RF and Langmuir probes were used to characterize the RF induced effects on the ATF plasma. In the hydrogen minority regime at low plasma density, large suprathermal ion tails were observed with a neutral particle analyser. At high density (ne ‚â• 5.0 √ó 1013 cm-3) substantial increases in antenna loading were observed, but ICRF power was insufficient to produce definitive heating results. A two-dimensional RF heating code, ORION, and a Fokker-Planck code, RFTRANS, were used to simulate these experiments. A simulation of future high power, higher density experiments in ATF indicates improved bulk heating results due to the improved loading and more efficient thermalization of the minority tail.</t>
  </si>
  <si>
    <t>1225-1240</t>
  </si>
  <si>
    <t>I12</t>
  </si>
  <si>
    <t>60024266;60024266;60024266;60024266;60024266;60024266;60024266;60024266;60024266;60024266;60024266;60024266;60024266;60024266;60024266;60024266;60024266;60024266;60024266;60024266;60024266;60024266;60024266;60024266;60024266;60024266;60024266;60024266;60024266</t>
  </si>
  <si>
    <t>57225680795;57196875092;7005081677;24072016300;7004178017;7201453200;7005521707;35371543400;7004436911;7006526034;16218495500;55472299600;7004191043;6603652476;35371212800;6602727572;57215955803;7006134272;7402222174;7006907809;7201699839;26426422500;57202314574;7006451922;22994355200;7006471291;7004640071;7004674569;35894878700</t>
  </si>
  <si>
    <t>Kwon, M.;Shepard, T. D.;Goulding, R. H.;Thomas, C. E.;Colchin, R. J.;Wade, M. R.;Jaeger, E. F.;Carter, M. D.;Baity, F. W.;Batchelor, D. B.;Bell, G. L.;Bell, J. D.;Bigelow, T. S.;Crume, E. C.;England, A. C.;Glowienka, J. C.;Hiroe, S.;Horton, L. D.;Hoffman, D. J.;Isler, R. C.;Langley, R. A.;Lee, D. K.;Murakami, M.;Painter, S. L.;Rassmussen, D. A.;Swain, D. W.;Uckan, T.;Wilgen, J. B.;Wing, W. R.</t>
  </si>
  <si>
    <t>Oak Ridge</t>
  </si>
  <si>
    <t>Oak Ridge National Laboratory</t>
  </si>
  <si>
    <t>Kwon M.</t>
  </si>
  <si>
    <t>Fast wave heating experiments in the ion cyclotron range of frequencies on ATF</t>
  </si>
  <si>
    <t>10.1088/0029-5515/32/7/I12</t>
  </si>
  <si>
    <t>2-s2.0-0026890566</t>
  </si>
  <si>
    <t>['w1 ).', 'tritium ions', 'toroidal direction', 'standard value', 'possible change', 'peak value', 'maximum value', 'main lobe', 'large number', 'instantaneous bandwidths', 'electron density', 'cyclotron frequency', 'cavity resonance', 'analysed using', '3 ).']</t>
  </si>
  <si>
    <t>A low frequency fast wave current drive scenario for ITER (f ‚àº 17 MHz &lt; fcT, where fcT is the cyclotron frequency of tritium ions) has been analysed using a 1-D full wave code (TASK/W1). The current drive efficiency varies significantly with changes in the electron density owing to effects of the cavity resonance, even for the standard value of the peak of the parallel wave number N|| chosen for ITER (peak of a main lobe, N ||(p)=2.3). The peak value of the current drive efficiency, according to the cavity resonance, agrees with that for the single wave mode for a large number of antennas in the toroidal direction. The antenna loading resistance as well as the current drive efficiency reach a maximum value nearly at the cavity resonance corresponding to that of the eigenmode. Therefore, it may be possible to optimize the current drive efficiency by optimizing the antenna coupling resistance to its maximum value. Frequency feedback control with a combination of instantaneous bandwidths and several preset frequencies is considered to achieve and to maintain good current drive efficiency against a possible change of the electron density. It is shown that this scheme allows good current drive efficiency (Œ≥ ‚àº 0.5 √ó 1020 A.W-1.m -2 with N||(p)=1.5), similar to that for neutral beam current drive.</t>
  </si>
  <si>
    <t>1209-1216</t>
  </si>
  <si>
    <t>I10</t>
  </si>
  <si>
    <t>60015658;60015658;</t>
  </si>
  <si>
    <t>57216048046;7404269925;7005509402</t>
  </si>
  <si>
    <t>Nakazato, T.;Kimura, H.;Fukuyama, A.</t>
  </si>
  <si>
    <t>Kashiwa</t>
  </si>
  <si>
    <t>Japan Atomic Energy Agency</t>
  </si>
  <si>
    <t>Nakazato T.</t>
  </si>
  <si>
    <t>Analysis of low frequency fast wave current drive for ITER</t>
  </si>
  <si>
    <t>10.1088/0029-5515/32/7/I10</t>
  </si>
  <si>
    <t>2-s2.0-0026892345</t>
  </si>
  <si>
    <t>['œâ œâci', 'whole volume', 'wave stages', 'wave stage', 'theoretical studies', 'target plasma', 'rf power', 'rf breakdown', 'produced plasma', 'plasma torus', 'optimal development', 'ohmic discharge', 'numerical simulations', 'neutral gas', 'iter tokamak', 'initial ionization', 'full ionization', 'electron temperatures', 'electron density', 'e .,', 'coupling 3', 'authors study', 'atoms ),', 'antenna system', '6 mw', '3 mhz', '1012 cm']</t>
  </si>
  <si>
    <t>The authors study the possibility of target plasma radiofrequency (RF) production in the ion cyclotron range of frequencies (ICRF) (œâ œâci) in large scale tokamaks before the startup of an Ohmic discharge. A number of experimental and theoretical studies on dense plasma production in the ICRF in toroidal magnetic devices are reviewed. The criteria for optimal development of the RF discharge stages are analysed, i.e., for RF breakdown of the neutral fill gas in the vicinity of the antenna (non-wave stage, ne &lt;&lt; na, where ne and n a are the densities of electrons and atoms), and the wave stages of initial ionization (ne &lt; na) and neutral gas burnout (ne approximately na) in the whole volume of the plasma torus. A number of requirements for the design of the antenna system are formulated for all stages of dense plasma ICRF production. A scenario for plasma ICRF production with slot type antennas in the ITER tokamak is proposed. Numerical simulations with a 0-D transport code show that in ITER a target plasma with an electron density of approximately=3*1012 cm -3 can be produced by coupling 3-6 MW of RF power to the plasma at a frequency of approximately=3 MHz. Such a level of RF power is sufficient not only for full ionization of the neutral gas but also for heating the produced plasma to electron temperatures of approximately 80 eV.</t>
  </si>
  <si>
    <t>1361-1372</t>
  </si>
  <si>
    <t>I06</t>
  </si>
  <si>
    <t>122320007;122320007;122320007;122320007</t>
  </si>
  <si>
    <t>55664990600;8447514100;55666588400;55666854600</t>
  </si>
  <si>
    <t xml:space="preserve">A.i. Lysojvan, ;V.e. Moiseenko, ;O.m. Shvets, ;K.n. Stepanov, </t>
  </si>
  <si>
    <t>Ukraine</t>
  </si>
  <si>
    <t>Inst. of Phys. and Technol.</t>
  </si>
  <si>
    <t xml:space="preserve">A.i. Lysojvan </t>
  </si>
  <si>
    <t>Analysis of ICRE (œâ œâ&lt;inf&gt;ci&lt;/inf&gt;) plasma production in large scale tokamaks</t>
  </si>
  <si>
    <t>10.1088/0029-5515/32/8/I06</t>
  </si>
  <si>
    <t>2-s2.0-0026907957</t>
  </si>
  <si>
    <t>['tethered balloon', 'sodar latan', 'simultaneously measured', 'simple method', 'precise results', 'obtain values', 'new delhi', 'high mast', 'calm weather', 'calibration parameters', 'atmospheric physics']</t>
  </si>
  <si>
    <t>Measurements of calibration parameters of sodars normally require either a high mast, a tethered balloon and calm weather, or a very large anechoic chamber for precise results. A simple method for the measurement of calibration parameters using a normal size anechoic chamber and a theoretical antenna directivity pattern is suggested. The method has been used for the two sodars belonging to the Institute of Atmospheric Physics, Moscow (Sodar LATAN-1) and the National Physical Laboratory, New Delhi. The calibrated sodar parameters determined for the Russian Sodar LATAN-1 have also been used to obtain values of the temperature structure parameter CT2 which have been found to be comparable with the simultaneously measured in situ microthermal values of CT2.</t>
  </si>
  <si>
    <t>1001-1007</t>
  </si>
  <si>
    <t>60021331;60021331;60021331;60021331;60021331;60021331;60021331</t>
  </si>
  <si>
    <t>7103030382;7006003020;6701910498;6701880673;57196557152;6602468465;55386701100</t>
  </si>
  <si>
    <t>Danilov, S. D.;Gur'Yanov, A. E.;Kallistratova, M. A.;Petenko, I. V.;Singal, S. P.;Pahwa, D. R.;Gera, B. S.</t>
  </si>
  <si>
    <t>Danilov S.</t>
  </si>
  <si>
    <t>Acoustic calibration of sodars</t>
  </si>
  <si>
    <t>10.1088/0957-0233/3/10/012</t>
  </si>
  <si>
    <t>2-s2.0-0026930570</t>
  </si>
  <si>
    <t>['uniform plasma', 'surface wave', 'surface modes', 'studied theoretically', 'previously reported', 'plt tokamak', 'phased array', 'observed dependence', 'fast waves', 'conducting wall', '800mhz shows']</t>
  </si>
  <si>
    <t>The effect of surface modes of propagation on coupling to fast waves in the lower hybrid range of frequencies is studied theoretically and experimentally. The previously reported 'up-down' poloidal phasing asymmetry for coupling to a uniform plasma is shown to be due to the properties of a mode which carries energy along the interface between the plasma and the conducting wall. Comparison of the theory with coupling experiments performed on the PLT tokamak with a phased array of twelve dielectric loaded waveguides at 800MHz shows that the observed dependence of the net reflection coefficient on toroidal phase angle can be explained only if the surface wave is taken into account.</t>
  </si>
  <si>
    <t>1789-1799</t>
  </si>
  <si>
    <t>60018020;60018020</t>
  </si>
  <si>
    <t>7003617702;7004002507</t>
  </si>
  <si>
    <t>Pinsker, R. I.;Colestock, P. L.</t>
  </si>
  <si>
    <t>Princeton Plasma Physics Laboratory</t>
  </si>
  <si>
    <t>Pinsker R.</t>
  </si>
  <si>
    <t>Effect of surface modes on coupling to fast waves in the lower hybrid range of frequencies</t>
  </si>
  <si>
    <t>10.1088/0029-5515/32/10/I07</t>
  </si>
  <si>
    <t>2-s2.0-0026941616</t>
  </si>
  <si>
    <t>['unit may', 'terminals deployed', 'several orders', 'market may', 'magnitude outlines', 'examples outline', 'commercial experience', 'come forward', 'certain trends', 'broad range', 'bounded region', 'antenna size']</t>
  </si>
  <si>
    <t>Using a broad range of historical data representing both military and commercial experience with satellite communications terminals, certain trends are found relating quantities of terminals deployed to antenna size and to cost. The variability and uncertainties in the cost data preclude defining a precise mathematical model of cost. Nevertheless, regularity in the variability of the cost over several orders of magnitude outlines a bounded region for cost versus quantity. Examples outline how the bounds, though not precise, can be useful in planning and analysis. This indicates that the VSAT's market may be peaking and new terminals costing under $1000/unit may be the next major product to come forward in the 1990s.</t>
  </si>
  <si>
    <t>Brandon, William T.</t>
  </si>
  <si>
    <t>Brandon W.</t>
  </si>
  <si>
    <t>Market elasticity of satellite communications terminals</t>
  </si>
  <si>
    <t>2-s2.0-0026960826</t>
  </si>
  <si>
    <t>['thermal cycing', 'tests indicated', 'surface measurements', 'surface accuracy', 'support structures', 'space environment', 'space application', 'several stages', 'relative positioning', 'processes optimization', 'process criteria', 'optimum parabola', 'optimum attachment', 'manufacturing dual', 'individual components', 'hygroscopic testing', 'data base', 'assembly techniques']</t>
  </si>
  <si>
    <t>This paper will present the materials and processes optimization for manufacturing dual-shell, composite satellite antenna reflectors. The prototype reflector manufactured consisted of two offset paraboloidal Kevlar sandwich shells separated by a circular sandwich structure. A comprehensive test program was performed to verify the materials, processes, and assembly techniques. Materials were tested to confirm their suitability for space application. Extensive honeycomb sandwich coupon tests were conducted to establish a data base and to substantiate the manufacturing processes developed. An in-depth joint test program determined the optimum attachment between the support structures and shells. In addition to standard mechanical testing, CTE and hygroscopic testing was carried out to predict the surface accuracy of the reflector while exposed to thermal cycing in the space environment. During manufacture of the individual components, tests indicated if the in-process criteria were met. Finally, during assembly, surface measurements of the reflectors were made at several stages to determine the relative positioning of components. The points were inputted into a best fit program which calculated the optimum parabola.</t>
  </si>
  <si>
    <t>1082-1091</t>
  </si>
  <si>
    <t>International SAMPE Electronics Conference</t>
  </si>
  <si>
    <t>60087865;60087865;60087865</t>
  </si>
  <si>
    <t>6507130441;7003914154;7006223519</t>
  </si>
  <si>
    <t>Balaski, Darcy R.;Van Oyen, Hans J.;Nissan, Sorin J.</t>
  </si>
  <si>
    <t>EDO Canada Ltd.</t>
  </si>
  <si>
    <t>Balaski D.</t>
  </si>
  <si>
    <t>Materials and process optimization for dual-shell satellite antenna reflectors</t>
  </si>
  <si>
    <t>2-s2.0-0026971122</t>
  </si>
  <si>
    <t>['squid system', 'order gradiometer', 'design considerations', 'dc squid', 'channel system', 'biomagnetic fields', '3 hz', '2 corresponds']</t>
  </si>
  <si>
    <t>A ultra low noise DC SQUID magnetometer designed and constructed for high resolution magnetocardiographic measurements is presented. Details of the design considerations and the construction of the single-channel system are given, focusing in particular on the matching of the DC SQUID with the gradiometer and the room temperature electronics. Using a first-order gradiometer as antenna for biomagnetic fields, a white noise level of 2 fT Hz-1/2 has been attained with a 1/f corner frequency at 3 Hz. The intrinsic magnetic flux noise of the SQUID system of 2*10-6 Phi 0 Hz -1/2 corresponds to a noise limited sensitivity of 700 aT Hz -1/2.</t>
  </si>
  <si>
    <t>1155-1160</t>
  </si>
  <si>
    <t>60029507;60029507</t>
  </si>
  <si>
    <t>6602195976;22994101900</t>
  </si>
  <si>
    <t>Vodel, W.;Makiniemi, K.</t>
  </si>
  <si>
    <t>Jena</t>
  </si>
  <si>
    <t>Friedrich-Schiller-Universit√§t Jena</t>
  </si>
  <si>
    <t>Vodel W.</t>
  </si>
  <si>
    <t>An ultra low noise DC SQUID system for biomagnetic research</t>
  </si>
  <si>
    <t>10.1088/0957-0233/3/12/007</t>
  </si>
  <si>
    <t>2-s2.0-0026977090</t>
  </si>
  <si>
    <t>['yet maintain', 'tested consists', 'significantly decreased', 'rights reserved', 'oringinal idea', 'new technique', 'negative potential', 'modified limiters', 'faraday shield', 'externally imposing', 'experimental results', 'direct contact', 'collecting plate', 'bombarding flux', 'biased positively', '20 cm', '102 cm', '1 tokamak']</t>
  </si>
  <si>
    <t>A new technique is tested in the HL-1 tokamak (R=102 cm, a=20 cm, operating at Bt=2-2.4 T, n-e up to 9√ó1019 m-3) that can be used to reduce the bombarding flux of plasma onto critical rf antenna components (Faraday shield) and yet maintain a relatively high plasma density near the antenna to maximize coupling efficiency. The oringinal idea was proposed by LaBombard. Most of the antenna structures employ a pair of limiters which protect the Faraday shield from direct contact with plasma streaming along magnetic field lines. The technique here tested consists of the modification of segments of these limiters which can be biased positively or negatively with respect to the local floating potential. Experimental results have shown that ion flux collected by a plate (Faraday shield) can be significantly decreased by externally imposing a negative potential on the electrodes (the modified limiters) which intercept magnetic field lines passing in front of the collecting plate. ¬© 1992 Elsevier Science Publishers B.V. All rights reserved.</t>
  </si>
  <si>
    <t>837-840</t>
  </si>
  <si>
    <t>Journal of Nuclear Materials</t>
  </si>
  <si>
    <t>60006220;60006220;60006220;60006220;60006220;60006220</t>
  </si>
  <si>
    <t>55720193300;57216377600;7102535902;7201688455;24350059600;7404837890</t>
  </si>
  <si>
    <t>Zhang, J.;Wang, E. Y.;Shang, Z. Y.;Yao, L. H.;Yang, H. R.;Zheng, Y. Z.</t>
  </si>
  <si>
    <t>Southwestern Institute of Physics China</t>
  </si>
  <si>
    <t>Zhang J.</t>
  </si>
  <si>
    <t>Test of biased electrode as a technique to reduce ion flux from bulk plasma bombardment of antenna structures on the HL-1 tokamak</t>
  </si>
  <si>
    <t>S0022311506801534</t>
  </si>
  <si>
    <t>10.1016/S0022-3115(06)80153-4</t>
  </si>
  <si>
    <t>2-s2.0-0026995888</t>
  </si>
  <si>
    <t>['walking legs', 'vitro work', 'ventral surface', 'ventral margins', 'secondarily inhabited', 'rostral area', 'remained attached', 'produce eggs', 'large chelae', 'indirect regression', 'host carapace', 'host alongside', 'frequently found', 'eggs hatched', 'deposited eggs', 'calculated using', 'adult worms', '70 days', '48 days', '20 days']</t>
  </si>
  <si>
    <t>Cherax | life history | site specificity | Temnocephalan</t>
  </si>
  <si>
    <t>Adults of the temnocephalan Diceratocephala boschmai, an ectocommensal on the crayfish Cherax quadricarinatus, deposited eggs on the host carapace. After 15 to 20 days at 28 ¬∞C, the eggs hatched into ciliated miniature adults with undeveloped reproductive organs, that remained attached to the host alongside the eggs. They grew and became gravid within 53 to 70 days if they were not dislodged. Most oviposited on the host on which they had hatched. Although larval temnocephalans have been described from in vitro work, this is the first temnocephalan life history to be described in vivo. Juvenile worms frequently changed their position on the carapace. Adult worms were sedentary just prior to, and during oviposition, and were frequently found at the base of the large chelae, the ventral surface of the antennae and antennules, and at the base of the walking legs. The ventral margins of the abdomen, the mouthparts, and the interorbital-rostral area were secondarily inhabited. It was calculated using an indirect regression that adult Diceratocephala boschmai survived on average 91 days when removed from the host but they did not produce eggs in vitro. On the host, adult worms lived an average of 48 days after the commencement of oviposition. ¬© 1992 Kluwer Academic Publishers.</t>
  </si>
  <si>
    <t>193-199</t>
  </si>
  <si>
    <t>Hydrobiologia</t>
  </si>
  <si>
    <t>55664607400;7103142893</t>
  </si>
  <si>
    <t>Jones, Timothy C.;Lester, Robert J.G.</t>
  </si>
  <si>
    <t>Jones T.</t>
  </si>
  <si>
    <t>The life history and biology of Diceratocephala boschmai (Platyhelminthes; Temnocephalida), an ectosymbiont on the redclaw crayfish Cherax quadricarinatus</t>
  </si>
  <si>
    <t>10.1007/BF00006147</t>
  </si>
  <si>
    <t>2-s2.0-0027011554</t>
  </si>
  <si>
    <t>['multipurpose radiator']</t>
  </si>
  <si>
    <t>The design, principle of operation and specifications of a multipurpose radiator for centimeter-band reflector antennas are described.</t>
  </si>
  <si>
    <t>110-112</t>
  </si>
  <si>
    <t>Skrypnik, L. V.</t>
  </si>
  <si>
    <t>Skrypnik L.</t>
  </si>
  <si>
    <t>Monopulse radiator</t>
  </si>
  <si>
    <t>2-s2.0-0027020585</t>
  </si>
  <si>
    <t>['radiation pattern']</t>
  </si>
  <si>
    <t>An algorithm is proposed for calculating the effect of the width of the radiation pattern of an antenna in ultra-high speed scanning systems on the mean squared received signal reflected by an extended target whose angular dimensions are equal to the angular scanning sector.</t>
  </si>
  <si>
    <t>87-91</t>
  </si>
  <si>
    <t>Chasnykh, K. A.</t>
  </si>
  <si>
    <t>Chasnykh K.</t>
  </si>
  <si>
    <t>Estimation of the effect of the relative width of the radiation pattern in ultra-high-speed scanning along an extended target</t>
  </si>
  <si>
    <t>2-s2.0-0027027252</t>
  </si>
  <si>
    <t>['twin slots', 'free space', 'analyzed using', 'algorithm developed']</t>
  </si>
  <si>
    <t>The characteristics of twin slots of different geometry employed to couple rectangular waveguides with arbitrary mutual orientation or that radiate into free space are determined and analyzed using an algorithm developed for the purpose.</t>
  </si>
  <si>
    <t>95-100</t>
  </si>
  <si>
    <t>6602493000;6604035968;6602560537</t>
  </si>
  <si>
    <t>Zhironkina, A. V.;Yatsuk, L. P.;Katrich, V. A.</t>
  </si>
  <si>
    <t>Zhironkina A.</t>
  </si>
  <si>
    <t>Twin slot as a coupling element for electrodynamic cavities</t>
  </si>
  <si>
    <t>2-s2.0-0027028515</t>
  </si>
  <si>
    <t>['electromechanical transducers', 'electromechanical sensors']</t>
  </si>
  <si>
    <t>A computer-aided analysis tool for electromechanical sensors and actuators is presented. The modelling scheme introduced is based on piezoelectric and acoustic finite elements as well as acoustic boundary elements. This CAE tool supports the development of a variety of electromechanical transducers. As an example, the optimisation of ultrasonic phased array antennas as used in medical imaging equipment is reported.</t>
  </si>
  <si>
    <t>191-198</t>
  </si>
  <si>
    <t>International Journal of Computer Applications in Technology</t>
  </si>
  <si>
    <t>Lerch, Reinhard</t>
  </si>
  <si>
    <t>Siemens AG</t>
  </si>
  <si>
    <t>Lerch R.</t>
  </si>
  <si>
    <t>CAE tools for piezoelectric sensors</t>
  </si>
  <si>
    <t>2-s2.0-0027036178</t>
  </si>
  <si>
    <t>['wide range', 'paper shows', 'microwave cavities', 'example applications', 'electronics products', 'bus bars']</t>
  </si>
  <si>
    <t>This paper shows the usefulness of three-dimensional electromagnetic finite-element software based on the magnetic vector potential and the time integrated electric scalar potential. Both potentials are used to analyse a wide range of electrical and electronics products. Example applications of the software include transformers, bus bars, transistor circuits exciting electromagnetic fields, microwave cavities and waveguides, and antennas.</t>
  </si>
  <si>
    <t>127-133</t>
  </si>
  <si>
    <t>60009399;60009399</t>
  </si>
  <si>
    <t>7006172307;6701460620</t>
  </si>
  <si>
    <t>Brauer, John R.;MacNeal, Bruce E.</t>
  </si>
  <si>
    <t>MSC Software Corporation</t>
  </si>
  <si>
    <t>Brauer J.</t>
  </si>
  <si>
    <t>Finite-element software for electrical and electronics industries</t>
  </si>
  <si>
    <t>2-s2.0-0027038403</t>
  </si>
  <si>
    <t>['uses values', 'trusted method', 'theoretical values', 'curtain antennas', 'based method', 'always possible']</t>
  </si>
  <si>
    <t>To optimize the reach and effectiveness of curtain antennas it is essential to know how their radiation pattern looks for the given operating environment. A tried and trusted method is to fly a helicopter carrying special recording equipment over the site. Besides being costly, this is not always possible. ABB has developed a ground-based method for obtaining radiation patterns for multiple-bay SW curtain antennas which provides equally good results. As parameters for the calculations it uses values which have been measured on the actual antenna instead of theoretical values.</t>
  </si>
  <si>
    <t>29-34</t>
  </si>
  <si>
    <t>ABB Review</t>
  </si>
  <si>
    <t>60072207;60072207</t>
  </si>
  <si>
    <t>7003487717;6506337736</t>
  </si>
  <si>
    <t>Reiche, Juergen;Idselis, Manfred</t>
  </si>
  <si>
    <t>Mannheim</t>
  </si>
  <si>
    <t>ABB Group, Germany</t>
  </si>
  <si>
    <t>Reiche J.</t>
  </si>
  <si>
    <t>Innovative method for optimizing radiation patterns of short-wave curtain antennas</t>
  </si>
  <si>
    <t>2-s2.0-0027044620</t>
  </si>
  <si>
    <t>['various frequencies', 'uniform temperature', 'temperature functions', 'numerically analyzed', 'hyperthermia treatment', 'hot spots', 'different positions']</t>
  </si>
  <si>
    <t>The problem of retrieving a two-dimensional temperature distribution from radiometric data measured at various frequencies and for different positions of the sensing antenna around the body has been considered. The retrieval has been modelled as an inverse problem whose solution is investigated in a suitably defined functional space which takes regularity properties of temperature functions into account. The retrieval of hot spots in a cylinder at uniform temperature has been numerically analyzed, the examples being relevant in the hyperthermia treatment of malignancies.</t>
  </si>
  <si>
    <t>110-120</t>
  </si>
  <si>
    <t>Applied Computational Electromagnetics Society Journal</t>
  </si>
  <si>
    <t>7003292252;7202220079;6603631235</t>
  </si>
  <si>
    <t>Bardati, Fernando;Brown, Valerie J.;Tognolatti, Piero</t>
  </si>
  <si>
    <t>Bardati F.</t>
  </si>
  <si>
    <t>Two-dimensional temperature retrieval in biological structures by multifrequency microwave radiometry. A Sobolev-space solution multifrequency microwave radiometry. A Sobolev-space solution</t>
  </si>
  <si>
    <t>2-s2.0-0027049591</t>
  </si>
  <si>
    <t>['radiation power', 'plasma layer', 'eigenfunction method']</t>
  </si>
  <si>
    <t>The characteristics of the emission of a prolate spheroidal antenna, coated by a confocal spheroidal cold plasma layer, are calculated by the eigenfunction method. It is shown that for electrically short antennas the presence of a plasma layer with a negative permittivity leads to an increase in the radiation power.</t>
  </si>
  <si>
    <t>6602277847;6506509811</t>
  </si>
  <si>
    <t>Roslyakov, N. M.;Tenyakova, N. A.</t>
  </si>
  <si>
    <t>Roslyakov N.</t>
  </si>
  <si>
    <t>Radiation of plasma-coated prolate spheroidal antenna</t>
  </si>
  <si>
    <t>2-s2.0-0027063248</t>
  </si>
  <si>
    <t>['radiative leakage', 'leakage characteristics', 'analyzed numerically']</t>
  </si>
  <si>
    <t>The cylindrical dielectric waveguide with a periodically varying radius has been analyzed numerically. Leakage characteristics of the mode are investigated for the various waveguide parameters. It is shown that the direction of the radiative leakage can be adjusted by varying the periodicity.</t>
  </si>
  <si>
    <t>718-721</t>
  </si>
  <si>
    <t>Kubo, Hiroshi</t>
  </si>
  <si>
    <t>Yamaguchi</t>
  </si>
  <si>
    <t>Yamaguchi University</t>
  </si>
  <si>
    <t>Kubo H.</t>
  </si>
  <si>
    <t>Leakage characteristics of the cylindrical dielectric waveguide with a periodically varying radius</t>
  </si>
  <si>
    <t>2-s2.0-0027063433</t>
  </si>
  <si>
    <t>['radiation source', 'radiation patterns', 'point source', 'phase distribution', 'numerical algorithm', 'magnetic dipoles', 'experimental values', 'exciting field', 'electromagnetic waves', 'arbitrary amplitude']</t>
  </si>
  <si>
    <t>A numerical algorithm for solving the problem of the diffraction of electromagnetic waves by a lossy multilayer dielectric sphere for the case of an arbitrary amplitude-phase distribution of the exciting field is developed. The algorithm is based on representing the field on the surface of the radiation source in the form of a set of electric and magnetic dipoles and on reducing the initial vector problem to two scalar problems for the case of a point source. The results of calculations of the radiation patterns and gain are compared with experimental values.</t>
  </si>
  <si>
    <t>78-81</t>
  </si>
  <si>
    <t>6507608900;57197239555;6603021808;6603584865</t>
  </si>
  <si>
    <t>Vvedenskiy, A. V.;Zakharov, E. V.;Skorodumov, A. I.;Kharlanov, Yu Ya</t>
  </si>
  <si>
    <t>Vvedenskiy A.</t>
  </si>
  <si>
    <t>Modelling of spherical lens antennas taking the characteristics of the radiator into account</t>
  </si>
  <si>
    <t>2-s2.0-0027063480</t>
  </si>
  <si>
    <t>['specified complex', 'solve problems', 'numerical experiment', 'linear equations', 'iterative method', 'amplitude synthesis']</t>
  </si>
  <si>
    <t>An iterative method of synthesizing antenna arrays, similar to Seidel's method for systems of linear equations, is considered. It is shown that when using this method, one can solve problems of amplitude-phase, phase and amplitude synthesis for a specified complex or amplitude radiation pattern. The results of a numerical experiment are given.</t>
  </si>
  <si>
    <t>62-69</t>
  </si>
  <si>
    <t>Ivanov, I. M.</t>
  </si>
  <si>
    <t>Ivanov I.</t>
  </si>
  <si>
    <t>Iterative method of synthesizing antenna arrays</t>
  </si>
  <si>
    <t>2-s2.0-0027067592</t>
  </si>
  <si>
    <t>['waveguide parameters', 'plasma waveguide', 'outside space', 'optimum values', 'narrow slot', 'metal enclosure', 'investigated analytically', 'efficient output']</t>
  </si>
  <si>
    <t>As an addendum to the theory of the propagation of the extraordinary azimuthal surface wave, intrinsic to a plasma waveguide of cylindrical geometry placed in an external axial magnetic field, the damping of this wave, caused by its emission into the outside space through a narrow slot in a metal enclosure, is investigated analytically and numerically. The optimum values of the waveguide parameters are indicated, for which the efficient output of the energy of these waves is possible.</t>
  </si>
  <si>
    <t>32-35</t>
  </si>
  <si>
    <t>7003653235;7004125956</t>
  </si>
  <si>
    <t>Girka, V. A.;Girka, I. A.</t>
  </si>
  <si>
    <t>Girka V.</t>
  </si>
  <si>
    <t>Emission of azimuthal surface waves from narrow waveguide slot</t>
  </si>
  <si>
    <t>2-s2.0-0027069388</t>
  </si>
  <si>
    <t>['signals observed', 'optimum estimation', 'given form', 'estimated variables']</t>
  </si>
  <si>
    <t>A generalization of the equations for the optimum estimation of the state of spatially distributed systems is obtained for the case when the signals observed on a background of interference are functionals of a given form, and the estimated variables of the state are their arguments.</t>
  </si>
  <si>
    <t>82-89</t>
  </si>
  <si>
    <t>7004150138;6508334693</t>
  </si>
  <si>
    <t>Markov, L. N.;Mudrik, A. V.</t>
  </si>
  <si>
    <t>Markov L.</t>
  </si>
  <si>
    <t>Optimum estimation of the arguments of functionals</t>
  </si>
  <si>
    <t>2-s2.0-0027070108</t>
  </si>
  <si>
    <t>['tape radiators', 'small period', 'principal planes', 'intrinsic impedance', 'impedance surface', 'free space']</t>
  </si>
  <si>
    <t>The properties of tape radiators above an impedance surface of an infinite plane phased antenna array with a small period are considered. For a surface impedance greater in modulus than the intrinsic impedance of free space, the frequency overlap factor reaches 2.0 or more in a range of angles of ¬±60¬∞ in the principal planes.</t>
  </si>
  <si>
    <t>55-61</t>
  </si>
  <si>
    <t>Chulkov, V. I.</t>
  </si>
  <si>
    <t>Chulkov V.</t>
  </si>
  <si>
    <t>Use of tape radiators in antenna arrays</t>
  </si>
  <si>
    <t>2-s2.0-0027071427</t>
  </si>
  <si>
    <t>['spatial characteristics', 'pulse radiation', 'dimensional antennas']</t>
  </si>
  <si>
    <t>The time and spatial characteristics of the pulse radiation of two-dimensional and one-dimensional antennas are calculated and analyzed.</t>
  </si>
  <si>
    <t>69-77</t>
  </si>
  <si>
    <t>Sodin, L. G.</t>
  </si>
  <si>
    <t>Sodin L.</t>
  </si>
  <si>
    <t>Characteristics of pulsed radiation of antennas. (An electromagnetic missile)</t>
  </si>
  <si>
    <t>2-s2.0-0027084116</t>
  </si>
  <si>
    <t>['sectorial type', 'plane radiators', 'invariant properties', 'impedance characteristics', 'considered using']</t>
  </si>
  <si>
    <t>The problem of the excitation of plane radiators of sectorial type is considered using the idea of K-space. The frequency-invariant properties of the energy functionals obtained when solving the boundary value problem are analyzed and the impedance characteristics are calculated over a wide frequency band.</t>
  </si>
  <si>
    <t>105-112</t>
  </si>
  <si>
    <t>6602753480;57206408637</t>
  </si>
  <si>
    <t>Konyashenko, E. A.;Kim, V. F.</t>
  </si>
  <si>
    <t>Konyashenko E.</t>
  </si>
  <si>
    <t>Spectral analysis of the bandwidth properties of plane sectorial radiators</t>
  </si>
  <si>
    <t>2-s2.0-0027092250</t>
  </si>
  <si>
    <t>P01GM033205</t>
  </si>
  <si>
    <t>Antennal expression | Mesodermal expression | Ryanodine and IP3 receptors | Sensory organ development | Tubular muscles</t>
  </si>
  <si>
    <t>967-975</t>
  </si>
  <si>
    <t>60016247;60016247</t>
  </si>
  <si>
    <t>7004765361;7102160821</t>
  </si>
  <si>
    <t>Hasan, G.;Rosbash, M.</t>
  </si>
  <si>
    <t>Brandeis University</t>
  </si>
  <si>
    <t>Hasan G.</t>
  </si>
  <si>
    <t>Drosophila homologs of two mammalian intracellular Ca&lt;sup&gt;2+&lt;/sup&gt;-release channels: Identification and expression patterns of the inositol 1,4,5-triphosphate and the ryanodine receptor genes</t>
  </si>
  <si>
    <t>2-s2.0-0027097029</t>
  </si>
  <si>
    <t>['year sees', 'underpinning much', 'solitary waves', 'scientific legacy', 'research activities', 'progress today', 'phenomenal value', 'natural convection', 'lord rayleigh', 'fundamental research', 'family history', 'electrical standards', 'early life', 'atmospheric particles', '150th anniversary']</t>
  </si>
  <si>
    <t>This year sees the 150th anniversary of the birth of one of the greatest of nineteenth century mathematical physics, John William Strutt, Third Baron Rayleigh. Lord Rayleigh was to carry out fundamental research into optics, elastodynamics, properties of gases, electrical standards for the ohm and ampere, black body radiaton, sound and vibration, to name but a few areas of his work. He published some 450 technical papers which, together with his book ‚Ä≥The Theory of Sound‚Ä≥, constitutes a scientific legacy of phenomenal value, underpinning much of the work in progress today. His family history, early life and education are described, along with research activities, such as surface acoustic wave devices, antennas, natural convection, solitary waves as well as scattering from atmospheric particles.</t>
  </si>
  <si>
    <t>167-179</t>
  </si>
  <si>
    <t>GEC Review</t>
  </si>
  <si>
    <t>Humphrey, A. T.</t>
  </si>
  <si>
    <t>Humphrey A.T.</t>
  </si>
  <si>
    <t>Lord Rayleigh - the last of the great Victorian polymaths</t>
  </si>
  <si>
    <t>2-s2.0-0027097430</t>
  </si>
  <si>
    <t>['vector problem', 'reconstruction error', 'processing algorithm', 'potential capabilities', 'phase distribution', 'numerical modeling', 'near field', 'integral operator', 'emitting currents', 'diagnostics problem', 'aperture paa', 'antenna systems']</t>
  </si>
  <si>
    <t>A method is developed for solving the vector problem of reconstructing the amplitude-phase distribution (APD) of the emitting currents in the aperture of antenna systems, primarily for large aperture antennas and phased antenna arrays (PAA), based on a processing of the results of measurements of their near field by means of an integral operator with a kernel in the form of the adjoint Green tensor function. It is shown that the variance of the reconstruction error of the APD, caused by additive noncorrelated random measurement errors, is minimized for precisely such a processing algorithm. The potential capabilities of the obtained reconstruction algorithm are illustrated by the results of a numerical modeling of the diagnostics problem of a large-aperture PAA.</t>
  </si>
  <si>
    <t>15-25</t>
  </si>
  <si>
    <t>6506886232;7007016956</t>
  </si>
  <si>
    <t>Absalyamov, N. S.;Garmash, V. N.</t>
  </si>
  <si>
    <t>Absalyamov N.</t>
  </si>
  <si>
    <t>On the reconstruction of the amplitude-phase distribution of the emitting currents of antenna systems when the adjoint green operator is used</t>
  </si>
  <si>
    <t>2-s2.0-0027100692</t>
  </si>
  <si>
    <t>['various intensities', 'utilized microwaves', 'usually required', 'produced entirely', 'power consumption', 'permanent magnets', 'microwave power', 'ion source', 'b structure', '45 ghz']</t>
  </si>
  <si>
    <t>An electron-cyclotron-resonance ion source (ECRIS) designed for use on a high voltage terminal that has limited power availability and space has been built. To reduce the power consumption of the ion source, the necessary magnetic fields were produced entirely by permanent magnets. Eighteen FeNdB magnets divided into three hexapolar arrangements yielded a min-B structure with an axial magnetic mirror ratio of 4:1. The microwave power at a frequency of 2.45 GHz with up to 300 W cw was supplied to the plasma by means of a slotted line radiator. This antenna, known as a Lisitano-Coil, allowed the use of a plasma vessel much smaller in diameter than is usually required by the wavelength of the utilized microwaves. The ion source produced stable beams of multiply charged ions at various intensities up to a total ion current of 8 mA for oxygen.</t>
  </si>
  <si>
    <t>2541-2543</t>
  </si>
  <si>
    <t>60017134;60017134;60017134;60017134</t>
  </si>
  <si>
    <t>57214587772;6602174928;6701402539;7003980975</t>
  </si>
  <si>
    <t>Liehr, M.;Trassl, R.;Schlapp, M.;Salzborn, E.</t>
  </si>
  <si>
    <t>Giessen</t>
  </si>
  <si>
    <t>Justus-Liebig-Universit√§t Gie√üen</t>
  </si>
  <si>
    <t>Liehr M.</t>
  </si>
  <si>
    <t>A low power 2.45 GHz ECR ion source for multiply charged ions</t>
  </si>
  <si>
    <t>10.1063/1.1142882</t>
  </si>
  <si>
    <t>2-s2.0-0037573041</t>
  </si>
  <si>
    <t>Ministerie van Onderwijs, Cultuur en Wetenschap</t>
  </si>
  <si>
    <t>OCW</t>
  </si>
  <si>
    <t>['stage phyllosoma', 'simple setae', 'simple pores', 'shaped structures', 'seven types', 'sense organs', 'porous setae', 'plumose setae', 'major sites', 'jasus phyllosoma', 'integumental organs', 'external morphology', 'dorsal surface', 'body trunk', 'aesthetasc setae']</t>
  </si>
  <si>
    <t>The external morphology and distribution of the integumental organs of the final-stage phyllosoma of the rock lobster Jasus edwardsii were examined. Seven types of organs were recognized on the integument of the body trunk, antennules and antennae: plumose setae, simple setae, porous setae, aesthetasc setae, simple pores, dorsal cuticular organs and dome-shaped structures. The plumose setae and simple pores were abundant on the dorsal surface of the cephalosome, abdomen and telson. The dorsal cuticular organs were present only on the dorsal surface of the cephalosome, and the aesthetasc setae were restricted to the antennule.A comparison of the morphology of these organs with the sense organs of other decapods with known function suggests that the dorsal surface of the body trunk is one of the major sites of reception of near-field water movement in the Jasus phyllosoma. ¬© 1992 Oxford University Press.</t>
  </si>
  <si>
    <t>563-573</t>
  </si>
  <si>
    <t>Journal of Plankton Research</t>
  </si>
  <si>
    <t>60025272;60006321</t>
  </si>
  <si>
    <t>7402252598;6603689799</t>
  </si>
  <si>
    <t>Nishida, Shuhei;Kittaka, Jiro</t>
  </si>
  <si>
    <t>The University of Tokyo;Kitasato University</t>
  </si>
  <si>
    <t>Nishida S.</t>
  </si>
  <si>
    <t>Integumental organs of the phyllosoma larva of the rock lobster Jasus edwardsii (Hutton)</t>
  </si>
  <si>
    <t>10.1093/plankt/14.4.563</t>
  </si>
  <si>
    <t>2-s2.0-0038335086</t>
  </si>
  <si>
    <t>['wave antennas', 'thermal annealing', 'temperature dependence', 'suitable materials', 'resonators designed', 'resonator frequency', 'heat treatment', 'cryogenic resonant', 'bar gravity', 'annealed material', '50 mk', '300 k']</t>
  </si>
  <si>
    <t>The amplitude-independent acoustical mechanical quality factors Q of 99.95% pure polycrystalline molybdenum and tungsten have been measured as a function of temperature and heat treatment from 50 mK to 300 K. Data were obtained from 1 kHz torsional modes of resonators designed to minimize extraneous loss effects. Thermal annealing at temperatures above the recrystallization temperatures yielded strongly enhanced Q. Maximum Q values of 4.38√ó107 in Mo and 1.23√ó107 in W were observed in annealed material at the lowest measurement temperatures. Internal friction peaks and backgrounds are discussed. The temperature dependence of the resonator frequency is reported. Mo and W are compared with Al-5056 as suitable materials for fabrication of cryogenic resonant-bar gravity-wave antennas.</t>
  </si>
  <si>
    <t>5628-5634</t>
  </si>
  <si>
    <t>Duffy, William</t>
  </si>
  <si>
    <t>Duffy W.</t>
  </si>
  <si>
    <t>Acoustic quality factor of molybdenum and tungsten at low temperatures</t>
  </si>
  <si>
    <t>10.1063/1.352324</t>
  </si>
  <si>
    <t>2-s2.0-0040205947</t>
  </si>
  <si>
    <t>['situ x', 'preclean technology', 'ion energies', 'etch rate', 'ecr plasma', 'antenna structures', 'al 2p', 'adventitious hydrocarbon', '100 ev', '1 min']</t>
  </si>
  <si>
    <t>Aluminum oxide films were etched using low energy argon ions generated by a microwave electron cyclotron resonance (ECR) source argon plasma. The argon ion energies were controlled by biasing substrates placed on a 13.56 MHz capacitively coupled electrode. Reactively sputtered aluminum oxide films were used to study the relationship between the dc bias applied to these substrates and the etch rate of their films. In situ x-ray photoemission spectra of the Al 2p and O 1s transitions showed that the ECR plasma was effective in completely removing native aluminum oxide and adventitious hydrocarbon in 1 min at ion energies as low as 100 eV. This preclean technology did not change the dielectric breakdown distribution of antenna structures with 12-nm-thick gate oxide capacitors.</t>
  </si>
  <si>
    <t>5467-5470</t>
  </si>
  <si>
    <t>60032014;60032014;60032014</t>
  </si>
  <si>
    <t>57198143525;7103371601;23016658000</t>
  </si>
  <si>
    <t>Day, M. E.;Delfino, M.;Salimian, S.</t>
  </si>
  <si>
    <t>Varian Medical Systems</t>
  </si>
  <si>
    <t>Day M.</t>
  </si>
  <si>
    <t>Low energy ion etching of aluminum oxide films and native aluminum oxide</t>
  </si>
  <si>
    <t>10.1063/1.351990</t>
  </si>
  <si>
    <t>2-s2.0-0041808196</t>
  </si>
  <si>
    <t>['thus protected', 'resonant slit', 'plasma behind', 'placed far', 'microwave power', 'lifetime advantage', 'filamentless discharge', 'contaminating gases', 'backstreaming electrons', '500 w']</t>
  </si>
  <si>
    <t>The lifetime advantage of the filamentless discharge of high-current ECR ion sources is still often diminished through the degradation of the dielectric microwave transmitting window or the antenna. A 2.45 GHz ECR ion source that is now under construction and intended for the production of singly charged ions from reactive or contaminating gases is presented. The microwave power of up to 500 W is coupled into the entirely metallic discharge chamber through a resonant slit. The teflon vacuum sealing window is placed far from the plasma behind a high vacuum waveguide bend and is thus protected from backstreaming electrons and covering source material.</t>
  </si>
  <si>
    <t>2538-2540</t>
  </si>
  <si>
    <t>60000086;60000086</t>
  </si>
  <si>
    <t>16019380700;23014976700</t>
  </si>
  <si>
    <t>Henke, D.;Hentschel, R.</t>
  </si>
  <si>
    <t>Dresden</t>
  </si>
  <si>
    <t>HZDR - Helmholtz-Zentrum Dresden-Rossendorf</t>
  </si>
  <si>
    <t>Henke D.</t>
  </si>
  <si>
    <t>An ECR ion source for ion implantation</t>
  </si>
  <si>
    <t>10.1063/1.1142881</t>
  </si>
  <si>
    <t>2-s2.0-0042220717</t>
  </si>
  <si>
    <t>['vice versa', 'two cases', 'pressure ignition', 'overdense plasma', 'multicusp fields', 'limited density', 'hydrogen plasma', 'electron trajetory', 'ecr plasmas', 'cusp give', 'comparative study', 'chamber even', 'antenna location', '3 ).', '3 ),']</t>
  </si>
  <si>
    <t>A comparative study on the generation of 2.45-GHz multicusp electron cyclotron resonance (ECR) plasma is performed. Looped cusp structures such as the ring-cusp give a low-power and low-pressure ignition, and vice versa, indicating an importance to keep the electron trajetory of gradient-B drift motion inside the chamber even in the case of ECR plasmas. The importance of the antenna location in such multicusp fields is elucidated by comparison in two cases of the axial antenna located in the weak magnetic field region, generating a hydrogen plasma of limited density (ne&lt;7.4√ó10 10 cm-3), and a radial antenna located in the strong magnetic field region, generating an overdense plasma (ne‚àº 2√ó1011 cm-3).</t>
  </si>
  <si>
    <t>21-30</t>
  </si>
  <si>
    <t>60107350;60023499;60020739;60011001;60011001</t>
  </si>
  <si>
    <t>6602700951;6506358997;7003482027;57215757758;6701429033</t>
  </si>
  <si>
    <t>Namura, Takashi;Arikata, Ichio;Fukumasa, Osamu;Kubo, Makoto;Itatani, Ryohei</t>
  </si>
  <si>
    <t>Kadoma;Kobe;Yamaguchi;Kyoto</t>
  </si>
  <si>
    <t>Panasonic Corporation;University of Hyogo;Yamaguchi University;Kyoto University</t>
  </si>
  <si>
    <t>60107350;60023499;60020739;60011001</t>
  </si>
  <si>
    <t>Namura T.</t>
  </si>
  <si>
    <t>Effects of permanent magnet arrangements and antenna locations on the generation of multicusp electron cyclotron resonance plasma</t>
  </si>
  <si>
    <t>10.1063/1.1142961</t>
  </si>
  <si>
    <t>2-s2.0-0343914420</t>
  </si>
  <si>
    <t>['wide range', 'radar cross', 'possible applications', 'polarization transformer', 'material suitable', 'incidence angles', 'four parameters', 'electromagnetic properties', 'biisotropic materials', 'biisotropic layer', 'antenna technology']</t>
  </si>
  <si>
    <t>Plane electromagnetic wave reflection from a biisotropic layer is studied and possible applications of biisotropic materials in radar and antenna technology are proposed. Electromagnetic properties of these materials are governed by four parameters, and with specific material parameter values a thin biisotropic layer can serve as a polarization transformer for a wide range of frequencies and incidence angles. Also, there are more tools for achieving other desirable effects like small reflection etc., which makes the material suitable for radar cross-section management technology.</t>
  </si>
  <si>
    <t>Smart Materials and Structures</t>
  </si>
  <si>
    <t>7005479476;57213282040</t>
  </si>
  <si>
    <t>Tretyakov, S. A.;Oksanen, M. I.</t>
  </si>
  <si>
    <t>Tretyakov S.</t>
  </si>
  <si>
    <t>A biisotropic layer as a polarization transformer</t>
  </si>
  <si>
    <t>10.1088/0964-1726/1/1/011</t>
  </si>
  <si>
    <t>2-s2.0-0347838561</t>
  </si>
  <si>
    <t>['therefore achieved', 'temperature dependence', 'radiative losses', 'lower temperatures', 'good agreement', 'cryogenic 1', 'antenna would', '6 k']</t>
  </si>
  <si>
    <t>A 10-GHz superconducting niobium re-entrant cavity parametric transducer was developed for use in a cryogenic 1.5-tonne Nb resonant bar gravitational radiation antenna. The transducer has a very high electrical Q (6√ó10 5 at 4.2 K), and was operated at high cavity fields without degrading the Q. A very high electromechanical coupling between the antenna and the transducer was therefore achieved. The highest coupling attained, constrained by the available pump power, was 0.11. If the transducer were to be operated in conjunction with a wideband impedance matching element, an antenna bandwidth comparable to the frequency of the antenna would be attained. The temperature dependence of the Q of the transducer was in good agreement with theory. At temperatures above about 6 K the Q was degraded by the increase in the BCS surface resistance, while at lower temperatures the Q was limited by radiative losses.</t>
  </si>
  <si>
    <t>4154-4160</t>
  </si>
  <si>
    <t>60031806;60031806</t>
  </si>
  <si>
    <t>8682074600;22974326500</t>
  </si>
  <si>
    <t>Linthorne, N. P.;Blair, D. G.</t>
  </si>
  <si>
    <t>The University of Western Australia</t>
  </si>
  <si>
    <t>Linthorne N.</t>
  </si>
  <si>
    <t>Superconducting re-entrant cavity transducer for a resonant bar gravitational radiation antenna</t>
  </si>
  <si>
    <t>10.1063/1.1143227</t>
  </si>
  <si>
    <t>2-s2.0-1642292379</t>
  </si>
  <si>
    <t>['wave vibrators', 'values rs', 'tc films', 'plate resonator', 'nitrogen temperature', 'ndgao3 substrates', 'liquid nitrogen', 'gigahertz frequencies', 'dielectric spaces', 'determining resistivity', 'candalo4 substrates', '97 ghz', '91 k', '77 k', '348 nm', '250 nm', '200 œºm', '12 ghz']</t>
  </si>
  <si>
    <t>magnetic field penetration depth | microwave surface impedance | parallel-plate resonator | YBa Cu O  thin films 2 3 7</t>
  </si>
  <si>
    <t>Measurements of microwave surface impedance of high-Tc films at gigahertz frequencies and nitrogen temperature are performed. A simple technique employing a parallel-plate resonator with liquid nitrogen as a dielectric spaces is suggested. The use of a precise mechanical device provides smooth changing of distance between films from 200 Œºm down to zero. Coupling to the resonator is accomplished by means of two small antennas-half-wave vibrators for frequency 10 GHz. The method for determining resistivity and magnetic field penetration depth was based on the analysis of spacer thickness dependences of the resonator quality factor and frequency. YBa2Cu3O7 films produced by a laser deposition technique on CaNdAlO4 substrates with Tc=91 K and jc=107 A/cm2 and on NdGaO3 substrates with Tc=91 K and jc=106 A/cm2 are examined, and the values Rs=0.6 mŒ©, Œª=348 nm at f=8.97 GHz and Rs=0.5 mŒ©, Œª=250 nm at f=10.12 GHz, respectively, are obtained at 77 K. ¬© 1992 Plenum Publishing Corporation.</t>
  </si>
  <si>
    <t>497-502</t>
  </si>
  <si>
    <t>60011774;60011774;60011774;60011774;60011774;60011774;60011774</t>
  </si>
  <si>
    <t>6602774760;16404363700;7003567710;16421938900;36154980400;7006089664;8925360000</t>
  </si>
  <si>
    <t>Basovich, A. Ya;Belov, R. K.;Markelov, V. A.;Mazo, L. A.;Pavlov, S. A.;Talanov, V. V.;Varganov, A. V.</t>
  </si>
  <si>
    <t>Nizhny Novgorod</t>
  </si>
  <si>
    <t>Institute of Applied Physics of the Russian Academy of Sciences</t>
  </si>
  <si>
    <t>Basovich A.Y.</t>
  </si>
  <si>
    <t>Parallel-plate resonator of variable spacer thickness for accurate measurements of surface impedance of high-T&lt;inf&gt;c&lt;/inf&gt; superconductive films</t>
  </si>
  <si>
    <t>10.1007/BF00618239</t>
  </si>
  <si>
    <t>2-s2.0-22144452084</t>
  </si>
  <si>
    <t>1424-1429</t>
  </si>
  <si>
    <t>Electric field meter with a dipole antenna in a nonuniform alternating electric field</t>
  </si>
  <si>
    <t>10.1007/BF00976889</t>
  </si>
  <si>
    <t>2-s2.0-34250073987</t>
  </si>
  <si>
    <t>1421-1424</t>
  </si>
  <si>
    <t>6507633461;6701411909</t>
  </si>
  <si>
    <t>Tartakovskii, D. F.;Rumyantsev, R. I.</t>
  </si>
  <si>
    <t>Tartakovskii D.</t>
  </si>
  <si>
    <t>A method of estimating the error of a measuring system for determining antenna characteristics</t>
  </si>
  <si>
    <t>10.1007/BF00976888</t>
  </si>
  <si>
    <t>2-s2.0-34250079565</t>
  </si>
  <si>
    <t>['two high', 'simple two', 'significant increase', 'initial results', 'gain improvement', 'element end']</t>
  </si>
  <si>
    <t>Two high-temperature superconducting antenna systems are tested. The first is a small closed helical antenna which shows nearly 6 dB gain improvement over a similar copper antenna. The second is a simple two-element end-fire superdirective array for which initial results of the gain improvement are given. This antenna with its matching network shows a significant increase in gain.</t>
  </si>
  <si>
    <t>277-279</t>
  </si>
  <si>
    <t>Superconductor Science and Technology</t>
  </si>
  <si>
    <t>60019702;60019702;60019702;60019702;60019702;60019702;60019702</t>
  </si>
  <si>
    <t>7101744863;17435967100;57196142070;7005970306;57219046615;7004362255;35417096700</t>
  </si>
  <si>
    <t>Lancaster, M.;Wu, Z.;Huang, Y.;MacLean, T. S.M.;Zhou, X.;Gough, C.;McN Alford, N.</t>
  </si>
  <si>
    <t>Superconducting antennas</t>
  </si>
  <si>
    <t>10.1088/0953-2048/5/4/014</t>
  </si>
  <si>
    <t>2-s2.0-36149028866</t>
  </si>
  <si>
    <t>['two grills', 'therefore attractive', 'remain low', 'reflection coefficient', 'quite compact', 'plasma edge', 'per cent', 'megawatt antennas', 'large range', 'inner wall', 'four rows', 'efficient multi', 'antenna positions', '8 mw', '7 ghz', '45 mw']</t>
  </si>
  <si>
    <t>The TORE SUPRA lower hybrid current drive experiments (8 MW/3.7 GHz) use large phased waveguide arrays, four rows of 32 active waveguides and two passive waveguides for each of the two grills, to couple the waves to the plasma. These launchers are based on the 'multijunction' principle which allows them to be quite compact and is therefore attractive for the design of efficient multi-megawatt antennas in NET/ITER. Extensive coupling measurements have been performed in order to study the radiofrequency (RF) characteristics of the plasma loaded antennas. Measurements of the plasma scattering coefficients of the antennas show good agreement with those obtained from the linear coupling theory (SWAN code). Global reflection coefficients of a few per cent have been measured in a large range of edge plasma densities (0.3 √ó 1018 m-3 neg 1.4 √ó 1018 m-3) or antenna positions (0.02-0.05 m from the plasma edge) and up to a maximum injected RF power density of 45 MW/m2. When the plasma is pushed against the inner wall of the chamber, the reflection coefficient is found to remain low up to distances of the order of 0.10 m.</t>
  </si>
  <si>
    <t>1883-1898</t>
  </si>
  <si>
    <t>I01</t>
  </si>
  <si>
    <t>60003729;60003729;60003729;60003729;60003729;60003729;60003729;60003729;60003729;60003729;60003729;60003729;60003729;60003729;60003729;60003729</t>
  </si>
  <si>
    <t>55664797300;22991270300;55663146300;55664080700;55666859600;55664145500;55664748900;55665981800;55665665000;55667281800;55663886700;55666634600;22993290800;55667056900;22994803000;55663876500</t>
  </si>
  <si>
    <t xml:space="preserve">X. Litaudon, ;G. Berger-By, ;P. Bibet, ;J.p. Bizarro, ;J.j. Capitain, ;J. Carrasco, ;M. Goniche, ;G.t. Hoang, ;K. Kupfer, ;R. Magne, ;D. Moreau, ;Y. Peysson, ;J.-M. Rax, ;G. Rey, ;D. Rigaud, ;G. Tonon, </t>
  </si>
  <si>
    <t>Saint Paul lez Durance</t>
  </si>
  <si>
    <t>CEA Cadarache</t>
  </si>
  <si>
    <t>X. Litaudon</t>
  </si>
  <si>
    <t>Lower hybrid wave coupling in TORE SUPRA through multijunction launchers</t>
  </si>
  <si>
    <t>10.1088/0029-5515/32/11/I01</t>
  </si>
  <si>
    <t>2-s2.0-36149033519</t>
  </si>
  <si>
    <t>['waveforms measured', 'rise time', 'photoconductive techniques', 'new technique', 'initial rise', 'half maximum', 'full width', 'detector sensitivity', 'coherent measurement', '360 fs', '290 fs', '100 mv']</t>
  </si>
  <si>
    <t>We demonstrate a new technique for the coherent measurement of free-space THz electrical transients, based on the parallel-field excitonic electroabsorption effect in GaAs quantum wells. A THz transient generated from a photoconductive dipole antenna is measured with a rise time of 290 fs and a full width at half maximum of 360 fs. The initial rise of the THz wave form is abrupt, and does not display the exponential leading edge apparent in waveforms measured with photoconductive techniques. The detector sensitivity is sub-100 mV/cm.</t>
  </si>
  <si>
    <t>1763-1765</t>
  </si>
  <si>
    <t>60025778;60025778;60007776;60007776;60007776</t>
  </si>
  <si>
    <t>22969110200;7103410593;35468877300;7005132473;7006588601</t>
  </si>
  <si>
    <t>Sha, W.;Norris, T. B.;Burm, J. W.;Woodard, D.;Schaff, W. J.</t>
  </si>
  <si>
    <t>Ann Arbor;Ithaca</t>
  </si>
  <si>
    <t>University of Michigan, Ann Arbor;Cornell University</t>
  </si>
  <si>
    <t>60025778;60007776</t>
  </si>
  <si>
    <t>Sha W.</t>
  </si>
  <si>
    <t>New coherent detector for terahertz radiation based on excitonic electroabsorption</t>
  </si>
  <si>
    <t>10.1063/1.108419</t>
  </si>
  <si>
    <t>2-s2.0-3643074459</t>
  </si>
  <si>
    <t>['weak focusing', 'tenth cavities', 'strong growth', 'strong focusing', 'resonance frequency', 'relativistic electron', 'rapid decrease', 'primed exactly', 'performed using', 'microwave growth', 'microwave cavities', 'magnetron tuned', 'intermediate regime', 'initial cavity', 'growth rate', 'first cavity', 'diode parameters', 'beam generator', 'beam breakup', 'bbu theory', '8 mv', '5 œºs', '5 ghz', '38 db', '15 ka']</t>
  </si>
  <si>
    <t>The beam breakup (BBU) instability has been investigated in high-current, long-pulse electron beams propagating through microwave cavities. Experiments are performed using a relativistic electron-beam generator with diode parameters: 0.7-0.8 MV, 1-15 kA, and 0.5-1.5 Œºs. The magnitude of the solenoidal magnetic field places these experiments in an intermediate regime between strong focusing and weak focusing. The electron-beam transport system consists of ten identical pillbox cavities each containing a small microwave loop antenna designed to detect the TM110 beam breakup mode. The TM110 microwave mode is primed in the first cavity by a magnetron tuned to the resonance frequency of 2.5 GHz. The BBU instability growth is measured through the amplification of the 2.5 GHz microwaves between the second and tenth cavities. Strong growth (25-38 dB) of the TM110 microwave signal is observed when the initial cavity is primed exactly on resonance, with a rapid decrease of the growth rate off-resonance. The magnitude of microwave growth is consistent with the predictions of BBU theory.</t>
  </si>
  <si>
    <t>642-644</t>
  </si>
  <si>
    <t>7003483687;7005439485;7102263481</t>
  </si>
  <si>
    <t>Menge, P. R.;Gilgenbach, R. M.;Bosch, R. A.</t>
  </si>
  <si>
    <t>Menge P.</t>
  </si>
  <si>
    <t>Microwave growth from the beam breakup instability in long-pulse electron beam experiments</t>
  </si>
  <si>
    <t>10.1063/1.107808</t>
  </si>
  <si>
    <t>2-s2.0-36448998816</t>
  </si>
  <si>
    <t>['using 15', 'two microprisms', 'transverse magnetic', 'transverse electric', 'successfully demonstrated', 'optical modulations', 'multiquantum wells', 'modulation depth', 'including use', 'highly feasible', 'guided waves', 'film waveguide', 'experimentally confirmed', 'energy gap', 'delay lines', 'cutoff boundary', 'current sensors', 'current injection', 'applied voltage', 'activation sources', '8 nm', '8 db', '7 ev', '4 œºm', '335 œºm', '30 v', '3 db', '26 db', '1 ev']</t>
  </si>
  <si>
    <t>We have successfully demonstrated an In2O3:Sn semiconductor thin-film waveguide. The energy gap of the film can be manipulated from 3.1 eV (0.4 Œºm) to 3.7 eV (0.335 Œºm) by changing the ratio of In2O3 and SnO2. Waveguide propagation losses of 3 dB/cm for transverse magnetic (TM) and 8 dB/cm for transverse electric (TE) guided waves were experimentally confirmed at the wavelength of 632.8 nm. A phase modulator containing an indium tin oxide waveguide, two holographic mirrors, two microprisms, and two ohmic contacts were fabricated. Electro-optic (current injection) and all-optical modulations were conducted. A modulation depth of 18% was experimentally confirmed for the current injection device, using 15-V applied voltage, and a modulation depth of 15% using 250 mW 355 nm UV light as the activation sources. An In2O3:Sn waveguide device working at the cutoff boundary was made. A modulation depth of 26 dB was measured with an applied voltage of 30 V. An array of applications, including use in current sensors, ozone UV sensors, attenuated total reflection (ATR) modulators, delay lines for phased array antennae, and multiquantum wells are highly feasible.</t>
  </si>
  <si>
    <t>1541-1543</t>
  </si>
  <si>
    <t>60021954;60021954</t>
  </si>
  <si>
    <t>55507881400;7404644545</t>
  </si>
  <si>
    <t>Chen, R. T.;Robinson, D.</t>
  </si>
  <si>
    <t>Physical Optics Corporation</t>
  </si>
  <si>
    <t>Chen R.</t>
  </si>
  <si>
    <t>Electro-optic and all-optical phase modulator on an indium tin oxide single-mode waveguide</t>
  </si>
  <si>
    <t>10.1063/1.107244</t>
  </si>
  <si>
    <t>2-s2.0-36449000864</t>
  </si>
  <si>
    <t>['successfully obtained', 'permanent magnet', 'oxygen gas', 'new type', 'mp cathode', 'microwave power', 'microwave plasma', 'major components', 'long lifetime', 'ion beam', 'excellent uniformity', 'ecr condition', 'density plasma', 'coaxial lines', 'cathode instead', 'argon gas', '45 ghz', '100 h']</t>
  </si>
  <si>
    <t>A new type of broad-beam ion source, which is a bucket-type ion source with a microwave plasma (MP) cathode instead of conventional thermionic filaments, has been developed. Producing a high-density plasma in the MP cathode under the electron-cyclotron-resonance (ECR) condition, this cathode has a capability of a high-current electron emission and has a long lifetime (more than 100 h for an oxygen gas). The structure of this cathode is very simple and compact. Rod antennas connected to coaxial lines for introducing the microwave power (2.45 GHz) and a permanent magnet for producing the ECR condition are major components. In the bucket-type ion source with the MP cathode, the high-current ion beams of 230 mA for an argon gas and 132 mA for an oxygen gas in 115 mm diameter have been successfully obtained with excellent uniformity of the ion beam.</t>
  </si>
  <si>
    <t>2595-2597</t>
  </si>
  <si>
    <t>60102642;60102642;60102642;60102642;60011001</t>
  </si>
  <si>
    <t>57198036802;35988885100;55701042900;57196906854;26642920300</t>
  </si>
  <si>
    <t>Matsubara, Yoshio;Tahara, Hideaki;Takahashi, Masato;Nogawa, Shuichi;Ishikawa, Junzo</t>
  </si>
  <si>
    <t>Kyoto;Kyoto</t>
  </si>
  <si>
    <t>Nissin Electric Co., Ltd.;Kyoto University</t>
  </si>
  <si>
    <t>60102642;60011001</t>
  </si>
  <si>
    <t>Matsubara Y.</t>
  </si>
  <si>
    <t>Development of oxygen ion source with microwave plasma cathode</t>
  </si>
  <si>
    <t>10.1063/1.1142849</t>
  </si>
  <si>
    <t>2-s2.0-36449005476</t>
  </si>
  <si>
    <t>['œîœ ∏', 'scattering studies', 'refraction studies', 'power scattered', 'power refracted', 'ordinary mode', 'launching structure', 'field wall', 'density fluctuations', 'db gain', 'array serves', '60 ghz', '5 cm']</t>
  </si>
  <si>
    <t>A compact poloidal array of ten receiving antennae has been installed on the high-field wall (x=+30 cm) of the Texas Experimental Tokamak (TEXT) opposite the electron cyclotron heating (ECH) microwave launch port (x=-45 cm, 60 GHz, 200 kW). Both these antennae and the launching structure are oriented to couple to the ordinary mode in plasma. The array serves as a diagnostic of the unabsorbed, first-pass ECH microwave power, which includes both power refracted by the equilibrium plasma density gradients and power scattered by density fluctuations. Each antenna has a ŒîŒ∏y=13¬∞ poloidal and ŒîŒ∏z=32¬∞ toroidal half-power beam width, corresponding to 12-dB gain. For refraction studies, interchannel and intrachannel poloidal resolutions are Œîy=3.5 and 2.5 cm, respectively, at the array aperture surface. For scattering studies, the wave number selectivity extends from k‚ä•=0¬±2.5 cm-1 to k ‚ä•=7¬±2.5 cm-1.</t>
  </si>
  <si>
    <t>5237-5244</t>
  </si>
  <si>
    <t>Roberts, D. R.</t>
  </si>
  <si>
    <t>Roberts D.</t>
  </si>
  <si>
    <t>An ECH beam monitor for the Texas Experimental Tokamak</t>
  </si>
  <si>
    <t>10.1063/1.1143434</t>
  </si>
  <si>
    <t>2-s2.0-36449009309</t>
  </si>
  <si>
    <t>['plasma potential', 'icrf antenna', 'floating potential', 'field lines', 'faraday shield', 'electron temperature']</t>
  </si>
  <si>
    <t>Langmuir probe data are presented which show poloidally asymmetric increases in floating potential, electron temperature and, hence, plasma potential on magnetic field lines which map to the Faraday shield of an ICRF antenna in a medium size tokamak, Phaedrus-T, during radiofrequency power injection. These data are consistent with and suggestive of the existence of radiofrequency generated sheath voltages on those field lines.</t>
  </si>
  <si>
    <t>2040-2043</t>
  </si>
  <si>
    <t>I17</t>
  </si>
  <si>
    <t>60032179;60032179;60032179;60032179;60032179;60032179;60032179;60032179;60032179;60032179;60032179</t>
  </si>
  <si>
    <t>55662959500;55664611900;22995317100;55663352200;55665302500;55663901400;55667316100;55666730500;22993957400;55664203200;55665234500</t>
  </si>
  <si>
    <t xml:space="preserve">D.a. Diebold, ;R. Majeski, ;T. Tanaka, ;J. Sorensen, ;J. Pew, ;N. Hershkowitz, ;R.a. Breun, ;G. McKee, ;J. Meyer, ;P.h. Probert, ;G. Winz, </t>
  </si>
  <si>
    <t>University of Wisconsin-Madison</t>
  </si>
  <si>
    <t xml:space="preserve">D.a. Diebold </t>
  </si>
  <si>
    <t>Poloidally asymmetric potential increases in tokamak scrape-off layer plasmas by radiofrequency power</t>
  </si>
  <si>
    <t>10.1088/0029-5515/32/11/I17</t>
  </si>
  <si>
    <t>2-s2.0-3743077516</t>
  </si>
  <si>
    <t>['temperature distribution', 'systematically distributed', 'oversize waveguide', 'numerically processing', 'new method', 'mode powers', 'mode analysis', 'microwaves propagating', 'infrared camera', 'image data', 'experimentally demonstrated', 'different modes', 'different directions', 'detailed analysis', 'curved reflector', 'constituent modes', 'also made', 'absorber sheet']</t>
  </si>
  <si>
    <t>A new method is developed for mode analysis of microwaves propagating in an oversize waveguide. A curved reflector is used to disperse the different modes in different directions. The locations of the mode powers are systematically distributed on an intercepting absorber plane. An infrared camera is used for quick visual analysis of the mode map produced as a temperature distribution on the absorber sheet. Detailed analysis is also made by numerically processing the image data. Polarizations of the constituent modes can be determined with a rotated microwave receiver. Usefulness of this method is experimentally demonstrated by comparison with other techniques.</t>
  </si>
  <si>
    <t>3167-3173</t>
  </si>
  <si>
    <t>60014256;60014256;60014256;60014256;60014256;60014256;60014256</t>
  </si>
  <si>
    <t>7005819380;7801416049;7405411198;57211765873;55624477538;35394984600;57221037670</t>
  </si>
  <si>
    <t>Kiwamoto, Y.;Kira, F.;Saito, T.;Kurihara, K.;Kawamura, M.;Miyoshi, S.;Nakajima, M.</t>
  </si>
  <si>
    <t>University of Tsukuba</t>
  </si>
  <si>
    <t>Kiwamoto Y.</t>
  </si>
  <si>
    <t>Microwave-mode analyzer with dispersive reflector antenna</t>
  </si>
  <si>
    <t>10.1063/1.1142570</t>
  </si>
  <si>
    <t>2-s2.0-4143149013</t>
  </si>
  <si>
    <t>305-306</t>
  </si>
  <si>
    <t>Biophysics</t>
  </si>
  <si>
    <t>60110604;60110604;60110604</t>
  </si>
  <si>
    <t>6508293138;35514633200;7101714263</t>
  </si>
  <si>
    <t>Khizhnyak, Ye P.;Tyazhelova, T. V.;Nikonov, A. A.</t>
  </si>
  <si>
    <t>Pushchino</t>
  </si>
  <si>
    <t>Institute of Cell Biophysics of the Russian Academy of Sciences</t>
  </si>
  <si>
    <t>Khizhnyak Y.</t>
  </si>
  <si>
    <t>Heating of the antenna of the insect on exposure to electromagnetic waves of the mm range</t>
  </si>
  <si>
    <t>000635099290080U</t>
  </si>
  <si>
    <t>2-s2.0-44049124744</t>
  </si>
  <si>
    <t>['quartz cannot', 'pris sources', 'performance data', 'discharge plasma', 'discharge chamber', 'conventional rf']</t>
  </si>
  <si>
    <t>The family of 10 cm diam ion sources PRIS is built for ion beam processing. It comprises two groups: The high energy version PRIS 10 HE and the low energy version PRIS 10 LE. The conventional rf-ion sources RIM 10 consist mainly of a quartz discharge chamber surrounded from an outside by a rf-induction coupling coil. In some cases, quartz cannot be used for manufacturing the discharge chamber (e.g., fragility of quartz, operating with condensible metal vapor). Therefore, in the PRIS sources, we replaced the quartz ionizer vessel by a metallic discharge chamber and put the rf antenna inside the discharge plasma. The performance data and the ion beam characteristics of PRIS are presented for argon and oxygen.</t>
  </si>
  <si>
    <t>2441-2443</t>
  </si>
  <si>
    <t>60017134;60017134;60017134;60017134;60017134;60017134</t>
  </si>
  <si>
    <t>6602709549;6506320337;23015113700;23015550400;56885620100;16742061400</t>
  </si>
  <si>
    <t>Freisinger, J.;Krempel-Hesse, J.;Krumeich, J.;L√∂b, H.;M√ºnz, W. D.;Scharmann, A.</t>
  </si>
  <si>
    <t>Freisinger J.</t>
  </si>
  <si>
    <t>The rf-ion source "PRIS" with a metal ionizer chamber and a plasma embedded rf-coupling coil</t>
  </si>
  <si>
    <t>10.1063/1.1142904</t>
  </si>
  <si>
    <t>2-s2.0-5244219539</t>
  </si>
  <si>
    <t>['wrf correspond', 'water cooling', 'w pe', 'two types', 'stable tuning', 'special features', 'region wce', 'plasma could', 'paper describes', 'obtaining high', 'new method', 'microwave frequencies', 'helical coil', 'given antenna', 'electron cyclotron', 'diameter plasma', '0 cm']</t>
  </si>
  <si>
    <t>This paper describes a new method of exciting slow wave structures (SWS) for obtaining high-density electron cyclotron resonance plasmas. The electric field component corresponding to the slow wave mode (SWM) of SWS is excited by an E-plane horn antenna. The special features of the microwave transmission line are the stable tuning for a given antenna and no requirement for water cooling on any of the components. Two types of SWS, a helical coil and a slotted line antenna, are studied, and the experiments are carried out in nitrogen and argon. The plasma producing capability is examined for these systems in the region wce,wpe&gt;wrf, where wce, w pe, and wrf correspond to electron cyclotron, plasma, and microwave frequencies, respectively. A high-density, large-diameter plasma (n0‚àº5√ó1011 cm-3; diameter ‚àº8.0 cm) could be obtained and the plasma could be maintained in the region 1‚â§wce/wrf‚â§2.</t>
  </si>
  <si>
    <t>1939-1944</t>
  </si>
  <si>
    <t>E-plane horn excitation of slow wave structures for obtaining high-density electron cyclotron resonance plasmas</t>
  </si>
  <si>
    <t>10.1063/1.1143308</t>
  </si>
  <si>
    <t>2-s2.0-5244228165</t>
  </si>
  <si>
    <t>['wire type', 'wave components', 'wave antennas', 'wave antenna', 'vertical monopole', 'surface wave', 'makes use', 'ionospheric reflection', 'horizon radar', 'flying targets', 'directive arrays', 'dielectric half', 'detecting near', 'complete field']</t>
  </si>
  <si>
    <t>The surface-wave and space-wave components of the electromagnetic field generated by a wave antenna of the Beverage or horizontal-wire type are determined and discussed. A knowledge of this complete field in the air over a conducting or dielectric half-space is essential for an over-the-horizon radar that makes use of both ionospheric reflection for detecting distant high-flying targets and the surface wave for detecting near and low-flying targets. Omnidirectional and directive arrays that include both wave antennas and a vertical monopole are described and analyzed.</t>
  </si>
  <si>
    <t>1499-1508</t>
  </si>
  <si>
    <t>The circuit properties and complete fields of horizontal-wire antennas and arrays over earth or sea</t>
  </si>
  <si>
    <t>10.1063/1.351399</t>
  </si>
  <si>
    <t>2-s2.0-5544313700</t>
  </si>
  <si>
    <t>['coaxial cable']</t>
  </si>
  <si>
    <t>A simple and efficient microwave launcher, using an adjustable monopole antenna and coaxial cable, is designed and tested for the application to ECR plasma production.</t>
  </si>
  <si>
    <t>13-17</t>
  </si>
  <si>
    <t>Plasma Sources Science and Technology</t>
  </si>
  <si>
    <t>7006582192;56102798000;6701429033</t>
  </si>
  <si>
    <t>Hatta, A.;Yasaka, Y.;Itatani, R.</t>
  </si>
  <si>
    <t>A simple and efficient microwave launcher for plasma production</t>
  </si>
  <si>
    <t>10.1088/0963-0252/1/1/003</t>
  </si>
  <si>
    <t>2-s2.0-5844231431</t>
  </si>
  <si>
    <t>OCE89-18019</t>
  </si>
  <si>
    <t>['waveform generator', 'vibrator driven', 'units recruited', 'triggering spikes', 'sustained trains', 'structurally constrained', 'stimulus frequency', 'specific directions', 'smaller units', 'small spikes', 'small number', 'small displacements', 'several impulses', 'sensitivity increased', 'recorded extracellularly', 'receptors responded', 'receptors may', 'oscillatory stimuli', 'neural activity', 'large units', 'large number', 'labidocera madurae', 'individual setae', 'frequency range', 'first antenna', 'firing frequency', 'extremely sensitive', 'experiments suggest', 'easily distinguished', 'background activity', 'acartia fossae', '500 hz', '20 œºm', '1000 hz', '10 nm']</t>
  </si>
  <si>
    <t>Neural activity was recorded extracellularly at the base of the first antenna in 15 marine copepods. Controlled mechanical stimuli were delivered with a vibrator driven by a waveform generator. Many species exhibited responses characterized by a large number of small spikes, while others were characterized by the presence of a small number of large units. Two bay species, Labidocera madurae and Acartia fossae, exhibited large units that could be easily distinguished from the background activity of smaller units. In these species, the antennal receptors fired short latency (&gt;5 ms) trains of one to several impulses in response to a brief mechanical stimulus and sustained trains to a prolonged sinusoidal stimulus. They were extremely sensitive to small displacements and sensitivity increased with stimulus frequency. The receptors responded to stimuli between 40 and 1000 Hz and receptors required displacement velocities of 20 Œºm s-1 or more to fire. Displacements as small as 10 nm were capable of triggering spikes. With an increase in the amplitude of the displacement, a decrease in the latency and an increase in the number of units recruited and/or firing frequency was recorded. Phase-locking to oscillatory stimuli was observed over a frequency range of 80-500 Hz. Neural activity increased in response to bending of individual setae. Setae appear innervated and structurally constrained to movements in specific directions. These experiments suggest that (i) some copepod setal receptors may be more nearly velocity detectors than purely displacement sensors, (ii) they may be capable of sensing closely spaced stimuli, (iii) the patterns of response may code for intensity and duration of the stimulus, and (iv) receptors may be capable of supplying directional information. ¬© 1992 Oxford University Press.</t>
  </si>
  <si>
    <t>495-512</t>
  </si>
  <si>
    <t>60003579-60026415;60003579-60006819;60003579-60006819;60003579-60026415</t>
  </si>
  <si>
    <t>7202000025;7103014113;6507352527;6701399491</t>
  </si>
  <si>
    <t>Yen, Jeannette;Lenz, Petra H.;Gassie, Donald V.;Hartline, Daniel K.</t>
  </si>
  <si>
    <t>Stony Brook;Honolulu;Honolulu</t>
  </si>
  <si>
    <t>Stony Brook University;Pacific Biosciences Research Center;School of Ocean and Earth Science and Technology</t>
  </si>
  <si>
    <t>60026415;60006819;60003579</t>
  </si>
  <si>
    <t>Yen J.</t>
  </si>
  <si>
    <t>Mechanoreception in marine copepods: Electrophysiological studies on the first antennae</t>
  </si>
  <si>
    <t>10.1093/plankt/14.4.495</t>
  </si>
  <si>
    <t>2-s2.0-77956981253</t>
  </si>
  <si>
    <t>['œ ≤-', 'œ ±-', '¬© 1992', 'three fractions', 'strongly retained', 'slightly retained', 'results show', 'reductive cleavage', 'pronase digestion', 'partially sialylated', 'methylation analysis', 'mass spectrometry', 'lactotransferrin isolated', 'glycopeptides obtained', 'glucosaminidase digestion', 'glcnac structures', 'fucosylated structures', 'fraction c', 'fraction b', 'contain n', 'c ).', 'b ),', 'alditols obtained', 'acetylneuraminic acid', '), retained']</t>
  </si>
  <si>
    <t>Lactotransferrin isolated from a pool of mature bovine milk has been shown to contain N-glycosidically-linked glycans possessing N-acetylneuraminic acid, galactose, mannose, fucose, N-acetylglucosamine and N-acetylgalactosamine. The glycopeptides obtained by Pronase digestion were fractionated by concanavalin A-Sepharose affinity chromatography into three fractions: slightly retained (A), retained (B), and strongly retained (C). The structure of the glycans of the three fractions has been determined by application of methanolysis, methylation analysis, fast atom bombardment-mass spectrometry, and 1H NMR spectroscopy. Diantennary structures without GalNAc were present as partially sialylated and partially (1 ‚Üí 6)-Œ±-l-fucosylated structures in Fractions A and B. Sequences containing Œ±-d-Galp-(1 ‚Üí 3)-Œ≤-d-Gal on the Œ±-d-Man-(1 ‚Üí 6) antenna, and Œ≤-d-GalpNAc-(1 ‚Üí 4)-Œ≤-d-GlcNAc and Œ±-NeuAc-(2 ‚Üí 6)-Œ≤-d-GalpNAc-(1 ‚Üí 4)-Œ≤-d-GlcNAc on the Œ±-d-Man-(1 ‚Üí 3) antenna were characterized in the oligosaccharide-alditols obtained by reductive cleavage of Fraction B. A series of Man4 - 9-GlcNAc structures were identified in Fraction C after endo-N-acetyl-Œ≤-d-glucosaminidase digestion. These results show that the structures of bovine lactotransferrin glycans are more heterogeneous than those of previously characterized transferrin glycans. ¬© 1992.</t>
  </si>
  <si>
    <t>145-164</t>
  </si>
  <si>
    <t>Carbohydrate Research</t>
  </si>
  <si>
    <t>60104298;60104298;60104298;60010954;60010954;60007493;60007493;60104298</t>
  </si>
  <si>
    <t>6602132334;7103289522;7006245680;35473444200;7006107403;7005307945;7006355656;7006843431</t>
  </si>
  <si>
    <t>Coddeville, Bernadette;Strecker, G√©rard;Wieruszeski, Jean Michel;Vliegenthart, Johannes F.G.;van Halbeek, Herman;Peter-Kataliniƒá, Jasna;Egge, Heinz;Spik, Genevi√®ve</t>
  </si>
  <si>
    <t>France;Netherlands;Germany</t>
  </si>
  <si>
    <t>Villeneuve-d'Ascq;Utrecht;Bonn</t>
  </si>
  <si>
    <t>Unit√© de Glycobiologie Structurale et Fonctionnelle (UGSF);Bijvoet Center for Biomolecular Research;Universit√§t Bonn</t>
  </si>
  <si>
    <t>60104298;60010954;60007493</t>
  </si>
  <si>
    <t>Coddeville B.</t>
  </si>
  <si>
    <t>Heterogeneity of bovine lactotransferrin glycans. Characterization of Œ±-d-Galp-(1 ‚Üí 3)-Œ≤-d-Gal- and Œ±-NeuAc-(2 ‚Üí 6)-Œ≤-d-GalpNAc-(1 ‚Üí 4)-Œ≤-d-GlcNAc-substituted N-linked glycans</t>
  </si>
  <si>
    <t>000862159285013P</t>
  </si>
  <si>
    <t>10.1016/0008-6215(92)85013-P</t>
  </si>
  <si>
    <t>2-s2.0-0027052198</t>
  </si>
  <si>
    <t>R01CA037853</t>
  </si>
  <si>
    <t>['¬© 1992', 'without neuraminidase', 'responsive na', 'reconstituted glycoprotein', 'radioactive glycoproteins', 'purify glycoproteins', 'pronase digestion', 'methods used', 'immobilized serotonin', 'immobilized lectins', 'glcnac5 antenna', 'fucosyl group', 'diantennary oligosaccharides', 'clonal line', 'biological activity', 'binding characteristics', 'antennary oligosaccharides', '86rb flux']</t>
  </si>
  <si>
    <t>A glycoprotein, Mr, 200000, which has the biological activity of the neurotoxin-responsive Na+ channel, was isolated from a clonal line of mouse neuroblastoma cells, N-18. The glycoprotein was purified to homogeneity in 18% yield by methods used to purify glycoproteins, which included metabolic labeling of the cells with l-[3H]fucose and binding of the radioactive glycoproteins to WGA- and lentil-Sepharose, and DEAE-cellulose. The glycoprotein has biological activity of neurotoxin-responsive ion flux when reconstituted into artificial phospholipid vesicles. This activity was shown to depend on the presence of sialic acid since treatment of the purified, reconstituted glycoprotein with Vibrio cholerae neuraminidase abolished the response to neurotoxins of 86Rb flux. The [3H]fucose-containing glycopeptides derived by Pronase digestion of the glycoprotein were characterized by affinity to immobilized lectins and contained di-, tri-, and tetra-antennary oligosaccharides in a ratio of 2:4:3. Most of the glycopeptides were sialylated as shown by binding characteristics to immobilized serotonin-Sepharose with and without neuraminidase. The structure of the diantennary oligosaccharides was elucidated by 500-MHz 1H NMR spectroscopy. The Con A-bound fraction contains Œ±-NeuNAc-(2 ‚Üí 6)-bound group on the GlcNAc5‚Ä≤ antenna and an Œ±-NeuNAc-(2 ‚Üí 3)-bound groups on the GlcNAc5 antenna. An Œ±-l-fucosyl group is (1 ‚Üí 6)-bound to the Asn core GlcNAc1 residue. ¬© 1992.</t>
  </si>
  <si>
    <t>209-225</t>
  </si>
  <si>
    <t>60006297;60010954;60010954;60006297</t>
  </si>
  <si>
    <t>36870678400;6701663668;35473444200;7102493230</t>
  </si>
  <si>
    <t>Negishi, Manabu;van Kuik, J. Albert;Vliegenthart, Johannes E.G.;Glick, Mary Catherine</t>
  </si>
  <si>
    <t>Utrecht;Philadelphia</t>
  </si>
  <si>
    <t>Bijvoet Center for Biomolecular Research;University of Pennsylvania</t>
  </si>
  <si>
    <t>60010954;60006297</t>
  </si>
  <si>
    <t>Negishi M.</t>
  </si>
  <si>
    <t>Oligosaccharide composition of the neurotoxin-responsive sodium channel of mouse neuroblastoma and requirement of sialic acid for biological activity</t>
  </si>
  <si>
    <t>000862159285017T</t>
  </si>
  <si>
    <t>10.1016/0008-6215(92)85017-T</t>
  </si>
  <si>
    <t>2-s2.0-0027100463</t>
  </si>
  <si>
    <t>weighted matrix_7:3</t>
  </si>
  <si>
    <t>weighted matrix_5:5</t>
  </si>
  <si>
    <t>weighted matrix_3:7</t>
  </si>
  <si>
    <t>if</t>
  </si>
  <si>
    <t>fund_sponsor</t>
  </si>
  <si>
    <t>fund_no</t>
  </si>
  <si>
    <t>fund_acr</t>
  </si>
  <si>
    <t>openaccess</t>
  </si>
  <si>
    <t>max-min</t>
  </si>
  <si>
    <t>citation_norm</t>
  </si>
  <si>
    <t>average_citation</t>
  </si>
  <si>
    <t>citedby_count</t>
  </si>
  <si>
    <t>Rake Keyword</t>
  </si>
  <si>
    <t>authkeywords</t>
  </si>
  <si>
    <t>description</t>
  </si>
  <si>
    <t>pageRange</t>
  </si>
  <si>
    <t>article_number</t>
  </si>
  <si>
    <t>issueIdentifier</t>
  </si>
  <si>
    <t>volume</t>
  </si>
  <si>
    <t>aggregationType</t>
  </si>
  <si>
    <t>eIssn</t>
  </si>
  <si>
    <t>source_id</t>
  </si>
  <si>
    <t>issn</t>
  </si>
  <si>
    <t>sjr_norm</t>
  </si>
  <si>
    <t>sjr</t>
  </si>
  <si>
    <t>publicationName</t>
  </si>
  <si>
    <t>coverDisplayDate</t>
  </si>
  <si>
    <t>Year Gap</t>
  </si>
  <si>
    <t>Year</t>
  </si>
  <si>
    <t>coverDate</t>
  </si>
  <si>
    <t>author_afids</t>
  </si>
  <si>
    <t>author_ids</t>
  </si>
  <si>
    <t>author_names</t>
  </si>
  <si>
    <t>author_count</t>
  </si>
  <si>
    <t>affiliation_country</t>
  </si>
  <si>
    <t>affiliation_city</t>
  </si>
  <si>
    <t>affilname</t>
  </si>
  <si>
    <t>afid</t>
  </si>
  <si>
    <t>creator</t>
  </si>
  <si>
    <t>subtypeDescription</t>
  </si>
  <si>
    <t>subtype</t>
  </si>
  <si>
    <t>title</t>
  </si>
  <si>
    <t>pubmed_id</t>
  </si>
  <si>
    <t>pii</t>
  </si>
  <si>
    <t>doi</t>
  </si>
  <si>
    <t>eid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</si>
</sst>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9" x14ac:knownFonts="1">
    <font>
      <sz val="12"/>
      <color theme="1"/>
      <name val="Calibri"/>
      <family val="2"/>
      <scheme val="minor"/>
    </font>
    <font>
      <sz val="12"/>
      <color rgb="FF006100"/>
      <name val="Calibri"/>
      <family val="2"/>
      <scheme val="minor"/>
    </font>
    <font>
      <sz val="12"/>
      <color rgb="FF9C0006"/>
      <name val="Calibri"/>
      <family val="2"/>
      <scheme val="minor"/>
    </font>
    <font>
      <sz val="12"/>
      <color rgb="FF3F3F76"/>
      <name val="Calibri"/>
      <family val="2"/>
      <scheme val="minor"/>
    </font>
    <font>
      <b/>
      <sz val="12"/>
      <color theme="1"/>
      <name val="Calibri"/>
      <family val="2"/>
      <scheme val="minor"/>
    </font>
    <font>
      <b/>
      <sz val="12"/>
      <color rgb="FF3F3F76"/>
      <name val="Calibri"/>
      <family val="2"/>
      <scheme val="minor"/>
    </font>
    <font>
      <b/>
      <sz val="11"/>
      <color theme="1"/>
      <name val="Calibri"/>
      <family val="2"/>
      <scheme val="minor"/>
    </font>
    <font>
      <b/>
      <sz val="12"/>
      <color rgb="FF006100"/>
      <name val="Calibri"/>
      <family val="2"/>
      <scheme val="minor"/>
    </font>
    <font>
      <b/>
      <sz val="12"/>
      <color rgb="FF9C0006"/>
      <name val="Calibri"/>
      <family val="2"/>
      <scheme val="minor"/>
    </font>
  </fonts>
  <fills count="8">
    <fill>
      <patternFill patternType="none"/>
    </fill>
    <fill>
      <patternFill patternType="gray125"/>
    </fill>
    <fill>
      <patternFill patternType="solid">
        <fgColor rgb="FFC6EFCE"/>
      </patternFill>
    </fill>
    <fill>
      <patternFill patternType="solid">
        <fgColor rgb="FFFFC7CE"/>
      </patternFill>
    </fill>
    <fill>
      <patternFill patternType="solid">
        <fgColor rgb="FFFFCC99"/>
      </patternFill>
    </fill>
    <fill>
      <patternFill patternType="solid">
        <fgColor rgb="FFFFFF00"/>
        <bgColor indexed="64"/>
      </patternFill>
    </fill>
    <fill>
      <patternFill patternType="solid">
        <fgColor theme="2" tint="-9.9978637043366805E-2"/>
        <bgColor indexed="64"/>
      </patternFill>
    </fill>
    <fill>
      <patternFill patternType="solid">
        <fgColor theme="2"/>
        <bgColor indexed="64"/>
      </patternFill>
    </fill>
  </fills>
  <borders count="3">
    <border>
      <left/>
      <right/>
      <top/>
      <bottom/>
      <diagonal/>
    </border>
    <border>
      <left style="thin">
        <color rgb="FF7F7F7F"/>
      </left>
      <right style="thin">
        <color rgb="FF7F7F7F"/>
      </right>
      <top style="thin">
        <color rgb="FF7F7F7F"/>
      </top>
      <bottom style="thin">
        <color rgb="FF7F7F7F"/>
      </bottom>
      <diagonal/>
    </border>
    <border>
      <left style="thin">
        <color auto="1"/>
      </left>
      <right style="thin">
        <color auto="1"/>
      </right>
      <top style="thin">
        <color auto="1"/>
      </top>
      <bottom style="thin">
        <color auto="1"/>
      </bottom>
      <diagonal/>
    </border>
  </borders>
  <cellStyleXfs count="4">
    <xf numFmtId="0" fontId="0" fillId="0" borderId="0"/>
    <xf numFmtId="0" fontId="1" fillId="2" borderId="0" applyNumberFormat="0" applyBorder="0" applyAlignment="0" applyProtection="0"/>
    <xf numFmtId="0" fontId="2" fillId="3" borderId="0" applyNumberFormat="0" applyBorder="0" applyAlignment="0" applyProtection="0"/>
    <xf numFmtId="0" fontId="3" fillId="4" borderId="1" applyNumberFormat="0" applyAlignment="0" applyProtection="0"/>
  </cellStyleXfs>
  <cellXfs count="20">
    <xf numFmtId="0" fontId="0" fillId="0" borderId="0" xfId="0"/>
    <xf numFmtId="0" fontId="3" fillId="4" borderId="1" xfId="3"/>
    <xf numFmtId="0" fontId="0" fillId="5" borderId="0" xfId="0" applyFill="1"/>
    <xf numFmtId="2" fontId="1" fillId="0" borderId="0" xfId="1" applyNumberFormat="1" applyFill="1"/>
    <xf numFmtId="2" fontId="1" fillId="2" borderId="0" xfId="1" applyNumberFormat="1"/>
    <xf numFmtId="2" fontId="0" fillId="5" borderId="0" xfId="0" applyNumberFormat="1" applyFill="1"/>
    <xf numFmtId="0" fontId="2" fillId="3" borderId="0" xfId="2"/>
    <xf numFmtId="164" fontId="0" fillId="0" borderId="0" xfId="0" applyNumberFormat="1"/>
    <xf numFmtId="0" fontId="0" fillId="6" borderId="0" xfId="0" applyFill="1"/>
    <xf numFmtId="16" fontId="0" fillId="0" borderId="0" xfId="0" applyNumberFormat="1"/>
    <xf numFmtId="17" fontId="0" fillId="0" borderId="0" xfId="0" applyNumberFormat="1"/>
    <xf numFmtId="0" fontId="0" fillId="7" borderId="0" xfId="0" applyFill="1"/>
    <xf numFmtId="0" fontId="5" fillId="0" borderId="1" xfId="3" applyFont="1" applyFill="1"/>
    <xf numFmtId="0" fontId="6" fillId="0" borderId="2" xfId="0" applyFont="1" applyBorder="1" applyAlignment="1">
      <alignment horizontal="center" vertical="top"/>
    </xf>
    <xf numFmtId="0" fontId="4" fillId="0" borderId="0" xfId="0" applyFont="1"/>
    <xf numFmtId="2" fontId="7" fillId="0" borderId="0" xfId="1" applyNumberFormat="1" applyFont="1" applyFill="1"/>
    <xf numFmtId="2" fontId="4" fillId="0" borderId="0" xfId="0" applyNumberFormat="1" applyFont="1"/>
    <xf numFmtId="0" fontId="6" fillId="0" borderId="0" xfId="0" applyFont="1" applyAlignment="1">
      <alignment horizontal="center" vertical="top"/>
    </xf>
    <xf numFmtId="0" fontId="8" fillId="0" borderId="0" xfId="2" applyFont="1" applyFill="1" applyBorder="1" applyAlignment="1">
      <alignment horizontal="center" vertical="top"/>
    </xf>
    <xf numFmtId="164" fontId="4" fillId="0" borderId="0" xfId="0" applyNumberFormat="1" applyFont="1"/>
  </cellXfs>
  <cellStyles count="4">
    <cellStyle name="Bad" xfId="2" builtinId="27"/>
    <cellStyle name="Good" xfId="1" builtinId="26"/>
    <cellStyle name="Input" xfId="3" builtinId="2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year_data/antenna_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tenna_all"/>
      <sheetName val="Sheet2"/>
      <sheetName val="&lt;=1980"/>
      <sheetName val="&lt;=1985"/>
      <sheetName val="1993"/>
      <sheetName val="1994"/>
      <sheetName val="1995"/>
    </sheetNames>
    <sheetDataSet>
      <sheetData sheetId="0"/>
      <sheetData sheetId="1"/>
      <sheetData sheetId="2"/>
      <sheetData sheetId="3"/>
      <sheetData sheetId="4"/>
      <sheetData sheetId="5"/>
      <sheetData sheetId="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69F70-FA40-F742-89BE-617931D70BCD}">
  <dimension ref="A1:AW241"/>
  <sheetViews>
    <sheetView tabSelected="1" topLeftCell="U1" workbookViewId="0">
      <selection activeCell="AN2" sqref="AN2"/>
    </sheetView>
  </sheetViews>
  <sheetFormatPr baseColWidth="10" defaultRowHeight="16" x14ac:dyDescent="0.2"/>
  <sheetData>
    <row r="1" spans="1:49" s="11" customFormat="1" x14ac:dyDescent="0.2">
      <c r="A1" s="14"/>
      <c r="B1" s="14" t="s">
        <v>2821</v>
      </c>
      <c r="C1" s="14" t="s">
        <v>2820</v>
      </c>
      <c r="D1" s="14" t="s">
        <v>2819</v>
      </c>
      <c r="E1" s="14" t="s">
        <v>2818</v>
      </c>
      <c r="F1" s="14" t="s">
        <v>2817</v>
      </c>
      <c r="G1" s="14" t="s">
        <v>2816</v>
      </c>
      <c r="H1" s="14" t="s">
        <v>2815</v>
      </c>
      <c r="I1" s="14" t="s">
        <v>2814</v>
      </c>
      <c r="J1" s="14" t="s">
        <v>2813</v>
      </c>
      <c r="K1" s="14" t="s">
        <v>2812</v>
      </c>
      <c r="L1" s="14" t="s">
        <v>2811</v>
      </c>
      <c r="M1" s="14" t="s">
        <v>2810</v>
      </c>
      <c r="N1" s="14" t="s">
        <v>2809</v>
      </c>
      <c r="O1" s="14" t="s">
        <v>2808</v>
      </c>
      <c r="P1" s="14" t="s">
        <v>2807</v>
      </c>
      <c r="Q1" s="14" t="s">
        <v>2806</v>
      </c>
      <c r="R1" s="19" t="s">
        <v>2805</v>
      </c>
      <c r="S1" s="14" t="s">
        <v>2804</v>
      </c>
      <c r="T1" s="14" t="s">
        <v>2804</v>
      </c>
      <c r="U1" s="14" t="s">
        <v>2803</v>
      </c>
      <c r="V1" s="19" t="s">
        <v>2802</v>
      </c>
      <c r="W1" s="14" t="s">
        <v>2801</v>
      </c>
      <c r="X1" s="13" t="s">
        <v>2800</v>
      </c>
      <c r="Y1" s="18" t="s">
        <v>2799</v>
      </c>
      <c r="Z1" s="17" t="s">
        <v>2784</v>
      </c>
      <c r="AA1" s="14" t="s">
        <v>2798</v>
      </c>
      <c r="AB1" s="14" t="s">
        <v>2797</v>
      </c>
      <c r="AC1" s="14" t="s">
        <v>2796</v>
      </c>
      <c r="AD1" s="14" t="s">
        <v>2795</v>
      </c>
      <c r="AE1" s="14" t="s">
        <v>2794</v>
      </c>
      <c r="AF1" s="14" t="s">
        <v>2793</v>
      </c>
      <c r="AG1" s="14" t="s">
        <v>2792</v>
      </c>
      <c r="AH1" s="14" t="s">
        <v>2791</v>
      </c>
      <c r="AI1" s="14" t="s">
        <v>2790</v>
      </c>
      <c r="AJ1" s="14" t="s">
        <v>2789</v>
      </c>
      <c r="AK1" s="13" t="s">
        <v>2788</v>
      </c>
      <c r="AL1" s="14" t="s">
        <v>2787</v>
      </c>
      <c r="AM1" s="16" t="s">
        <v>2786</v>
      </c>
      <c r="AN1" s="15" t="s">
        <v>2785</v>
      </c>
      <c r="AO1" s="15" t="s">
        <v>2784</v>
      </c>
      <c r="AP1" s="14" t="s">
        <v>2783</v>
      </c>
      <c r="AQ1" s="14" t="s">
        <v>2782</v>
      </c>
      <c r="AR1" s="14" t="s">
        <v>2781</v>
      </c>
      <c r="AS1" s="14" t="s">
        <v>2780</v>
      </c>
      <c r="AT1" s="13" t="s">
        <v>2779</v>
      </c>
      <c r="AU1" s="12" t="s">
        <v>2778</v>
      </c>
      <c r="AV1" s="12" t="s">
        <v>2777</v>
      </c>
      <c r="AW1" s="12" t="s">
        <v>2776</v>
      </c>
    </row>
    <row r="2" spans="1:49" x14ac:dyDescent="0.2">
      <c r="A2">
        <v>0</v>
      </c>
      <c r="B2" t="s">
        <v>2775</v>
      </c>
      <c r="C2" t="s">
        <v>2774</v>
      </c>
      <c r="D2" t="s">
        <v>2773</v>
      </c>
      <c r="E2">
        <v>1337866</v>
      </c>
      <c r="F2" t="s">
        <v>2772</v>
      </c>
      <c r="G2" t="s">
        <v>4</v>
      </c>
      <c r="H2" t="s">
        <v>3</v>
      </c>
      <c r="I2" t="s">
        <v>2771</v>
      </c>
      <c r="J2" t="s">
        <v>2770</v>
      </c>
      <c r="K2" t="s">
        <v>2769</v>
      </c>
      <c r="L2" t="s">
        <v>2768</v>
      </c>
      <c r="M2" t="s">
        <v>251</v>
      </c>
      <c r="N2">
        <v>4</v>
      </c>
      <c r="O2" t="s">
        <v>2767</v>
      </c>
      <c r="P2" t="s">
        <v>2766</v>
      </c>
      <c r="Q2" t="s">
        <v>2765</v>
      </c>
      <c r="R2" s="7">
        <v>33953</v>
      </c>
      <c r="S2" s="8">
        <f t="shared" ref="S2:S65" si="0">YEAR(R2)</f>
        <v>1992</v>
      </c>
      <c r="T2" s="8">
        <v>1992</v>
      </c>
      <c r="U2" s="8">
        <f t="shared" ref="U2:U65" si="1">2022-T2</f>
        <v>30</v>
      </c>
      <c r="V2" s="7">
        <v>33953</v>
      </c>
      <c r="W2" t="s">
        <v>2748</v>
      </c>
      <c r="X2" s="2">
        <v>0.46500000000000002</v>
      </c>
      <c r="Y2" s="6">
        <f t="shared" ref="Y2:Y65" si="2">(X2-$Z$4)/($Z$3-$Z$4)</f>
        <v>1.2412909425802835E-2</v>
      </c>
      <c r="AA2">
        <v>86215</v>
      </c>
      <c r="AB2">
        <v>25803</v>
      </c>
      <c r="AD2" t="s">
        <v>1</v>
      </c>
      <c r="AE2">
        <v>236</v>
      </c>
      <c r="AF2" t="s">
        <v>68</v>
      </c>
      <c r="AH2" t="s">
        <v>2764</v>
      </c>
      <c r="AI2" t="s">
        <v>2763</v>
      </c>
      <c r="AK2" t="s">
        <v>2762</v>
      </c>
      <c r="AL2">
        <v>2</v>
      </c>
      <c r="AM2" s="5">
        <f t="shared" ref="AM2:AM65" si="3">AL2/U2</f>
        <v>6.6666666666666666E-2</v>
      </c>
      <c r="AN2" s="4">
        <f t="shared" ref="AN2:AN65" si="4">(AM2-$AO$4)/($AO$3-$AO$4)</f>
        <v>1.0097185409567084E-4</v>
      </c>
      <c r="AO2" s="3"/>
      <c r="AP2">
        <v>0</v>
      </c>
      <c r="AQ2" t="s">
        <v>57</v>
      </c>
      <c r="AR2" t="s">
        <v>2761</v>
      </c>
      <c r="AS2" t="s">
        <v>56</v>
      </c>
      <c r="AT2" s="2">
        <v>2.1040000000000001</v>
      </c>
      <c r="AU2" s="1">
        <f t="shared" ref="AU2:AU65" si="5">(Y2*0.7+AN2*0.3)*100</f>
        <v>0.87193281542906864</v>
      </c>
      <c r="AV2" s="1">
        <f t="shared" ref="AV2:AV65" si="6">(Y2*0.5+AN2*0.5)*100</f>
        <v>0.62569406399492533</v>
      </c>
      <c r="AW2" s="1">
        <f t="shared" ref="AW2:AW65" si="7">(Y2*0.3+AN2*0.7)*100</f>
        <v>0.37945531256078197</v>
      </c>
    </row>
    <row r="3" spans="1:49" x14ac:dyDescent="0.2">
      <c r="A3">
        <v>1</v>
      </c>
      <c r="B3" t="s">
        <v>2760</v>
      </c>
      <c r="C3" t="s">
        <v>2759</v>
      </c>
      <c r="D3" t="s">
        <v>2758</v>
      </c>
      <c r="E3">
        <v>1337862</v>
      </c>
      <c r="F3" t="s">
        <v>2757</v>
      </c>
      <c r="G3" t="s">
        <v>4</v>
      </c>
      <c r="H3" t="s">
        <v>3</v>
      </c>
      <c r="I3" t="s">
        <v>2756</v>
      </c>
      <c r="J3" t="s">
        <v>2755</v>
      </c>
      <c r="K3" t="s">
        <v>2754</v>
      </c>
      <c r="L3" t="s">
        <v>2753</v>
      </c>
      <c r="M3" t="s">
        <v>2752</v>
      </c>
      <c r="N3">
        <v>8</v>
      </c>
      <c r="O3" t="s">
        <v>2751</v>
      </c>
      <c r="P3" t="s">
        <v>2750</v>
      </c>
      <c r="Q3" t="s">
        <v>2749</v>
      </c>
      <c r="R3" s="7">
        <v>33953</v>
      </c>
      <c r="S3" s="8">
        <f t="shared" si="0"/>
        <v>1992</v>
      </c>
      <c r="T3" s="8">
        <v>1992</v>
      </c>
      <c r="U3" s="8">
        <f t="shared" si="1"/>
        <v>30</v>
      </c>
      <c r="V3" s="7">
        <v>33953</v>
      </c>
      <c r="W3" t="s">
        <v>2748</v>
      </c>
      <c r="X3" s="2">
        <v>0.46500000000000002</v>
      </c>
      <c r="Y3" s="6">
        <f t="shared" si="2"/>
        <v>1.2412909425802835E-2</v>
      </c>
      <c r="Z3">
        <v>37.460999999999999</v>
      </c>
      <c r="AA3">
        <v>86215</v>
      </c>
      <c r="AB3">
        <v>25803</v>
      </c>
      <c r="AD3" t="s">
        <v>1</v>
      </c>
      <c r="AE3">
        <v>236</v>
      </c>
      <c r="AF3" t="s">
        <v>68</v>
      </c>
      <c r="AH3" t="s">
        <v>2747</v>
      </c>
      <c r="AI3" t="s">
        <v>2746</v>
      </c>
      <c r="AK3" t="s">
        <v>2745</v>
      </c>
      <c r="AL3">
        <v>96</v>
      </c>
      <c r="AM3" s="5">
        <f t="shared" si="3"/>
        <v>3.2</v>
      </c>
      <c r="AN3" s="4">
        <f t="shared" si="4"/>
        <v>4.8466489965922005E-3</v>
      </c>
      <c r="AO3" s="3">
        <v>660.25</v>
      </c>
      <c r="AP3">
        <v>0</v>
      </c>
      <c r="AQ3" t="s">
        <v>237</v>
      </c>
      <c r="AR3">
        <v>882016</v>
      </c>
      <c r="AS3" t="s">
        <v>236</v>
      </c>
      <c r="AT3" s="2">
        <v>2.1040000000000001</v>
      </c>
      <c r="AU3" s="1">
        <f t="shared" si="5"/>
        <v>1.0143031297039644</v>
      </c>
      <c r="AV3" s="1">
        <f t="shared" si="6"/>
        <v>0.8629779211197518</v>
      </c>
      <c r="AW3" s="1">
        <f t="shared" si="7"/>
        <v>0.71165271253553897</v>
      </c>
    </row>
    <row r="4" spans="1:49" x14ac:dyDescent="0.2">
      <c r="A4">
        <v>2</v>
      </c>
      <c r="B4" t="s">
        <v>2744</v>
      </c>
      <c r="C4" t="s">
        <v>2743</v>
      </c>
      <c r="F4" t="s">
        <v>2742</v>
      </c>
      <c r="G4" t="s">
        <v>4</v>
      </c>
      <c r="H4" t="s">
        <v>3</v>
      </c>
      <c r="I4" t="s">
        <v>2741</v>
      </c>
      <c r="J4" t="s">
        <v>2740</v>
      </c>
      <c r="K4" t="s">
        <v>2739</v>
      </c>
      <c r="L4" t="s">
        <v>2738</v>
      </c>
      <c r="M4" t="s">
        <v>58</v>
      </c>
      <c r="N4">
        <v>4</v>
      </c>
      <c r="O4" t="s">
        <v>2737</v>
      </c>
      <c r="P4" t="s">
        <v>2736</v>
      </c>
      <c r="Q4" t="s">
        <v>2735</v>
      </c>
      <c r="R4" s="7">
        <v>33939</v>
      </c>
      <c r="S4" s="8">
        <f t="shared" si="0"/>
        <v>1992</v>
      </c>
      <c r="T4" s="8">
        <v>1992</v>
      </c>
      <c r="U4" s="8">
        <f t="shared" si="1"/>
        <v>30</v>
      </c>
      <c r="V4" s="7">
        <v>1992</v>
      </c>
      <c r="W4" t="s">
        <v>2492</v>
      </c>
      <c r="X4" s="2">
        <v>0.87</v>
      </c>
      <c r="Y4" s="6">
        <f t="shared" si="2"/>
        <v>2.3224153119244015E-2</v>
      </c>
      <c r="Z4">
        <v>0</v>
      </c>
      <c r="AA4">
        <v>1427873</v>
      </c>
      <c r="AB4">
        <v>29635</v>
      </c>
      <c r="AD4" t="s">
        <v>1</v>
      </c>
      <c r="AE4">
        <v>14</v>
      </c>
      <c r="AF4">
        <v>4</v>
      </c>
      <c r="AH4" t="s">
        <v>2734</v>
      </c>
      <c r="AI4" t="s">
        <v>2733</v>
      </c>
      <c r="AK4" t="s">
        <v>2732</v>
      </c>
      <c r="AL4">
        <v>147</v>
      </c>
      <c r="AM4" s="5">
        <f t="shared" si="3"/>
        <v>4.9000000000000004</v>
      </c>
      <c r="AN4" s="4">
        <f t="shared" si="4"/>
        <v>7.4214312760318068E-3</v>
      </c>
      <c r="AO4" s="3">
        <v>0</v>
      </c>
      <c r="AP4">
        <v>0</v>
      </c>
      <c r="AQ4" t="s">
        <v>104</v>
      </c>
      <c r="AR4" t="s">
        <v>2731</v>
      </c>
      <c r="AS4" t="s">
        <v>103</v>
      </c>
      <c r="AT4" s="2">
        <v>2.4550000000000001</v>
      </c>
      <c r="AU4" s="1">
        <f t="shared" si="5"/>
        <v>1.8483336566280353</v>
      </c>
      <c r="AV4" s="1">
        <f t="shared" si="6"/>
        <v>1.5322792197637911</v>
      </c>
      <c r="AW4" s="1">
        <f t="shared" si="7"/>
        <v>1.2162247828995469</v>
      </c>
    </row>
    <row r="5" spans="1:49" x14ac:dyDescent="0.2">
      <c r="A5">
        <v>3</v>
      </c>
      <c r="B5" t="s">
        <v>2730</v>
      </c>
      <c r="C5" t="s">
        <v>2729</v>
      </c>
      <c r="F5" t="s">
        <v>2728</v>
      </c>
      <c r="G5" t="s">
        <v>4</v>
      </c>
      <c r="H5" t="s">
        <v>3</v>
      </c>
      <c r="I5" t="s">
        <v>184</v>
      </c>
      <c r="J5">
        <v>60011001</v>
      </c>
      <c r="K5" t="s">
        <v>49</v>
      </c>
      <c r="L5" t="s">
        <v>48</v>
      </c>
      <c r="M5" t="s">
        <v>12</v>
      </c>
      <c r="N5">
        <v>3</v>
      </c>
      <c r="O5" t="s">
        <v>2727</v>
      </c>
      <c r="P5" t="s">
        <v>2726</v>
      </c>
      <c r="Q5" t="s">
        <v>538</v>
      </c>
      <c r="R5" s="7">
        <v>33939</v>
      </c>
      <c r="S5" s="8">
        <f t="shared" si="0"/>
        <v>1992</v>
      </c>
      <c r="T5" s="8">
        <v>1992</v>
      </c>
      <c r="U5" s="8">
        <f t="shared" si="1"/>
        <v>30</v>
      </c>
      <c r="V5" s="7">
        <v>1992</v>
      </c>
      <c r="W5" t="s">
        <v>2725</v>
      </c>
      <c r="X5" s="2">
        <v>0.9</v>
      </c>
      <c r="Y5" s="6">
        <f t="shared" si="2"/>
        <v>2.4024985985424845E-2</v>
      </c>
      <c r="AA5">
        <v>9630252</v>
      </c>
      <c r="AB5">
        <v>29614</v>
      </c>
      <c r="AD5" t="s">
        <v>1</v>
      </c>
      <c r="AE5">
        <v>1</v>
      </c>
      <c r="AF5">
        <v>1</v>
      </c>
      <c r="AG5">
        <v>3</v>
      </c>
      <c r="AH5" t="s">
        <v>2724</v>
      </c>
      <c r="AI5" t="s">
        <v>2723</v>
      </c>
      <c r="AK5" t="s">
        <v>2722</v>
      </c>
      <c r="AL5">
        <v>4</v>
      </c>
      <c r="AM5" s="5">
        <f t="shared" si="3"/>
        <v>0.13333333333333333</v>
      </c>
      <c r="AN5" s="4">
        <f t="shared" si="4"/>
        <v>2.0194370819134167E-4</v>
      </c>
      <c r="AO5" s="3"/>
      <c r="AP5">
        <v>0</v>
      </c>
      <c r="AR5" t="s">
        <v>0</v>
      </c>
      <c r="AT5" s="2" t="s">
        <v>5</v>
      </c>
      <c r="AU5" s="1">
        <f t="shared" si="5"/>
        <v>1.6878073302254795</v>
      </c>
      <c r="AV5" s="1">
        <f t="shared" si="6"/>
        <v>1.2113464846808093</v>
      </c>
      <c r="AW5" s="1">
        <f t="shared" si="7"/>
        <v>0.73488563913613925</v>
      </c>
    </row>
    <row r="6" spans="1:49" x14ac:dyDescent="0.2">
      <c r="A6">
        <v>4</v>
      </c>
      <c r="B6" t="s">
        <v>2721</v>
      </c>
      <c r="C6" t="s">
        <v>2720</v>
      </c>
      <c r="F6" t="s">
        <v>2719</v>
      </c>
      <c r="G6" t="s">
        <v>4</v>
      </c>
      <c r="H6" t="s">
        <v>3</v>
      </c>
      <c r="I6" t="s">
        <v>95</v>
      </c>
      <c r="J6">
        <v>60009982</v>
      </c>
      <c r="K6" t="s">
        <v>239</v>
      </c>
      <c r="L6" t="s">
        <v>97</v>
      </c>
      <c r="M6" t="s">
        <v>2</v>
      </c>
      <c r="N6">
        <v>1</v>
      </c>
      <c r="O6" t="s">
        <v>94</v>
      </c>
      <c r="P6">
        <v>35586046100</v>
      </c>
      <c r="Q6">
        <v>60009982</v>
      </c>
      <c r="R6" s="7">
        <v>33939</v>
      </c>
      <c r="S6" s="8">
        <f t="shared" si="0"/>
        <v>1992</v>
      </c>
      <c r="T6" s="8">
        <v>1992</v>
      </c>
      <c r="U6" s="8">
        <f t="shared" si="1"/>
        <v>30</v>
      </c>
      <c r="V6" s="7">
        <v>1992</v>
      </c>
      <c r="W6" t="s">
        <v>2025</v>
      </c>
      <c r="X6" s="2">
        <v>0.69899999999999995</v>
      </c>
      <c r="Y6" s="6">
        <f t="shared" si="2"/>
        <v>1.8659405782013295E-2</v>
      </c>
      <c r="AA6">
        <v>218979</v>
      </c>
      <c r="AB6">
        <v>28132</v>
      </c>
      <c r="AD6" t="s">
        <v>1</v>
      </c>
      <c r="AE6">
        <v>71</v>
      </c>
      <c r="AF6">
        <v>3</v>
      </c>
      <c r="AH6" t="s">
        <v>2718</v>
      </c>
      <c r="AI6" t="s">
        <v>2717</v>
      </c>
      <c r="AK6" t="s">
        <v>2716</v>
      </c>
      <c r="AL6">
        <v>2</v>
      </c>
      <c r="AM6" s="5">
        <f t="shared" si="3"/>
        <v>6.6666666666666666E-2</v>
      </c>
      <c r="AN6" s="4">
        <f t="shared" si="4"/>
        <v>1.0097185409567084E-4</v>
      </c>
      <c r="AO6" s="3"/>
      <c r="AP6">
        <v>0</v>
      </c>
      <c r="AR6" t="s">
        <v>0</v>
      </c>
      <c r="AT6" s="2">
        <v>2.5459999999999998</v>
      </c>
      <c r="AU6" s="1">
        <f t="shared" si="5"/>
        <v>1.3091875603638008</v>
      </c>
      <c r="AV6" s="1">
        <f t="shared" si="6"/>
        <v>0.93801888180544823</v>
      </c>
      <c r="AW6" s="1">
        <f t="shared" si="7"/>
        <v>0.56685020324709579</v>
      </c>
    </row>
    <row r="7" spans="1:49" x14ac:dyDescent="0.2">
      <c r="A7">
        <v>5</v>
      </c>
      <c r="B7" t="s">
        <v>2715</v>
      </c>
      <c r="C7" t="s">
        <v>2714</v>
      </c>
      <c r="F7" t="s">
        <v>2713</v>
      </c>
      <c r="G7" t="s">
        <v>4</v>
      </c>
      <c r="H7" t="s">
        <v>3</v>
      </c>
      <c r="I7" t="s">
        <v>2116</v>
      </c>
      <c r="J7">
        <v>60008263</v>
      </c>
      <c r="K7" t="s">
        <v>2115</v>
      </c>
      <c r="L7" t="s">
        <v>2114</v>
      </c>
      <c r="M7" t="s">
        <v>158</v>
      </c>
      <c r="N7">
        <v>3</v>
      </c>
      <c r="O7" t="s">
        <v>2113</v>
      </c>
      <c r="P7" t="s">
        <v>2112</v>
      </c>
      <c r="Q7" t="s">
        <v>2111</v>
      </c>
      <c r="R7" s="7">
        <v>33939</v>
      </c>
      <c r="S7" s="8">
        <f t="shared" si="0"/>
        <v>1992</v>
      </c>
      <c r="T7" s="8">
        <v>1992</v>
      </c>
      <c r="U7" s="8">
        <f t="shared" si="1"/>
        <v>30</v>
      </c>
      <c r="V7" s="7">
        <v>1992</v>
      </c>
      <c r="W7" t="s">
        <v>2045</v>
      </c>
      <c r="X7" s="2">
        <v>0.60499999999999998</v>
      </c>
      <c r="Y7" s="6">
        <f t="shared" si="2"/>
        <v>1.6150129467980032E-2</v>
      </c>
      <c r="AA7">
        <v>346748</v>
      </c>
      <c r="AB7">
        <v>15563</v>
      </c>
      <c r="AD7" t="s">
        <v>1</v>
      </c>
      <c r="AE7">
        <v>63</v>
      </c>
      <c r="AF7">
        <v>3</v>
      </c>
      <c r="AH7" t="s">
        <v>2712</v>
      </c>
      <c r="AI7" t="s">
        <v>2711</v>
      </c>
      <c r="AK7" t="s">
        <v>2710</v>
      </c>
      <c r="AL7">
        <v>6</v>
      </c>
      <c r="AM7" s="5">
        <f t="shared" si="3"/>
        <v>0.2</v>
      </c>
      <c r="AN7" s="4">
        <f t="shared" si="4"/>
        <v>3.0291556228701253E-4</v>
      </c>
      <c r="AO7" s="3"/>
      <c r="AP7">
        <v>0</v>
      </c>
      <c r="AR7" t="s">
        <v>0</v>
      </c>
      <c r="AT7" s="2">
        <v>1.5229999999999999</v>
      </c>
      <c r="AU7" s="1">
        <f t="shared" si="5"/>
        <v>1.1395965296272126</v>
      </c>
      <c r="AV7" s="1">
        <f t="shared" si="6"/>
        <v>0.82265225151335231</v>
      </c>
      <c r="AW7" s="1">
        <f t="shared" si="7"/>
        <v>0.50570797339949181</v>
      </c>
    </row>
    <row r="8" spans="1:49" x14ac:dyDescent="0.2">
      <c r="A8">
        <v>6</v>
      </c>
      <c r="B8" t="s">
        <v>2709</v>
      </c>
      <c r="C8" t="s">
        <v>2708</v>
      </c>
      <c r="F8" t="s">
        <v>2707</v>
      </c>
      <c r="G8" t="s">
        <v>4</v>
      </c>
      <c r="H8" t="s">
        <v>3</v>
      </c>
      <c r="I8" t="s">
        <v>2706</v>
      </c>
      <c r="J8">
        <v>60017134</v>
      </c>
      <c r="K8" t="s">
        <v>2482</v>
      </c>
      <c r="L8" t="s">
        <v>2481</v>
      </c>
      <c r="M8" t="s">
        <v>50</v>
      </c>
      <c r="N8">
        <v>6</v>
      </c>
      <c r="O8" t="s">
        <v>2705</v>
      </c>
      <c r="P8" t="s">
        <v>2704</v>
      </c>
      <c r="Q8" t="s">
        <v>2703</v>
      </c>
      <c r="R8" s="7">
        <v>33939</v>
      </c>
      <c r="S8" s="8">
        <f t="shared" si="0"/>
        <v>1992</v>
      </c>
      <c r="T8" s="8">
        <v>1992</v>
      </c>
      <c r="U8" s="8">
        <f t="shared" si="1"/>
        <v>30</v>
      </c>
      <c r="V8" s="7">
        <v>1992</v>
      </c>
      <c r="W8" t="s">
        <v>2045</v>
      </c>
      <c r="X8" s="2">
        <v>0.60499999999999998</v>
      </c>
      <c r="Y8" s="6">
        <f t="shared" si="2"/>
        <v>1.6150129467980032E-2</v>
      </c>
      <c r="AA8">
        <v>346748</v>
      </c>
      <c r="AB8">
        <v>15563</v>
      </c>
      <c r="AD8" t="s">
        <v>1</v>
      </c>
      <c r="AE8">
        <v>63</v>
      </c>
      <c r="AF8">
        <v>4</v>
      </c>
      <c r="AH8" t="s">
        <v>2702</v>
      </c>
      <c r="AI8" t="s">
        <v>2701</v>
      </c>
      <c r="AK8" t="s">
        <v>2700</v>
      </c>
      <c r="AL8">
        <v>5</v>
      </c>
      <c r="AM8" s="5">
        <f t="shared" si="3"/>
        <v>0.16666666666666666</v>
      </c>
      <c r="AN8" s="4">
        <f t="shared" si="4"/>
        <v>2.5242963523917705E-4</v>
      </c>
      <c r="AO8" s="3"/>
      <c r="AP8">
        <v>0</v>
      </c>
      <c r="AR8" t="s">
        <v>0</v>
      </c>
      <c r="AT8" s="2">
        <v>1.5229999999999999</v>
      </c>
      <c r="AU8" s="1">
        <f t="shared" si="5"/>
        <v>1.1380819518157774</v>
      </c>
      <c r="AV8" s="1">
        <f t="shared" si="6"/>
        <v>0.82012795516096038</v>
      </c>
      <c r="AW8" s="1">
        <f t="shared" si="7"/>
        <v>0.50217395850614344</v>
      </c>
    </row>
    <row r="9" spans="1:49" x14ac:dyDescent="0.2">
      <c r="A9">
        <v>7</v>
      </c>
      <c r="B9" t="s">
        <v>2699</v>
      </c>
      <c r="D9" t="s">
        <v>2698</v>
      </c>
      <c r="F9" t="s">
        <v>2697</v>
      </c>
      <c r="G9" t="s">
        <v>4</v>
      </c>
      <c r="H9" t="s">
        <v>3</v>
      </c>
      <c r="I9" t="s">
        <v>2696</v>
      </c>
      <c r="J9">
        <v>60110604</v>
      </c>
      <c r="K9" t="s">
        <v>2695</v>
      </c>
      <c r="L9" t="s">
        <v>2694</v>
      </c>
      <c r="M9" t="s">
        <v>24</v>
      </c>
      <c r="N9">
        <v>3</v>
      </c>
      <c r="O9" t="s">
        <v>2693</v>
      </c>
      <c r="P9" t="s">
        <v>2692</v>
      </c>
      <c r="Q9" t="s">
        <v>2691</v>
      </c>
      <c r="R9" s="7">
        <v>33939</v>
      </c>
      <c r="S9" s="8">
        <f t="shared" si="0"/>
        <v>1992</v>
      </c>
      <c r="T9" s="8">
        <v>1992</v>
      </c>
      <c r="U9" s="8">
        <f t="shared" si="1"/>
        <v>30</v>
      </c>
      <c r="V9" s="7">
        <v>1992</v>
      </c>
      <c r="W9" t="s">
        <v>2690</v>
      </c>
      <c r="X9" s="2" t="s">
        <v>5</v>
      </c>
      <c r="Y9" s="6" t="e">
        <f t="shared" si="2"/>
        <v>#VALUE!</v>
      </c>
      <c r="AA9">
        <v>63509</v>
      </c>
      <c r="AB9">
        <v>14860</v>
      </c>
      <c r="AD9" t="s">
        <v>1</v>
      </c>
      <c r="AE9">
        <v>37</v>
      </c>
      <c r="AF9">
        <v>2</v>
      </c>
      <c r="AH9" t="s">
        <v>2689</v>
      </c>
      <c r="AL9">
        <v>0</v>
      </c>
      <c r="AM9" s="5">
        <f t="shared" si="3"/>
        <v>0</v>
      </c>
      <c r="AN9" s="4">
        <f t="shared" si="4"/>
        <v>0</v>
      </c>
      <c r="AO9" s="3"/>
      <c r="AP9">
        <v>0</v>
      </c>
      <c r="AR9" t="s">
        <v>0</v>
      </c>
      <c r="AT9" s="2" t="s">
        <v>5</v>
      </c>
      <c r="AU9" s="1" t="e">
        <f t="shared" si="5"/>
        <v>#VALUE!</v>
      </c>
      <c r="AV9" s="1" t="e">
        <f t="shared" si="6"/>
        <v>#VALUE!</v>
      </c>
      <c r="AW9" s="1" t="e">
        <f t="shared" si="7"/>
        <v>#VALUE!</v>
      </c>
    </row>
    <row r="10" spans="1:49" x14ac:dyDescent="0.2">
      <c r="A10">
        <v>8</v>
      </c>
      <c r="B10" t="s">
        <v>2688</v>
      </c>
      <c r="C10" t="s">
        <v>2687</v>
      </c>
      <c r="F10" t="s">
        <v>2686</v>
      </c>
      <c r="G10" t="s">
        <v>4</v>
      </c>
      <c r="H10" t="s">
        <v>3</v>
      </c>
      <c r="I10" t="s">
        <v>2685</v>
      </c>
      <c r="J10">
        <v>60014256</v>
      </c>
      <c r="K10" t="s">
        <v>2684</v>
      </c>
      <c r="L10" t="s">
        <v>46</v>
      </c>
      <c r="M10" t="s">
        <v>12</v>
      </c>
      <c r="N10">
        <v>7</v>
      </c>
      <c r="O10" t="s">
        <v>2683</v>
      </c>
      <c r="P10" t="s">
        <v>2682</v>
      </c>
      <c r="Q10" t="s">
        <v>2681</v>
      </c>
      <c r="R10" s="7">
        <v>33939</v>
      </c>
      <c r="S10" s="8">
        <f t="shared" si="0"/>
        <v>1992</v>
      </c>
      <c r="T10" s="8">
        <v>1992</v>
      </c>
      <c r="U10" s="8">
        <f t="shared" si="1"/>
        <v>30</v>
      </c>
      <c r="V10" s="7">
        <v>1992</v>
      </c>
      <c r="W10" t="s">
        <v>2045</v>
      </c>
      <c r="X10" s="2">
        <v>0.60499999999999998</v>
      </c>
      <c r="Y10" s="6">
        <f t="shared" si="2"/>
        <v>1.6150129467980032E-2</v>
      </c>
      <c r="AA10">
        <v>346748</v>
      </c>
      <c r="AB10">
        <v>15563</v>
      </c>
      <c r="AD10" t="s">
        <v>1</v>
      </c>
      <c r="AE10">
        <v>63</v>
      </c>
      <c r="AF10">
        <v>5</v>
      </c>
      <c r="AH10" t="s">
        <v>2680</v>
      </c>
      <c r="AI10" t="s">
        <v>2679</v>
      </c>
      <c r="AK10" t="s">
        <v>2678</v>
      </c>
      <c r="AL10">
        <v>2</v>
      </c>
      <c r="AM10" s="5">
        <f t="shared" si="3"/>
        <v>6.6666666666666666E-2</v>
      </c>
      <c r="AN10" s="4">
        <f t="shared" si="4"/>
        <v>1.0097185409567084E-4</v>
      </c>
      <c r="AO10" s="3"/>
      <c r="AP10">
        <v>0</v>
      </c>
      <c r="AR10" t="s">
        <v>0</v>
      </c>
      <c r="AT10" s="2">
        <v>1.5229999999999999</v>
      </c>
      <c r="AU10" s="1">
        <f t="shared" si="5"/>
        <v>1.1335382183814724</v>
      </c>
      <c r="AV10" s="1">
        <f t="shared" si="6"/>
        <v>0.81255506610378514</v>
      </c>
      <c r="AW10" s="1">
        <f t="shared" si="7"/>
        <v>0.49157191382609799</v>
      </c>
    </row>
    <row r="11" spans="1:49" x14ac:dyDescent="0.2">
      <c r="A11">
        <v>9</v>
      </c>
      <c r="B11" t="s">
        <v>2677</v>
      </c>
      <c r="C11" t="s">
        <v>2676</v>
      </c>
      <c r="F11" t="s">
        <v>2675</v>
      </c>
      <c r="G11" t="s">
        <v>4</v>
      </c>
      <c r="H11" t="s">
        <v>3</v>
      </c>
      <c r="I11" t="s">
        <v>2674</v>
      </c>
      <c r="J11">
        <v>60032179</v>
      </c>
      <c r="K11" t="s">
        <v>2673</v>
      </c>
      <c r="L11" t="s">
        <v>69</v>
      </c>
      <c r="M11" t="s">
        <v>2</v>
      </c>
      <c r="N11">
        <v>11</v>
      </c>
      <c r="O11" t="s">
        <v>2672</v>
      </c>
      <c r="P11" t="s">
        <v>2671</v>
      </c>
      <c r="Q11" t="s">
        <v>2670</v>
      </c>
      <c r="R11" s="7">
        <v>33939</v>
      </c>
      <c r="S11" s="8">
        <f t="shared" si="0"/>
        <v>1992</v>
      </c>
      <c r="T11" s="8">
        <v>1992</v>
      </c>
      <c r="U11" s="8">
        <f t="shared" si="1"/>
        <v>30</v>
      </c>
      <c r="V11" s="7">
        <v>1992</v>
      </c>
      <c r="W11" t="s">
        <v>2100</v>
      </c>
      <c r="X11" s="2">
        <v>1.774</v>
      </c>
      <c r="Y11" s="6">
        <f t="shared" si="2"/>
        <v>4.7355916820159633E-2</v>
      </c>
      <c r="AA11">
        <v>295515</v>
      </c>
      <c r="AB11">
        <v>29066</v>
      </c>
      <c r="AD11" t="s">
        <v>1</v>
      </c>
      <c r="AE11">
        <v>32</v>
      </c>
      <c r="AF11">
        <v>11</v>
      </c>
      <c r="AG11" t="s">
        <v>2669</v>
      </c>
      <c r="AH11" t="s">
        <v>2668</v>
      </c>
      <c r="AI11" t="s">
        <v>2667</v>
      </c>
      <c r="AK11" t="s">
        <v>2666</v>
      </c>
      <c r="AL11">
        <v>8</v>
      </c>
      <c r="AM11" s="5">
        <f t="shared" si="3"/>
        <v>0.26666666666666666</v>
      </c>
      <c r="AN11" s="4">
        <f t="shared" si="4"/>
        <v>4.0388741638268334E-4</v>
      </c>
      <c r="AO11" s="3"/>
      <c r="AP11">
        <v>0</v>
      </c>
      <c r="AR11" t="s">
        <v>0</v>
      </c>
      <c r="AT11" s="2">
        <v>3.1789999999999998</v>
      </c>
      <c r="AU11" s="1">
        <f t="shared" si="5"/>
        <v>3.3270307999026549</v>
      </c>
      <c r="AV11" s="1">
        <f t="shared" si="6"/>
        <v>2.3879902118271157</v>
      </c>
      <c r="AW11" s="1">
        <f t="shared" si="7"/>
        <v>1.4489496237515767</v>
      </c>
    </row>
    <row r="12" spans="1:49" x14ac:dyDescent="0.2">
      <c r="A12">
        <v>10</v>
      </c>
      <c r="B12" t="s">
        <v>2665</v>
      </c>
      <c r="C12" t="s">
        <v>2664</v>
      </c>
      <c r="F12" t="s">
        <v>2663</v>
      </c>
      <c r="G12" t="s">
        <v>4</v>
      </c>
      <c r="H12" t="s">
        <v>3</v>
      </c>
      <c r="I12" t="s">
        <v>2662</v>
      </c>
      <c r="J12">
        <v>60013372</v>
      </c>
      <c r="K12" t="s">
        <v>176</v>
      </c>
      <c r="L12" t="s">
        <v>175</v>
      </c>
      <c r="M12" t="s">
        <v>2</v>
      </c>
      <c r="N12">
        <v>1</v>
      </c>
      <c r="O12" t="s">
        <v>2661</v>
      </c>
      <c r="P12">
        <v>57198966833</v>
      </c>
      <c r="Q12">
        <v>60013372</v>
      </c>
      <c r="R12" s="7">
        <v>33939</v>
      </c>
      <c r="S12" s="8">
        <f t="shared" si="0"/>
        <v>1992</v>
      </c>
      <c r="T12" s="8">
        <v>1992</v>
      </c>
      <c r="U12" s="8">
        <f t="shared" si="1"/>
        <v>30</v>
      </c>
      <c r="V12" s="7">
        <v>1992</v>
      </c>
      <c r="W12" t="s">
        <v>2045</v>
      </c>
      <c r="X12" s="2">
        <v>0.60499999999999998</v>
      </c>
      <c r="Y12" s="6">
        <f t="shared" si="2"/>
        <v>1.6150129467980032E-2</v>
      </c>
      <c r="AA12">
        <v>346748</v>
      </c>
      <c r="AB12">
        <v>15563</v>
      </c>
      <c r="AD12" t="s">
        <v>1</v>
      </c>
      <c r="AE12">
        <v>63</v>
      </c>
      <c r="AF12">
        <v>11</v>
      </c>
      <c r="AH12" t="s">
        <v>2660</v>
      </c>
      <c r="AI12" t="s">
        <v>2659</v>
      </c>
      <c r="AK12" t="s">
        <v>2658</v>
      </c>
      <c r="AL12">
        <v>2</v>
      </c>
      <c r="AM12" s="5">
        <f t="shared" si="3"/>
        <v>6.6666666666666666E-2</v>
      </c>
      <c r="AN12" s="4">
        <f t="shared" si="4"/>
        <v>1.0097185409567084E-4</v>
      </c>
      <c r="AO12" s="3"/>
      <c r="AP12">
        <v>0</v>
      </c>
      <c r="AR12" t="s">
        <v>0</v>
      </c>
      <c r="AT12" s="2">
        <v>1.5229999999999999</v>
      </c>
      <c r="AU12" s="1">
        <f t="shared" si="5"/>
        <v>1.1335382183814724</v>
      </c>
      <c r="AV12" s="1">
        <f t="shared" si="6"/>
        <v>0.81255506610378514</v>
      </c>
      <c r="AW12" s="1">
        <f t="shared" si="7"/>
        <v>0.49157191382609799</v>
      </c>
    </row>
    <row r="13" spans="1:49" x14ac:dyDescent="0.2">
      <c r="A13">
        <v>11</v>
      </c>
      <c r="B13" t="s">
        <v>2657</v>
      </c>
      <c r="C13" t="s">
        <v>2656</v>
      </c>
      <c r="F13" t="s">
        <v>2655</v>
      </c>
      <c r="G13" t="s">
        <v>4</v>
      </c>
      <c r="H13" t="s">
        <v>3</v>
      </c>
      <c r="I13" t="s">
        <v>2654</v>
      </c>
      <c r="J13" t="s">
        <v>2653</v>
      </c>
      <c r="K13" t="s">
        <v>2652</v>
      </c>
      <c r="L13" t="s">
        <v>2651</v>
      </c>
      <c r="M13" t="s">
        <v>59</v>
      </c>
      <c r="N13">
        <v>5</v>
      </c>
      <c r="O13" t="s">
        <v>2650</v>
      </c>
      <c r="P13" t="s">
        <v>2649</v>
      </c>
      <c r="Q13" t="s">
        <v>2648</v>
      </c>
      <c r="R13" s="7">
        <v>33939</v>
      </c>
      <c r="S13" s="8">
        <f t="shared" si="0"/>
        <v>1992</v>
      </c>
      <c r="T13" s="8">
        <v>1992</v>
      </c>
      <c r="U13" s="8">
        <f t="shared" si="1"/>
        <v>30</v>
      </c>
      <c r="V13" s="7">
        <v>1992</v>
      </c>
      <c r="W13" t="s">
        <v>2045</v>
      </c>
      <c r="X13" s="2">
        <v>0.60499999999999998</v>
      </c>
      <c r="Y13" s="6">
        <f t="shared" si="2"/>
        <v>1.6150129467980032E-2</v>
      </c>
      <c r="AA13">
        <v>346748</v>
      </c>
      <c r="AB13">
        <v>15563</v>
      </c>
      <c r="AD13" t="s">
        <v>1</v>
      </c>
      <c r="AE13">
        <v>63</v>
      </c>
      <c r="AF13">
        <v>4</v>
      </c>
      <c r="AH13" t="s">
        <v>2647</v>
      </c>
      <c r="AI13" t="s">
        <v>2646</v>
      </c>
      <c r="AK13" t="s">
        <v>2645</v>
      </c>
      <c r="AL13">
        <v>13</v>
      </c>
      <c r="AM13" s="5">
        <f t="shared" si="3"/>
        <v>0.43333333333333335</v>
      </c>
      <c r="AN13" s="4">
        <f t="shared" si="4"/>
        <v>6.5631705162186044E-4</v>
      </c>
      <c r="AO13" s="3"/>
      <c r="AP13">
        <v>0</v>
      </c>
      <c r="AR13" t="s">
        <v>0</v>
      </c>
      <c r="AT13" s="2">
        <v>1.5229999999999999</v>
      </c>
      <c r="AU13" s="1">
        <f t="shared" si="5"/>
        <v>1.150198574307258</v>
      </c>
      <c r="AV13" s="1">
        <f t="shared" si="6"/>
        <v>0.8403223259800946</v>
      </c>
      <c r="AW13" s="1">
        <f t="shared" si="7"/>
        <v>0.53044607765293117</v>
      </c>
    </row>
    <row r="14" spans="1:49" x14ac:dyDescent="0.2">
      <c r="A14">
        <v>12</v>
      </c>
      <c r="B14" t="s">
        <v>2644</v>
      </c>
      <c r="C14" t="s">
        <v>2643</v>
      </c>
      <c r="F14" t="s">
        <v>2642</v>
      </c>
      <c r="G14" t="s">
        <v>4</v>
      </c>
      <c r="H14" t="s">
        <v>3</v>
      </c>
      <c r="I14" t="s">
        <v>2641</v>
      </c>
      <c r="J14">
        <v>60021954</v>
      </c>
      <c r="K14" t="s">
        <v>2640</v>
      </c>
      <c r="L14" t="s">
        <v>203</v>
      </c>
      <c r="M14" t="s">
        <v>2</v>
      </c>
      <c r="N14">
        <v>2</v>
      </c>
      <c r="O14" t="s">
        <v>2639</v>
      </c>
      <c r="P14" t="s">
        <v>2638</v>
      </c>
      <c r="Q14" t="s">
        <v>2637</v>
      </c>
      <c r="R14" s="7">
        <v>33939</v>
      </c>
      <c r="S14" s="8">
        <f t="shared" si="0"/>
        <v>1992</v>
      </c>
      <c r="T14" s="8">
        <v>1992</v>
      </c>
      <c r="U14" s="8">
        <f t="shared" si="1"/>
        <v>30</v>
      </c>
      <c r="V14" s="7">
        <v>1992</v>
      </c>
      <c r="W14" t="s">
        <v>2089</v>
      </c>
      <c r="X14" s="2">
        <v>1.1819999999999999</v>
      </c>
      <c r="Y14" s="6">
        <f t="shared" si="2"/>
        <v>3.1552814927524625E-2</v>
      </c>
      <c r="AA14">
        <v>36951</v>
      </c>
      <c r="AB14">
        <v>27030</v>
      </c>
      <c r="AD14" t="s">
        <v>1</v>
      </c>
      <c r="AE14">
        <v>60</v>
      </c>
      <c r="AF14">
        <v>13</v>
      </c>
      <c r="AH14" t="s">
        <v>2636</v>
      </c>
      <c r="AI14" t="s">
        <v>2635</v>
      </c>
      <c r="AK14" t="s">
        <v>2634</v>
      </c>
      <c r="AL14">
        <v>31</v>
      </c>
      <c r="AM14" s="5">
        <f t="shared" si="3"/>
        <v>1.0333333333333334</v>
      </c>
      <c r="AN14" s="4">
        <f t="shared" si="4"/>
        <v>1.5650637384828981E-3</v>
      </c>
      <c r="AO14" s="3"/>
      <c r="AP14">
        <v>0</v>
      </c>
      <c r="AR14" t="s">
        <v>0</v>
      </c>
      <c r="AT14" s="2">
        <v>3.7909999999999999</v>
      </c>
      <c r="AU14" s="1">
        <f t="shared" si="5"/>
        <v>2.2556489570812106</v>
      </c>
      <c r="AV14" s="1">
        <f t="shared" si="6"/>
        <v>1.6558939333003762</v>
      </c>
      <c r="AW14" s="1">
        <f t="shared" si="7"/>
        <v>1.0561389095195417</v>
      </c>
    </row>
    <row r="15" spans="1:49" x14ac:dyDescent="0.2">
      <c r="A15">
        <v>13</v>
      </c>
      <c r="B15" t="s">
        <v>2633</v>
      </c>
      <c r="C15" t="s">
        <v>2632</v>
      </c>
      <c r="F15" t="s">
        <v>2631</v>
      </c>
      <c r="G15" t="s">
        <v>4</v>
      </c>
      <c r="H15" t="s">
        <v>3</v>
      </c>
      <c r="I15" t="s">
        <v>2630</v>
      </c>
      <c r="J15">
        <v>60025778</v>
      </c>
      <c r="K15" t="s">
        <v>7</v>
      </c>
      <c r="L15" t="s">
        <v>6</v>
      </c>
      <c r="M15" t="s">
        <v>2</v>
      </c>
      <c r="N15">
        <v>3</v>
      </c>
      <c r="O15" t="s">
        <v>2629</v>
      </c>
      <c r="P15" t="s">
        <v>2628</v>
      </c>
      <c r="Q15" t="s">
        <v>15</v>
      </c>
      <c r="R15" s="7">
        <v>33939</v>
      </c>
      <c r="S15" s="8">
        <f t="shared" si="0"/>
        <v>1992</v>
      </c>
      <c r="T15" s="8">
        <v>1992</v>
      </c>
      <c r="U15" s="8">
        <f t="shared" si="1"/>
        <v>30</v>
      </c>
      <c r="V15" s="7">
        <v>1992</v>
      </c>
      <c r="W15" t="s">
        <v>2089</v>
      </c>
      <c r="X15" s="2">
        <v>1.1819999999999999</v>
      </c>
      <c r="Y15" s="6">
        <f t="shared" si="2"/>
        <v>3.1552814927524625E-2</v>
      </c>
      <c r="AA15">
        <v>36951</v>
      </c>
      <c r="AB15">
        <v>27030</v>
      </c>
      <c r="AD15" t="s">
        <v>1</v>
      </c>
      <c r="AE15">
        <v>61</v>
      </c>
      <c r="AF15">
        <v>6</v>
      </c>
      <c r="AH15" t="s">
        <v>2627</v>
      </c>
      <c r="AI15" t="s">
        <v>2626</v>
      </c>
      <c r="AK15" t="s">
        <v>2625</v>
      </c>
      <c r="AL15">
        <v>3</v>
      </c>
      <c r="AM15" s="5">
        <f t="shared" si="3"/>
        <v>0.1</v>
      </c>
      <c r="AN15" s="4">
        <f t="shared" si="4"/>
        <v>1.5145778114350627E-4</v>
      </c>
      <c r="AO15" s="3"/>
      <c r="AP15">
        <v>0</v>
      </c>
      <c r="AR15" t="s">
        <v>0</v>
      </c>
      <c r="AT15" s="2">
        <v>3.7909999999999999</v>
      </c>
      <c r="AU15" s="1">
        <f t="shared" si="5"/>
        <v>2.2132407783610288</v>
      </c>
      <c r="AV15" s="1">
        <f t="shared" si="6"/>
        <v>1.5852136354334065</v>
      </c>
      <c r="AW15" s="1">
        <f t="shared" si="7"/>
        <v>0.95718649250578425</v>
      </c>
    </row>
    <row r="16" spans="1:49" x14ac:dyDescent="0.2">
      <c r="A16">
        <v>14</v>
      </c>
      <c r="B16" t="s">
        <v>2624</v>
      </c>
      <c r="C16" t="s">
        <v>2623</v>
      </c>
      <c r="F16" t="s">
        <v>2622</v>
      </c>
      <c r="G16" t="s">
        <v>4</v>
      </c>
      <c r="H16" t="s">
        <v>3</v>
      </c>
      <c r="I16" t="s">
        <v>2621</v>
      </c>
      <c r="J16" t="s">
        <v>2620</v>
      </c>
      <c r="K16" t="s">
        <v>2619</v>
      </c>
      <c r="L16" t="s">
        <v>2618</v>
      </c>
      <c r="M16" t="s">
        <v>11</v>
      </c>
      <c r="N16">
        <v>5</v>
      </c>
      <c r="O16" t="s">
        <v>2617</v>
      </c>
      <c r="P16" t="s">
        <v>2616</v>
      </c>
      <c r="Q16" t="s">
        <v>2615</v>
      </c>
      <c r="R16" s="7">
        <v>33939</v>
      </c>
      <c r="S16" s="8">
        <f t="shared" si="0"/>
        <v>1992</v>
      </c>
      <c r="T16" s="8">
        <v>1992</v>
      </c>
      <c r="U16" s="8">
        <f t="shared" si="1"/>
        <v>30</v>
      </c>
      <c r="V16" s="7">
        <v>1992</v>
      </c>
      <c r="W16" t="s">
        <v>2089</v>
      </c>
      <c r="X16" s="2">
        <v>1.1819999999999999</v>
      </c>
      <c r="Y16" s="6">
        <f t="shared" si="2"/>
        <v>3.1552814927524625E-2</v>
      </c>
      <c r="AA16">
        <v>36951</v>
      </c>
      <c r="AB16">
        <v>27030</v>
      </c>
      <c r="AD16" t="s">
        <v>1</v>
      </c>
      <c r="AE16">
        <v>61</v>
      </c>
      <c r="AF16">
        <v>15</v>
      </c>
      <c r="AH16" t="s">
        <v>2614</v>
      </c>
      <c r="AI16" t="s">
        <v>2613</v>
      </c>
      <c r="AK16" t="s">
        <v>2612</v>
      </c>
      <c r="AL16">
        <v>13</v>
      </c>
      <c r="AM16" s="5">
        <f t="shared" si="3"/>
        <v>0.43333333333333335</v>
      </c>
      <c r="AN16" s="4">
        <f t="shared" si="4"/>
        <v>6.5631705162186044E-4</v>
      </c>
      <c r="AO16" s="3"/>
      <c r="AP16">
        <v>0</v>
      </c>
      <c r="AR16" t="s">
        <v>0</v>
      </c>
      <c r="AT16" s="2">
        <v>3.7909999999999999</v>
      </c>
      <c r="AU16" s="1">
        <f t="shared" si="5"/>
        <v>2.2283865564753791</v>
      </c>
      <c r="AV16" s="1">
        <f t="shared" si="6"/>
        <v>1.6104565989573243</v>
      </c>
      <c r="AW16" s="1">
        <f t="shared" si="7"/>
        <v>0.99252664143926905</v>
      </c>
    </row>
    <row r="17" spans="1:49" x14ac:dyDescent="0.2">
      <c r="A17">
        <v>15</v>
      </c>
      <c r="B17" t="s">
        <v>2611</v>
      </c>
      <c r="C17" t="s">
        <v>2610</v>
      </c>
      <c r="F17" t="s">
        <v>2609</v>
      </c>
      <c r="G17" t="s">
        <v>4</v>
      </c>
      <c r="H17" t="s">
        <v>3</v>
      </c>
      <c r="I17" t="s">
        <v>2608</v>
      </c>
      <c r="J17">
        <v>60003729</v>
      </c>
      <c r="K17" t="s">
        <v>2607</v>
      </c>
      <c r="L17" t="s">
        <v>2606</v>
      </c>
      <c r="M17" t="s">
        <v>38</v>
      </c>
      <c r="N17">
        <v>16</v>
      </c>
      <c r="O17" t="s">
        <v>2605</v>
      </c>
      <c r="P17" t="s">
        <v>2604</v>
      </c>
      <c r="Q17" t="s">
        <v>2603</v>
      </c>
      <c r="R17" s="7">
        <v>33939</v>
      </c>
      <c r="S17" s="8">
        <f t="shared" si="0"/>
        <v>1992</v>
      </c>
      <c r="T17" s="8">
        <v>1992</v>
      </c>
      <c r="U17" s="8">
        <f t="shared" si="1"/>
        <v>30</v>
      </c>
      <c r="V17" s="7">
        <v>1992</v>
      </c>
      <c r="W17" t="s">
        <v>2100</v>
      </c>
      <c r="X17" s="2">
        <v>1.774</v>
      </c>
      <c r="Y17" s="6">
        <f t="shared" si="2"/>
        <v>4.7355916820159633E-2</v>
      </c>
      <c r="AA17">
        <v>295515</v>
      </c>
      <c r="AB17">
        <v>29066</v>
      </c>
      <c r="AD17" t="s">
        <v>1</v>
      </c>
      <c r="AE17">
        <v>32</v>
      </c>
      <c r="AF17">
        <v>11</v>
      </c>
      <c r="AG17" t="s">
        <v>2602</v>
      </c>
      <c r="AH17" t="s">
        <v>2601</v>
      </c>
      <c r="AI17" t="s">
        <v>2600</v>
      </c>
      <c r="AK17" t="s">
        <v>2599</v>
      </c>
      <c r="AL17">
        <v>54</v>
      </c>
      <c r="AM17" s="5">
        <f t="shared" si="3"/>
        <v>1.8</v>
      </c>
      <c r="AN17" s="4">
        <f t="shared" si="4"/>
        <v>2.7262400605831123E-3</v>
      </c>
      <c r="AO17" s="3"/>
      <c r="AP17">
        <v>0</v>
      </c>
      <c r="AR17" t="s">
        <v>0</v>
      </c>
      <c r="AT17" s="2">
        <v>3.1789999999999998</v>
      </c>
      <c r="AU17" s="1">
        <f t="shared" si="5"/>
        <v>3.3967013792286673</v>
      </c>
      <c r="AV17" s="1">
        <f t="shared" si="6"/>
        <v>2.5041078440371374</v>
      </c>
      <c r="AW17" s="1">
        <f t="shared" si="7"/>
        <v>1.6115143088456068</v>
      </c>
    </row>
    <row r="18" spans="1:49" x14ac:dyDescent="0.2">
      <c r="A18">
        <v>16</v>
      </c>
      <c r="B18" t="s">
        <v>2598</v>
      </c>
      <c r="C18" t="s">
        <v>2597</v>
      </c>
      <c r="F18" t="s">
        <v>2596</v>
      </c>
      <c r="G18" t="s">
        <v>4</v>
      </c>
      <c r="H18" t="s">
        <v>3</v>
      </c>
      <c r="I18" t="s">
        <v>192</v>
      </c>
      <c r="J18">
        <v>60019702</v>
      </c>
      <c r="K18" t="s">
        <v>191</v>
      </c>
      <c r="L18" t="s">
        <v>190</v>
      </c>
      <c r="M18" t="s">
        <v>52</v>
      </c>
      <c r="N18">
        <v>7</v>
      </c>
      <c r="O18" t="s">
        <v>2595</v>
      </c>
      <c r="P18" t="s">
        <v>2594</v>
      </c>
      <c r="Q18" t="s">
        <v>2593</v>
      </c>
      <c r="R18" s="7">
        <v>33939</v>
      </c>
      <c r="S18" s="8">
        <f t="shared" si="0"/>
        <v>1992</v>
      </c>
      <c r="T18" s="8">
        <v>1992</v>
      </c>
      <c r="U18" s="8">
        <f t="shared" si="1"/>
        <v>30</v>
      </c>
      <c r="V18" s="7">
        <v>1992</v>
      </c>
      <c r="W18" t="s">
        <v>2592</v>
      </c>
      <c r="X18" s="2">
        <v>1.0329999999999999</v>
      </c>
      <c r="Y18" s="6">
        <f t="shared" si="2"/>
        <v>2.7575345025493178E-2</v>
      </c>
      <c r="AA18">
        <v>9532048</v>
      </c>
      <c r="AB18">
        <v>12278</v>
      </c>
      <c r="AD18" t="s">
        <v>1</v>
      </c>
      <c r="AE18">
        <v>5</v>
      </c>
      <c r="AF18">
        <v>4</v>
      </c>
      <c r="AG18">
        <v>14</v>
      </c>
      <c r="AH18" t="s">
        <v>2591</v>
      </c>
      <c r="AI18" t="s">
        <v>2590</v>
      </c>
      <c r="AK18" t="s">
        <v>2589</v>
      </c>
      <c r="AL18">
        <v>8</v>
      </c>
      <c r="AM18" s="5">
        <f t="shared" si="3"/>
        <v>0.26666666666666666</v>
      </c>
      <c r="AN18" s="4">
        <f t="shared" si="4"/>
        <v>4.0388741638268334E-4</v>
      </c>
      <c r="AO18" s="3"/>
      <c r="AP18">
        <v>0</v>
      </c>
      <c r="AR18" t="s">
        <v>0</v>
      </c>
      <c r="AT18" s="2" t="s">
        <v>5</v>
      </c>
      <c r="AU18" s="1">
        <f t="shared" si="5"/>
        <v>1.9423907742760027</v>
      </c>
      <c r="AV18" s="1">
        <f t="shared" si="6"/>
        <v>1.398961622093793</v>
      </c>
      <c r="AW18" s="1">
        <f t="shared" si="7"/>
        <v>0.85553246991158305</v>
      </c>
    </row>
    <row r="19" spans="1:49" x14ac:dyDescent="0.2">
      <c r="A19">
        <v>17</v>
      </c>
      <c r="B19" t="s">
        <v>2588</v>
      </c>
      <c r="C19" t="s">
        <v>2587</v>
      </c>
      <c r="F19" t="s">
        <v>2586</v>
      </c>
      <c r="G19" t="s">
        <v>4</v>
      </c>
      <c r="H19" t="s">
        <v>3</v>
      </c>
      <c r="I19" t="s">
        <v>2585</v>
      </c>
      <c r="N19">
        <v>2</v>
      </c>
      <c r="O19" t="s">
        <v>2584</v>
      </c>
      <c r="P19" t="s">
        <v>2583</v>
      </c>
      <c r="Q19" t="s">
        <v>45</v>
      </c>
      <c r="R19" s="7">
        <v>33939</v>
      </c>
      <c r="S19" s="8">
        <f t="shared" si="0"/>
        <v>1992</v>
      </c>
      <c r="T19" s="8">
        <v>1992</v>
      </c>
      <c r="U19" s="8">
        <f t="shared" si="1"/>
        <v>30</v>
      </c>
      <c r="V19" s="7">
        <v>33939</v>
      </c>
      <c r="W19" t="s">
        <v>273</v>
      </c>
      <c r="X19" s="2">
        <v>0.14899999999999999</v>
      </c>
      <c r="Y19" s="6">
        <f t="shared" si="2"/>
        <v>3.977469902031446E-3</v>
      </c>
      <c r="AA19">
        <v>5431972</v>
      </c>
      <c r="AB19">
        <v>15425</v>
      </c>
      <c r="AC19">
        <v>15738906</v>
      </c>
      <c r="AD19" t="s">
        <v>1</v>
      </c>
      <c r="AE19">
        <v>35</v>
      </c>
      <c r="AF19">
        <v>12</v>
      </c>
      <c r="AH19" t="s">
        <v>2582</v>
      </c>
      <c r="AL19">
        <v>0</v>
      </c>
      <c r="AM19" s="5">
        <f t="shared" si="3"/>
        <v>0</v>
      </c>
      <c r="AN19" s="4">
        <f t="shared" si="4"/>
        <v>0</v>
      </c>
      <c r="AO19" s="3"/>
      <c r="AP19">
        <v>0</v>
      </c>
      <c r="AR19" t="s">
        <v>0</v>
      </c>
      <c r="AT19" s="2" t="s">
        <v>5</v>
      </c>
      <c r="AU19" s="1">
        <f t="shared" si="5"/>
        <v>0.2784228931422012</v>
      </c>
      <c r="AV19" s="1">
        <f t="shared" si="6"/>
        <v>0.19887349510157229</v>
      </c>
      <c r="AW19" s="1">
        <f t="shared" si="7"/>
        <v>0.11932409706094337</v>
      </c>
    </row>
    <row r="20" spans="1:49" x14ac:dyDescent="0.2">
      <c r="A20">
        <v>18</v>
      </c>
      <c r="B20" t="s">
        <v>2581</v>
      </c>
      <c r="C20" t="s">
        <v>2580</v>
      </c>
      <c r="F20" t="s">
        <v>2579</v>
      </c>
      <c r="G20" t="s">
        <v>4</v>
      </c>
      <c r="H20" t="s">
        <v>3</v>
      </c>
      <c r="I20" t="s">
        <v>287</v>
      </c>
      <c r="N20">
        <v>1</v>
      </c>
      <c r="O20" t="s">
        <v>286</v>
      </c>
      <c r="P20">
        <v>6701453221</v>
      </c>
      <c r="R20" s="7">
        <v>33939</v>
      </c>
      <c r="S20" s="8">
        <f t="shared" si="0"/>
        <v>1992</v>
      </c>
      <c r="T20" s="8">
        <v>1992</v>
      </c>
      <c r="U20" s="8">
        <f t="shared" si="1"/>
        <v>30</v>
      </c>
      <c r="V20" s="7">
        <v>33939</v>
      </c>
      <c r="W20" t="s">
        <v>273</v>
      </c>
      <c r="X20" s="2">
        <v>0.14899999999999999</v>
      </c>
      <c r="Y20" s="6">
        <f t="shared" si="2"/>
        <v>3.977469902031446E-3</v>
      </c>
      <c r="AA20">
        <v>5431972</v>
      </c>
      <c r="AB20">
        <v>15425</v>
      </c>
      <c r="AC20">
        <v>15738906</v>
      </c>
      <c r="AD20" t="s">
        <v>1</v>
      </c>
      <c r="AE20">
        <v>35</v>
      </c>
      <c r="AF20">
        <v>12</v>
      </c>
      <c r="AH20" t="s">
        <v>2578</v>
      </c>
      <c r="AL20">
        <v>0</v>
      </c>
      <c r="AM20" s="5">
        <f t="shared" si="3"/>
        <v>0</v>
      </c>
      <c r="AN20" s="4">
        <f t="shared" si="4"/>
        <v>0</v>
      </c>
      <c r="AO20" s="3"/>
      <c r="AP20">
        <v>0</v>
      </c>
      <c r="AR20" t="s">
        <v>0</v>
      </c>
      <c r="AT20" s="2" t="s">
        <v>5</v>
      </c>
      <c r="AU20" s="1">
        <f t="shared" si="5"/>
        <v>0.2784228931422012</v>
      </c>
      <c r="AV20" s="1">
        <f t="shared" si="6"/>
        <v>0.19887349510157229</v>
      </c>
      <c r="AW20" s="1">
        <f t="shared" si="7"/>
        <v>0.11932409706094337</v>
      </c>
    </row>
    <row r="21" spans="1:49" x14ac:dyDescent="0.2">
      <c r="A21">
        <v>19</v>
      </c>
      <c r="B21" t="s">
        <v>2577</v>
      </c>
      <c r="C21" t="s">
        <v>2576</v>
      </c>
      <c r="F21" t="s">
        <v>2575</v>
      </c>
      <c r="G21" t="s">
        <v>4</v>
      </c>
      <c r="H21" t="s">
        <v>3</v>
      </c>
      <c r="I21" t="s">
        <v>2574</v>
      </c>
      <c r="J21">
        <v>60011774</v>
      </c>
      <c r="K21" t="s">
        <v>2573</v>
      </c>
      <c r="L21" t="s">
        <v>2572</v>
      </c>
      <c r="M21" t="s">
        <v>24</v>
      </c>
      <c r="N21">
        <v>7</v>
      </c>
      <c r="O21" t="s">
        <v>2571</v>
      </c>
      <c r="P21" t="s">
        <v>2570</v>
      </c>
      <c r="Q21" t="s">
        <v>2569</v>
      </c>
      <c r="R21" s="7">
        <v>33939</v>
      </c>
      <c r="S21" s="8">
        <f t="shared" si="0"/>
        <v>1992</v>
      </c>
      <c r="T21" s="8">
        <v>1992</v>
      </c>
      <c r="U21" s="8">
        <f t="shared" si="1"/>
        <v>30</v>
      </c>
      <c r="V21" s="7">
        <v>33939</v>
      </c>
      <c r="W21" t="s">
        <v>757</v>
      </c>
      <c r="X21" s="2" t="s">
        <v>5</v>
      </c>
      <c r="Y21" s="6" t="e">
        <f t="shared" si="2"/>
        <v>#VALUE!</v>
      </c>
      <c r="AA21">
        <v>8961107</v>
      </c>
      <c r="AB21">
        <v>99971</v>
      </c>
      <c r="AC21">
        <v>15729605</v>
      </c>
      <c r="AD21" t="s">
        <v>1</v>
      </c>
      <c r="AE21">
        <v>5</v>
      </c>
      <c r="AF21">
        <v>6</v>
      </c>
      <c r="AH21" t="s">
        <v>2568</v>
      </c>
      <c r="AI21" t="s">
        <v>2567</v>
      </c>
      <c r="AJ21" t="s">
        <v>2566</v>
      </c>
      <c r="AK21" t="s">
        <v>2565</v>
      </c>
      <c r="AL21">
        <v>9</v>
      </c>
      <c r="AM21" s="5">
        <f t="shared" si="3"/>
        <v>0.3</v>
      </c>
      <c r="AN21" s="4">
        <f t="shared" si="4"/>
        <v>4.5437334343051872E-4</v>
      </c>
      <c r="AO21" s="3"/>
      <c r="AP21">
        <v>0</v>
      </c>
      <c r="AR21" t="s">
        <v>0</v>
      </c>
      <c r="AT21" s="2" t="s">
        <v>5</v>
      </c>
      <c r="AU21" s="1" t="e">
        <f t="shared" si="5"/>
        <v>#VALUE!</v>
      </c>
      <c r="AV21" s="1" t="e">
        <f t="shared" si="6"/>
        <v>#VALUE!</v>
      </c>
      <c r="AW21" s="1" t="e">
        <f t="shared" si="7"/>
        <v>#VALUE!</v>
      </c>
    </row>
    <row r="22" spans="1:49" x14ac:dyDescent="0.2">
      <c r="A22">
        <v>20</v>
      </c>
      <c r="B22" t="s">
        <v>2564</v>
      </c>
      <c r="C22" t="s">
        <v>2563</v>
      </c>
      <c r="F22" t="s">
        <v>2562</v>
      </c>
      <c r="G22" t="s">
        <v>4</v>
      </c>
      <c r="H22" t="s">
        <v>3</v>
      </c>
      <c r="I22" t="s">
        <v>2561</v>
      </c>
      <c r="J22">
        <v>60031806</v>
      </c>
      <c r="K22" t="s">
        <v>2560</v>
      </c>
      <c r="L22" t="s">
        <v>247</v>
      </c>
      <c r="M22" t="s">
        <v>120</v>
      </c>
      <c r="N22">
        <v>2</v>
      </c>
      <c r="O22" t="s">
        <v>2559</v>
      </c>
      <c r="P22" t="s">
        <v>2558</v>
      </c>
      <c r="Q22" t="s">
        <v>2557</v>
      </c>
      <c r="R22" s="7">
        <v>33939</v>
      </c>
      <c r="S22" s="8">
        <f t="shared" si="0"/>
        <v>1992</v>
      </c>
      <c r="T22" s="8">
        <v>1992</v>
      </c>
      <c r="U22" s="8">
        <f t="shared" si="1"/>
        <v>30</v>
      </c>
      <c r="V22" s="7">
        <v>1992</v>
      </c>
      <c r="W22" t="s">
        <v>2045</v>
      </c>
      <c r="X22" s="2">
        <v>0.60499999999999998</v>
      </c>
      <c r="Y22" s="6">
        <f t="shared" si="2"/>
        <v>1.6150129467980032E-2</v>
      </c>
      <c r="AA22">
        <v>346748</v>
      </c>
      <c r="AB22">
        <v>15563</v>
      </c>
      <c r="AD22" t="s">
        <v>1</v>
      </c>
      <c r="AE22">
        <v>63</v>
      </c>
      <c r="AF22">
        <v>9</v>
      </c>
      <c r="AH22" t="s">
        <v>2556</v>
      </c>
      <c r="AI22" t="s">
        <v>2555</v>
      </c>
      <c r="AK22" t="s">
        <v>2554</v>
      </c>
      <c r="AL22">
        <v>20</v>
      </c>
      <c r="AM22" s="5">
        <f t="shared" si="3"/>
        <v>0.66666666666666663</v>
      </c>
      <c r="AN22" s="4">
        <f t="shared" si="4"/>
        <v>1.0097185409567082E-3</v>
      </c>
      <c r="AO22" s="3"/>
      <c r="AP22">
        <v>0</v>
      </c>
      <c r="AR22" t="s">
        <v>0</v>
      </c>
      <c r="AT22" s="2">
        <v>1.5229999999999999</v>
      </c>
      <c r="AU22" s="1">
        <f t="shared" si="5"/>
        <v>1.1608006189873035</v>
      </c>
      <c r="AV22" s="1">
        <f t="shared" si="6"/>
        <v>0.85799240044683711</v>
      </c>
      <c r="AW22" s="1">
        <f t="shared" si="7"/>
        <v>0.55518418190637053</v>
      </c>
    </row>
    <row r="23" spans="1:49" x14ac:dyDescent="0.2">
      <c r="A23">
        <v>21</v>
      </c>
      <c r="B23" t="s">
        <v>2553</v>
      </c>
      <c r="C23" t="s">
        <v>2552</v>
      </c>
      <c r="F23" t="s">
        <v>2551</v>
      </c>
      <c r="G23" t="s">
        <v>4</v>
      </c>
      <c r="H23" t="s">
        <v>3</v>
      </c>
      <c r="I23" t="s">
        <v>2550</v>
      </c>
      <c r="J23">
        <v>60103653</v>
      </c>
      <c r="K23" t="s">
        <v>127</v>
      </c>
      <c r="L23" t="s">
        <v>41</v>
      </c>
      <c r="M23" t="s">
        <v>40</v>
      </c>
      <c r="N23">
        <v>2</v>
      </c>
      <c r="O23" t="s">
        <v>2549</v>
      </c>
      <c r="P23" t="s">
        <v>2548</v>
      </c>
      <c r="Q23" t="s">
        <v>206</v>
      </c>
      <c r="R23" s="7">
        <v>33939</v>
      </c>
      <c r="S23" s="8">
        <f t="shared" si="0"/>
        <v>1992</v>
      </c>
      <c r="T23" s="8">
        <v>1992</v>
      </c>
      <c r="U23" s="8">
        <f t="shared" si="1"/>
        <v>30</v>
      </c>
      <c r="V23" s="7">
        <v>1992</v>
      </c>
      <c r="W23" t="s">
        <v>2547</v>
      </c>
      <c r="X23" s="2">
        <v>0.89800000000000002</v>
      </c>
      <c r="Y23" s="6">
        <f t="shared" si="2"/>
        <v>2.3971597127679455E-2</v>
      </c>
      <c r="AA23">
        <v>9641726</v>
      </c>
      <c r="AB23">
        <v>29859</v>
      </c>
      <c r="AD23" t="s">
        <v>1</v>
      </c>
      <c r="AE23">
        <v>1</v>
      </c>
      <c r="AF23">
        <v>1</v>
      </c>
      <c r="AG23">
        <v>11</v>
      </c>
      <c r="AH23" t="s">
        <v>227</v>
      </c>
      <c r="AI23" t="s">
        <v>2546</v>
      </c>
      <c r="AK23" t="s">
        <v>2545</v>
      </c>
      <c r="AL23">
        <v>3</v>
      </c>
      <c r="AM23" s="5">
        <f t="shared" si="3"/>
        <v>0.1</v>
      </c>
      <c r="AN23" s="4">
        <f t="shared" si="4"/>
        <v>1.5145778114350627E-4</v>
      </c>
      <c r="AO23" s="3"/>
      <c r="AP23">
        <v>0</v>
      </c>
      <c r="AR23" t="s">
        <v>0</v>
      </c>
      <c r="AT23" s="2">
        <v>3.585</v>
      </c>
      <c r="AU23" s="1">
        <f t="shared" si="5"/>
        <v>1.6825555323718668</v>
      </c>
      <c r="AV23" s="1">
        <f t="shared" si="6"/>
        <v>1.206152745441148</v>
      </c>
      <c r="AW23" s="1">
        <f t="shared" si="7"/>
        <v>0.72974995851042901</v>
      </c>
    </row>
    <row r="24" spans="1:49" x14ac:dyDescent="0.2">
      <c r="A24">
        <v>22</v>
      </c>
      <c r="B24" t="s">
        <v>2544</v>
      </c>
      <c r="C24" t="s">
        <v>2543</v>
      </c>
      <c r="F24" t="s">
        <v>2542</v>
      </c>
      <c r="G24" t="s">
        <v>4</v>
      </c>
      <c r="H24" t="s">
        <v>3</v>
      </c>
      <c r="I24" t="s">
        <v>2541</v>
      </c>
      <c r="J24" t="s">
        <v>2540</v>
      </c>
      <c r="K24" t="s">
        <v>2539</v>
      </c>
      <c r="L24" t="s">
        <v>2538</v>
      </c>
      <c r="M24" t="s">
        <v>219</v>
      </c>
      <c r="N24">
        <v>5</v>
      </c>
      <c r="O24" t="s">
        <v>2537</v>
      </c>
      <c r="P24" t="s">
        <v>2536</v>
      </c>
      <c r="Q24" t="s">
        <v>2535</v>
      </c>
      <c r="R24" s="7">
        <v>33939</v>
      </c>
      <c r="S24" s="8">
        <f t="shared" si="0"/>
        <v>1992</v>
      </c>
      <c r="T24" s="8">
        <v>1992</v>
      </c>
      <c r="U24" s="8">
        <f t="shared" si="1"/>
        <v>30</v>
      </c>
      <c r="V24" s="7">
        <v>1992</v>
      </c>
      <c r="W24" t="s">
        <v>2045</v>
      </c>
      <c r="X24" s="2">
        <v>0.60499999999999998</v>
      </c>
      <c r="Y24" s="6">
        <f t="shared" si="2"/>
        <v>1.6150129467980032E-2</v>
      </c>
      <c r="AA24">
        <v>346748</v>
      </c>
      <c r="AB24">
        <v>15563</v>
      </c>
      <c r="AD24" t="s">
        <v>1</v>
      </c>
      <c r="AE24">
        <v>63</v>
      </c>
      <c r="AF24">
        <v>1</v>
      </c>
      <c r="AH24" t="s">
        <v>2534</v>
      </c>
      <c r="AI24" t="s">
        <v>2533</v>
      </c>
      <c r="AK24" t="s">
        <v>2532</v>
      </c>
      <c r="AL24">
        <v>9</v>
      </c>
      <c r="AM24" s="5">
        <f t="shared" si="3"/>
        <v>0.3</v>
      </c>
      <c r="AN24" s="4">
        <f t="shared" si="4"/>
        <v>4.5437334343051872E-4</v>
      </c>
      <c r="AO24" s="3"/>
      <c r="AP24">
        <v>0</v>
      </c>
      <c r="AR24" t="s">
        <v>0</v>
      </c>
      <c r="AT24" s="2">
        <v>1.5229999999999999</v>
      </c>
      <c r="AU24" s="1">
        <f t="shared" si="5"/>
        <v>1.1441402630615178</v>
      </c>
      <c r="AV24" s="1">
        <f t="shared" si="6"/>
        <v>0.83022514057052754</v>
      </c>
      <c r="AW24" s="1">
        <f t="shared" si="7"/>
        <v>0.51631001807953725</v>
      </c>
    </row>
    <row r="25" spans="1:49" x14ac:dyDescent="0.2">
      <c r="A25">
        <v>23</v>
      </c>
      <c r="B25" t="s">
        <v>2531</v>
      </c>
      <c r="C25" t="s">
        <v>2530</v>
      </c>
      <c r="F25" t="s">
        <v>2529</v>
      </c>
      <c r="G25" t="s">
        <v>4</v>
      </c>
      <c r="H25" t="s">
        <v>3</v>
      </c>
      <c r="I25" t="s">
        <v>2528</v>
      </c>
      <c r="J25">
        <v>60000086</v>
      </c>
      <c r="K25" t="s">
        <v>2527</v>
      </c>
      <c r="L25" t="s">
        <v>2526</v>
      </c>
      <c r="M25" t="s">
        <v>50</v>
      </c>
      <c r="N25">
        <v>2</v>
      </c>
      <c r="O25" t="s">
        <v>2525</v>
      </c>
      <c r="P25" t="s">
        <v>2524</v>
      </c>
      <c r="Q25" t="s">
        <v>2523</v>
      </c>
      <c r="R25" s="7">
        <v>33939</v>
      </c>
      <c r="S25" s="8">
        <f t="shared" si="0"/>
        <v>1992</v>
      </c>
      <c r="T25" s="8">
        <v>1992</v>
      </c>
      <c r="U25" s="8">
        <f t="shared" si="1"/>
        <v>30</v>
      </c>
      <c r="V25" s="7">
        <v>1992</v>
      </c>
      <c r="W25" t="s">
        <v>2045</v>
      </c>
      <c r="X25" s="2">
        <v>0.60499999999999998</v>
      </c>
      <c r="Y25" s="6">
        <f t="shared" si="2"/>
        <v>1.6150129467980032E-2</v>
      </c>
      <c r="AA25">
        <v>346748</v>
      </c>
      <c r="AB25">
        <v>15563</v>
      </c>
      <c r="AD25" t="s">
        <v>1</v>
      </c>
      <c r="AE25">
        <v>63</v>
      </c>
      <c r="AF25">
        <v>4</v>
      </c>
      <c r="AH25" t="s">
        <v>2522</v>
      </c>
      <c r="AI25" t="s">
        <v>2521</v>
      </c>
      <c r="AK25" t="s">
        <v>2520</v>
      </c>
      <c r="AL25">
        <v>4</v>
      </c>
      <c r="AM25" s="5">
        <f t="shared" si="3"/>
        <v>0.13333333333333333</v>
      </c>
      <c r="AN25" s="4">
        <f t="shared" si="4"/>
        <v>2.0194370819134167E-4</v>
      </c>
      <c r="AO25" s="3"/>
      <c r="AP25">
        <v>0</v>
      </c>
      <c r="AR25" t="s">
        <v>0</v>
      </c>
      <c r="AT25" s="2">
        <v>1.5229999999999999</v>
      </c>
      <c r="AU25" s="1">
        <f t="shared" si="5"/>
        <v>1.1365673740043425</v>
      </c>
      <c r="AV25" s="1">
        <f t="shared" si="6"/>
        <v>0.81760365880856867</v>
      </c>
      <c r="AW25" s="1">
        <f t="shared" si="7"/>
        <v>0.49863994361279484</v>
      </c>
    </row>
    <row r="26" spans="1:49" x14ac:dyDescent="0.2">
      <c r="A26">
        <v>24</v>
      </c>
      <c r="B26" t="s">
        <v>2519</v>
      </c>
      <c r="C26" t="s">
        <v>2518</v>
      </c>
      <c r="F26" t="s">
        <v>2517</v>
      </c>
      <c r="G26" t="s">
        <v>4</v>
      </c>
      <c r="H26" t="s">
        <v>3</v>
      </c>
      <c r="I26" t="s">
        <v>2516</v>
      </c>
      <c r="J26">
        <v>60032014</v>
      </c>
      <c r="K26" t="s">
        <v>2515</v>
      </c>
      <c r="L26" t="s">
        <v>81</v>
      </c>
      <c r="M26" t="s">
        <v>2</v>
      </c>
      <c r="N26">
        <v>3</v>
      </c>
      <c r="O26" t="s">
        <v>2514</v>
      </c>
      <c r="P26" t="s">
        <v>2513</v>
      </c>
      <c r="Q26" t="s">
        <v>2512</v>
      </c>
      <c r="R26" s="7">
        <v>33939</v>
      </c>
      <c r="S26" s="8">
        <f t="shared" si="0"/>
        <v>1992</v>
      </c>
      <c r="T26" s="8">
        <v>1992</v>
      </c>
      <c r="U26" s="8">
        <f t="shared" si="1"/>
        <v>30</v>
      </c>
      <c r="V26" s="7">
        <v>1992</v>
      </c>
      <c r="W26" t="s">
        <v>2025</v>
      </c>
      <c r="X26" s="2">
        <v>0.69899999999999995</v>
      </c>
      <c r="Y26" s="6">
        <f t="shared" si="2"/>
        <v>1.8659405782013295E-2</v>
      </c>
      <c r="AA26">
        <v>218979</v>
      </c>
      <c r="AB26">
        <v>28132</v>
      </c>
      <c r="AD26" t="s">
        <v>1</v>
      </c>
      <c r="AE26">
        <v>72</v>
      </c>
      <c r="AF26">
        <v>11</v>
      </c>
      <c r="AH26" t="s">
        <v>2511</v>
      </c>
      <c r="AI26" t="s">
        <v>2510</v>
      </c>
      <c r="AK26" t="s">
        <v>2509</v>
      </c>
      <c r="AL26">
        <v>18</v>
      </c>
      <c r="AM26" s="5">
        <f t="shared" si="3"/>
        <v>0.6</v>
      </c>
      <c r="AN26" s="4">
        <f t="shared" si="4"/>
        <v>9.0874668686103744E-4</v>
      </c>
      <c r="AO26" s="3"/>
      <c r="AP26">
        <v>0</v>
      </c>
      <c r="AR26" t="s">
        <v>0</v>
      </c>
      <c r="AT26" s="2">
        <v>2.5459999999999998</v>
      </c>
      <c r="AU26" s="1">
        <f t="shared" si="5"/>
        <v>1.3334208053467616</v>
      </c>
      <c r="AV26" s="1">
        <f t="shared" si="6"/>
        <v>0.97840762344371668</v>
      </c>
      <c r="AW26" s="1">
        <f t="shared" si="7"/>
        <v>0.62339444154067136</v>
      </c>
    </row>
    <row r="27" spans="1:49" x14ac:dyDescent="0.2">
      <c r="A27">
        <v>25</v>
      </c>
      <c r="B27" t="s">
        <v>2508</v>
      </c>
      <c r="C27" t="s">
        <v>2507</v>
      </c>
      <c r="F27" t="s">
        <v>2506</v>
      </c>
      <c r="G27" t="s">
        <v>4</v>
      </c>
      <c r="H27" t="s">
        <v>3</v>
      </c>
      <c r="I27" t="s">
        <v>2505</v>
      </c>
      <c r="J27">
        <v>60010451</v>
      </c>
      <c r="K27" t="s">
        <v>174</v>
      </c>
      <c r="L27" t="s">
        <v>173</v>
      </c>
      <c r="M27" t="s">
        <v>2</v>
      </c>
      <c r="N27">
        <v>1</v>
      </c>
      <c r="O27" t="s">
        <v>2504</v>
      </c>
      <c r="P27">
        <v>56243564200</v>
      </c>
      <c r="Q27">
        <v>60010451</v>
      </c>
      <c r="R27" s="7">
        <v>33939</v>
      </c>
      <c r="S27" s="8">
        <f t="shared" si="0"/>
        <v>1992</v>
      </c>
      <c r="T27" s="8">
        <v>1992</v>
      </c>
      <c r="U27" s="8">
        <f t="shared" si="1"/>
        <v>30</v>
      </c>
      <c r="V27" s="7">
        <v>1992</v>
      </c>
      <c r="W27" t="s">
        <v>2025</v>
      </c>
      <c r="X27" s="2">
        <v>0.69899999999999995</v>
      </c>
      <c r="Y27" s="6">
        <f t="shared" si="2"/>
        <v>1.8659405782013295E-2</v>
      </c>
      <c r="AA27">
        <v>218979</v>
      </c>
      <c r="AB27">
        <v>28132</v>
      </c>
      <c r="AD27" t="s">
        <v>1</v>
      </c>
      <c r="AE27">
        <v>72</v>
      </c>
      <c r="AF27">
        <v>12</v>
      </c>
      <c r="AH27" t="s">
        <v>2503</v>
      </c>
      <c r="AI27" t="s">
        <v>2502</v>
      </c>
      <c r="AK27" t="s">
        <v>2501</v>
      </c>
      <c r="AL27">
        <v>18</v>
      </c>
      <c r="AM27" s="5">
        <f t="shared" si="3"/>
        <v>0.6</v>
      </c>
      <c r="AN27" s="4">
        <f t="shared" si="4"/>
        <v>9.0874668686103744E-4</v>
      </c>
      <c r="AO27" s="3"/>
      <c r="AP27">
        <v>0</v>
      </c>
      <c r="AR27" t="s">
        <v>0</v>
      </c>
      <c r="AT27" s="2">
        <v>2.5459999999999998</v>
      </c>
      <c r="AU27" s="1">
        <f t="shared" si="5"/>
        <v>1.3334208053467616</v>
      </c>
      <c r="AV27" s="1">
        <f t="shared" si="6"/>
        <v>0.97840762344371668</v>
      </c>
      <c r="AW27" s="1">
        <f t="shared" si="7"/>
        <v>0.62339444154067136</v>
      </c>
    </row>
    <row r="28" spans="1:49" x14ac:dyDescent="0.2">
      <c r="A28">
        <v>26</v>
      </c>
      <c r="B28" t="s">
        <v>2500</v>
      </c>
      <c r="C28" t="s">
        <v>2499</v>
      </c>
      <c r="F28" t="s">
        <v>2498</v>
      </c>
      <c r="G28" t="s">
        <v>4</v>
      </c>
      <c r="H28" t="s">
        <v>3</v>
      </c>
      <c r="I28" t="s">
        <v>2497</v>
      </c>
      <c r="J28" t="s">
        <v>2493</v>
      </c>
      <c r="K28" t="s">
        <v>2496</v>
      </c>
      <c r="L28" t="s">
        <v>145</v>
      </c>
      <c r="M28" t="s">
        <v>59</v>
      </c>
      <c r="N28">
        <v>2</v>
      </c>
      <c r="O28" t="s">
        <v>2495</v>
      </c>
      <c r="P28" t="s">
        <v>2494</v>
      </c>
      <c r="Q28" t="s">
        <v>2493</v>
      </c>
      <c r="R28" s="7">
        <v>33939</v>
      </c>
      <c r="S28" s="8">
        <f t="shared" si="0"/>
        <v>1992</v>
      </c>
      <c r="T28" s="8">
        <v>1992</v>
      </c>
      <c r="U28" s="8">
        <f t="shared" si="1"/>
        <v>30</v>
      </c>
      <c r="V28" s="7">
        <v>1992</v>
      </c>
      <c r="W28" t="s">
        <v>2492</v>
      </c>
      <c r="X28" s="2">
        <v>0.87</v>
      </c>
      <c r="Y28" s="6">
        <f t="shared" si="2"/>
        <v>2.3224153119244015E-2</v>
      </c>
      <c r="AA28">
        <v>1427873</v>
      </c>
      <c r="AB28">
        <v>29635</v>
      </c>
      <c r="AD28" t="s">
        <v>1</v>
      </c>
      <c r="AE28">
        <v>14</v>
      </c>
      <c r="AF28">
        <v>4</v>
      </c>
      <c r="AH28" t="s">
        <v>2491</v>
      </c>
      <c r="AI28" t="s">
        <v>2490</v>
      </c>
      <c r="AK28" t="s">
        <v>2489</v>
      </c>
      <c r="AL28">
        <v>25</v>
      </c>
      <c r="AM28" s="5">
        <f t="shared" si="3"/>
        <v>0.83333333333333337</v>
      </c>
      <c r="AN28" s="4">
        <f t="shared" si="4"/>
        <v>1.2621481761958854E-3</v>
      </c>
      <c r="AO28" s="3"/>
      <c r="AP28">
        <v>0</v>
      </c>
      <c r="AQ28" t="s">
        <v>2488</v>
      </c>
      <c r="AR28">
        <v>63041111</v>
      </c>
      <c r="AS28" t="s">
        <v>2487</v>
      </c>
      <c r="AT28" s="2">
        <v>2.4550000000000001</v>
      </c>
      <c r="AU28" s="1">
        <f t="shared" si="5"/>
        <v>1.6635551636329575</v>
      </c>
      <c r="AV28" s="1">
        <f t="shared" si="6"/>
        <v>1.2243150647719949</v>
      </c>
      <c r="AW28" s="1">
        <f t="shared" si="7"/>
        <v>0.78507496591103243</v>
      </c>
    </row>
    <row r="29" spans="1:49" x14ac:dyDescent="0.2">
      <c r="A29">
        <v>27</v>
      </c>
      <c r="B29" t="s">
        <v>2486</v>
      </c>
      <c r="C29" t="s">
        <v>2485</v>
      </c>
      <c r="F29" t="s">
        <v>2484</v>
      </c>
      <c r="G29" t="s">
        <v>4</v>
      </c>
      <c r="H29" t="s">
        <v>3</v>
      </c>
      <c r="I29" t="s">
        <v>2483</v>
      </c>
      <c r="J29">
        <v>60017134</v>
      </c>
      <c r="K29" t="s">
        <v>2482</v>
      </c>
      <c r="L29" t="s">
        <v>2481</v>
      </c>
      <c r="M29" t="s">
        <v>50</v>
      </c>
      <c r="N29">
        <v>4</v>
      </c>
      <c r="O29" t="s">
        <v>2480</v>
      </c>
      <c r="P29" t="s">
        <v>2479</v>
      </c>
      <c r="Q29" t="s">
        <v>2478</v>
      </c>
      <c r="R29" s="7">
        <v>33939</v>
      </c>
      <c r="S29" s="8">
        <f t="shared" si="0"/>
        <v>1992</v>
      </c>
      <c r="T29" s="8">
        <v>1992</v>
      </c>
      <c r="U29" s="8">
        <f t="shared" si="1"/>
        <v>30</v>
      </c>
      <c r="V29" s="7">
        <v>1992</v>
      </c>
      <c r="W29" t="s">
        <v>2045</v>
      </c>
      <c r="X29" s="2">
        <v>0.60499999999999998</v>
      </c>
      <c r="Y29" s="6">
        <f t="shared" si="2"/>
        <v>1.6150129467980032E-2</v>
      </c>
      <c r="AA29">
        <v>346748</v>
      </c>
      <c r="AB29">
        <v>15563</v>
      </c>
      <c r="AD29" t="s">
        <v>1</v>
      </c>
      <c r="AE29">
        <v>63</v>
      </c>
      <c r="AF29">
        <v>4</v>
      </c>
      <c r="AH29" t="s">
        <v>2477</v>
      </c>
      <c r="AI29" t="s">
        <v>2476</v>
      </c>
      <c r="AK29" t="s">
        <v>2475</v>
      </c>
      <c r="AL29">
        <v>14</v>
      </c>
      <c r="AM29" s="5">
        <f t="shared" si="3"/>
        <v>0.46666666666666667</v>
      </c>
      <c r="AN29" s="4">
        <f t="shared" si="4"/>
        <v>7.0680297866969582E-4</v>
      </c>
      <c r="AO29" s="3"/>
      <c r="AP29">
        <v>0</v>
      </c>
      <c r="AR29" t="s">
        <v>0</v>
      </c>
      <c r="AT29" s="2">
        <v>1.5229999999999999</v>
      </c>
      <c r="AU29" s="1">
        <f t="shared" si="5"/>
        <v>1.151713152118693</v>
      </c>
      <c r="AV29" s="1">
        <f t="shared" si="6"/>
        <v>0.84284662233248642</v>
      </c>
      <c r="AW29" s="1">
        <f t="shared" si="7"/>
        <v>0.53398009254627976</v>
      </c>
    </row>
    <row r="30" spans="1:49" x14ac:dyDescent="0.2">
      <c r="A30">
        <v>28</v>
      </c>
      <c r="B30" t="s">
        <v>2474</v>
      </c>
      <c r="F30" t="s">
        <v>2473</v>
      </c>
      <c r="G30" t="s">
        <v>4</v>
      </c>
      <c r="H30" t="s">
        <v>3</v>
      </c>
      <c r="I30" t="s">
        <v>2472</v>
      </c>
      <c r="N30">
        <v>2</v>
      </c>
      <c r="O30" t="s">
        <v>2471</v>
      </c>
      <c r="P30" t="s">
        <v>2470</v>
      </c>
      <c r="Q30" t="s">
        <v>45</v>
      </c>
      <c r="R30" s="7">
        <v>33939</v>
      </c>
      <c r="S30" s="8">
        <f t="shared" si="0"/>
        <v>1992</v>
      </c>
      <c r="T30" s="8">
        <v>1992</v>
      </c>
      <c r="U30" s="8">
        <f t="shared" si="1"/>
        <v>30</v>
      </c>
      <c r="V30" s="7">
        <v>1992</v>
      </c>
      <c r="W30" t="s">
        <v>75</v>
      </c>
      <c r="X30" s="2" t="s">
        <v>5</v>
      </c>
      <c r="Y30" s="6" t="e">
        <f t="shared" si="2"/>
        <v>#VALUE!</v>
      </c>
      <c r="AA30">
        <v>87566648</v>
      </c>
      <c r="AB30">
        <v>74127</v>
      </c>
      <c r="AD30" t="s">
        <v>1</v>
      </c>
      <c r="AE30">
        <v>37</v>
      </c>
      <c r="AF30">
        <v>10</v>
      </c>
      <c r="AH30" t="s">
        <v>2469</v>
      </c>
      <c r="AI30" t="s">
        <v>2468</v>
      </c>
      <c r="AK30" t="s">
        <v>2467</v>
      </c>
      <c r="AL30">
        <v>1</v>
      </c>
      <c r="AM30" s="5">
        <f t="shared" si="3"/>
        <v>3.3333333333333333E-2</v>
      </c>
      <c r="AN30" s="4">
        <f t="shared" si="4"/>
        <v>5.0485927047835418E-5</v>
      </c>
      <c r="AO30" s="3"/>
      <c r="AP30">
        <v>0</v>
      </c>
      <c r="AR30" t="s">
        <v>0</v>
      </c>
      <c r="AT30" s="2" t="s">
        <v>5</v>
      </c>
      <c r="AU30" s="1" t="e">
        <f t="shared" si="5"/>
        <v>#VALUE!</v>
      </c>
      <c r="AV30" s="1" t="e">
        <f t="shared" si="6"/>
        <v>#VALUE!</v>
      </c>
      <c r="AW30" s="1" t="e">
        <f t="shared" si="7"/>
        <v>#VALUE!</v>
      </c>
    </row>
    <row r="31" spans="1:49" x14ac:dyDescent="0.2">
      <c r="A31">
        <v>29</v>
      </c>
      <c r="B31" t="s">
        <v>2466</v>
      </c>
      <c r="F31" t="s">
        <v>2465</v>
      </c>
      <c r="G31" t="s">
        <v>4</v>
      </c>
      <c r="H31" t="s">
        <v>3</v>
      </c>
      <c r="I31" t="s">
        <v>2464</v>
      </c>
      <c r="J31">
        <v>60030127</v>
      </c>
      <c r="K31" t="s">
        <v>160</v>
      </c>
      <c r="L31" t="s">
        <v>159</v>
      </c>
      <c r="M31" t="s">
        <v>52</v>
      </c>
      <c r="N31">
        <v>1</v>
      </c>
      <c r="O31" t="s">
        <v>2463</v>
      </c>
      <c r="P31">
        <v>57220455425</v>
      </c>
      <c r="Q31">
        <v>60030127</v>
      </c>
      <c r="R31" s="7">
        <v>33939</v>
      </c>
      <c r="S31" s="8">
        <f t="shared" si="0"/>
        <v>1992</v>
      </c>
      <c r="T31" s="8">
        <v>1992</v>
      </c>
      <c r="U31" s="8">
        <f t="shared" si="1"/>
        <v>30</v>
      </c>
      <c r="V31" s="7">
        <v>1992</v>
      </c>
      <c r="W31" t="s">
        <v>2462</v>
      </c>
      <c r="X31" s="2" t="s">
        <v>5</v>
      </c>
      <c r="Y31" s="6" t="e">
        <f t="shared" si="2"/>
        <v>#VALUE!</v>
      </c>
      <c r="AA31">
        <v>2679337</v>
      </c>
      <c r="AB31">
        <v>69667</v>
      </c>
      <c r="AD31" t="s">
        <v>1</v>
      </c>
      <c r="AE31">
        <v>7</v>
      </c>
      <c r="AF31">
        <v>3</v>
      </c>
      <c r="AH31" t="s">
        <v>2461</v>
      </c>
      <c r="AI31" t="s">
        <v>2460</v>
      </c>
      <c r="AK31" t="s">
        <v>2459</v>
      </c>
      <c r="AL31">
        <v>4</v>
      </c>
      <c r="AM31" s="5">
        <f t="shared" si="3"/>
        <v>0.13333333333333333</v>
      </c>
      <c r="AN31" s="4">
        <f t="shared" si="4"/>
        <v>2.0194370819134167E-4</v>
      </c>
      <c r="AO31" s="3"/>
      <c r="AP31">
        <v>0</v>
      </c>
      <c r="AR31" t="s">
        <v>0</v>
      </c>
      <c r="AT31" s="2" t="s">
        <v>5</v>
      </c>
      <c r="AU31" s="1" t="e">
        <f t="shared" si="5"/>
        <v>#VALUE!</v>
      </c>
      <c r="AV31" s="1" t="e">
        <f t="shared" si="6"/>
        <v>#VALUE!</v>
      </c>
      <c r="AW31" s="1" t="e">
        <f t="shared" si="7"/>
        <v>#VALUE!</v>
      </c>
    </row>
    <row r="32" spans="1:49" x14ac:dyDescent="0.2">
      <c r="A32">
        <v>30</v>
      </c>
      <c r="B32" t="s">
        <v>2458</v>
      </c>
      <c r="E32">
        <v>1338312</v>
      </c>
      <c r="F32" t="s">
        <v>2457</v>
      </c>
      <c r="G32" t="s">
        <v>4</v>
      </c>
      <c r="H32" t="s">
        <v>3</v>
      </c>
      <c r="I32" t="s">
        <v>2456</v>
      </c>
      <c r="J32">
        <v>60016247</v>
      </c>
      <c r="K32" t="s">
        <v>2455</v>
      </c>
      <c r="L32" t="s">
        <v>74</v>
      </c>
      <c r="M32" t="s">
        <v>2</v>
      </c>
      <c r="N32">
        <v>2</v>
      </c>
      <c r="O32" t="s">
        <v>2454</v>
      </c>
      <c r="P32" t="s">
        <v>2453</v>
      </c>
      <c r="Q32" t="s">
        <v>2452</v>
      </c>
      <c r="R32" s="7">
        <v>33939</v>
      </c>
      <c r="S32" s="8">
        <f t="shared" si="0"/>
        <v>1992</v>
      </c>
      <c r="T32" s="8">
        <v>1992</v>
      </c>
      <c r="U32" s="8">
        <f t="shared" si="1"/>
        <v>30</v>
      </c>
      <c r="V32" s="7">
        <v>1992</v>
      </c>
      <c r="W32" t="s">
        <v>113</v>
      </c>
      <c r="X32" s="2">
        <v>0.15</v>
      </c>
      <c r="Y32" s="6">
        <f t="shared" si="2"/>
        <v>4.0041643309041402E-3</v>
      </c>
      <c r="AA32">
        <v>9501991</v>
      </c>
      <c r="AB32">
        <v>14531</v>
      </c>
      <c r="AD32" t="s">
        <v>1</v>
      </c>
      <c r="AE32">
        <v>116</v>
      </c>
      <c r="AF32">
        <v>4</v>
      </c>
      <c r="AH32" t="s">
        <v>2451</v>
      </c>
      <c r="AJ32" t="s">
        <v>2450</v>
      </c>
      <c r="AL32">
        <v>107</v>
      </c>
      <c r="AM32" s="5">
        <f t="shared" si="3"/>
        <v>3.5666666666666669</v>
      </c>
      <c r="AN32" s="4">
        <f t="shared" si="4"/>
        <v>5.40199419411839E-3</v>
      </c>
      <c r="AO32" s="3"/>
      <c r="AP32">
        <v>0</v>
      </c>
      <c r="AQ32" t="s">
        <v>67</v>
      </c>
      <c r="AR32" t="s">
        <v>2449</v>
      </c>
      <c r="AS32" t="s">
        <v>66</v>
      </c>
      <c r="AT32" s="2">
        <v>6.8680000000000003</v>
      </c>
      <c r="AU32" s="1">
        <f t="shared" si="5"/>
        <v>0.44235132898684154</v>
      </c>
      <c r="AV32" s="1">
        <f t="shared" si="6"/>
        <v>0.4703079262511265</v>
      </c>
      <c r="AW32" s="1">
        <f t="shared" si="7"/>
        <v>0.49826452351541151</v>
      </c>
    </row>
    <row r="33" spans="1:49" x14ac:dyDescent="0.2">
      <c r="A33">
        <v>31</v>
      </c>
      <c r="B33" t="s">
        <v>2448</v>
      </c>
      <c r="F33" t="s">
        <v>2447</v>
      </c>
      <c r="G33" t="s">
        <v>4</v>
      </c>
      <c r="H33" t="s">
        <v>3</v>
      </c>
      <c r="I33" t="s">
        <v>2446</v>
      </c>
      <c r="N33">
        <v>2</v>
      </c>
      <c r="O33" t="s">
        <v>2445</v>
      </c>
      <c r="P33" t="s">
        <v>2444</v>
      </c>
      <c r="Q33" t="s">
        <v>45</v>
      </c>
      <c r="R33" s="7">
        <v>33939</v>
      </c>
      <c r="S33" s="8">
        <f t="shared" si="0"/>
        <v>1992</v>
      </c>
      <c r="T33" s="8">
        <v>1992</v>
      </c>
      <c r="U33" s="8">
        <f t="shared" si="1"/>
        <v>30</v>
      </c>
      <c r="V33" s="7">
        <v>1992</v>
      </c>
      <c r="W33" t="s">
        <v>75</v>
      </c>
      <c r="X33" s="2" t="s">
        <v>5</v>
      </c>
      <c r="Y33" s="6" t="e">
        <f t="shared" si="2"/>
        <v>#VALUE!</v>
      </c>
      <c r="AA33">
        <v>87566648</v>
      </c>
      <c r="AB33">
        <v>74127</v>
      </c>
      <c r="AD33" t="s">
        <v>1</v>
      </c>
      <c r="AE33">
        <v>37</v>
      </c>
      <c r="AF33">
        <v>9</v>
      </c>
      <c r="AH33" t="s">
        <v>2443</v>
      </c>
      <c r="AI33" t="s">
        <v>2442</v>
      </c>
      <c r="AK33" t="s">
        <v>2441</v>
      </c>
      <c r="AL33">
        <v>0</v>
      </c>
      <c r="AM33" s="5">
        <f t="shared" si="3"/>
        <v>0</v>
      </c>
      <c r="AN33" s="4">
        <f t="shared" si="4"/>
        <v>0</v>
      </c>
      <c r="AO33" s="3"/>
      <c r="AP33">
        <v>0</v>
      </c>
      <c r="AR33" t="s">
        <v>0</v>
      </c>
      <c r="AT33" s="2" t="s">
        <v>5</v>
      </c>
      <c r="AU33" s="1" t="e">
        <f t="shared" si="5"/>
        <v>#VALUE!</v>
      </c>
      <c r="AV33" s="1" t="e">
        <f t="shared" si="6"/>
        <v>#VALUE!</v>
      </c>
      <c r="AW33" s="1" t="e">
        <f t="shared" si="7"/>
        <v>#VALUE!</v>
      </c>
    </row>
    <row r="34" spans="1:49" x14ac:dyDescent="0.2">
      <c r="A34">
        <v>32</v>
      </c>
      <c r="B34" t="s">
        <v>2440</v>
      </c>
      <c r="F34" t="s">
        <v>2439</v>
      </c>
      <c r="G34" t="s">
        <v>4</v>
      </c>
      <c r="H34" t="s">
        <v>3</v>
      </c>
      <c r="I34" t="s">
        <v>2438</v>
      </c>
      <c r="N34">
        <v>1</v>
      </c>
      <c r="O34" t="s">
        <v>2437</v>
      </c>
      <c r="P34">
        <v>7003684032</v>
      </c>
      <c r="R34" s="7">
        <v>33939</v>
      </c>
      <c r="S34" s="8">
        <f t="shared" si="0"/>
        <v>1992</v>
      </c>
      <c r="T34" s="8">
        <v>1992</v>
      </c>
      <c r="U34" s="8">
        <f t="shared" si="1"/>
        <v>30</v>
      </c>
      <c r="V34" s="7">
        <v>1992</v>
      </c>
      <c r="W34" t="s">
        <v>75</v>
      </c>
      <c r="X34" s="2" t="s">
        <v>5</v>
      </c>
      <c r="Y34" s="6" t="e">
        <f t="shared" si="2"/>
        <v>#VALUE!</v>
      </c>
      <c r="AA34">
        <v>87566648</v>
      </c>
      <c r="AB34">
        <v>74127</v>
      </c>
      <c r="AD34" t="s">
        <v>1</v>
      </c>
      <c r="AE34">
        <v>37</v>
      </c>
      <c r="AF34">
        <v>12</v>
      </c>
      <c r="AH34" t="s">
        <v>2436</v>
      </c>
      <c r="AI34" t="s">
        <v>2435</v>
      </c>
      <c r="AK34" t="s">
        <v>2434</v>
      </c>
      <c r="AL34">
        <v>0</v>
      </c>
      <c r="AM34" s="5">
        <f t="shared" si="3"/>
        <v>0</v>
      </c>
      <c r="AN34" s="4">
        <f t="shared" si="4"/>
        <v>0</v>
      </c>
      <c r="AO34" s="3"/>
      <c r="AP34">
        <v>0</v>
      </c>
      <c r="AR34" t="s">
        <v>0</v>
      </c>
      <c r="AT34" s="2" t="s">
        <v>5</v>
      </c>
      <c r="AU34" s="1" t="e">
        <f t="shared" si="5"/>
        <v>#VALUE!</v>
      </c>
      <c r="AV34" s="1" t="e">
        <f t="shared" si="6"/>
        <v>#VALUE!</v>
      </c>
      <c r="AW34" s="1" t="e">
        <f t="shared" si="7"/>
        <v>#VALUE!</v>
      </c>
    </row>
    <row r="35" spans="1:49" x14ac:dyDescent="0.2">
      <c r="A35">
        <v>33</v>
      </c>
      <c r="B35" t="s">
        <v>2433</v>
      </c>
      <c r="F35" t="s">
        <v>2432</v>
      </c>
      <c r="G35" t="s">
        <v>4</v>
      </c>
      <c r="H35" t="s">
        <v>3</v>
      </c>
      <c r="I35" t="s">
        <v>2431</v>
      </c>
      <c r="N35">
        <v>1</v>
      </c>
      <c r="O35" t="s">
        <v>2430</v>
      </c>
      <c r="P35">
        <v>7004205149</v>
      </c>
      <c r="R35" s="7">
        <v>33939</v>
      </c>
      <c r="S35" s="8">
        <f t="shared" si="0"/>
        <v>1992</v>
      </c>
      <c r="T35" s="8">
        <v>1992</v>
      </c>
      <c r="U35" s="8">
        <f t="shared" si="1"/>
        <v>30</v>
      </c>
      <c r="V35" s="7">
        <v>1992</v>
      </c>
      <c r="W35" t="s">
        <v>75</v>
      </c>
      <c r="X35" s="2" t="s">
        <v>5</v>
      </c>
      <c r="Y35" s="6" t="e">
        <f t="shared" si="2"/>
        <v>#VALUE!</v>
      </c>
      <c r="AA35">
        <v>87566648</v>
      </c>
      <c r="AB35">
        <v>74127</v>
      </c>
      <c r="AD35" t="s">
        <v>1</v>
      </c>
      <c r="AE35">
        <v>37</v>
      </c>
      <c r="AF35">
        <v>12</v>
      </c>
      <c r="AH35" t="s">
        <v>2429</v>
      </c>
      <c r="AI35" t="s">
        <v>2428</v>
      </c>
      <c r="AK35" t="s">
        <v>2427</v>
      </c>
      <c r="AL35">
        <v>0</v>
      </c>
      <c r="AM35" s="5">
        <f t="shared" si="3"/>
        <v>0</v>
      </c>
      <c r="AN35" s="4">
        <f t="shared" si="4"/>
        <v>0</v>
      </c>
      <c r="AO35" s="3"/>
      <c r="AP35">
        <v>0</v>
      </c>
      <c r="AR35" t="s">
        <v>0</v>
      </c>
      <c r="AT35" s="2" t="s">
        <v>5</v>
      </c>
      <c r="AU35" s="1" t="e">
        <f t="shared" si="5"/>
        <v>#VALUE!</v>
      </c>
      <c r="AV35" s="1" t="e">
        <f t="shared" si="6"/>
        <v>#VALUE!</v>
      </c>
      <c r="AW35" s="1" t="e">
        <f t="shared" si="7"/>
        <v>#VALUE!</v>
      </c>
    </row>
    <row r="36" spans="1:49" x14ac:dyDescent="0.2">
      <c r="A36">
        <v>34</v>
      </c>
      <c r="B36" t="s">
        <v>2426</v>
      </c>
      <c r="F36" t="s">
        <v>2425</v>
      </c>
      <c r="G36" t="s">
        <v>4</v>
      </c>
      <c r="H36" t="s">
        <v>3</v>
      </c>
      <c r="I36" t="s">
        <v>2424</v>
      </c>
      <c r="N36">
        <v>2</v>
      </c>
      <c r="O36" t="s">
        <v>2423</v>
      </c>
      <c r="P36" t="s">
        <v>2422</v>
      </c>
      <c r="Q36" t="s">
        <v>45</v>
      </c>
      <c r="R36" s="7">
        <v>33939</v>
      </c>
      <c r="S36" s="8">
        <f t="shared" si="0"/>
        <v>1992</v>
      </c>
      <c r="T36" s="8">
        <v>1992</v>
      </c>
      <c r="U36" s="8">
        <f t="shared" si="1"/>
        <v>30</v>
      </c>
      <c r="V36" s="7">
        <v>1992</v>
      </c>
      <c r="W36" t="s">
        <v>75</v>
      </c>
      <c r="X36" s="2" t="s">
        <v>5</v>
      </c>
      <c r="Y36" s="6" t="e">
        <f t="shared" si="2"/>
        <v>#VALUE!</v>
      </c>
      <c r="AA36">
        <v>87566648</v>
      </c>
      <c r="AB36">
        <v>74127</v>
      </c>
      <c r="AD36" t="s">
        <v>1</v>
      </c>
      <c r="AE36">
        <v>37</v>
      </c>
      <c r="AF36">
        <v>12</v>
      </c>
      <c r="AH36" t="s">
        <v>2421</v>
      </c>
      <c r="AI36" t="s">
        <v>2420</v>
      </c>
      <c r="AK36" t="s">
        <v>2419</v>
      </c>
      <c r="AL36">
        <v>0</v>
      </c>
      <c r="AM36" s="5">
        <f t="shared" si="3"/>
        <v>0</v>
      </c>
      <c r="AN36" s="4">
        <f t="shared" si="4"/>
        <v>0</v>
      </c>
      <c r="AO36" s="3"/>
      <c r="AP36">
        <v>0</v>
      </c>
      <c r="AR36" t="s">
        <v>0</v>
      </c>
      <c r="AT36" s="2" t="s">
        <v>5</v>
      </c>
      <c r="AU36" s="1" t="e">
        <f t="shared" si="5"/>
        <v>#VALUE!</v>
      </c>
      <c r="AV36" s="1" t="e">
        <f t="shared" si="6"/>
        <v>#VALUE!</v>
      </c>
      <c r="AW36" s="1" t="e">
        <f t="shared" si="7"/>
        <v>#VALUE!</v>
      </c>
    </row>
    <row r="37" spans="1:49" x14ac:dyDescent="0.2">
      <c r="A37">
        <v>35</v>
      </c>
      <c r="B37" t="s">
        <v>2418</v>
      </c>
      <c r="F37" t="s">
        <v>2417</v>
      </c>
      <c r="G37" t="s">
        <v>4</v>
      </c>
      <c r="H37" t="s">
        <v>3</v>
      </c>
      <c r="I37" t="s">
        <v>2416</v>
      </c>
      <c r="N37">
        <v>2</v>
      </c>
      <c r="O37" t="s">
        <v>2415</v>
      </c>
      <c r="P37" t="s">
        <v>2414</v>
      </c>
      <c r="Q37" t="s">
        <v>45</v>
      </c>
      <c r="R37" s="7">
        <v>33939</v>
      </c>
      <c r="S37" s="8">
        <f t="shared" si="0"/>
        <v>1992</v>
      </c>
      <c r="T37" s="8">
        <v>1992</v>
      </c>
      <c r="U37" s="8">
        <f t="shared" si="1"/>
        <v>30</v>
      </c>
      <c r="V37" s="7">
        <v>1992</v>
      </c>
      <c r="W37" t="s">
        <v>75</v>
      </c>
      <c r="X37" s="2" t="s">
        <v>5</v>
      </c>
      <c r="Y37" s="6" t="e">
        <f t="shared" si="2"/>
        <v>#VALUE!</v>
      </c>
      <c r="AA37">
        <v>87566648</v>
      </c>
      <c r="AB37">
        <v>74127</v>
      </c>
      <c r="AD37" t="s">
        <v>1</v>
      </c>
      <c r="AE37">
        <v>37</v>
      </c>
      <c r="AF37">
        <v>9</v>
      </c>
      <c r="AH37" t="s">
        <v>2413</v>
      </c>
      <c r="AI37" t="s">
        <v>2412</v>
      </c>
      <c r="AK37" t="s">
        <v>2411</v>
      </c>
      <c r="AL37">
        <v>4</v>
      </c>
      <c r="AM37" s="5">
        <f t="shared" si="3"/>
        <v>0.13333333333333333</v>
      </c>
      <c r="AN37" s="4">
        <f t="shared" si="4"/>
        <v>2.0194370819134167E-4</v>
      </c>
      <c r="AO37" s="3"/>
      <c r="AP37">
        <v>0</v>
      </c>
      <c r="AR37" t="s">
        <v>0</v>
      </c>
      <c r="AT37" s="2" t="s">
        <v>5</v>
      </c>
      <c r="AU37" s="1" t="e">
        <f t="shared" si="5"/>
        <v>#VALUE!</v>
      </c>
      <c r="AV37" s="1" t="e">
        <f t="shared" si="6"/>
        <v>#VALUE!</v>
      </c>
      <c r="AW37" s="1" t="e">
        <f t="shared" si="7"/>
        <v>#VALUE!</v>
      </c>
    </row>
    <row r="38" spans="1:49" x14ac:dyDescent="0.2">
      <c r="A38">
        <v>36</v>
      </c>
      <c r="B38" t="s">
        <v>2410</v>
      </c>
      <c r="F38" t="s">
        <v>2409</v>
      </c>
      <c r="G38" t="s">
        <v>4</v>
      </c>
      <c r="H38" t="s">
        <v>3</v>
      </c>
      <c r="I38" t="s">
        <v>2408</v>
      </c>
      <c r="N38">
        <v>1</v>
      </c>
      <c r="O38" t="s">
        <v>2407</v>
      </c>
      <c r="P38">
        <v>7402503775</v>
      </c>
      <c r="R38" s="7">
        <v>33939</v>
      </c>
      <c r="S38" s="8">
        <f t="shared" si="0"/>
        <v>1992</v>
      </c>
      <c r="T38" s="8">
        <v>1992</v>
      </c>
      <c r="U38" s="8">
        <f t="shared" si="1"/>
        <v>30</v>
      </c>
      <c r="V38" s="7">
        <v>1992</v>
      </c>
      <c r="W38" t="s">
        <v>75</v>
      </c>
      <c r="X38" s="2" t="s">
        <v>5</v>
      </c>
      <c r="Y38" s="6" t="e">
        <f t="shared" si="2"/>
        <v>#VALUE!</v>
      </c>
      <c r="AA38">
        <v>87566648</v>
      </c>
      <c r="AB38">
        <v>74127</v>
      </c>
      <c r="AD38" t="s">
        <v>1</v>
      </c>
      <c r="AE38">
        <v>37</v>
      </c>
      <c r="AF38">
        <v>12</v>
      </c>
      <c r="AH38" t="s">
        <v>2406</v>
      </c>
      <c r="AI38" t="s">
        <v>2405</v>
      </c>
      <c r="AK38" t="s">
        <v>2404</v>
      </c>
      <c r="AL38">
        <v>0</v>
      </c>
      <c r="AM38" s="5">
        <f t="shared" si="3"/>
        <v>0</v>
      </c>
      <c r="AN38" s="4">
        <f t="shared" si="4"/>
        <v>0</v>
      </c>
      <c r="AO38" s="3"/>
      <c r="AP38">
        <v>0</v>
      </c>
      <c r="AR38" t="s">
        <v>0</v>
      </c>
      <c r="AT38" s="2" t="s">
        <v>5</v>
      </c>
      <c r="AU38" s="1" t="e">
        <f t="shared" si="5"/>
        <v>#VALUE!</v>
      </c>
      <c r="AV38" s="1" t="e">
        <f t="shared" si="6"/>
        <v>#VALUE!</v>
      </c>
      <c r="AW38" s="1" t="e">
        <f t="shared" si="7"/>
        <v>#VALUE!</v>
      </c>
    </row>
    <row r="39" spans="1:49" x14ac:dyDescent="0.2">
      <c r="A39">
        <v>37</v>
      </c>
      <c r="B39" t="s">
        <v>2403</v>
      </c>
      <c r="F39" t="s">
        <v>2402</v>
      </c>
      <c r="G39" t="s">
        <v>4</v>
      </c>
      <c r="H39" t="s">
        <v>3</v>
      </c>
      <c r="I39" t="s">
        <v>2401</v>
      </c>
      <c r="N39">
        <v>4</v>
      </c>
      <c r="O39" t="s">
        <v>2400</v>
      </c>
      <c r="P39" t="s">
        <v>2399</v>
      </c>
      <c r="Q39" t="s">
        <v>84</v>
      </c>
      <c r="R39" s="7">
        <v>33939</v>
      </c>
      <c r="S39" s="8">
        <f t="shared" si="0"/>
        <v>1992</v>
      </c>
      <c r="T39" s="8">
        <v>1992</v>
      </c>
      <c r="U39" s="8">
        <f t="shared" si="1"/>
        <v>30</v>
      </c>
      <c r="V39" s="7">
        <v>1992</v>
      </c>
      <c r="W39" t="s">
        <v>75</v>
      </c>
      <c r="X39" s="2" t="s">
        <v>5</v>
      </c>
      <c r="Y39" s="6" t="e">
        <f t="shared" si="2"/>
        <v>#VALUE!</v>
      </c>
      <c r="AA39">
        <v>87566648</v>
      </c>
      <c r="AB39">
        <v>74127</v>
      </c>
      <c r="AD39" t="s">
        <v>1</v>
      </c>
      <c r="AE39">
        <v>37</v>
      </c>
      <c r="AF39">
        <v>12</v>
      </c>
      <c r="AH39" t="s">
        <v>2398</v>
      </c>
      <c r="AI39" t="s">
        <v>2397</v>
      </c>
      <c r="AK39" t="s">
        <v>2396</v>
      </c>
      <c r="AL39">
        <v>0</v>
      </c>
      <c r="AM39" s="5">
        <f t="shared" si="3"/>
        <v>0</v>
      </c>
      <c r="AN39" s="4">
        <f t="shared" si="4"/>
        <v>0</v>
      </c>
      <c r="AO39" s="3"/>
      <c r="AP39">
        <v>0</v>
      </c>
      <c r="AR39" t="s">
        <v>0</v>
      </c>
      <c r="AT39" s="2" t="s">
        <v>5</v>
      </c>
      <c r="AU39" s="1" t="e">
        <f t="shared" si="5"/>
        <v>#VALUE!</v>
      </c>
      <c r="AV39" s="1" t="e">
        <f t="shared" si="6"/>
        <v>#VALUE!</v>
      </c>
      <c r="AW39" s="1" t="e">
        <f t="shared" si="7"/>
        <v>#VALUE!</v>
      </c>
    </row>
    <row r="40" spans="1:49" x14ac:dyDescent="0.2">
      <c r="A40">
        <v>38</v>
      </c>
      <c r="B40" t="s">
        <v>2395</v>
      </c>
      <c r="F40" t="s">
        <v>2394</v>
      </c>
      <c r="G40" t="s">
        <v>4</v>
      </c>
      <c r="H40" t="s">
        <v>3</v>
      </c>
      <c r="I40" t="s">
        <v>2393</v>
      </c>
      <c r="J40">
        <v>60020739</v>
      </c>
      <c r="K40" t="s">
        <v>2392</v>
      </c>
      <c r="L40" t="s">
        <v>2391</v>
      </c>
      <c r="M40" t="s">
        <v>12</v>
      </c>
      <c r="N40">
        <v>1</v>
      </c>
      <c r="O40" t="s">
        <v>2390</v>
      </c>
      <c r="P40">
        <v>26643215800</v>
      </c>
      <c r="Q40">
        <v>60020739</v>
      </c>
      <c r="R40" s="7">
        <v>33939</v>
      </c>
      <c r="S40" s="8">
        <f t="shared" si="0"/>
        <v>1992</v>
      </c>
      <c r="T40" s="8">
        <v>1992</v>
      </c>
      <c r="U40" s="8">
        <f t="shared" si="1"/>
        <v>30</v>
      </c>
      <c r="V40" s="7">
        <v>33604</v>
      </c>
      <c r="W40" t="s">
        <v>80</v>
      </c>
      <c r="X40" s="2">
        <v>0.30399999999999999</v>
      </c>
      <c r="Y40" s="6">
        <f t="shared" si="2"/>
        <v>8.115106377299057E-3</v>
      </c>
      <c r="AA40">
        <v>8952477</v>
      </c>
      <c r="AB40">
        <v>12250</v>
      </c>
      <c r="AD40" t="s">
        <v>1</v>
      </c>
      <c r="AE40">
        <v>5</v>
      </c>
      <c r="AF40">
        <v>14</v>
      </c>
      <c r="AH40" t="s">
        <v>2389</v>
      </c>
      <c r="AI40" t="s">
        <v>2388</v>
      </c>
      <c r="AK40" t="s">
        <v>2387</v>
      </c>
      <c r="AL40">
        <v>1</v>
      </c>
      <c r="AM40" s="5">
        <f t="shared" si="3"/>
        <v>3.3333333333333333E-2</v>
      </c>
      <c r="AN40" s="4">
        <f t="shared" si="4"/>
        <v>5.0485927047835418E-5</v>
      </c>
      <c r="AO40" s="3"/>
      <c r="AP40">
        <v>0</v>
      </c>
      <c r="AR40" t="s">
        <v>0</v>
      </c>
      <c r="AT40" s="2" t="s">
        <v>5</v>
      </c>
      <c r="AU40" s="1">
        <f t="shared" si="5"/>
        <v>0.56957202422236908</v>
      </c>
      <c r="AV40" s="1">
        <f t="shared" si="6"/>
        <v>0.40827961521734463</v>
      </c>
      <c r="AW40" s="1">
        <f t="shared" si="7"/>
        <v>0.2469872062123202</v>
      </c>
    </row>
    <row r="41" spans="1:49" x14ac:dyDescent="0.2">
      <c r="A41">
        <v>39</v>
      </c>
      <c r="B41" t="s">
        <v>2386</v>
      </c>
      <c r="F41" t="s">
        <v>2385</v>
      </c>
      <c r="G41" t="s">
        <v>4</v>
      </c>
      <c r="H41" t="s">
        <v>3</v>
      </c>
      <c r="I41" t="s">
        <v>2384</v>
      </c>
      <c r="N41">
        <v>2</v>
      </c>
      <c r="O41" t="s">
        <v>2383</v>
      </c>
      <c r="P41" t="s">
        <v>2382</v>
      </c>
      <c r="Q41" t="s">
        <v>45</v>
      </c>
      <c r="R41" s="7">
        <v>33939</v>
      </c>
      <c r="S41" s="8">
        <f t="shared" si="0"/>
        <v>1992</v>
      </c>
      <c r="T41" s="8">
        <v>1992</v>
      </c>
      <c r="U41" s="8">
        <f t="shared" si="1"/>
        <v>30</v>
      </c>
      <c r="V41" s="7">
        <v>1992</v>
      </c>
      <c r="W41" t="s">
        <v>75</v>
      </c>
      <c r="X41" s="2" t="s">
        <v>5</v>
      </c>
      <c r="Y41" s="6" t="e">
        <f t="shared" si="2"/>
        <v>#VALUE!</v>
      </c>
      <c r="AA41">
        <v>87566648</v>
      </c>
      <c r="AB41">
        <v>74127</v>
      </c>
      <c r="AD41" t="s">
        <v>1</v>
      </c>
      <c r="AE41">
        <v>37</v>
      </c>
      <c r="AF41">
        <v>10</v>
      </c>
      <c r="AH41" s="10">
        <v>41760</v>
      </c>
      <c r="AI41" t="s">
        <v>2381</v>
      </c>
      <c r="AK41" t="s">
        <v>2380</v>
      </c>
      <c r="AL41">
        <v>4</v>
      </c>
      <c r="AM41" s="5">
        <f t="shared" si="3"/>
        <v>0.13333333333333333</v>
      </c>
      <c r="AN41" s="4">
        <f t="shared" si="4"/>
        <v>2.0194370819134167E-4</v>
      </c>
      <c r="AO41" s="3"/>
      <c r="AP41">
        <v>0</v>
      </c>
      <c r="AR41" t="s">
        <v>0</v>
      </c>
      <c r="AT41" s="2" t="s">
        <v>5</v>
      </c>
      <c r="AU41" s="1" t="e">
        <f t="shared" si="5"/>
        <v>#VALUE!</v>
      </c>
      <c r="AV41" s="1" t="e">
        <f t="shared" si="6"/>
        <v>#VALUE!</v>
      </c>
      <c r="AW41" s="1" t="e">
        <f t="shared" si="7"/>
        <v>#VALUE!</v>
      </c>
    </row>
    <row r="42" spans="1:49" x14ac:dyDescent="0.2">
      <c r="A42">
        <v>40</v>
      </c>
      <c r="B42" t="s">
        <v>2379</v>
      </c>
      <c r="F42" t="s">
        <v>2378</v>
      </c>
      <c r="G42" t="s">
        <v>4</v>
      </c>
      <c r="H42" t="s">
        <v>3</v>
      </c>
      <c r="I42" t="s">
        <v>2377</v>
      </c>
      <c r="J42">
        <v>60027509</v>
      </c>
      <c r="K42" t="s">
        <v>195</v>
      </c>
      <c r="L42" t="s">
        <v>194</v>
      </c>
      <c r="M42" t="s">
        <v>16</v>
      </c>
      <c r="N42">
        <v>3</v>
      </c>
      <c r="O42" t="s">
        <v>2376</v>
      </c>
      <c r="P42" t="s">
        <v>2375</v>
      </c>
      <c r="Q42" t="s">
        <v>193</v>
      </c>
      <c r="R42" s="7">
        <v>33939</v>
      </c>
      <c r="S42" s="8">
        <f t="shared" si="0"/>
        <v>1992</v>
      </c>
      <c r="T42" s="8">
        <v>1992</v>
      </c>
      <c r="U42" s="8">
        <f t="shared" si="1"/>
        <v>30</v>
      </c>
      <c r="V42" s="7">
        <v>33939</v>
      </c>
      <c r="W42" t="s">
        <v>2374</v>
      </c>
      <c r="X42" s="2">
        <v>0.216</v>
      </c>
      <c r="Y42" s="6">
        <f t="shared" si="2"/>
        <v>5.765996636501962E-3</v>
      </c>
      <c r="AA42">
        <v>10544887</v>
      </c>
      <c r="AB42">
        <v>13200</v>
      </c>
      <c r="AD42" t="s">
        <v>1</v>
      </c>
      <c r="AE42">
        <v>7</v>
      </c>
      <c r="AF42">
        <v>2</v>
      </c>
      <c r="AH42" t="s">
        <v>2373</v>
      </c>
      <c r="AI42" t="s">
        <v>2372</v>
      </c>
      <c r="AK42" t="s">
        <v>2371</v>
      </c>
      <c r="AL42">
        <v>3</v>
      </c>
      <c r="AM42" s="5">
        <f t="shared" si="3"/>
        <v>0.1</v>
      </c>
      <c r="AN42" s="4">
        <f t="shared" si="4"/>
        <v>1.5145778114350627E-4</v>
      </c>
      <c r="AO42" s="3"/>
      <c r="AP42">
        <v>0</v>
      </c>
      <c r="AR42" t="s">
        <v>0</v>
      </c>
      <c r="AT42" s="2" t="s">
        <v>5</v>
      </c>
      <c r="AU42" s="1">
        <f t="shared" si="5"/>
        <v>0.40816349798944251</v>
      </c>
      <c r="AV42" s="1">
        <f t="shared" si="6"/>
        <v>0.2958727208822734</v>
      </c>
      <c r="AW42" s="1">
        <f t="shared" si="7"/>
        <v>0.18358194377510428</v>
      </c>
    </row>
    <row r="43" spans="1:49" x14ac:dyDescent="0.2">
      <c r="A43">
        <v>41</v>
      </c>
      <c r="B43" t="s">
        <v>2370</v>
      </c>
      <c r="F43" t="s">
        <v>2369</v>
      </c>
      <c r="G43" t="s">
        <v>4</v>
      </c>
      <c r="H43" t="s">
        <v>3</v>
      </c>
      <c r="I43" t="s">
        <v>2368</v>
      </c>
      <c r="J43">
        <v>60072207</v>
      </c>
      <c r="K43" t="s">
        <v>2367</v>
      </c>
      <c r="L43" t="s">
        <v>2366</v>
      </c>
      <c r="M43" t="s">
        <v>50</v>
      </c>
      <c r="N43">
        <v>2</v>
      </c>
      <c r="O43" t="s">
        <v>2365</v>
      </c>
      <c r="P43" t="s">
        <v>2364</v>
      </c>
      <c r="Q43" t="s">
        <v>2363</v>
      </c>
      <c r="R43" s="7">
        <v>33939</v>
      </c>
      <c r="S43" s="8">
        <f t="shared" si="0"/>
        <v>1992</v>
      </c>
      <c r="T43" s="8">
        <v>1992</v>
      </c>
      <c r="U43" s="8">
        <f t="shared" si="1"/>
        <v>30</v>
      </c>
      <c r="V43" s="7">
        <v>1992</v>
      </c>
      <c r="W43" t="s">
        <v>2362</v>
      </c>
      <c r="X43" s="2" t="s">
        <v>5</v>
      </c>
      <c r="Y43" s="6" t="e">
        <f t="shared" si="2"/>
        <v>#VALUE!</v>
      </c>
      <c r="AA43">
        <v>10133119</v>
      </c>
      <c r="AB43">
        <v>18665</v>
      </c>
      <c r="AD43" t="s">
        <v>1</v>
      </c>
      <c r="AF43">
        <v>4</v>
      </c>
      <c r="AH43" t="s">
        <v>2361</v>
      </c>
      <c r="AI43" t="s">
        <v>2360</v>
      </c>
      <c r="AK43" t="s">
        <v>2359</v>
      </c>
      <c r="AL43">
        <v>0</v>
      </c>
      <c r="AM43" s="5">
        <f t="shared" si="3"/>
        <v>0</v>
      </c>
      <c r="AN43" s="4">
        <f t="shared" si="4"/>
        <v>0</v>
      </c>
      <c r="AO43" s="3"/>
      <c r="AP43">
        <v>0</v>
      </c>
      <c r="AR43" t="s">
        <v>0</v>
      </c>
      <c r="AT43" s="2" t="s">
        <v>5</v>
      </c>
      <c r="AU43" s="1" t="e">
        <f t="shared" si="5"/>
        <v>#VALUE!</v>
      </c>
      <c r="AV43" s="1" t="e">
        <f t="shared" si="6"/>
        <v>#VALUE!</v>
      </c>
      <c r="AW43" s="1" t="e">
        <f t="shared" si="7"/>
        <v>#VALUE!</v>
      </c>
    </row>
    <row r="44" spans="1:49" x14ac:dyDescent="0.2">
      <c r="A44">
        <v>42</v>
      </c>
      <c r="B44" t="s">
        <v>2358</v>
      </c>
      <c r="F44" t="s">
        <v>2357</v>
      </c>
      <c r="G44" t="s">
        <v>4</v>
      </c>
      <c r="H44" t="s">
        <v>3</v>
      </c>
      <c r="I44" t="s">
        <v>2356</v>
      </c>
      <c r="J44">
        <v>60009399</v>
      </c>
      <c r="K44" t="s">
        <v>2355</v>
      </c>
      <c r="L44" t="s">
        <v>99</v>
      </c>
      <c r="M44" t="s">
        <v>2</v>
      </c>
      <c r="N44">
        <v>2</v>
      </c>
      <c r="O44" t="s">
        <v>2354</v>
      </c>
      <c r="P44" t="s">
        <v>2353</v>
      </c>
      <c r="Q44" t="s">
        <v>2352</v>
      </c>
      <c r="R44" s="7">
        <v>33939</v>
      </c>
      <c r="S44" s="8">
        <f t="shared" si="0"/>
        <v>1992</v>
      </c>
      <c r="T44" s="8">
        <v>1992</v>
      </c>
      <c r="U44" s="8">
        <f t="shared" si="1"/>
        <v>30</v>
      </c>
      <c r="V44" s="7">
        <v>1992</v>
      </c>
      <c r="W44" t="s">
        <v>2343</v>
      </c>
      <c r="X44" s="2">
        <v>0.29199999999999998</v>
      </c>
      <c r="Y44" s="6">
        <f t="shared" si="2"/>
        <v>7.7947732308267263E-3</v>
      </c>
      <c r="AA44">
        <v>9528091</v>
      </c>
      <c r="AB44">
        <v>19266</v>
      </c>
      <c r="AD44" t="s">
        <v>1</v>
      </c>
      <c r="AE44">
        <v>5</v>
      </c>
      <c r="AF44" s="9">
        <v>44288</v>
      </c>
      <c r="AH44" t="s">
        <v>2351</v>
      </c>
      <c r="AI44" t="s">
        <v>2350</v>
      </c>
      <c r="AK44" t="s">
        <v>2349</v>
      </c>
      <c r="AL44">
        <v>0</v>
      </c>
      <c r="AM44" s="5">
        <f t="shared" si="3"/>
        <v>0</v>
      </c>
      <c r="AN44" s="4">
        <f t="shared" si="4"/>
        <v>0</v>
      </c>
      <c r="AO44" s="3"/>
      <c r="AP44">
        <v>0</v>
      </c>
      <c r="AR44" t="s">
        <v>0</v>
      </c>
      <c r="AT44" s="2" t="s">
        <v>5</v>
      </c>
      <c r="AU44" s="1">
        <f t="shared" si="5"/>
        <v>0.54563412615787088</v>
      </c>
      <c r="AV44" s="1">
        <f t="shared" si="6"/>
        <v>0.3897386615413363</v>
      </c>
      <c r="AW44" s="1">
        <f t="shared" si="7"/>
        <v>0.23384319692480179</v>
      </c>
    </row>
    <row r="45" spans="1:49" x14ac:dyDescent="0.2">
      <c r="A45">
        <v>43</v>
      </c>
      <c r="B45" t="s">
        <v>2348</v>
      </c>
      <c r="F45" t="s">
        <v>2347</v>
      </c>
      <c r="G45" t="s">
        <v>4</v>
      </c>
      <c r="H45" t="s">
        <v>3</v>
      </c>
      <c r="I45" t="s">
        <v>2346</v>
      </c>
      <c r="J45">
        <v>60028673</v>
      </c>
      <c r="K45" t="s">
        <v>2345</v>
      </c>
      <c r="L45" t="s">
        <v>209</v>
      </c>
      <c r="M45" t="s">
        <v>50</v>
      </c>
      <c r="N45">
        <v>1</v>
      </c>
      <c r="O45" t="s">
        <v>2344</v>
      </c>
      <c r="P45">
        <v>7102652565</v>
      </c>
      <c r="Q45">
        <v>60028673</v>
      </c>
      <c r="R45" s="7">
        <v>33939</v>
      </c>
      <c r="S45" s="8">
        <f t="shared" si="0"/>
        <v>1992</v>
      </c>
      <c r="T45" s="8">
        <v>1992</v>
      </c>
      <c r="U45" s="8">
        <f t="shared" si="1"/>
        <v>30</v>
      </c>
      <c r="V45" s="7">
        <v>1992</v>
      </c>
      <c r="W45" t="s">
        <v>2343</v>
      </c>
      <c r="X45" s="2">
        <v>0.29199999999999998</v>
      </c>
      <c r="Y45" s="6">
        <f t="shared" si="2"/>
        <v>7.7947732308267263E-3</v>
      </c>
      <c r="AA45">
        <v>9528091</v>
      </c>
      <c r="AB45">
        <v>19266</v>
      </c>
      <c r="AD45" t="s">
        <v>1</v>
      </c>
      <c r="AE45">
        <v>5</v>
      </c>
      <c r="AF45" s="9">
        <v>44288</v>
      </c>
      <c r="AH45" t="s">
        <v>2342</v>
      </c>
      <c r="AI45" t="s">
        <v>2341</v>
      </c>
      <c r="AK45" t="s">
        <v>2340</v>
      </c>
      <c r="AL45">
        <v>4</v>
      </c>
      <c r="AM45" s="5">
        <f t="shared" si="3"/>
        <v>0.13333333333333333</v>
      </c>
      <c r="AN45" s="4">
        <f t="shared" si="4"/>
        <v>2.0194370819134167E-4</v>
      </c>
      <c r="AO45" s="3"/>
      <c r="AP45">
        <v>0</v>
      </c>
      <c r="AR45" t="s">
        <v>0</v>
      </c>
      <c r="AT45" s="2" t="s">
        <v>5</v>
      </c>
      <c r="AU45" s="1">
        <f t="shared" si="5"/>
        <v>0.55169243740361107</v>
      </c>
      <c r="AV45" s="1">
        <f t="shared" si="6"/>
        <v>0.39983584695090335</v>
      </c>
      <c r="AW45" s="1">
        <f t="shared" si="7"/>
        <v>0.24797925649819572</v>
      </c>
    </row>
    <row r="46" spans="1:49" x14ac:dyDescent="0.2">
      <c r="A46">
        <v>44</v>
      </c>
      <c r="B46" t="s">
        <v>2339</v>
      </c>
      <c r="F46" t="s">
        <v>2338</v>
      </c>
      <c r="G46" t="s">
        <v>4</v>
      </c>
      <c r="H46" t="s">
        <v>3</v>
      </c>
      <c r="I46" t="s">
        <v>2337</v>
      </c>
      <c r="N46">
        <v>3</v>
      </c>
      <c r="O46" t="s">
        <v>2336</v>
      </c>
      <c r="P46" t="s">
        <v>2335</v>
      </c>
      <c r="Q46" t="s">
        <v>71</v>
      </c>
      <c r="R46" s="7">
        <v>33939</v>
      </c>
      <c r="S46" s="8">
        <f t="shared" si="0"/>
        <v>1992</v>
      </c>
      <c r="T46" s="8">
        <v>1992</v>
      </c>
      <c r="U46" s="8">
        <f t="shared" si="1"/>
        <v>30</v>
      </c>
      <c r="V46" s="7">
        <v>33939</v>
      </c>
      <c r="W46" t="s">
        <v>36</v>
      </c>
      <c r="X46" s="2">
        <v>0.14099999999999999</v>
      </c>
      <c r="Y46" s="6">
        <f t="shared" si="2"/>
        <v>3.7639144710498915E-3</v>
      </c>
      <c r="AA46">
        <v>402508</v>
      </c>
      <c r="AB46">
        <v>20868</v>
      </c>
      <c r="AD46" t="s">
        <v>1</v>
      </c>
      <c r="AE46">
        <v>47</v>
      </c>
      <c r="AF46">
        <v>12</v>
      </c>
      <c r="AH46" t="s">
        <v>2334</v>
      </c>
      <c r="AI46" t="s">
        <v>2333</v>
      </c>
      <c r="AK46" t="s">
        <v>2332</v>
      </c>
      <c r="AL46">
        <v>0</v>
      </c>
      <c r="AM46" s="5">
        <f t="shared" si="3"/>
        <v>0</v>
      </c>
      <c r="AN46" s="4">
        <f t="shared" si="4"/>
        <v>0</v>
      </c>
      <c r="AO46" s="3"/>
      <c r="AP46">
        <v>0</v>
      </c>
      <c r="AR46" t="s">
        <v>0</v>
      </c>
      <c r="AT46" s="2" t="s">
        <v>5</v>
      </c>
      <c r="AU46" s="1">
        <f t="shared" si="5"/>
        <v>0.26347401297349238</v>
      </c>
      <c r="AV46" s="1">
        <f t="shared" si="6"/>
        <v>0.18819572355249459</v>
      </c>
      <c r="AW46" s="1">
        <f t="shared" si="7"/>
        <v>0.11291743413149673</v>
      </c>
    </row>
    <row r="47" spans="1:49" x14ac:dyDescent="0.2">
      <c r="A47">
        <v>45</v>
      </c>
      <c r="B47" t="s">
        <v>2331</v>
      </c>
      <c r="F47" t="s">
        <v>2330</v>
      </c>
      <c r="G47" t="s">
        <v>4</v>
      </c>
      <c r="H47" t="s">
        <v>3</v>
      </c>
      <c r="I47" t="s">
        <v>2329</v>
      </c>
      <c r="N47">
        <v>1</v>
      </c>
      <c r="O47" t="s">
        <v>2328</v>
      </c>
      <c r="P47">
        <v>6508271572</v>
      </c>
      <c r="R47" s="7">
        <v>33939</v>
      </c>
      <c r="S47" s="8">
        <f t="shared" si="0"/>
        <v>1992</v>
      </c>
      <c r="T47" s="8">
        <v>1992</v>
      </c>
      <c r="U47" s="8">
        <f t="shared" si="1"/>
        <v>30</v>
      </c>
      <c r="V47" s="7">
        <v>33939</v>
      </c>
      <c r="W47" t="s">
        <v>36</v>
      </c>
      <c r="X47" s="2">
        <v>0.14099999999999999</v>
      </c>
      <c r="Y47" s="6">
        <f t="shared" si="2"/>
        <v>3.7639144710498915E-3</v>
      </c>
      <c r="AA47">
        <v>402508</v>
      </c>
      <c r="AB47">
        <v>20868</v>
      </c>
      <c r="AD47" t="s">
        <v>1</v>
      </c>
      <c r="AE47">
        <v>47</v>
      </c>
      <c r="AF47">
        <v>12</v>
      </c>
      <c r="AH47" t="s">
        <v>2327</v>
      </c>
      <c r="AI47" t="s">
        <v>2326</v>
      </c>
      <c r="AK47" t="s">
        <v>2325</v>
      </c>
      <c r="AL47">
        <v>0</v>
      </c>
      <c r="AM47" s="5">
        <f t="shared" si="3"/>
        <v>0</v>
      </c>
      <c r="AN47" s="4">
        <f t="shared" si="4"/>
        <v>0</v>
      </c>
      <c r="AO47" s="3"/>
      <c r="AP47">
        <v>0</v>
      </c>
      <c r="AR47" t="s">
        <v>0</v>
      </c>
      <c r="AT47" s="2" t="s">
        <v>5</v>
      </c>
      <c r="AU47" s="1">
        <f t="shared" si="5"/>
        <v>0.26347401297349238</v>
      </c>
      <c r="AV47" s="1">
        <f t="shared" si="6"/>
        <v>0.18819572355249459</v>
      </c>
      <c r="AW47" s="1">
        <f t="shared" si="7"/>
        <v>0.11291743413149673</v>
      </c>
    </row>
    <row r="48" spans="1:49" x14ac:dyDescent="0.2">
      <c r="A48">
        <v>46</v>
      </c>
      <c r="B48" t="s">
        <v>2324</v>
      </c>
      <c r="F48" t="s">
        <v>2323</v>
      </c>
      <c r="G48" t="s">
        <v>4</v>
      </c>
      <c r="H48" t="s">
        <v>3</v>
      </c>
      <c r="I48" t="s">
        <v>2322</v>
      </c>
      <c r="N48">
        <v>1</v>
      </c>
      <c r="O48" t="s">
        <v>2321</v>
      </c>
      <c r="P48">
        <v>6603407089</v>
      </c>
      <c r="R48" s="7">
        <v>33939</v>
      </c>
      <c r="S48" s="8">
        <f t="shared" si="0"/>
        <v>1992</v>
      </c>
      <c r="T48" s="8">
        <v>1992</v>
      </c>
      <c r="U48" s="8">
        <f t="shared" si="1"/>
        <v>30</v>
      </c>
      <c r="V48" s="7">
        <v>33939</v>
      </c>
      <c r="W48" t="s">
        <v>36</v>
      </c>
      <c r="X48" s="2">
        <v>0.14099999999999999</v>
      </c>
      <c r="Y48" s="6">
        <f t="shared" si="2"/>
        <v>3.7639144710498915E-3</v>
      </c>
      <c r="AA48">
        <v>402508</v>
      </c>
      <c r="AB48">
        <v>20868</v>
      </c>
      <c r="AD48" t="s">
        <v>1</v>
      </c>
      <c r="AE48">
        <v>47</v>
      </c>
      <c r="AF48">
        <v>12</v>
      </c>
      <c r="AH48" t="s">
        <v>2320</v>
      </c>
      <c r="AI48" t="s">
        <v>2319</v>
      </c>
      <c r="AK48" t="s">
        <v>2318</v>
      </c>
      <c r="AL48">
        <v>0</v>
      </c>
      <c r="AM48" s="5">
        <f t="shared" si="3"/>
        <v>0</v>
      </c>
      <c r="AN48" s="4">
        <f t="shared" si="4"/>
        <v>0</v>
      </c>
      <c r="AO48" s="3"/>
      <c r="AP48">
        <v>0</v>
      </c>
      <c r="AR48" t="s">
        <v>0</v>
      </c>
      <c r="AT48" s="2" t="s">
        <v>5</v>
      </c>
      <c r="AU48" s="1">
        <f t="shared" si="5"/>
        <v>0.26347401297349238</v>
      </c>
      <c r="AV48" s="1">
        <f t="shared" si="6"/>
        <v>0.18819572355249459</v>
      </c>
      <c r="AW48" s="1">
        <f t="shared" si="7"/>
        <v>0.11291743413149673</v>
      </c>
    </row>
    <row r="49" spans="1:49" x14ac:dyDescent="0.2">
      <c r="A49">
        <v>47</v>
      </c>
      <c r="B49" t="s">
        <v>2317</v>
      </c>
      <c r="C49" t="s">
        <v>2316</v>
      </c>
      <c r="F49" t="s">
        <v>2315</v>
      </c>
      <c r="G49" t="s">
        <v>4</v>
      </c>
      <c r="H49" t="s">
        <v>3</v>
      </c>
      <c r="I49" t="s">
        <v>2314</v>
      </c>
      <c r="J49">
        <v>60031004</v>
      </c>
      <c r="K49" t="s">
        <v>143</v>
      </c>
      <c r="L49" t="s">
        <v>142</v>
      </c>
      <c r="M49" t="s">
        <v>120</v>
      </c>
      <c r="N49">
        <v>2</v>
      </c>
      <c r="O49" t="s">
        <v>2313</v>
      </c>
      <c r="P49" t="s">
        <v>2312</v>
      </c>
      <c r="Q49" t="s">
        <v>141</v>
      </c>
      <c r="R49" s="7">
        <v>33939</v>
      </c>
      <c r="S49" s="8">
        <f t="shared" si="0"/>
        <v>1992</v>
      </c>
      <c r="T49" s="8">
        <v>1992</v>
      </c>
      <c r="U49" s="8">
        <f t="shared" si="1"/>
        <v>30</v>
      </c>
      <c r="V49" s="7">
        <v>33939</v>
      </c>
      <c r="W49" t="s">
        <v>2311</v>
      </c>
      <c r="X49" s="2">
        <v>0.84299999999999997</v>
      </c>
      <c r="Y49" s="6">
        <f t="shared" si="2"/>
        <v>2.250340353968127E-2</v>
      </c>
      <c r="AA49">
        <v>188158</v>
      </c>
      <c r="AB49">
        <v>15168</v>
      </c>
      <c r="AC49">
        <v>15735117</v>
      </c>
      <c r="AD49" t="s">
        <v>1</v>
      </c>
      <c r="AE49">
        <v>248</v>
      </c>
      <c r="AF49">
        <v>3</v>
      </c>
      <c r="AH49" t="s">
        <v>2310</v>
      </c>
      <c r="AI49" t="s">
        <v>2309</v>
      </c>
      <c r="AJ49" t="s">
        <v>2308</v>
      </c>
      <c r="AK49" t="s">
        <v>2307</v>
      </c>
      <c r="AL49">
        <v>21</v>
      </c>
      <c r="AM49" s="5">
        <f t="shared" si="3"/>
        <v>0.7</v>
      </c>
      <c r="AN49" s="4">
        <f t="shared" si="4"/>
        <v>1.0602044680045437E-3</v>
      </c>
      <c r="AO49" s="3"/>
      <c r="AP49">
        <v>0</v>
      </c>
      <c r="AR49" t="s">
        <v>0</v>
      </c>
      <c r="AT49" s="2">
        <v>2.694</v>
      </c>
      <c r="AU49" s="1">
        <f t="shared" si="5"/>
        <v>1.6070443818178255</v>
      </c>
      <c r="AV49" s="1">
        <f t="shared" si="6"/>
        <v>1.1781804003842906</v>
      </c>
      <c r="AW49" s="1">
        <f t="shared" si="7"/>
        <v>0.74931641895075618</v>
      </c>
    </row>
    <row r="50" spans="1:49" x14ac:dyDescent="0.2">
      <c r="A50">
        <v>48</v>
      </c>
      <c r="B50" t="s">
        <v>2306</v>
      </c>
      <c r="C50" t="s">
        <v>2305</v>
      </c>
      <c r="D50" t="s">
        <v>2304</v>
      </c>
      <c r="F50" t="s">
        <v>2303</v>
      </c>
      <c r="G50" t="s">
        <v>4</v>
      </c>
      <c r="H50" t="s">
        <v>3</v>
      </c>
      <c r="I50" t="s">
        <v>2302</v>
      </c>
      <c r="J50">
        <v>60006220</v>
      </c>
      <c r="K50" t="s">
        <v>2301</v>
      </c>
      <c r="L50" t="s">
        <v>139</v>
      </c>
      <c r="M50" t="s">
        <v>34</v>
      </c>
      <c r="N50">
        <v>6</v>
      </c>
      <c r="O50" t="s">
        <v>2300</v>
      </c>
      <c r="P50" t="s">
        <v>2299</v>
      </c>
      <c r="Q50" t="s">
        <v>2298</v>
      </c>
      <c r="R50" s="7">
        <v>33939</v>
      </c>
      <c r="S50" s="8">
        <f t="shared" si="0"/>
        <v>1992</v>
      </c>
      <c r="T50" s="8">
        <v>1992</v>
      </c>
      <c r="U50" s="8">
        <f t="shared" si="1"/>
        <v>30</v>
      </c>
      <c r="V50" s="7">
        <v>33939</v>
      </c>
      <c r="W50" t="s">
        <v>2297</v>
      </c>
      <c r="X50" s="2">
        <v>1.123</v>
      </c>
      <c r="Y50" s="6">
        <f t="shared" si="2"/>
        <v>2.9977843624035664E-2</v>
      </c>
      <c r="AA50">
        <v>223115</v>
      </c>
      <c r="AB50">
        <v>29021</v>
      </c>
      <c r="AD50" t="s">
        <v>1</v>
      </c>
      <c r="AE50" t="s">
        <v>168</v>
      </c>
      <c r="AF50" t="s">
        <v>68</v>
      </c>
      <c r="AH50" t="s">
        <v>2296</v>
      </c>
      <c r="AI50" t="s">
        <v>2295</v>
      </c>
      <c r="AK50" t="s">
        <v>2294</v>
      </c>
      <c r="AL50">
        <v>1</v>
      </c>
      <c r="AM50" s="5">
        <f t="shared" si="3"/>
        <v>3.3333333333333333E-2</v>
      </c>
      <c r="AN50" s="4">
        <f t="shared" si="4"/>
        <v>5.0485927047835418E-5</v>
      </c>
      <c r="AO50" s="3"/>
      <c r="AP50">
        <v>0</v>
      </c>
      <c r="AR50" t="s">
        <v>0</v>
      </c>
      <c r="AT50" s="2">
        <v>2.9359999999999999</v>
      </c>
      <c r="AU50" s="1">
        <f t="shared" si="5"/>
        <v>2.0999636314939316</v>
      </c>
      <c r="AV50" s="1">
        <f t="shared" si="6"/>
        <v>1.501416477554175</v>
      </c>
      <c r="AW50" s="1">
        <f t="shared" si="7"/>
        <v>0.90286932361441852</v>
      </c>
    </row>
    <row r="51" spans="1:49" x14ac:dyDescent="0.2">
      <c r="A51">
        <v>49</v>
      </c>
      <c r="B51" t="s">
        <v>2293</v>
      </c>
      <c r="C51" t="s">
        <v>2292</v>
      </c>
      <c r="F51" t="s">
        <v>2291</v>
      </c>
      <c r="G51" t="s">
        <v>4</v>
      </c>
      <c r="H51" t="s">
        <v>3</v>
      </c>
      <c r="I51" t="s">
        <v>2290</v>
      </c>
      <c r="J51">
        <v>60029507</v>
      </c>
      <c r="K51" t="s">
        <v>2289</v>
      </c>
      <c r="L51" t="s">
        <v>2288</v>
      </c>
      <c r="M51" t="s">
        <v>50</v>
      </c>
      <c r="N51">
        <v>2</v>
      </c>
      <c r="O51" t="s">
        <v>2287</v>
      </c>
      <c r="P51" t="s">
        <v>2286</v>
      </c>
      <c r="Q51" t="s">
        <v>2285</v>
      </c>
      <c r="R51" s="7">
        <v>33939</v>
      </c>
      <c r="S51" s="8">
        <f t="shared" si="0"/>
        <v>1992</v>
      </c>
      <c r="T51" s="8">
        <v>1992</v>
      </c>
      <c r="U51" s="8">
        <f t="shared" si="1"/>
        <v>30</v>
      </c>
      <c r="V51" s="7">
        <v>1992</v>
      </c>
      <c r="W51" t="s">
        <v>2175</v>
      </c>
      <c r="X51" s="2">
        <v>0.48</v>
      </c>
      <c r="Y51" s="6">
        <f t="shared" si="2"/>
        <v>1.2813325858893249E-2</v>
      </c>
      <c r="AA51">
        <v>9570233</v>
      </c>
      <c r="AB51">
        <v>15526</v>
      </c>
      <c r="AD51" t="s">
        <v>1</v>
      </c>
      <c r="AE51">
        <v>3</v>
      </c>
      <c r="AF51">
        <v>12</v>
      </c>
      <c r="AG51">
        <v>7</v>
      </c>
      <c r="AH51" t="s">
        <v>2284</v>
      </c>
      <c r="AI51" t="s">
        <v>2283</v>
      </c>
      <c r="AK51" t="s">
        <v>2282</v>
      </c>
      <c r="AL51">
        <v>35</v>
      </c>
      <c r="AM51" s="5">
        <f t="shared" si="3"/>
        <v>1.1666666666666667</v>
      </c>
      <c r="AN51" s="4">
        <f t="shared" si="4"/>
        <v>1.7670074466742396E-3</v>
      </c>
      <c r="AO51" s="3"/>
      <c r="AP51">
        <v>0</v>
      </c>
      <c r="AR51" t="s">
        <v>0</v>
      </c>
      <c r="AT51" s="2">
        <v>2.0459999999999998</v>
      </c>
      <c r="AU51" s="1">
        <f t="shared" si="5"/>
        <v>0.94994303352275455</v>
      </c>
      <c r="AV51" s="1">
        <f t="shared" si="6"/>
        <v>0.7290166652783745</v>
      </c>
      <c r="AW51" s="1">
        <f t="shared" si="7"/>
        <v>0.50809029703399422</v>
      </c>
    </row>
    <row r="52" spans="1:49" x14ac:dyDescent="0.2">
      <c r="A52">
        <v>50</v>
      </c>
      <c r="B52" t="s">
        <v>2281</v>
      </c>
      <c r="F52" t="s">
        <v>2280</v>
      </c>
      <c r="G52" t="s">
        <v>4</v>
      </c>
      <c r="H52" t="s">
        <v>3</v>
      </c>
      <c r="I52" t="s">
        <v>2279</v>
      </c>
      <c r="J52">
        <v>60087865</v>
      </c>
      <c r="K52" t="s">
        <v>2278</v>
      </c>
      <c r="L52" t="s">
        <v>240</v>
      </c>
      <c r="M52" t="s">
        <v>20</v>
      </c>
      <c r="N52">
        <v>3</v>
      </c>
      <c r="O52" t="s">
        <v>2277</v>
      </c>
      <c r="P52" t="s">
        <v>2276</v>
      </c>
      <c r="Q52" t="s">
        <v>2275</v>
      </c>
      <c r="R52" s="7">
        <v>33939</v>
      </c>
      <c r="S52" s="8">
        <f t="shared" si="0"/>
        <v>1992</v>
      </c>
      <c r="T52" s="8">
        <v>1992</v>
      </c>
      <c r="U52" s="8">
        <f t="shared" si="1"/>
        <v>30</v>
      </c>
      <c r="V52" s="7">
        <v>1992</v>
      </c>
      <c r="W52" t="s">
        <v>2274</v>
      </c>
      <c r="X52" s="2" t="s">
        <v>5</v>
      </c>
      <c r="Y52" s="6" t="e">
        <f t="shared" si="2"/>
        <v>#VALUE!</v>
      </c>
      <c r="AB52">
        <v>83648</v>
      </c>
      <c r="AD52" t="s">
        <v>1</v>
      </c>
      <c r="AE52">
        <v>24</v>
      </c>
      <c r="AH52" t="s">
        <v>2273</v>
      </c>
      <c r="AI52" t="s">
        <v>2272</v>
      </c>
      <c r="AK52" t="s">
        <v>2271</v>
      </c>
      <c r="AL52">
        <v>0</v>
      </c>
      <c r="AM52" s="5">
        <f t="shared" si="3"/>
        <v>0</v>
      </c>
      <c r="AN52" s="4">
        <f t="shared" si="4"/>
        <v>0</v>
      </c>
      <c r="AO52" s="3"/>
      <c r="AP52">
        <v>0</v>
      </c>
      <c r="AR52" t="s">
        <v>0</v>
      </c>
      <c r="AT52" s="2" t="s">
        <v>5</v>
      </c>
      <c r="AU52" s="1" t="e">
        <f t="shared" si="5"/>
        <v>#VALUE!</v>
      </c>
      <c r="AV52" s="1" t="e">
        <f t="shared" si="6"/>
        <v>#VALUE!</v>
      </c>
      <c r="AW52" s="1" t="e">
        <f t="shared" si="7"/>
        <v>#VALUE!</v>
      </c>
    </row>
    <row r="53" spans="1:49" x14ac:dyDescent="0.2">
      <c r="A53">
        <v>51</v>
      </c>
      <c r="B53" t="s">
        <v>2270</v>
      </c>
      <c r="F53" t="s">
        <v>2269</v>
      </c>
      <c r="G53" t="s">
        <v>4</v>
      </c>
      <c r="H53" t="s">
        <v>3</v>
      </c>
      <c r="I53" t="s">
        <v>2268</v>
      </c>
      <c r="J53">
        <v>60012564</v>
      </c>
      <c r="K53" t="s">
        <v>202</v>
      </c>
      <c r="L53" t="s">
        <v>201</v>
      </c>
      <c r="M53" t="s">
        <v>2</v>
      </c>
      <c r="N53">
        <v>1</v>
      </c>
      <c r="O53" t="s">
        <v>2267</v>
      </c>
      <c r="P53">
        <v>7006052455</v>
      </c>
      <c r="Q53">
        <v>60012564</v>
      </c>
      <c r="R53" s="7">
        <v>33939</v>
      </c>
      <c r="S53" s="8">
        <f t="shared" si="0"/>
        <v>1992</v>
      </c>
      <c r="T53" s="8">
        <v>1992</v>
      </c>
      <c r="U53" s="8">
        <f t="shared" si="1"/>
        <v>30</v>
      </c>
      <c r="V53" s="7">
        <v>1992</v>
      </c>
      <c r="W53" t="s">
        <v>47</v>
      </c>
      <c r="X53" s="2" t="s">
        <v>5</v>
      </c>
      <c r="Y53" s="6" t="e">
        <f t="shared" si="2"/>
        <v>#VALUE!</v>
      </c>
      <c r="AA53">
        <v>9248625</v>
      </c>
      <c r="AB53">
        <v>12897</v>
      </c>
      <c r="AD53" t="s">
        <v>1</v>
      </c>
      <c r="AE53">
        <v>10</v>
      </c>
      <c r="AF53">
        <v>4</v>
      </c>
      <c r="AH53" t="s">
        <v>149</v>
      </c>
      <c r="AI53" t="s">
        <v>2266</v>
      </c>
      <c r="AK53" t="s">
        <v>2265</v>
      </c>
      <c r="AL53">
        <v>2</v>
      </c>
      <c r="AM53" s="5">
        <f t="shared" si="3"/>
        <v>6.6666666666666666E-2</v>
      </c>
      <c r="AN53" s="4">
        <f t="shared" si="4"/>
        <v>1.0097185409567084E-4</v>
      </c>
      <c r="AO53" s="3"/>
      <c r="AP53">
        <v>0</v>
      </c>
      <c r="AR53" t="s">
        <v>0</v>
      </c>
      <c r="AT53" s="2" t="s">
        <v>5</v>
      </c>
      <c r="AU53" s="1" t="e">
        <f t="shared" si="5"/>
        <v>#VALUE!</v>
      </c>
      <c r="AV53" s="1" t="e">
        <f t="shared" si="6"/>
        <v>#VALUE!</v>
      </c>
      <c r="AW53" s="1" t="e">
        <f t="shared" si="7"/>
        <v>#VALUE!</v>
      </c>
    </row>
    <row r="54" spans="1:49" x14ac:dyDescent="0.2">
      <c r="A54">
        <v>52</v>
      </c>
      <c r="B54" t="s">
        <v>2264</v>
      </c>
      <c r="C54" t="s">
        <v>2263</v>
      </c>
      <c r="F54" t="s">
        <v>2262</v>
      </c>
      <c r="G54" t="s">
        <v>4</v>
      </c>
      <c r="H54" t="s">
        <v>3</v>
      </c>
      <c r="I54" t="s">
        <v>2261</v>
      </c>
      <c r="J54">
        <v>60018020</v>
      </c>
      <c r="K54" t="s">
        <v>2260</v>
      </c>
      <c r="L54" t="s">
        <v>114</v>
      </c>
      <c r="M54" t="s">
        <v>2</v>
      </c>
      <c r="N54">
        <v>2</v>
      </c>
      <c r="O54" t="s">
        <v>2259</v>
      </c>
      <c r="P54" t="s">
        <v>2258</v>
      </c>
      <c r="Q54" t="s">
        <v>2257</v>
      </c>
      <c r="R54" s="7">
        <v>33939</v>
      </c>
      <c r="S54" s="8">
        <f t="shared" si="0"/>
        <v>1992</v>
      </c>
      <c r="T54" s="8">
        <v>1992</v>
      </c>
      <c r="U54" s="8">
        <f t="shared" si="1"/>
        <v>30</v>
      </c>
      <c r="V54" s="7">
        <v>1992</v>
      </c>
      <c r="W54" t="s">
        <v>2100</v>
      </c>
      <c r="X54" s="2">
        <v>1.774</v>
      </c>
      <c r="Y54" s="6">
        <f t="shared" si="2"/>
        <v>4.7355916820159633E-2</v>
      </c>
      <c r="AA54">
        <v>295515</v>
      </c>
      <c r="AB54">
        <v>29066</v>
      </c>
      <c r="AD54" t="s">
        <v>1</v>
      </c>
      <c r="AE54">
        <v>32</v>
      </c>
      <c r="AF54">
        <v>10</v>
      </c>
      <c r="AG54" t="s">
        <v>2187</v>
      </c>
      <c r="AH54" t="s">
        <v>2256</v>
      </c>
      <c r="AI54" t="s">
        <v>2255</v>
      </c>
      <c r="AK54" t="s">
        <v>2254</v>
      </c>
      <c r="AL54">
        <v>13</v>
      </c>
      <c r="AM54" s="5">
        <f t="shared" si="3"/>
        <v>0.43333333333333335</v>
      </c>
      <c r="AN54" s="4">
        <f t="shared" si="4"/>
        <v>6.5631705162186044E-4</v>
      </c>
      <c r="AO54" s="3"/>
      <c r="AP54">
        <v>0</v>
      </c>
      <c r="AR54" t="s">
        <v>0</v>
      </c>
      <c r="AT54" s="2">
        <v>3.1789999999999998</v>
      </c>
      <c r="AU54" s="1">
        <f t="shared" si="5"/>
        <v>3.3346036889598301</v>
      </c>
      <c r="AV54" s="1">
        <f t="shared" si="6"/>
        <v>2.4006116935890747</v>
      </c>
      <c r="AW54" s="1">
        <f t="shared" si="7"/>
        <v>1.4666196982183193</v>
      </c>
    </row>
    <row r="55" spans="1:49" x14ac:dyDescent="0.2">
      <c r="A55">
        <v>53</v>
      </c>
      <c r="B55" t="s">
        <v>2253</v>
      </c>
      <c r="C55" t="s">
        <v>2252</v>
      </c>
      <c r="F55" t="s">
        <v>2251</v>
      </c>
      <c r="G55" t="s">
        <v>4</v>
      </c>
      <c r="H55" t="s">
        <v>3</v>
      </c>
      <c r="I55" t="s">
        <v>2250</v>
      </c>
      <c r="J55">
        <v>60021331</v>
      </c>
      <c r="K55" t="s">
        <v>26</v>
      </c>
      <c r="L55" t="s">
        <v>25</v>
      </c>
      <c r="M55" t="s">
        <v>24</v>
      </c>
      <c r="N55">
        <v>7</v>
      </c>
      <c r="O55" t="s">
        <v>2249</v>
      </c>
      <c r="P55" t="s">
        <v>2248</v>
      </c>
      <c r="Q55" t="s">
        <v>2247</v>
      </c>
      <c r="R55" s="7">
        <v>33939</v>
      </c>
      <c r="S55" s="8">
        <f t="shared" si="0"/>
        <v>1992</v>
      </c>
      <c r="T55" s="8">
        <v>1992</v>
      </c>
      <c r="U55" s="8">
        <f t="shared" si="1"/>
        <v>30</v>
      </c>
      <c r="V55" s="7">
        <v>1992</v>
      </c>
      <c r="W55" t="s">
        <v>2175</v>
      </c>
      <c r="X55" s="2">
        <v>0.48</v>
      </c>
      <c r="Y55" s="6">
        <f t="shared" si="2"/>
        <v>1.2813325858893249E-2</v>
      </c>
      <c r="AA55">
        <v>9570233</v>
      </c>
      <c r="AB55">
        <v>15526</v>
      </c>
      <c r="AD55" t="s">
        <v>1</v>
      </c>
      <c r="AE55">
        <v>3</v>
      </c>
      <c r="AF55">
        <v>10</v>
      </c>
      <c r="AG55">
        <v>12</v>
      </c>
      <c r="AH55" t="s">
        <v>2246</v>
      </c>
      <c r="AI55" t="s">
        <v>2245</v>
      </c>
      <c r="AK55" t="s">
        <v>2244</v>
      </c>
      <c r="AL55">
        <v>15</v>
      </c>
      <c r="AM55" s="5">
        <f t="shared" si="3"/>
        <v>0.5</v>
      </c>
      <c r="AN55" s="4">
        <f t="shared" si="4"/>
        <v>7.572889057175312E-4</v>
      </c>
      <c r="AO55" s="3"/>
      <c r="AP55">
        <v>0</v>
      </c>
      <c r="AR55" t="s">
        <v>0</v>
      </c>
      <c r="AT55" s="2">
        <v>2.0459999999999998</v>
      </c>
      <c r="AU55" s="1">
        <f t="shared" si="5"/>
        <v>0.91965147729405317</v>
      </c>
      <c r="AV55" s="1">
        <f t="shared" si="6"/>
        <v>0.678530738230539</v>
      </c>
      <c r="AW55" s="1">
        <f t="shared" si="7"/>
        <v>0.43740999916702461</v>
      </c>
    </row>
    <row r="56" spans="1:49" x14ac:dyDescent="0.2">
      <c r="A56">
        <v>54</v>
      </c>
      <c r="B56" t="s">
        <v>2243</v>
      </c>
      <c r="C56" t="s">
        <v>2242</v>
      </c>
      <c r="F56" t="s">
        <v>2241</v>
      </c>
      <c r="G56" t="s">
        <v>4</v>
      </c>
      <c r="H56" t="s">
        <v>3</v>
      </c>
      <c r="I56" t="s">
        <v>2240</v>
      </c>
      <c r="J56">
        <v>122320007</v>
      </c>
      <c r="K56" t="s">
        <v>2239</v>
      </c>
      <c r="M56" t="s">
        <v>2238</v>
      </c>
      <c r="N56">
        <v>4</v>
      </c>
      <c r="O56" t="s">
        <v>2237</v>
      </c>
      <c r="P56" t="s">
        <v>2236</v>
      </c>
      <c r="Q56" t="s">
        <v>2235</v>
      </c>
      <c r="R56" s="7">
        <v>33939</v>
      </c>
      <c r="S56" s="8">
        <f t="shared" si="0"/>
        <v>1992</v>
      </c>
      <c r="T56" s="8">
        <v>1992</v>
      </c>
      <c r="U56" s="8">
        <f t="shared" si="1"/>
        <v>30</v>
      </c>
      <c r="V56" s="7">
        <v>1992</v>
      </c>
      <c r="W56" t="s">
        <v>2100</v>
      </c>
      <c r="X56" s="2">
        <v>1.774</v>
      </c>
      <c r="Y56" s="6">
        <f t="shared" si="2"/>
        <v>4.7355916820159633E-2</v>
      </c>
      <c r="AA56">
        <v>295515</v>
      </c>
      <c r="AB56">
        <v>29066</v>
      </c>
      <c r="AD56" t="s">
        <v>1</v>
      </c>
      <c r="AE56">
        <v>32</v>
      </c>
      <c r="AF56">
        <v>8</v>
      </c>
      <c r="AG56" t="s">
        <v>2234</v>
      </c>
      <c r="AH56" t="s">
        <v>2233</v>
      </c>
      <c r="AI56" t="s">
        <v>2232</v>
      </c>
      <c r="AK56" t="s">
        <v>2231</v>
      </c>
      <c r="AL56">
        <v>53</v>
      </c>
      <c r="AM56" s="5">
        <f t="shared" si="3"/>
        <v>1.7666666666666666</v>
      </c>
      <c r="AN56" s="4">
        <f t="shared" si="4"/>
        <v>2.6757541335352768E-3</v>
      </c>
      <c r="AO56" s="3"/>
      <c r="AP56">
        <v>0</v>
      </c>
      <c r="AR56" t="s">
        <v>0</v>
      </c>
      <c r="AT56" s="2">
        <v>3.1789999999999998</v>
      </c>
      <c r="AU56" s="1">
        <f t="shared" si="5"/>
        <v>3.3951868014172328</v>
      </c>
      <c r="AV56" s="1">
        <f t="shared" si="6"/>
        <v>2.5015835476847452</v>
      </c>
      <c r="AW56" s="1">
        <f t="shared" si="7"/>
        <v>1.6079802939522583</v>
      </c>
    </row>
    <row r="57" spans="1:49" x14ac:dyDescent="0.2">
      <c r="A57">
        <v>55</v>
      </c>
      <c r="B57" t="s">
        <v>2230</v>
      </c>
      <c r="C57" t="s">
        <v>2229</v>
      </c>
      <c r="F57" t="s">
        <v>2228</v>
      </c>
      <c r="G57" t="s">
        <v>4</v>
      </c>
      <c r="H57" t="s">
        <v>3</v>
      </c>
      <c r="I57" t="s">
        <v>2227</v>
      </c>
      <c r="J57">
        <v>60015658</v>
      </c>
      <c r="K57" t="s">
        <v>2226</v>
      </c>
      <c r="L57" t="s">
        <v>2225</v>
      </c>
      <c r="M57" t="s">
        <v>12</v>
      </c>
      <c r="N57">
        <v>3</v>
      </c>
      <c r="O57" t="s">
        <v>2224</v>
      </c>
      <c r="P57" t="s">
        <v>2223</v>
      </c>
      <c r="Q57" t="s">
        <v>2222</v>
      </c>
      <c r="R57" s="7">
        <v>33939</v>
      </c>
      <c r="S57" s="8">
        <f t="shared" si="0"/>
        <v>1992</v>
      </c>
      <c r="T57" s="8">
        <v>1992</v>
      </c>
      <c r="U57" s="8">
        <f t="shared" si="1"/>
        <v>30</v>
      </c>
      <c r="V57" s="7">
        <v>1992</v>
      </c>
      <c r="W57" t="s">
        <v>2100</v>
      </c>
      <c r="X57" s="2">
        <v>1.774</v>
      </c>
      <c r="Y57" s="6">
        <f t="shared" si="2"/>
        <v>4.7355916820159633E-2</v>
      </c>
      <c r="AA57">
        <v>295515</v>
      </c>
      <c r="AB57">
        <v>29066</v>
      </c>
      <c r="AD57" t="s">
        <v>1</v>
      </c>
      <c r="AE57">
        <v>32</v>
      </c>
      <c r="AF57">
        <v>7</v>
      </c>
      <c r="AG57" t="s">
        <v>2221</v>
      </c>
      <c r="AH57" t="s">
        <v>2220</v>
      </c>
      <c r="AI57" t="s">
        <v>2219</v>
      </c>
      <c r="AK57" t="s">
        <v>2218</v>
      </c>
      <c r="AL57">
        <v>1</v>
      </c>
      <c r="AM57" s="5">
        <f t="shared" si="3"/>
        <v>3.3333333333333333E-2</v>
      </c>
      <c r="AN57" s="4">
        <f t="shared" si="4"/>
        <v>5.0485927047835418E-5</v>
      </c>
      <c r="AO57" s="3"/>
      <c r="AP57">
        <v>0</v>
      </c>
      <c r="AR57" t="s">
        <v>0</v>
      </c>
      <c r="AT57" s="2">
        <v>3.1789999999999998</v>
      </c>
      <c r="AU57" s="1">
        <f t="shared" si="5"/>
        <v>3.316428755222609</v>
      </c>
      <c r="AV57" s="1">
        <f t="shared" si="6"/>
        <v>2.3703201373603733</v>
      </c>
      <c r="AW57" s="1">
        <f t="shared" si="7"/>
        <v>1.4242115194981375</v>
      </c>
    </row>
    <row r="58" spans="1:49" x14ac:dyDescent="0.2">
      <c r="A58">
        <v>56</v>
      </c>
      <c r="B58" t="s">
        <v>2217</v>
      </c>
      <c r="C58" t="s">
        <v>2216</v>
      </c>
      <c r="F58" t="s">
        <v>2215</v>
      </c>
      <c r="G58" t="s">
        <v>4</v>
      </c>
      <c r="H58" t="s">
        <v>3</v>
      </c>
      <c r="I58" t="s">
        <v>2214</v>
      </c>
      <c r="J58">
        <v>60024266</v>
      </c>
      <c r="K58" t="s">
        <v>2213</v>
      </c>
      <c r="L58" t="s">
        <v>2212</v>
      </c>
      <c r="M58" t="s">
        <v>2</v>
      </c>
      <c r="N58">
        <v>29</v>
      </c>
      <c r="O58" t="s">
        <v>2211</v>
      </c>
      <c r="P58" t="s">
        <v>2210</v>
      </c>
      <c r="Q58" t="s">
        <v>2209</v>
      </c>
      <c r="R58" s="7">
        <v>33939</v>
      </c>
      <c r="S58" s="8">
        <f t="shared" si="0"/>
        <v>1992</v>
      </c>
      <c r="T58" s="8">
        <v>1992</v>
      </c>
      <c r="U58" s="8">
        <f t="shared" si="1"/>
        <v>30</v>
      </c>
      <c r="V58" s="7">
        <v>1992</v>
      </c>
      <c r="W58" t="s">
        <v>2100</v>
      </c>
      <c r="X58" s="2">
        <v>1.774</v>
      </c>
      <c r="Y58" s="6">
        <f t="shared" si="2"/>
        <v>4.7355916820159633E-2</v>
      </c>
      <c r="AA58">
        <v>295515</v>
      </c>
      <c r="AB58">
        <v>29066</v>
      </c>
      <c r="AD58" t="s">
        <v>1</v>
      </c>
      <c r="AE58">
        <v>32</v>
      </c>
      <c r="AF58">
        <v>7</v>
      </c>
      <c r="AG58" t="s">
        <v>2208</v>
      </c>
      <c r="AH58" t="s">
        <v>2207</v>
      </c>
      <c r="AI58" t="s">
        <v>2206</v>
      </c>
      <c r="AK58" t="s">
        <v>2205</v>
      </c>
      <c r="AL58">
        <v>18</v>
      </c>
      <c r="AM58" s="5">
        <f t="shared" si="3"/>
        <v>0.6</v>
      </c>
      <c r="AN58" s="4">
        <f t="shared" si="4"/>
        <v>9.0874668686103744E-4</v>
      </c>
      <c r="AO58" s="3"/>
      <c r="AP58">
        <v>0</v>
      </c>
      <c r="AR58" t="s">
        <v>0</v>
      </c>
      <c r="AT58" s="2">
        <v>3.1789999999999998</v>
      </c>
      <c r="AU58" s="1">
        <f t="shared" si="5"/>
        <v>3.3421765780170052</v>
      </c>
      <c r="AV58" s="1">
        <f t="shared" si="6"/>
        <v>2.4132331753510332</v>
      </c>
      <c r="AW58" s="1">
        <f t="shared" si="7"/>
        <v>1.4842897726850615</v>
      </c>
    </row>
    <row r="59" spans="1:49" x14ac:dyDescent="0.2">
      <c r="A59">
        <v>57</v>
      </c>
      <c r="B59" t="s">
        <v>2204</v>
      </c>
      <c r="C59" t="s">
        <v>2203</v>
      </c>
      <c r="F59" t="s">
        <v>2202</v>
      </c>
      <c r="G59" t="s">
        <v>4</v>
      </c>
      <c r="H59" t="s">
        <v>3</v>
      </c>
      <c r="I59" t="s">
        <v>2201</v>
      </c>
      <c r="J59">
        <v>60025104</v>
      </c>
      <c r="K59" t="s">
        <v>205</v>
      </c>
      <c r="M59" t="s">
        <v>52</v>
      </c>
      <c r="N59">
        <v>8</v>
      </c>
      <c r="O59" t="s">
        <v>2200</v>
      </c>
      <c r="P59" t="s">
        <v>2199</v>
      </c>
      <c r="Q59" t="s">
        <v>2198</v>
      </c>
      <c r="R59" s="7">
        <v>33939</v>
      </c>
      <c r="S59" s="8">
        <f t="shared" si="0"/>
        <v>1992</v>
      </c>
      <c r="T59" s="8">
        <v>1992</v>
      </c>
      <c r="U59" s="8">
        <f t="shared" si="1"/>
        <v>30</v>
      </c>
      <c r="V59" s="7">
        <v>1992</v>
      </c>
      <c r="W59" t="s">
        <v>2100</v>
      </c>
      <c r="X59" s="2">
        <v>1.774</v>
      </c>
      <c r="Y59" s="6">
        <f t="shared" si="2"/>
        <v>4.7355916820159633E-2</v>
      </c>
      <c r="AA59">
        <v>295515</v>
      </c>
      <c r="AB59">
        <v>29066</v>
      </c>
      <c r="AD59" t="s">
        <v>1</v>
      </c>
      <c r="AE59">
        <v>32</v>
      </c>
      <c r="AF59">
        <v>7</v>
      </c>
      <c r="AG59" t="s">
        <v>2197</v>
      </c>
      <c r="AH59" t="s">
        <v>2196</v>
      </c>
      <c r="AI59" t="s">
        <v>2195</v>
      </c>
      <c r="AK59" t="s">
        <v>2194</v>
      </c>
      <c r="AL59">
        <v>38</v>
      </c>
      <c r="AM59" s="5">
        <f t="shared" si="3"/>
        <v>1.2666666666666666</v>
      </c>
      <c r="AN59" s="4">
        <f t="shared" si="4"/>
        <v>1.9184652278177456E-3</v>
      </c>
      <c r="AO59" s="3"/>
      <c r="AP59">
        <v>0</v>
      </c>
      <c r="AR59" t="s">
        <v>0</v>
      </c>
      <c r="AT59" s="2">
        <v>3.1789999999999998</v>
      </c>
      <c r="AU59" s="1">
        <f t="shared" si="5"/>
        <v>3.3724681342457061</v>
      </c>
      <c r="AV59" s="1">
        <f t="shared" si="6"/>
        <v>2.4637191023988687</v>
      </c>
      <c r="AW59" s="1">
        <f t="shared" si="7"/>
        <v>1.5549700705520311</v>
      </c>
    </row>
    <row r="60" spans="1:49" x14ac:dyDescent="0.2">
      <c r="A60">
        <v>58</v>
      </c>
      <c r="B60" t="s">
        <v>2193</v>
      </c>
      <c r="C60" t="s">
        <v>2192</v>
      </c>
      <c r="F60" t="s">
        <v>2191</v>
      </c>
      <c r="G60" t="s">
        <v>4</v>
      </c>
      <c r="H60" t="s">
        <v>3</v>
      </c>
      <c r="I60" t="s">
        <v>2190</v>
      </c>
      <c r="J60">
        <v>60028186</v>
      </c>
      <c r="K60" t="s">
        <v>183</v>
      </c>
      <c r="L60" t="s">
        <v>182</v>
      </c>
      <c r="M60" t="s">
        <v>13</v>
      </c>
      <c r="N60">
        <v>2</v>
      </c>
      <c r="O60" t="s">
        <v>2189</v>
      </c>
      <c r="P60" t="s">
        <v>2188</v>
      </c>
      <c r="Q60" t="s">
        <v>181</v>
      </c>
      <c r="R60" s="7">
        <v>33939</v>
      </c>
      <c r="S60" s="8">
        <f t="shared" si="0"/>
        <v>1992</v>
      </c>
      <c r="T60" s="8">
        <v>1992</v>
      </c>
      <c r="U60" s="8">
        <f t="shared" si="1"/>
        <v>30</v>
      </c>
      <c r="V60" s="7">
        <v>1992</v>
      </c>
      <c r="W60" t="s">
        <v>2100</v>
      </c>
      <c r="X60" s="2">
        <v>1.774</v>
      </c>
      <c r="Y60" s="6">
        <f t="shared" si="2"/>
        <v>4.7355916820159633E-2</v>
      </c>
      <c r="AA60">
        <v>295515</v>
      </c>
      <c r="AB60">
        <v>29066</v>
      </c>
      <c r="AD60" t="s">
        <v>1</v>
      </c>
      <c r="AE60">
        <v>32</v>
      </c>
      <c r="AF60">
        <v>5</v>
      </c>
      <c r="AG60" t="s">
        <v>2187</v>
      </c>
      <c r="AH60" t="s">
        <v>2186</v>
      </c>
      <c r="AI60" t="s">
        <v>2185</v>
      </c>
      <c r="AK60" t="s">
        <v>2184</v>
      </c>
      <c r="AL60">
        <v>7</v>
      </c>
      <c r="AM60" s="5">
        <f t="shared" si="3"/>
        <v>0.23333333333333334</v>
      </c>
      <c r="AN60" s="4">
        <f t="shared" si="4"/>
        <v>3.5340148933484791E-4</v>
      </c>
      <c r="AO60" s="3"/>
      <c r="AP60">
        <v>0</v>
      </c>
      <c r="AR60" t="s">
        <v>0</v>
      </c>
      <c r="AT60" s="2">
        <v>3.1789999999999998</v>
      </c>
      <c r="AU60" s="1">
        <f t="shared" si="5"/>
        <v>3.3255162220912196</v>
      </c>
      <c r="AV60" s="1">
        <f t="shared" si="6"/>
        <v>2.385465915474724</v>
      </c>
      <c r="AW60" s="1">
        <f t="shared" si="7"/>
        <v>1.4454156088582284</v>
      </c>
    </row>
    <row r="61" spans="1:49" x14ac:dyDescent="0.2">
      <c r="A61">
        <v>59</v>
      </c>
      <c r="B61" t="s">
        <v>2183</v>
      </c>
      <c r="C61" t="s">
        <v>2182</v>
      </c>
      <c r="F61" t="s">
        <v>2181</v>
      </c>
      <c r="G61" t="s">
        <v>4</v>
      </c>
      <c r="H61" t="s">
        <v>3</v>
      </c>
      <c r="I61" t="s">
        <v>2180</v>
      </c>
      <c r="J61">
        <v>60021660</v>
      </c>
      <c r="K61" t="s">
        <v>2179</v>
      </c>
      <c r="L61" t="s">
        <v>194</v>
      </c>
      <c r="M61" t="s">
        <v>16</v>
      </c>
      <c r="N61">
        <v>3</v>
      </c>
      <c r="O61" t="s">
        <v>2178</v>
      </c>
      <c r="P61" t="s">
        <v>2177</v>
      </c>
      <c r="Q61" t="s">
        <v>2176</v>
      </c>
      <c r="R61" s="7">
        <v>33939</v>
      </c>
      <c r="S61" s="8">
        <f t="shared" si="0"/>
        <v>1992</v>
      </c>
      <c r="T61" s="8">
        <v>1992</v>
      </c>
      <c r="U61" s="8">
        <f t="shared" si="1"/>
        <v>30</v>
      </c>
      <c r="V61" s="7">
        <v>1992</v>
      </c>
      <c r="W61" t="s">
        <v>2175</v>
      </c>
      <c r="X61" s="2">
        <v>0.48</v>
      </c>
      <c r="Y61" s="6">
        <f t="shared" si="2"/>
        <v>1.2813325858893249E-2</v>
      </c>
      <c r="AA61">
        <v>9570233</v>
      </c>
      <c r="AB61">
        <v>15526</v>
      </c>
      <c r="AD61" t="s">
        <v>1</v>
      </c>
      <c r="AE61">
        <v>3</v>
      </c>
      <c r="AF61">
        <v>5</v>
      </c>
      <c r="AG61">
        <v>10</v>
      </c>
      <c r="AH61" t="s">
        <v>2174</v>
      </c>
      <c r="AI61" t="s">
        <v>2173</v>
      </c>
      <c r="AK61" t="s">
        <v>2172</v>
      </c>
      <c r="AL61">
        <v>6</v>
      </c>
      <c r="AM61" s="5">
        <f t="shared" si="3"/>
        <v>0.2</v>
      </c>
      <c r="AN61" s="4">
        <f t="shared" si="4"/>
        <v>3.0291556228701253E-4</v>
      </c>
      <c r="AO61" s="3"/>
      <c r="AP61">
        <v>0</v>
      </c>
      <c r="AR61" t="s">
        <v>0</v>
      </c>
      <c r="AT61" s="2">
        <v>2.0459999999999998</v>
      </c>
      <c r="AU61" s="1">
        <f t="shared" si="5"/>
        <v>0.90602027699113774</v>
      </c>
      <c r="AV61" s="1">
        <f t="shared" si="6"/>
        <v>0.65581207105901307</v>
      </c>
      <c r="AW61" s="1">
        <f t="shared" si="7"/>
        <v>0.40560386512688829</v>
      </c>
    </row>
    <row r="62" spans="1:49" x14ac:dyDescent="0.2">
      <c r="A62">
        <v>60</v>
      </c>
      <c r="B62" t="s">
        <v>2171</v>
      </c>
      <c r="C62" t="s">
        <v>2170</v>
      </c>
      <c r="F62" t="s">
        <v>2169</v>
      </c>
      <c r="G62" t="s">
        <v>4</v>
      </c>
      <c r="H62" t="s">
        <v>3</v>
      </c>
      <c r="I62" t="s">
        <v>2168</v>
      </c>
      <c r="J62">
        <v>60019656</v>
      </c>
      <c r="K62" t="s">
        <v>216</v>
      </c>
      <c r="L62" t="s">
        <v>215</v>
      </c>
      <c r="M62" t="s">
        <v>52</v>
      </c>
      <c r="N62">
        <v>1</v>
      </c>
      <c r="O62" t="s">
        <v>2167</v>
      </c>
      <c r="P62">
        <v>35605547500</v>
      </c>
      <c r="Q62">
        <v>60019656</v>
      </c>
      <c r="R62" s="7">
        <v>33939</v>
      </c>
      <c r="S62" s="8">
        <f t="shared" si="0"/>
        <v>1992</v>
      </c>
      <c r="T62" s="8">
        <v>1992</v>
      </c>
      <c r="U62" s="8">
        <f t="shared" si="1"/>
        <v>30</v>
      </c>
      <c r="V62" s="7">
        <v>1992</v>
      </c>
      <c r="W62" t="s">
        <v>2166</v>
      </c>
      <c r="X62" s="2" t="s">
        <v>5</v>
      </c>
      <c r="Y62" s="6" t="e">
        <f t="shared" si="2"/>
        <v>#VALUE!</v>
      </c>
      <c r="AA62">
        <v>2724960</v>
      </c>
      <c r="AB62">
        <v>23146</v>
      </c>
      <c r="AD62" t="s">
        <v>1</v>
      </c>
      <c r="AE62">
        <v>49</v>
      </c>
      <c r="AF62">
        <v>1</v>
      </c>
      <c r="AH62" t="s">
        <v>2165</v>
      </c>
      <c r="AI62" t="s">
        <v>2164</v>
      </c>
      <c r="AK62" t="s">
        <v>2163</v>
      </c>
      <c r="AL62">
        <v>28</v>
      </c>
      <c r="AM62" s="5">
        <f t="shared" si="3"/>
        <v>0.93333333333333335</v>
      </c>
      <c r="AN62" s="4">
        <f t="shared" si="4"/>
        <v>1.4136059573393916E-3</v>
      </c>
      <c r="AO62" s="3"/>
      <c r="AP62">
        <v>0</v>
      </c>
      <c r="AR62" t="s">
        <v>0</v>
      </c>
      <c r="AT62" s="2" t="s">
        <v>5</v>
      </c>
      <c r="AU62" s="1" t="e">
        <f t="shared" si="5"/>
        <v>#VALUE!</v>
      </c>
      <c r="AV62" s="1" t="e">
        <f t="shared" si="6"/>
        <v>#VALUE!</v>
      </c>
      <c r="AW62" s="1" t="e">
        <f t="shared" si="7"/>
        <v>#VALUE!</v>
      </c>
    </row>
    <row r="63" spans="1:49" x14ac:dyDescent="0.2">
      <c r="A63">
        <v>61</v>
      </c>
      <c r="B63" t="s">
        <v>2162</v>
      </c>
      <c r="C63" t="s">
        <v>2161</v>
      </c>
      <c r="F63" t="s">
        <v>2160</v>
      </c>
      <c r="G63" t="s">
        <v>4</v>
      </c>
      <c r="H63" t="s">
        <v>3</v>
      </c>
      <c r="I63" t="s">
        <v>2159</v>
      </c>
      <c r="J63">
        <v>60033317</v>
      </c>
      <c r="K63" t="s">
        <v>2158</v>
      </c>
      <c r="L63" t="s">
        <v>2157</v>
      </c>
      <c r="M63" t="s">
        <v>52</v>
      </c>
      <c r="N63">
        <v>5</v>
      </c>
      <c r="O63" t="s">
        <v>2156</v>
      </c>
      <c r="P63" t="s">
        <v>2155</v>
      </c>
      <c r="Q63" t="s">
        <v>2154</v>
      </c>
      <c r="R63" s="7">
        <v>33939</v>
      </c>
      <c r="S63" s="8">
        <f t="shared" si="0"/>
        <v>1992</v>
      </c>
      <c r="T63" s="8">
        <v>1992</v>
      </c>
      <c r="U63" s="8">
        <f t="shared" si="1"/>
        <v>30</v>
      </c>
      <c r="V63" s="7">
        <v>1992</v>
      </c>
      <c r="W63" t="s">
        <v>2045</v>
      </c>
      <c r="X63" s="2">
        <v>0.60499999999999998</v>
      </c>
      <c r="Y63" s="6">
        <f t="shared" si="2"/>
        <v>1.6150129467980032E-2</v>
      </c>
      <c r="AA63">
        <v>346748</v>
      </c>
      <c r="AB63">
        <v>15563</v>
      </c>
      <c r="AD63" t="s">
        <v>1</v>
      </c>
      <c r="AE63">
        <v>63</v>
      </c>
      <c r="AF63">
        <v>4</v>
      </c>
      <c r="AH63" t="s">
        <v>2153</v>
      </c>
      <c r="AI63" t="s">
        <v>2152</v>
      </c>
      <c r="AK63" t="s">
        <v>2151</v>
      </c>
      <c r="AL63">
        <v>11</v>
      </c>
      <c r="AM63" s="5">
        <f t="shared" si="3"/>
        <v>0.36666666666666664</v>
      </c>
      <c r="AN63" s="4">
        <f t="shared" si="4"/>
        <v>5.5534519752618958E-4</v>
      </c>
      <c r="AO63" s="3"/>
      <c r="AP63">
        <v>0</v>
      </c>
      <c r="AR63" t="s">
        <v>0</v>
      </c>
      <c r="AT63" s="2">
        <v>1.5229999999999999</v>
      </c>
      <c r="AU63" s="1">
        <f t="shared" si="5"/>
        <v>1.1471694186843879</v>
      </c>
      <c r="AV63" s="1">
        <f t="shared" si="6"/>
        <v>0.83527373327531107</v>
      </c>
      <c r="AW63" s="1">
        <f t="shared" si="7"/>
        <v>0.52337804786623432</v>
      </c>
    </row>
    <row r="64" spans="1:49" x14ac:dyDescent="0.2">
      <c r="A64">
        <v>62</v>
      </c>
      <c r="B64" t="s">
        <v>2150</v>
      </c>
      <c r="C64" t="s">
        <v>2149</v>
      </c>
      <c r="F64" t="s">
        <v>2148</v>
      </c>
      <c r="G64" t="s">
        <v>4</v>
      </c>
      <c r="H64" t="s">
        <v>3</v>
      </c>
      <c r="I64" t="s">
        <v>225</v>
      </c>
      <c r="J64" t="s">
        <v>2147</v>
      </c>
      <c r="K64" t="s">
        <v>2146</v>
      </c>
      <c r="L64" t="s">
        <v>2145</v>
      </c>
      <c r="M64" t="s">
        <v>11</v>
      </c>
      <c r="N64">
        <v>7</v>
      </c>
      <c r="O64" t="s">
        <v>2144</v>
      </c>
      <c r="P64" t="s">
        <v>2143</v>
      </c>
      <c r="Q64" t="s">
        <v>2142</v>
      </c>
      <c r="R64" s="7">
        <v>33939</v>
      </c>
      <c r="S64" s="8">
        <f t="shared" si="0"/>
        <v>1992</v>
      </c>
      <c r="T64" s="8">
        <v>1992</v>
      </c>
      <c r="U64" s="8">
        <f t="shared" si="1"/>
        <v>30</v>
      </c>
      <c r="V64" s="7">
        <v>1992</v>
      </c>
      <c r="W64" t="s">
        <v>2089</v>
      </c>
      <c r="X64" s="2">
        <v>1.1819999999999999</v>
      </c>
      <c r="Y64" s="6">
        <f t="shared" si="2"/>
        <v>3.1552814927524625E-2</v>
      </c>
      <c r="AA64">
        <v>36951</v>
      </c>
      <c r="AB64">
        <v>27030</v>
      </c>
      <c r="AD64" t="s">
        <v>1</v>
      </c>
      <c r="AE64">
        <v>61</v>
      </c>
      <c r="AF64">
        <v>23</v>
      </c>
      <c r="AH64" t="s">
        <v>2141</v>
      </c>
      <c r="AI64" t="s">
        <v>2140</v>
      </c>
      <c r="AK64" t="s">
        <v>2139</v>
      </c>
      <c r="AL64">
        <v>16</v>
      </c>
      <c r="AM64" s="5">
        <f t="shared" si="3"/>
        <v>0.53333333333333333</v>
      </c>
      <c r="AN64" s="4">
        <f t="shared" si="4"/>
        <v>8.0777483276536668E-4</v>
      </c>
      <c r="AO64" s="3"/>
      <c r="AP64">
        <v>0</v>
      </c>
      <c r="AR64" t="s">
        <v>0</v>
      </c>
      <c r="AT64" s="2">
        <v>3.7909999999999999</v>
      </c>
      <c r="AU64" s="1">
        <f t="shared" si="5"/>
        <v>2.2329302899096843</v>
      </c>
      <c r="AV64" s="1">
        <f t="shared" si="6"/>
        <v>1.6180294880144996</v>
      </c>
      <c r="AW64" s="1">
        <f t="shared" si="7"/>
        <v>1.0031286861193145</v>
      </c>
    </row>
    <row r="65" spans="1:49" x14ac:dyDescent="0.2">
      <c r="A65">
        <v>63</v>
      </c>
      <c r="B65" t="s">
        <v>2138</v>
      </c>
      <c r="C65" t="s">
        <v>2137</v>
      </c>
      <c r="F65" t="s">
        <v>2136</v>
      </c>
      <c r="G65" t="s">
        <v>4</v>
      </c>
      <c r="H65" t="s">
        <v>3</v>
      </c>
      <c r="I65" t="s">
        <v>2135</v>
      </c>
      <c r="J65">
        <v>60001881</v>
      </c>
      <c r="K65" t="s">
        <v>116</v>
      </c>
      <c r="L65" t="s">
        <v>115</v>
      </c>
      <c r="M65" t="s">
        <v>52</v>
      </c>
      <c r="N65">
        <v>4</v>
      </c>
      <c r="O65" t="s">
        <v>2134</v>
      </c>
      <c r="P65" t="s">
        <v>2133</v>
      </c>
      <c r="Q65" t="s">
        <v>2132</v>
      </c>
      <c r="R65" s="7">
        <v>33939</v>
      </c>
      <c r="S65" s="8">
        <f t="shared" si="0"/>
        <v>1992</v>
      </c>
      <c r="T65" s="8">
        <v>1992</v>
      </c>
      <c r="U65" s="8">
        <f t="shared" si="1"/>
        <v>30</v>
      </c>
      <c r="V65" s="7">
        <v>1992</v>
      </c>
      <c r="W65" t="s">
        <v>2089</v>
      </c>
      <c r="X65" s="2">
        <v>1.1819999999999999</v>
      </c>
      <c r="Y65" s="6">
        <f t="shared" si="2"/>
        <v>3.1552814927524625E-2</v>
      </c>
      <c r="AA65">
        <v>36951</v>
      </c>
      <c r="AB65">
        <v>27030</v>
      </c>
      <c r="AD65" t="s">
        <v>1</v>
      </c>
      <c r="AE65">
        <v>60</v>
      </c>
      <c r="AF65">
        <v>1</v>
      </c>
      <c r="AH65" t="s">
        <v>151</v>
      </c>
      <c r="AI65" t="s">
        <v>2131</v>
      </c>
      <c r="AK65" t="s">
        <v>2130</v>
      </c>
      <c r="AL65">
        <v>8</v>
      </c>
      <c r="AM65" s="5">
        <f t="shared" si="3"/>
        <v>0.26666666666666666</v>
      </c>
      <c r="AN65" s="4">
        <f t="shared" si="4"/>
        <v>4.0388741638268334E-4</v>
      </c>
      <c r="AO65" s="3"/>
      <c r="AP65">
        <v>0</v>
      </c>
      <c r="AR65" t="s">
        <v>0</v>
      </c>
      <c r="AT65" s="2">
        <v>3.7909999999999999</v>
      </c>
      <c r="AU65" s="1">
        <f t="shared" si="5"/>
        <v>2.220813667418204</v>
      </c>
      <c r="AV65" s="1">
        <f t="shared" si="6"/>
        <v>1.5978351171953655</v>
      </c>
      <c r="AW65" s="1">
        <f t="shared" si="7"/>
        <v>0.97485656697252654</v>
      </c>
    </row>
    <row r="66" spans="1:49" x14ac:dyDescent="0.2">
      <c r="A66">
        <v>64</v>
      </c>
      <c r="B66" t="s">
        <v>2129</v>
      </c>
      <c r="C66" t="s">
        <v>2128</v>
      </c>
      <c r="F66" t="s">
        <v>2127</v>
      </c>
      <c r="G66" t="s">
        <v>4</v>
      </c>
      <c r="H66" t="s">
        <v>3</v>
      </c>
      <c r="I66" t="s">
        <v>2126</v>
      </c>
      <c r="J66">
        <v>60001576</v>
      </c>
      <c r="K66" t="s">
        <v>2125</v>
      </c>
      <c r="L66" t="s">
        <v>107</v>
      </c>
      <c r="M66" t="s">
        <v>106</v>
      </c>
      <c r="N66">
        <v>1</v>
      </c>
      <c r="O66" t="s">
        <v>2124</v>
      </c>
      <c r="P66">
        <v>35607588100</v>
      </c>
      <c r="Q66">
        <v>60001576</v>
      </c>
      <c r="R66" s="7">
        <v>33939</v>
      </c>
      <c r="S66" s="8">
        <f t="shared" ref="S66:S129" si="8">YEAR(R66)</f>
        <v>1992</v>
      </c>
      <c r="T66" s="8">
        <v>1992</v>
      </c>
      <c r="U66" s="8">
        <f t="shared" ref="U66:U129" si="9">2022-T66</f>
        <v>30</v>
      </c>
      <c r="V66" s="7">
        <v>1992</v>
      </c>
      <c r="W66" t="s">
        <v>2123</v>
      </c>
      <c r="X66" s="2">
        <v>1.528</v>
      </c>
      <c r="Y66" s="6">
        <f t="shared" ref="Y66:Y129" si="10">(X66-$Z$4)/($Z$3-$Z$4)</f>
        <v>4.0789087317476845E-2</v>
      </c>
      <c r="AA66">
        <v>2649381</v>
      </c>
      <c r="AB66">
        <v>27433</v>
      </c>
      <c r="AD66" t="s">
        <v>1</v>
      </c>
      <c r="AE66">
        <v>9</v>
      </c>
      <c r="AF66">
        <v>5</v>
      </c>
      <c r="AG66">
        <v>19</v>
      </c>
      <c r="AH66" t="s">
        <v>2122</v>
      </c>
      <c r="AI66" t="s">
        <v>2121</v>
      </c>
      <c r="AK66" t="s">
        <v>2120</v>
      </c>
      <c r="AL66">
        <v>21</v>
      </c>
      <c r="AM66" s="5">
        <f t="shared" ref="AM66:AM129" si="11">AL66/U66</f>
        <v>0.7</v>
      </c>
      <c r="AN66" s="4">
        <f t="shared" ref="AN66:AN129" si="12">(AM66-$AO$4)/($AO$3-$AO$4)</f>
        <v>1.0602044680045437E-3</v>
      </c>
      <c r="AO66" s="3"/>
      <c r="AP66">
        <v>0</v>
      </c>
      <c r="AR66" t="s">
        <v>0</v>
      </c>
      <c r="AT66" s="2">
        <v>3.528</v>
      </c>
      <c r="AU66" s="1">
        <f t="shared" ref="AU66:AU129" si="13">(Y66*0.7+AN66*0.3)*100</f>
        <v>2.8870422462635155</v>
      </c>
      <c r="AV66" s="1">
        <f t="shared" ref="AV66:AV129" si="14">(Y66*0.5+AN66*0.5)*100</f>
        <v>2.0924645892740696</v>
      </c>
      <c r="AW66" s="1">
        <f t="shared" ref="AW66:AW129" si="15">(Y66*0.3+AN66*0.7)*100</f>
        <v>1.2978869322846234</v>
      </c>
    </row>
    <row r="67" spans="1:49" x14ac:dyDescent="0.2">
      <c r="A67">
        <v>65</v>
      </c>
      <c r="B67" t="s">
        <v>2119</v>
      </c>
      <c r="C67" t="s">
        <v>2118</v>
      </c>
      <c r="F67" t="s">
        <v>2117</v>
      </c>
      <c r="G67" t="s">
        <v>4</v>
      </c>
      <c r="H67" t="s">
        <v>3</v>
      </c>
      <c r="I67" t="s">
        <v>2116</v>
      </c>
      <c r="J67">
        <v>60008263</v>
      </c>
      <c r="K67" t="s">
        <v>2115</v>
      </c>
      <c r="L67" t="s">
        <v>2114</v>
      </c>
      <c r="M67" t="s">
        <v>158</v>
      </c>
      <c r="N67">
        <v>3</v>
      </c>
      <c r="O67" t="s">
        <v>2113</v>
      </c>
      <c r="P67" t="s">
        <v>2112</v>
      </c>
      <c r="Q67" t="s">
        <v>2111</v>
      </c>
      <c r="R67" s="7">
        <v>33939</v>
      </c>
      <c r="S67" s="8">
        <f t="shared" si="8"/>
        <v>1992</v>
      </c>
      <c r="T67" s="8">
        <v>1992</v>
      </c>
      <c r="U67" s="8">
        <f t="shared" si="9"/>
        <v>30</v>
      </c>
      <c r="V67" s="7">
        <v>1992</v>
      </c>
      <c r="W67" t="s">
        <v>2045</v>
      </c>
      <c r="X67" s="2">
        <v>0.60499999999999998</v>
      </c>
      <c r="Y67" s="6">
        <f t="shared" si="10"/>
        <v>1.6150129467980032E-2</v>
      </c>
      <c r="AA67">
        <v>346748</v>
      </c>
      <c r="AB67">
        <v>15563</v>
      </c>
      <c r="AD67" t="s">
        <v>1</v>
      </c>
      <c r="AE67">
        <v>63</v>
      </c>
      <c r="AF67">
        <v>4</v>
      </c>
      <c r="AH67" t="s">
        <v>2110</v>
      </c>
      <c r="AI67" t="s">
        <v>2109</v>
      </c>
      <c r="AK67" t="s">
        <v>2108</v>
      </c>
      <c r="AL67">
        <v>12</v>
      </c>
      <c r="AM67" s="5">
        <f t="shared" si="11"/>
        <v>0.4</v>
      </c>
      <c r="AN67" s="4">
        <f t="shared" si="12"/>
        <v>6.0583112457402507E-4</v>
      </c>
      <c r="AO67" s="3"/>
      <c r="AP67">
        <v>0</v>
      </c>
      <c r="AR67" t="s">
        <v>0</v>
      </c>
      <c r="AT67" s="2">
        <v>1.5229999999999999</v>
      </c>
      <c r="AU67" s="1">
        <f t="shared" si="13"/>
        <v>1.1486839964958229</v>
      </c>
      <c r="AV67" s="1">
        <f t="shared" si="14"/>
        <v>0.83779802962770289</v>
      </c>
      <c r="AW67" s="1">
        <f t="shared" si="15"/>
        <v>0.52691206275958269</v>
      </c>
    </row>
    <row r="68" spans="1:49" x14ac:dyDescent="0.2">
      <c r="A68">
        <v>66</v>
      </c>
      <c r="B68" t="s">
        <v>2107</v>
      </c>
      <c r="C68" t="s">
        <v>2106</v>
      </c>
      <c r="F68" t="s">
        <v>2105</v>
      </c>
      <c r="G68" t="s">
        <v>4</v>
      </c>
      <c r="H68" t="s">
        <v>3</v>
      </c>
      <c r="I68" t="s">
        <v>2104</v>
      </c>
      <c r="J68">
        <v>60004280</v>
      </c>
      <c r="K68" t="s">
        <v>32</v>
      </c>
      <c r="L68" t="s">
        <v>18</v>
      </c>
      <c r="M68" t="s">
        <v>17</v>
      </c>
      <c r="N68">
        <v>16</v>
      </c>
      <c r="O68" t="s">
        <v>2103</v>
      </c>
      <c r="P68" t="s">
        <v>2102</v>
      </c>
      <c r="Q68" t="s">
        <v>2101</v>
      </c>
      <c r="R68" s="7">
        <v>33939</v>
      </c>
      <c r="S68" s="8">
        <f t="shared" si="8"/>
        <v>1992</v>
      </c>
      <c r="T68" s="8">
        <v>1992</v>
      </c>
      <c r="U68" s="8">
        <f t="shared" si="9"/>
        <v>30</v>
      </c>
      <c r="V68" s="7">
        <v>1992</v>
      </c>
      <c r="W68" t="s">
        <v>2100</v>
      </c>
      <c r="X68" s="2">
        <v>1.774</v>
      </c>
      <c r="Y68" s="6">
        <f t="shared" si="10"/>
        <v>4.7355916820159633E-2</v>
      </c>
      <c r="AA68">
        <v>295515</v>
      </c>
      <c r="AB68">
        <v>29066</v>
      </c>
      <c r="AD68" t="s">
        <v>1</v>
      </c>
      <c r="AE68">
        <v>32</v>
      </c>
      <c r="AF68">
        <v>11</v>
      </c>
      <c r="AG68" t="s">
        <v>2099</v>
      </c>
      <c r="AH68" t="s">
        <v>2098</v>
      </c>
      <c r="AI68" t="s">
        <v>2097</v>
      </c>
      <c r="AK68" t="s">
        <v>2096</v>
      </c>
      <c r="AL68">
        <v>23</v>
      </c>
      <c r="AM68" s="5">
        <f t="shared" si="11"/>
        <v>0.76666666666666672</v>
      </c>
      <c r="AN68" s="4">
        <f t="shared" si="12"/>
        <v>1.1611763221002146E-3</v>
      </c>
      <c r="AO68" s="3"/>
      <c r="AP68">
        <v>0</v>
      </c>
      <c r="AR68" t="s">
        <v>0</v>
      </c>
      <c r="AT68" s="2">
        <v>3.1789999999999998</v>
      </c>
      <c r="AU68" s="1">
        <f t="shared" si="13"/>
        <v>3.3497494670741803</v>
      </c>
      <c r="AV68" s="1">
        <f t="shared" si="14"/>
        <v>2.4258546571129922</v>
      </c>
      <c r="AW68" s="1">
        <f t="shared" si="15"/>
        <v>1.5019598471518039</v>
      </c>
    </row>
    <row r="69" spans="1:49" x14ac:dyDescent="0.2">
      <c r="A69">
        <v>67</v>
      </c>
      <c r="B69" t="s">
        <v>2095</v>
      </c>
      <c r="C69" t="s">
        <v>2094</v>
      </c>
      <c r="F69" t="s">
        <v>2093</v>
      </c>
      <c r="G69" t="s">
        <v>4</v>
      </c>
      <c r="H69" t="s">
        <v>3</v>
      </c>
      <c r="I69" t="s">
        <v>2092</v>
      </c>
      <c r="J69">
        <v>60027550</v>
      </c>
      <c r="K69" t="s">
        <v>199</v>
      </c>
      <c r="L69" t="s">
        <v>99</v>
      </c>
      <c r="M69" t="s">
        <v>2</v>
      </c>
      <c r="N69">
        <v>3</v>
      </c>
      <c r="O69" t="s">
        <v>2091</v>
      </c>
      <c r="P69" t="s">
        <v>2090</v>
      </c>
      <c r="Q69" t="s">
        <v>221</v>
      </c>
      <c r="R69" s="7">
        <v>33939</v>
      </c>
      <c r="S69" s="8">
        <f t="shared" si="8"/>
        <v>1992</v>
      </c>
      <c r="T69" s="8">
        <v>1992</v>
      </c>
      <c r="U69" s="8">
        <f t="shared" si="9"/>
        <v>30</v>
      </c>
      <c r="V69" s="7">
        <v>1992</v>
      </c>
      <c r="W69" t="s">
        <v>2089</v>
      </c>
      <c r="X69" s="2">
        <v>1.1819999999999999</v>
      </c>
      <c r="Y69" s="6">
        <f t="shared" si="10"/>
        <v>3.1552814927524625E-2</v>
      </c>
      <c r="AA69">
        <v>36951</v>
      </c>
      <c r="AB69">
        <v>27030</v>
      </c>
      <c r="AD69" t="s">
        <v>1</v>
      </c>
      <c r="AE69">
        <v>61</v>
      </c>
      <c r="AF69">
        <v>1</v>
      </c>
      <c r="AH69" s="9">
        <v>44256</v>
      </c>
      <c r="AI69" t="s">
        <v>2088</v>
      </c>
      <c r="AK69" t="s">
        <v>2087</v>
      </c>
      <c r="AL69">
        <v>31</v>
      </c>
      <c r="AM69" s="5">
        <f t="shared" si="11"/>
        <v>1.0333333333333334</v>
      </c>
      <c r="AN69" s="4">
        <f t="shared" si="12"/>
        <v>1.5650637384828981E-3</v>
      </c>
      <c r="AO69" s="3"/>
      <c r="AP69">
        <v>0</v>
      </c>
      <c r="AR69" t="s">
        <v>0</v>
      </c>
      <c r="AT69" s="2">
        <v>3.7909999999999999</v>
      </c>
      <c r="AU69" s="1">
        <f t="shared" si="13"/>
        <v>2.2556489570812106</v>
      </c>
      <c r="AV69" s="1">
        <f t="shared" si="14"/>
        <v>1.6558939333003762</v>
      </c>
      <c r="AW69" s="1">
        <f t="shared" si="15"/>
        <v>1.0561389095195417</v>
      </c>
    </row>
    <row r="70" spans="1:49" x14ac:dyDescent="0.2">
      <c r="A70">
        <v>68</v>
      </c>
      <c r="B70" t="s">
        <v>2086</v>
      </c>
      <c r="C70" t="s">
        <v>2085</v>
      </c>
      <c r="F70" t="s">
        <v>2084</v>
      </c>
      <c r="G70" t="s">
        <v>4</v>
      </c>
      <c r="H70" t="s">
        <v>3</v>
      </c>
      <c r="I70" t="s">
        <v>2083</v>
      </c>
      <c r="J70">
        <v>60029526</v>
      </c>
      <c r="K70" t="s">
        <v>1746</v>
      </c>
      <c r="L70" t="s">
        <v>1745</v>
      </c>
      <c r="M70" t="s">
        <v>2</v>
      </c>
      <c r="N70">
        <v>4</v>
      </c>
      <c r="O70" t="s">
        <v>2082</v>
      </c>
      <c r="P70" t="s">
        <v>2081</v>
      </c>
      <c r="Q70" t="s">
        <v>2080</v>
      </c>
      <c r="R70" s="7">
        <v>33939</v>
      </c>
      <c r="S70" s="8">
        <f t="shared" si="8"/>
        <v>1992</v>
      </c>
      <c r="T70" s="8">
        <v>1992</v>
      </c>
      <c r="U70" s="8">
        <f t="shared" si="9"/>
        <v>30</v>
      </c>
      <c r="V70" s="7">
        <v>33939</v>
      </c>
      <c r="W70" t="s">
        <v>269</v>
      </c>
      <c r="X70" s="2">
        <v>0.85499999999999998</v>
      </c>
      <c r="Y70" s="6">
        <f t="shared" si="10"/>
        <v>2.28237366861536E-2</v>
      </c>
      <c r="AA70">
        <v>980331</v>
      </c>
      <c r="AB70">
        <v>23342</v>
      </c>
      <c r="AC70">
        <v>15731561</v>
      </c>
      <c r="AD70" t="s">
        <v>1</v>
      </c>
      <c r="AE70">
        <v>18</v>
      </c>
      <c r="AF70">
        <v>12</v>
      </c>
      <c r="AH70" t="s">
        <v>2079</v>
      </c>
      <c r="AI70" t="s">
        <v>2078</v>
      </c>
      <c r="AJ70" t="s">
        <v>2077</v>
      </c>
      <c r="AK70" t="s">
        <v>2076</v>
      </c>
      <c r="AL70">
        <v>23</v>
      </c>
      <c r="AM70" s="5">
        <f t="shared" si="11"/>
        <v>0.76666666666666672</v>
      </c>
      <c r="AN70" s="4">
        <f t="shared" si="12"/>
        <v>1.1611763221002146E-3</v>
      </c>
      <c r="AO70" s="3"/>
      <c r="AP70">
        <v>0</v>
      </c>
      <c r="AR70" t="s">
        <v>0</v>
      </c>
      <c r="AT70" s="2">
        <v>2.6259999999999999</v>
      </c>
      <c r="AU70" s="1">
        <f t="shared" si="13"/>
        <v>1.6324968576937584</v>
      </c>
      <c r="AV70" s="1">
        <f t="shared" si="14"/>
        <v>1.1992456504126907</v>
      </c>
      <c r="AW70" s="1">
        <f t="shared" si="15"/>
        <v>0.76599444313162302</v>
      </c>
    </row>
    <row r="71" spans="1:49" x14ac:dyDescent="0.2">
      <c r="A71">
        <v>69</v>
      </c>
      <c r="B71" t="s">
        <v>2075</v>
      </c>
      <c r="C71" t="s">
        <v>2074</v>
      </c>
      <c r="F71" t="s">
        <v>2073</v>
      </c>
      <c r="G71" t="s">
        <v>4</v>
      </c>
      <c r="H71" t="s">
        <v>3</v>
      </c>
      <c r="I71" t="s">
        <v>2072</v>
      </c>
      <c r="J71">
        <v>60014232</v>
      </c>
      <c r="K71" t="s">
        <v>2071</v>
      </c>
      <c r="M71" t="s">
        <v>2</v>
      </c>
      <c r="N71">
        <v>3</v>
      </c>
      <c r="O71" t="s">
        <v>2070</v>
      </c>
      <c r="P71" t="s">
        <v>2069</v>
      </c>
      <c r="Q71" t="s">
        <v>2068</v>
      </c>
      <c r="R71" s="7">
        <v>33939</v>
      </c>
      <c r="S71" s="8">
        <f t="shared" si="8"/>
        <v>1992</v>
      </c>
      <c r="T71" s="8">
        <v>1992</v>
      </c>
      <c r="U71" s="8">
        <f t="shared" si="9"/>
        <v>30</v>
      </c>
      <c r="V71" s="7">
        <v>33939</v>
      </c>
      <c r="W71" t="s">
        <v>2067</v>
      </c>
      <c r="X71" s="2" t="s">
        <v>5</v>
      </c>
      <c r="Y71" s="6" t="e">
        <f t="shared" si="10"/>
        <v>#VALUE!</v>
      </c>
      <c r="AA71">
        <v>7433808</v>
      </c>
      <c r="AB71">
        <v>12103</v>
      </c>
      <c r="AC71">
        <v>15325970</v>
      </c>
      <c r="AD71" t="s">
        <v>1</v>
      </c>
      <c r="AE71">
        <v>24</v>
      </c>
      <c r="AF71">
        <v>4</v>
      </c>
      <c r="AH71" t="s">
        <v>2066</v>
      </c>
      <c r="AI71" t="s">
        <v>2065</v>
      </c>
      <c r="AK71" t="s">
        <v>2064</v>
      </c>
      <c r="AL71">
        <v>7</v>
      </c>
      <c r="AM71" s="5">
        <f t="shared" si="11"/>
        <v>0.23333333333333334</v>
      </c>
      <c r="AN71" s="4">
        <f t="shared" si="12"/>
        <v>3.5340148933484791E-4</v>
      </c>
      <c r="AO71" s="3"/>
      <c r="AP71">
        <v>1</v>
      </c>
      <c r="AR71" t="s">
        <v>0</v>
      </c>
      <c r="AT71" s="2" t="s">
        <v>5</v>
      </c>
      <c r="AU71" s="1" t="e">
        <f t="shared" si="13"/>
        <v>#VALUE!</v>
      </c>
      <c r="AV71" s="1" t="e">
        <f t="shared" si="14"/>
        <v>#VALUE!</v>
      </c>
      <c r="AW71" s="1" t="e">
        <f t="shared" si="15"/>
        <v>#VALUE!</v>
      </c>
    </row>
    <row r="72" spans="1:49" x14ac:dyDescent="0.2">
      <c r="A72">
        <v>70</v>
      </c>
      <c r="B72" t="s">
        <v>2063</v>
      </c>
      <c r="C72" t="s">
        <v>2062</v>
      </c>
      <c r="F72" t="s">
        <v>2061</v>
      </c>
      <c r="G72" t="s">
        <v>4</v>
      </c>
      <c r="H72" t="s">
        <v>3</v>
      </c>
      <c r="I72" t="s">
        <v>2060</v>
      </c>
      <c r="J72" t="s">
        <v>2059</v>
      </c>
      <c r="K72" t="s">
        <v>2058</v>
      </c>
      <c r="L72" t="s">
        <v>246</v>
      </c>
      <c r="M72" t="s">
        <v>59</v>
      </c>
      <c r="N72">
        <v>5</v>
      </c>
      <c r="O72" t="s">
        <v>2057</v>
      </c>
      <c r="P72" t="s">
        <v>2056</v>
      </c>
      <c r="Q72" t="s">
        <v>2055</v>
      </c>
      <c r="R72" s="7">
        <v>33939</v>
      </c>
      <c r="S72" s="8">
        <f t="shared" si="8"/>
        <v>1992</v>
      </c>
      <c r="T72" s="8">
        <v>1992</v>
      </c>
      <c r="U72" s="8">
        <f t="shared" si="9"/>
        <v>30</v>
      </c>
      <c r="V72" s="7">
        <v>1992</v>
      </c>
      <c r="W72" t="s">
        <v>2045</v>
      </c>
      <c r="X72" s="2">
        <v>0.60499999999999998</v>
      </c>
      <c r="Y72" s="6">
        <f t="shared" si="10"/>
        <v>1.6150129467980032E-2</v>
      </c>
      <c r="AA72">
        <v>346748</v>
      </c>
      <c r="AB72">
        <v>15563</v>
      </c>
      <c r="AD72" t="s">
        <v>1</v>
      </c>
      <c r="AE72">
        <v>63</v>
      </c>
      <c r="AF72">
        <v>3</v>
      </c>
      <c r="AH72" t="s">
        <v>2054</v>
      </c>
      <c r="AI72" t="s">
        <v>2053</v>
      </c>
      <c r="AK72" t="s">
        <v>2052</v>
      </c>
      <c r="AL72">
        <v>2</v>
      </c>
      <c r="AM72" s="5">
        <f t="shared" si="11"/>
        <v>6.6666666666666666E-2</v>
      </c>
      <c r="AN72" s="4">
        <f t="shared" si="12"/>
        <v>1.0097185409567084E-4</v>
      </c>
      <c r="AO72" s="3"/>
      <c r="AP72">
        <v>0</v>
      </c>
      <c r="AR72" t="s">
        <v>0</v>
      </c>
      <c r="AT72" s="2">
        <v>1.5229999999999999</v>
      </c>
      <c r="AU72" s="1">
        <f t="shared" si="13"/>
        <v>1.1335382183814724</v>
      </c>
      <c r="AV72" s="1">
        <f t="shared" si="14"/>
        <v>0.81255506610378514</v>
      </c>
      <c r="AW72" s="1">
        <f t="shared" si="15"/>
        <v>0.49157191382609799</v>
      </c>
    </row>
    <row r="73" spans="1:49" x14ac:dyDescent="0.2">
      <c r="A73">
        <v>71</v>
      </c>
      <c r="B73" t="s">
        <v>2051</v>
      </c>
      <c r="C73" t="s">
        <v>2050</v>
      </c>
      <c r="F73" t="s">
        <v>2049</v>
      </c>
      <c r="G73" t="s">
        <v>4</v>
      </c>
      <c r="H73" t="s">
        <v>3</v>
      </c>
      <c r="I73" t="s">
        <v>2048</v>
      </c>
      <c r="J73">
        <v>60027509</v>
      </c>
      <c r="K73" t="s">
        <v>195</v>
      </c>
      <c r="L73" t="s">
        <v>194</v>
      </c>
      <c r="M73" t="s">
        <v>16</v>
      </c>
      <c r="N73">
        <v>3</v>
      </c>
      <c r="O73" t="s">
        <v>2047</v>
      </c>
      <c r="P73" t="s">
        <v>2046</v>
      </c>
      <c r="Q73" t="s">
        <v>193</v>
      </c>
      <c r="R73" s="7">
        <v>33939</v>
      </c>
      <c r="S73" s="8">
        <f t="shared" si="8"/>
        <v>1992</v>
      </c>
      <c r="T73" s="8">
        <v>1992</v>
      </c>
      <c r="U73" s="8">
        <f t="shared" si="9"/>
        <v>30</v>
      </c>
      <c r="V73" s="7">
        <v>1992</v>
      </c>
      <c r="W73" t="s">
        <v>2045</v>
      </c>
      <c r="X73" s="2">
        <v>0.60499999999999998</v>
      </c>
      <c r="Y73" s="6">
        <f t="shared" si="10"/>
        <v>1.6150129467980032E-2</v>
      </c>
      <c r="AA73">
        <v>346748</v>
      </c>
      <c r="AB73">
        <v>15563</v>
      </c>
      <c r="AD73" t="s">
        <v>1</v>
      </c>
      <c r="AE73">
        <v>63</v>
      </c>
      <c r="AF73">
        <v>11</v>
      </c>
      <c r="AH73" t="s">
        <v>2044</v>
      </c>
      <c r="AI73" t="s">
        <v>2043</v>
      </c>
      <c r="AK73" t="s">
        <v>2042</v>
      </c>
      <c r="AL73">
        <v>8</v>
      </c>
      <c r="AM73" s="5">
        <f t="shared" si="11"/>
        <v>0.26666666666666666</v>
      </c>
      <c r="AN73" s="4">
        <f t="shared" si="12"/>
        <v>4.0388741638268334E-4</v>
      </c>
      <c r="AO73" s="3"/>
      <c r="AP73">
        <v>0</v>
      </c>
      <c r="AR73" t="s">
        <v>0</v>
      </c>
      <c r="AT73" s="2">
        <v>1.5229999999999999</v>
      </c>
      <c r="AU73" s="1">
        <f t="shared" si="13"/>
        <v>1.1426256852500827</v>
      </c>
      <c r="AV73" s="1">
        <f t="shared" si="14"/>
        <v>0.82770084421813583</v>
      </c>
      <c r="AW73" s="1">
        <f t="shared" si="15"/>
        <v>0.51277600318618888</v>
      </c>
    </row>
    <row r="74" spans="1:49" x14ac:dyDescent="0.2">
      <c r="A74">
        <v>72</v>
      </c>
      <c r="B74" t="s">
        <v>2041</v>
      </c>
      <c r="C74" t="s">
        <v>2040</v>
      </c>
      <c r="F74" t="s">
        <v>2039</v>
      </c>
      <c r="G74" t="s">
        <v>4</v>
      </c>
      <c r="H74" t="s">
        <v>3</v>
      </c>
      <c r="I74" t="s">
        <v>180</v>
      </c>
      <c r="J74">
        <v>60012708</v>
      </c>
      <c r="K74" t="s">
        <v>179</v>
      </c>
      <c r="L74" t="s">
        <v>81</v>
      </c>
      <c r="M74" t="s">
        <v>2</v>
      </c>
      <c r="N74">
        <v>2</v>
      </c>
      <c r="O74" t="s">
        <v>200</v>
      </c>
      <c r="P74" t="s">
        <v>178</v>
      </c>
      <c r="Q74" t="s">
        <v>177</v>
      </c>
      <c r="R74" s="7">
        <v>33939</v>
      </c>
      <c r="S74" s="8">
        <f t="shared" si="8"/>
        <v>1992</v>
      </c>
      <c r="T74" s="8">
        <v>1992</v>
      </c>
      <c r="U74" s="8">
        <f t="shared" si="9"/>
        <v>30</v>
      </c>
      <c r="V74" s="7">
        <v>1992</v>
      </c>
      <c r="W74" t="s">
        <v>2025</v>
      </c>
      <c r="X74" s="2">
        <v>0.69899999999999995</v>
      </c>
      <c r="Y74" s="6">
        <f t="shared" si="10"/>
        <v>1.8659405782013295E-2</v>
      </c>
      <c r="AA74">
        <v>218979</v>
      </c>
      <c r="AB74">
        <v>28132</v>
      </c>
      <c r="AD74" t="s">
        <v>1</v>
      </c>
      <c r="AE74">
        <v>72</v>
      </c>
      <c r="AF74">
        <v>10</v>
      </c>
      <c r="AH74" t="s">
        <v>2038</v>
      </c>
      <c r="AI74" t="s">
        <v>2037</v>
      </c>
      <c r="AK74" t="s">
        <v>2036</v>
      </c>
      <c r="AL74">
        <v>49</v>
      </c>
      <c r="AM74" s="5">
        <f t="shared" si="11"/>
        <v>1.6333333333333333</v>
      </c>
      <c r="AN74" s="4">
        <f t="shared" si="12"/>
        <v>2.4738104253439353E-3</v>
      </c>
      <c r="AO74" s="3"/>
      <c r="AP74">
        <v>0</v>
      </c>
      <c r="AR74" t="s">
        <v>0</v>
      </c>
      <c r="AT74" s="2">
        <v>2.5459999999999998</v>
      </c>
      <c r="AU74" s="1">
        <f t="shared" si="13"/>
        <v>1.3803727175012486</v>
      </c>
      <c r="AV74" s="1">
        <f t="shared" si="14"/>
        <v>1.0566608103678616</v>
      </c>
      <c r="AW74" s="1">
        <f t="shared" si="15"/>
        <v>0.73294890323447426</v>
      </c>
    </row>
    <row r="75" spans="1:49" x14ac:dyDescent="0.2">
      <c r="A75">
        <v>73</v>
      </c>
      <c r="B75" t="s">
        <v>2035</v>
      </c>
      <c r="C75" t="s">
        <v>2034</v>
      </c>
      <c r="F75" t="s">
        <v>2033</v>
      </c>
      <c r="G75" t="s">
        <v>4</v>
      </c>
      <c r="H75" t="s">
        <v>3</v>
      </c>
      <c r="I75" t="s">
        <v>2032</v>
      </c>
      <c r="J75" t="s">
        <v>2031</v>
      </c>
      <c r="K75" t="s">
        <v>2030</v>
      </c>
      <c r="L75" t="s">
        <v>2029</v>
      </c>
      <c r="M75" t="s">
        <v>59</v>
      </c>
      <c r="N75">
        <v>4</v>
      </c>
      <c r="O75" t="s">
        <v>2028</v>
      </c>
      <c r="P75" t="s">
        <v>2027</v>
      </c>
      <c r="Q75" t="s">
        <v>2026</v>
      </c>
      <c r="R75" s="7">
        <v>33939</v>
      </c>
      <c r="S75" s="8">
        <f t="shared" si="8"/>
        <v>1992</v>
      </c>
      <c r="T75" s="8">
        <v>1992</v>
      </c>
      <c r="U75" s="8">
        <f t="shared" si="9"/>
        <v>30</v>
      </c>
      <c r="V75" s="7">
        <v>1992</v>
      </c>
      <c r="W75" t="s">
        <v>2025</v>
      </c>
      <c r="X75" s="2">
        <v>0.69899999999999995</v>
      </c>
      <c r="Y75" s="6">
        <f t="shared" si="10"/>
        <v>1.8659405782013295E-2</v>
      </c>
      <c r="AA75">
        <v>218979</v>
      </c>
      <c r="AB75">
        <v>28132</v>
      </c>
      <c r="AD75" t="s">
        <v>1</v>
      </c>
      <c r="AE75">
        <v>72</v>
      </c>
      <c r="AF75">
        <v>7</v>
      </c>
      <c r="AH75" t="s">
        <v>2024</v>
      </c>
      <c r="AI75" t="s">
        <v>2023</v>
      </c>
      <c r="AK75" t="s">
        <v>2022</v>
      </c>
      <c r="AL75">
        <v>37</v>
      </c>
      <c r="AM75" s="5">
        <f t="shared" si="11"/>
        <v>1.2333333333333334</v>
      </c>
      <c r="AN75" s="4">
        <f t="shared" si="12"/>
        <v>1.8679793007699106E-3</v>
      </c>
      <c r="AO75" s="3"/>
      <c r="AP75">
        <v>0</v>
      </c>
      <c r="AR75" t="s">
        <v>0</v>
      </c>
      <c r="AT75" s="2">
        <v>2.5459999999999998</v>
      </c>
      <c r="AU75" s="1">
        <f t="shared" si="13"/>
        <v>1.3621977837640278</v>
      </c>
      <c r="AV75" s="1">
        <f t="shared" si="14"/>
        <v>1.0263692541391602</v>
      </c>
      <c r="AW75" s="1">
        <f t="shared" si="15"/>
        <v>0.6905407245142926</v>
      </c>
    </row>
    <row r="76" spans="1:49" x14ac:dyDescent="0.2">
      <c r="A76">
        <v>74</v>
      </c>
      <c r="B76" t="s">
        <v>2021</v>
      </c>
      <c r="C76" t="s">
        <v>2020</v>
      </c>
      <c r="F76" t="s">
        <v>2019</v>
      </c>
      <c r="G76" t="s">
        <v>4</v>
      </c>
      <c r="H76" t="s">
        <v>3</v>
      </c>
      <c r="I76" t="s">
        <v>172</v>
      </c>
      <c r="J76">
        <v>60007363</v>
      </c>
      <c r="K76" t="s">
        <v>83</v>
      </c>
      <c r="L76" t="s">
        <v>82</v>
      </c>
      <c r="M76" t="s">
        <v>2</v>
      </c>
      <c r="N76">
        <v>3</v>
      </c>
      <c r="O76" t="s">
        <v>2018</v>
      </c>
      <c r="P76" t="s">
        <v>2017</v>
      </c>
      <c r="Q76" t="s">
        <v>2016</v>
      </c>
      <c r="R76" s="7">
        <v>33934</v>
      </c>
      <c r="S76" s="8">
        <f t="shared" si="8"/>
        <v>1992</v>
      </c>
      <c r="T76" s="8">
        <v>1992</v>
      </c>
      <c r="U76" s="8">
        <f t="shared" si="9"/>
        <v>30</v>
      </c>
      <c r="V76" s="7">
        <v>1992</v>
      </c>
      <c r="W76" t="s">
        <v>79</v>
      </c>
      <c r="X76" s="2">
        <v>0.61899999999999999</v>
      </c>
      <c r="Y76" s="6">
        <f t="shared" si="10"/>
        <v>1.6523851472197752E-2</v>
      </c>
      <c r="AA76">
        <v>14966</v>
      </c>
      <c r="AB76">
        <v>12936</v>
      </c>
      <c r="AD76" t="s">
        <v>1</v>
      </c>
      <c r="AE76">
        <v>92</v>
      </c>
      <c r="AF76">
        <v>5</v>
      </c>
      <c r="AH76" t="s">
        <v>2015</v>
      </c>
      <c r="AI76" t="s">
        <v>2014</v>
      </c>
      <c r="AK76" t="s">
        <v>2013</v>
      </c>
      <c r="AL76">
        <v>78</v>
      </c>
      <c r="AM76" s="5">
        <f t="shared" si="11"/>
        <v>2.6</v>
      </c>
      <c r="AN76" s="4">
        <f t="shared" si="12"/>
        <v>3.9379023097311627E-3</v>
      </c>
      <c r="AO76" s="3"/>
      <c r="AP76">
        <v>0</v>
      </c>
      <c r="AR76" t="s">
        <v>0</v>
      </c>
      <c r="AT76" s="2" t="s">
        <v>5</v>
      </c>
      <c r="AU76" s="1">
        <f t="shared" si="13"/>
        <v>1.2748066723457776</v>
      </c>
      <c r="AV76" s="1">
        <f t="shared" si="14"/>
        <v>1.0230876890964458</v>
      </c>
      <c r="AW76" s="1">
        <f t="shared" si="15"/>
        <v>0.77136870584711392</v>
      </c>
    </row>
    <row r="77" spans="1:49" x14ac:dyDescent="0.2">
      <c r="A77">
        <v>75</v>
      </c>
      <c r="B77" t="s">
        <v>2012</v>
      </c>
      <c r="C77" t="s">
        <v>2011</v>
      </c>
      <c r="F77" t="s">
        <v>2010</v>
      </c>
      <c r="G77" t="s">
        <v>4</v>
      </c>
      <c r="H77" t="s">
        <v>3</v>
      </c>
      <c r="I77" t="s">
        <v>2009</v>
      </c>
      <c r="J77">
        <v>60026708</v>
      </c>
      <c r="K77" t="s">
        <v>2008</v>
      </c>
      <c r="L77" t="s">
        <v>2007</v>
      </c>
      <c r="M77" t="s">
        <v>120</v>
      </c>
      <c r="N77">
        <v>1</v>
      </c>
      <c r="O77" t="s">
        <v>2006</v>
      </c>
      <c r="P77">
        <v>7003446625</v>
      </c>
      <c r="Q77">
        <v>60026708</v>
      </c>
      <c r="R77" s="7">
        <v>33934</v>
      </c>
      <c r="S77" s="8">
        <f t="shared" si="8"/>
        <v>1992</v>
      </c>
      <c r="T77" s="8">
        <v>1992</v>
      </c>
      <c r="U77" s="8">
        <f t="shared" si="9"/>
        <v>30</v>
      </c>
      <c r="V77" s="7">
        <v>1992</v>
      </c>
      <c r="W77" t="s">
        <v>79</v>
      </c>
      <c r="X77" s="2">
        <v>0.61899999999999999</v>
      </c>
      <c r="Y77" s="6">
        <f t="shared" si="10"/>
        <v>1.6523851472197752E-2</v>
      </c>
      <c r="AA77">
        <v>14966</v>
      </c>
      <c r="AB77">
        <v>12936</v>
      </c>
      <c r="AD77" t="s">
        <v>1</v>
      </c>
      <c r="AE77">
        <v>92</v>
      </c>
      <c r="AF77">
        <v>5</v>
      </c>
      <c r="AH77" t="s">
        <v>2005</v>
      </c>
      <c r="AI77" t="s">
        <v>2004</v>
      </c>
      <c r="AK77" t="s">
        <v>2003</v>
      </c>
      <c r="AL77">
        <v>5</v>
      </c>
      <c r="AM77" s="5">
        <f t="shared" si="11"/>
        <v>0.16666666666666666</v>
      </c>
      <c r="AN77" s="4">
        <f t="shared" si="12"/>
        <v>2.5242963523917705E-4</v>
      </c>
      <c r="AO77" s="3"/>
      <c r="AP77">
        <v>0</v>
      </c>
      <c r="AR77" t="s">
        <v>0</v>
      </c>
      <c r="AT77" s="2" t="s">
        <v>5</v>
      </c>
      <c r="AU77" s="1">
        <f t="shared" si="13"/>
        <v>1.1642424921110177</v>
      </c>
      <c r="AV77" s="1">
        <f t="shared" si="14"/>
        <v>0.83881405537184639</v>
      </c>
      <c r="AW77" s="1">
        <f t="shared" si="15"/>
        <v>0.51338561863267496</v>
      </c>
    </row>
    <row r="78" spans="1:49" x14ac:dyDescent="0.2">
      <c r="A78">
        <v>76</v>
      </c>
      <c r="B78" t="s">
        <v>2002</v>
      </c>
      <c r="C78" t="s">
        <v>2001</v>
      </c>
      <c r="D78" t="s">
        <v>2000</v>
      </c>
      <c r="F78" t="s">
        <v>1999</v>
      </c>
      <c r="G78" t="s">
        <v>4</v>
      </c>
      <c r="H78" t="s">
        <v>3</v>
      </c>
      <c r="I78" t="s">
        <v>1998</v>
      </c>
      <c r="J78">
        <v>60008023</v>
      </c>
      <c r="K78" t="s">
        <v>124</v>
      </c>
      <c r="L78" t="s">
        <v>123</v>
      </c>
      <c r="M78" t="s">
        <v>2</v>
      </c>
      <c r="N78">
        <v>3</v>
      </c>
      <c r="O78" t="s">
        <v>1997</v>
      </c>
      <c r="P78" t="s">
        <v>1996</v>
      </c>
      <c r="Q78" t="s">
        <v>1995</v>
      </c>
      <c r="R78" s="7">
        <v>33924</v>
      </c>
      <c r="S78" s="8">
        <f t="shared" si="8"/>
        <v>1992</v>
      </c>
      <c r="T78" s="8">
        <v>1992</v>
      </c>
      <c r="U78" s="8">
        <f t="shared" si="9"/>
        <v>30</v>
      </c>
      <c r="V78" s="7">
        <v>33924</v>
      </c>
      <c r="W78" t="s">
        <v>262</v>
      </c>
      <c r="X78" s="2">
        <v>1.59</v>
      </c>
      <c r="Y78" s="6">
        <f t="shared" si="10"/>
        <v>4.2444141907583888E-2</v>
      </c>
      <c r="AA78">
        <v>52728</v>
      </c>
      <c r="AB78">
        <v>16791</v>
      </c>
      <c r="AD78" t="s">
        <v>1</v>
      </c>
      <c r="AE78">
        <v>1140</v>
      </c>
      <c r="AF78">
        <v>1</v>
      </c>
      <c r="AH78" s="10">
        <v>41791</v>
      </c>
      <c r="AI78" t="s">
        <v>1994</v>
      </c>
      <c r="AJ78" t="s">
        <v>1993</v>
      </c>
      <c r="AK78" t="s">
        <v>1992</v>
      </c>
      <c r="AL78">
        <v>10</v>
      </c>
      <c r="AM78" s="5">
        <f t="shared" si="11"/>
        <v>0.33333333333333331</v>
      </c>
      <c r="AN78" s="4">
        <f t="shared" si="12"/>
        <v>5.048592704783541E-4</v>
      </c>
      <c r="AO78" s="3"/>
      <c r="AP78">
        <v>0</v>
      </c>
      <c r="AR78" t="s">
        <v>0</v>
      </c>
      <c r="AS78" t="s">
        <v>121</v>
      </c>
      <c r="AT78" s="2" t="s">
        <v>5</v>
      </c>
      <c r="AU78" s="1">
        <f t="shared" si="13"/>
        <v>2.9862357116452225</v>
      </c>
      <c r="AV78" s="1">
        <f t="shared" si="14"/>
        <v>2.1474500589031118</v>
      </c>
      <c r="AW78" s="1">
        <f t="shared" si="15"/>
        <v>1.3086644061610013</v>
      </c>
    </row>
    <row r="79" spans="1:49" x14ac:dyDescent="0.2">
      <c r="A79">
        <v>77</v>
      </c>
      <c r="B79" t="s">
        <v>1991</v>
      </c>
      <c r="C79" t="s">
        <v>1990</v>
      </c>
      <c r="D79" t="s">
        <v>1989</v>
      </c>
      <c r="F79" t="s">
        <v>1988</v>
      </c>
      <c r="G79" t="s">
        <v>4</v>
      </c>
      <c r="H79" t="s">
        <v>3</v>
      </c>
      <c r="I79" t="s">
        <v>1987</v>
      </c>
      <c r="J79">
        <v>60003878</v>
      </c>
      <c r="K79" t="s">
        <v>264</v>
      </c>
      <c r="L79" t="s">
        <v>207</v>
      </c>
      <c r="M79" t="s">
        <v>14</v>
      </c>
      <c r="N79">
        <v>4</v>
      </c>
      <c r="O79" t="s">
        <v>1986</v>
      </c>
      <c r="P79" t="s">
        <v>1985</v>
      </c>
      <c r="Q79" t="s">
        <v>263</v>
      </c>
      <c r="R79" s="7">
        <v>33924</v>
      </c>
      <c r="S79" s="8">
        <f t="shared" si="8"/>
        <v>1992</v>
      </c>
      <c r="T79" s="8">
        <v>1992</v>
      </c>
      <c r="U79" s="8">
        <f t="shared" si="9"/>
        <v>30</v>
      </c>
      <c r="V79" s="7">
        <v>33924</v>
      </c>
      <c r="W79" t="s">
        <v>262</v>
      </c>
      <c r="X79" s="2">
        <v>1.59</v>
      </c>
      <c r="Y79" s="6">
        <f t="shared" si="10"/>
        <v>4.2444141907583888E-2</v>
      </c>
      <c r="AA79">
        <v>52728</v>
      </c>
      <c r="AB79">
        <v>16791</v>
      </c>
      <c r="AD79" t="s">
        <v>1</v>
      </c>
      <c r="AE79">
        <v>1140</v>
      </c>
      <c r="AF79">
        <v>1</v>
      </c>
      <c r="AH79" t="s">
        <v>1984</v>
      </c>
      <c r="AI79" t="s">
        <v>1983</v>
      </c>
      <c r="AJ79" t="s">
        <v>1982</v>
      </c>
      <c r="AK79" t="s">
        <v>1981</v>
      </c>
      <c r="AL79">
        <v>26</v>
      </c>
      <c r="AM79" s="5">
        <f t="shared" si="11"/>
        <v>0.8666666666666667</v>
      </c>
      <c r="AN79" s="4">
        <f t="shared" si="12"/>
        <v>1.3126341032437209E-3</v>
      </c>
      <c r="AO79" s="3"/>
      <c r="AP79">
        <v>0</v>
      </c>
      <c r="AQ79" t="s">
        <v>268</v>
      </c>
      <c r="AR79" t="s">
        <v>0</v>
      </c>
      <c r="AS79" t="s">
        <v>267</v>
      </c>
      <c r="AT79" s="2" t="s">
        <v>5</v>
      </c>
      <c r="AU79" s="1">
        <f t="shared" si="13"/>
        <v>3.0104689566281837</v>
      </c>
      <c r="AV79" s="1">
        <f t="shared" si="14"/>
        <v>2.1878388005413805</v>
      </c>
      <c r="AW79" s="1">
        <f t="shared" si="15"/>
        <v>1.3652086444545768</v>
      </c>
    </row>
    <row r="80" spans="1:49" x14ac:dyDescent="0.2">
      <c r="A80">
        <v>78</v>
      </c>
      <c r="B80" t="s">
        <v>1980</v>
      </c>
      <c r="C80" t="s">
        <v>1979</v>
      </c>
      <c r="D80" t="s">
        <v>1978</v>
      </c>
      <c r="F80" t="s">
        <v>1977</v>
      </c>
      <c r="G80" t="s">
        <v>4</v>
      </c>
      <c r="H80" t="s">
        <v>3</v>
      </c>
      <c r="I80" t="s">
        <v>1976</v>
      </c>
      <c r="J80" t="s">
        <v>1975</v>
      </c>
      <c r="K80" t="s">
        <v>1974</v>
      </c>
      <c r="L80" t="s">
        <v>1973</v>
      </c>
      <c r="M80" t="s">
        <v>1972</v>
      </c>
      <c r="N80">
        <v>7</v>
      </c>
      <c r="O80" t="s">
        <v>1971</v>
      </c>
      <c r="P80" t="s">
        <v>1970</v>
      </c>
      <c r="Q80" t="s">
        <v>1969</v>
      </c>
      <c r="R80" s="7">
        <v>33924</v>
      </c>
      <c r="S80" s="8">
        <f t="shared" si="8"/>
        <v>1992</v>
      </c>
      <c r="T80" s="8">
        <v>1992</v>
      </c>
      <c r="U80" s="8">
        <f t="shared" si="9"/>
        <v>30</v>
      </c>
      <c r="V80" s="7">
        <v>33924</v>
      </c>
      <c r="W80" t="s">
        <v>262</v>
      </c>
      <c r="X80" s="2">
        <v>1.59</v>
      </c>
      <c r="Y80" s="6">
        <f t="shared" si="10"/>
        <v>4.2444141907583888E-2</v>
      </c>
      <c r="AA80">
        <v>52728</v>
      </c>
      <c r="AB80">
        <v>16791</v>
      </c>
      <c r="AD80" t="s">
        <v>1</v>
      </c>
      <c r="AE80">
        <v>1140</v>
      </c>
      <c r="AF80">
        <v>1</v>
      </c>
      <c r="AH80" t="s">
        <v>1968</v>
      </c>
      <c r="AI80" t="s">
        <v>1967</v>
      </c>
      <c r="AJ80" t="s">
        <v>1966</v>
      </c>
      <c r="AK80" t="s">
        <v>1965</v>
      </c>
      <c r="AL80">
        <v>25</v>
      </c>
      <c r="AM80" s="5">
        <f t="shared" si="11"/>
        <v>0.83333333333333337</v>
      </c>
      <c r="AN80" s="4">
        <f t="shared" si="12"/>
        <v>1.2621481761958854E-3</v>
      </c>
      <c r="AO80" s="3"/>
      <c r="AP80">
        <v>0</v>
      </c>
      <c r="AQ80" t="s">
        <v>1964</v>
      </c>
      <c r="AR80" t="s">
        <v>0</v>
      </c>
      <c r="AS80" t="s">
        <v>1963</v>
      </c>
      <c r="AT80" s="2" t="s">
        <v>5</v>
      </c>
      <c r="AU80" s="1">
        <f t="shared" si="13"/>
        <v>3.0089543788167488</v>
      </c>
      <c r="AV80" s="1">
        <f t="shared" si="14"/>
        <v>2.1853145041889883</v>
      </c>
      <c r="AW80" s="1">
        <f t="shared" si="15"/>
        <v>1.3616746295612285</v>
      </c>
    </row>
    <row r="81" spans="1:49" x14ac:dyDescent="0.2">
      <c r="A81">
        <v>79</v>
      </c>
      <c r="B81" t="s">
        <v>1962</v>
      </c>
      <c r="C81" t="s">
        <v>1961</v>
      </c>
      <c r="F81" t="s">
        <v>1960</v>
      </c>
      <c r="G81" t="s">
        <v>4</v>
      </c>
      <c r="H81" t="s">
        <v>3</v>
      </c>
      <c r="I81" t="s">
        <v>1959</v>
      </c>
      <c r="J81">
        <v>60015331</v>
      </c>
      <c r="K81" t="s">
        <v>1958</v>
      </c>
      <c r="L81" t="s">
        <v>1957</v>
      </c>
      <c r="M81" t="s">
        <v>156</v>
      </c>
      <c r="N81">
        <v>2</v>
      </c>
      <c r="O81" t="s">
        <v>1956</v>
      </c>
      <c r="P81" t="s">
        <v>1955</v>
      </c>
      <c r="Q81" t="s">
        <v>1954</v>
      </c>
      <c r="R81" s="7">
        <v>33909</v>
      </c>
      <c r="S81" s="8">
        <f t="shared" si="8"/>
        <v>1992</v>
      </c>
      <c r="T81" s="8">
        <v>1992</v>
      </c>
      <c r="U81" s="8">
        <f t="shared" si="9"/>
        <v>30</v>
      </c>
      <c r="V81" s="7">
        <v>33909</v>
      </c>
      <c r="W81" t="s">
        <v>1953</v>
      </c>
      <c r="X81" s="2" t="s">
        <v>5</v>
      </c>
      <c r="Y81" s="6" t="e">
        <f t="shared" si="10"/>
        <v>#VALUE!</v>
      </c>
      <c r="AA81">
        <v>3693554</v>
      </c>
      <c r="AB81">
        <v>29862</v>
      </c>
      <c r="AC81">
        <v>18269877</v>
      </c>
      <c r="AD81" t="s">
        <v>1</v>
      </c>
      <c r="AE81">
        <v>107</v>
      </c>
      <c r="AF81">
        <v>11</v>
      </c>
      <c r="AH81" t="s">
        <v>1952</v>
      </c>
      <c r="AI81" t="s">
        <v>1951</v>
      </c>
      <c r="AJ81" t="s">
        <v>1950</v>
      </c>
      <c r="AK81" t="s">
        <v>1949</v>
      </c>
      <c r="AL81">
        <v>1</v>
      </c>
      <c r="AM81" s="5">
        <f t="shared" si="11"/>
        <v>3.3333333333333333E-2</v>
      </c>
      <c r="AN81" s="4">
        <f t="shared" si="12"/>
        <v>5.0485927047835418E-5</v>
      </c>
      <c r="AO81" s="3"/>
      <c r="AP81">
        <v>0</v>
      </c>
      <c r="AR81" t="s">
        <v>0</v>
      </c>
      <c r="AT81" s="2" t="s">
        <v>5</v>
      </c>
      <c r="AU81" s="1" t="e">
        <f t="shared" si="13"/>
        <v>#VALUE!</v>
      </c>
      <c r="AV81" s="1" t="e">
        <f t="shared" si="14"/>
        <v>#VALUE!</v>
      </c>
      <c r="AW81" s="1" t="e">
        <f t="shared" si="15"/>
        <v>#VALUE!</v>
      </c>
    </row>
    <row r="82" spans="1:49" x14ac:dyDescent="0.2">
      <c r="A82">
        <v>80</v>
      </c>
      <c r="B82" t="s">
        <v>1948</v>
      </c>
      <c r="C82" t="s">
        <v>1947</v>
      </c>
      <c r="F82" t="s">
        <v>1946</v>
      </c>
      <c r="G82" t="s">
        <v>4</v>
      </c>
      <c r="H82" t="s">
        <v>3</v>
      </c>
      <c r="I82" t="s">
        <v>1945</v>
      </c>
      <c r="J82">
        <v>60113665</v>
      </c>
      <c r="K82" t="s">
        <v>1944</v>
      </c>
      <c r="L82" t="s">
        <v>1943</v>
      </c>
      <c r="M82" t="s">
        <v>16</v>
      </c>
      <c r="N82">
        <v>1</v>
      </c>
      <c r="O82" t="s">
        <v>1942</v>
      </c>
      <c r="P82">
        <v>22943966700</v>
      </c>
      <c r="Q82">
        <v>60113665</v>
      </c>
      <c r="R82" s="7">
        <v>33909</v>
      </c>
      <c r="S82" s="8">
        <f t="shared" si="8"/>
        <v>1992</v>
      </c>
      <c r="T82" s="8">
        <v>1992</v>
      </c>
      <c r="U82" s="8">
        <f t="shared" si="9"/>
        <v>30</v>
      </c>
      <c r="V82" s="7">
        <v>33909</v>
      </c>
      <c r="W82" t="s">
        <v>421</v>
      </c>
      <c r="X82" s="2" t="s">
        <v>5</v>
      </c>
      <c r="Y82" s="6" t="e">
        <f t="shared" si="10"/>
        <v>#VALUE!</v>
      </c>
      <c r="AA82">
        <v>3905551</v>
      </c>
      <c r="AB82">
        <v>15400155600</v>
      </c>
      <c r="AD82" t="s">
        <v>1</v>
      </c>
      <c r="AE82">
        <v>15</v>
      </c>
      <c r="AF82">
        <v>6</v>
      </c>
      <c r="AH82" t="s">
        <v>1941</v>
      </c>
      <c r="AI82" t="s">
        <v>1940</v>
      </c>
      <c r="AJ82" t="s">
        <v>1939</v>
      </c>
      <c r="AK82" t="s">
        <v>1938</v>
      </c>
      <c r="AL82">
        <v>7</v>
      </c>
      <c r="AM82" s="5">
        <f t="shared" si="11"/>
        <v>0.23333333333333334</v>
      </c>
      <c r="AN82" s="4">
        <f t="shared" si="12"/>
        <v>3.5340148933484791E-4</v>
      </c>
      <c r="AO82" s="3"/>
      <c r="AP82">
        <v>0</v>
      </c>
      <c r="AR82" t="s">
        <v>0</v>
      </c>
      <c r="AT82" s="2" t="s">
        <v>5</v>
      </c>
      <c r="AU82" s="1" t="e">
        <f t="shared" si="13"/>
        <v>#VALUE!</v>
      </c>
      <c r="AV82" s="1" t="e">
        <f t="shared" si="14"/>
        <v>#VALUE!</v>
      </c>
      <c r="AW82" s="1" t="e">
        <f t="shared" si="15"/>
        <v>#VALUE!</v>
      </c>
    </row>
    <row r="83" spans="1:49" x14ac:dyDescent="0.2">
      <c r="A83">
        <v>81</v>
      </c>
      <c r="B83" t="s">
        <v>1937</v>
      </c>
      <c r="C83" t="s">
        <v>1936</v>
      </c>
      <c r="F83" t="s">
        <v>1935</v>
      </c>
      <c r="G83" t="s">
        <v>4</v>
      </c>
      <c r="H83" t="s">
        <v>3</v>
      </c>
      <c r="I83" t="s">
        <v>1934</v>
      </c>
      <c r="J83">
        <v>60082962</v>
      </c>
      <c r="K83" t="s">
        <v>1933</v>
      </c>
      <c r="L83" t="s">
        <v>194</v>
      </c>
      <c r="M83" t="s">
        <v>16</v>
      </c>
      <c r="N83">
        <v>2</v>
      </c>
      <c r="O83" t="s">
        <v>1932</v>
      </c>
      <c r="P83" t="s">
        <v>1931</v>
      </c>
      <c r="Q83" t="s">
        <v>1930</v>
      </c>
      <c r="R83" s="7">
        <v>33909</v>
      </c>
      <c r="S83" s="8">
        <f t="shared" si="8"/>
        <v>1992</v>
      </c>
      <c r="T83" s="8">
        <v>1992</v>
      </c>
      <c r="U83" s="8">
        <f t="shared" si="9"/>
        <v>30</v>
      </c>
      <c r="V83" s="7">
        <v>33909</v>
      </c>
      <c r="W83" t="s">
        <v>421</v>
      </c>
      <c r="X83" s="2" t="s">
        <v>5</v>
      </c>
      <c r="Y83" s="6" t="e">
        <f t="shared" si="10"/>
        <v>#VALUE!</v>
      </c>
      <c r="AA83">
        <v>3905551</v>
      </c>
      <c r="AB83">
        <v>15400155600</v>
      </c>
      <c r="AD83" t="s">
        <v>1</v>
      </c>
      <c r="AE83">
        <v>15</v>
      </c>
      <c r="AF83">
        <v>6</v>
      </c>
      <c r="AH83" t="s">
        <v>1929</v>
      </c>
      <c r="AI83" t="s">
        <v>1928</v>
      </c>
      <c r="AJ83" t="s">
        <v>1927</v>
      </c>
      <c r="AK83" t="s">
        <v>1926</v>
      </c>
      <c r="AL83">
        <v>6</v>
      </c>
      <c r="AM83" s="5">
        <f t="shared" si="11"/>
        <v>0.2</v>
      </c>
      <c r="AN83" s="4">
        <f t="shared" si="12"/>
        <v>3.0291556228701253E-4</v>
      </c>
      <c r="AO83" s="3"/>
      <c r="AP83">
        <v>0</v>
      </c>
      <c r="AR83" t="s">
        <v>0</v>
      </c>
      <c r="AT83" s="2" t="s">
        <v>5</v>
      </c>
      <c r="AU83" s="1" t="e">
        <f t="shared" si="13"/>
        <v>#VALUE!</v>
      </c>
      <c r="AV83" s="1" t="e">
        <f t="shared" si="14"/>
        <v>#VALUE!</v>
      </c>
      <c r="AW83" s="1" t="e">
        <f t="shared" si="15"/>
        <v>#VALUE!</v>
      </c>
    </row>
    <row r="84" spans="1:49" x14ac:dyDescent="0.2">
      <c r="A84">
        <v>82</v>
      </c>
      <c r="B84" t="s">
        <v>1925</v>
      </c>
      <c r="C84" t="s">
        <v>1924</v>
      </c>
      <c r="F84" t="s">
        <v>1923</v>
      </c>
      <c r="G84" t="s">
        <v>4</v>
      </c>
      <c r="H84" t="s">
        <v>3</v>
      </c>
      <c r="I84" t="s">
        <v>287</v>
      </c>
      <c r="N84">
        <v>1</v>
      </c>
      <c r="O84" t="s">
        <v>286</v>
      </c>
      <c r="P84">
        <v>6701453221</v>
      </c>
      <c r="R84" s="7">
        <v>33909</v>
      </c>
      <c r="S84" s="8">
        <f t="shared" si="8"/>
        <v>1992</v>
      </c>
      <c r="T84" s="8">
        <v>1992</v>
      </c>
      <c r="U84" s="8">
        <f t="shared" si="9"/>
        <v>30</v>
      </c>
      <c r="V84" s="7">
        <v>33909</v>
      </c>
      <c r="W84" t="s">
        <v>273</v>
      </c>
      <c r="X84" s="2">
        <v>0.14899999999999999</v>
      </c>
      <c r="Y84" s="6">
        <f t="shared" si="10"/>
        <v>3.977469902031446E-3</v>
      </c>
      <c r="AA84">
        <v>5431972</v>
      </c>
      <c r="AB84">
        <v>15425</v>
      </c>
      <c r="AC84">
        <v>15738906</v>
      </c>
      <c r="AD84" t="s">
        <v>1</v>
      </c>
      <c r="AE84">
        <v>35</v>
      </c>
      <c r="AF84">
        <v>11</v>
      </c>
      <c r="AH84" t="s">
        <v>1922</v>
      </c>
      <c r="AL84">
        <v>0</v>
      </c>
      <c r="AM84" s="5">
        <f t="shared" si="11"/>
        <v>0</v>
      </c>
      <c r="AN84" s="4">
        <f t="shared" si="12"/>
        <v>0</v>
      </c>
      <c r="AO84" s="3"/>
      <c r="AP84">
        <v>0</v>
      </c>
      <c r="AR84" t="s">
        <v>0</v>
      </c>
      <c r="AT84" s="2" t="s">
        <v>5</v>
      </c>
      <c r="AU84" s="1">
        <f t="shared" si="13"/>
        <v>0.2784228931422012</v>
      </c>
      <c r="AV84" s="1">
        <f t="shared" si="14"/>
        <v>0.19887349510157229</v>
      </c>
      <c r="AW84" s="1">
        <f t="shared" si="15"/>
        <v>0.11932409706094337</v>
      </c>
    </row>
    <row r="85" spans="1:49" x14ac:dyDescent="0.2">
      <c r="A85">
        <v>83</v>
      </c>
      <c r="B85" t="s">
        <v>1921</v>
      </c>
      <c r="C85" t="s">
        <v>1920</v>
      </c>
      <c r="F85" t="s">
        <v>1919</v>
      </c>
      <c r="G85" t="s">
        <v>4</v>
      </c>
      <c r="H85" t="s">
        <v>3</v>
      </c>
      <c r="I85" t="s">
        <v>1918</v>
      </c>
      <c r="J85">
        <v>60012345</v>
      </c>
      <c r="K85" t="s">
        <v>234</v>
      </c>
      <c r="L85" t="s">
        <v>233</v>
      </c>
      <c r="M85" t="s">
        <v>50</v>
      </c>
      <c r="N85">
        <v>3</v>
      </c>
      <c r="O85" t="s">
        <v>1917</v>
      </c>
      <c r="P85" t="s">
        <v>1916</v>
      </c>
      <c r="Q85" t="s">
        <v>232</v>
      </c>
      <c r="R85" s="7">
        <v>33909</v>
      </c>
      <c r="S85" s="8">
        <f t="shared" si="8"/>
        <v>1992</v>
      </c>
      <c r="T85" s="8">
        <v>1992</v>
      </c>
      <c r="U85" s="8">
        <f t="shared" si="9"/>
        <v>30</v>
      </c>
      <c r="V85" s="7">
        <v>33909</v>
      </c>
      <c r="W85" t="s">
        <v>1726</v>
      </c>
      <c r="X85" s="2">
        <v>1.026</v>
      </c>
      <c r="Y85" s="6">
        <f t="shared" si="10"/>
        <v>2.738848402338432E-2</v>
      </c>
      <c r="AA85">
        <v>380938</v>
      </c>
      <c r="AB85">
        <v>28245</v>
      </c>
      <c r="AC85" t="s">
        <v>1725</v>
      </c>
      <c r="AD85" t="s">
        <v>1</v>
      </c>
      <c r="AE85">
        <v>142</v>
      </c>
      <c r="AF85">
        <v>1</v>
      </c>
      <c r="AH85" t="s">
        <v>1915</v>
      </c>
      <c r="AI85" t="s">
        <v>1914</v>
      </c>
      <c r="AK85" t="s">
        <v>1913</v>
      </c>
      <c r="AL85">
        <v>12</v>
      </c>
      <c r="AM85" s="5">
        <f t="shared" si="11"/>
        <v>0.4</v>
      </c>
      <c r="AN85" s="4">
        <f t="shared" si="12"/>
        <v>6.0583112457402507E-4</v>
      </c>
      <c r="AO85" s="3"/>
      <c r="AP85">
        <v>0</v>
      </c>
      <c r="AR85" t="s">
        <v>0</v>
      </c>
      <c r="AT85" s="2">
        <v>2.6709999999999998</v>
      </c>
      <c r="AU85" s="1">
        <f t="shared" si="13"/>
        <v>1.9353688153741233</v>
      </c>
      <c r="AV85" s="1">
        <f t="shared" si="14"/>
        <v>1.3997157573979173</v>
      </c>
      <c r="AW85" s="1">
        <f t="shared" si="15"/>
        <v>0.86406269942171132</v>
      </c>
    </row>
    <row r="86" spans="1:49" x14ac:dyDescent="0.2">
      <c r="A86">
        <v>84</v>
      </c>
      <c r="B86" t="s">
        <v>1912</v>
      </c>
      <c r="C86" t="s">
        <v>1911</v>
      </c>
      <c r="F86" t="s">
        <v>1910</v>
      </c>
      <c r="G86" t="s">
        <v>4</v>
      </c>
      <c r="H86" t="s">
        <v>3</v>
      </c>
      <c r="I86" t="s">
        <v>1909</v>
      </c>
      <c r="J86">
        <v>60070174</v>
      </c>
      <c r="K86" t="s">
        <v>1908</v>
      </c>
      <c r="L86" t="s">
        <v>1907</v>
      </c>
      <c r="M86" t="s">
        <v>14</v>
      </c>
      <c r="N86">
        <v>2</v>
      </c>
      <c r="O86" t="s">
        <v>1906</v>
      </c>
      <c r="P86" t="s">
        <v>1905</v>
      </c>
      <c r="Q86" t="s">
        <v>1904</v>
      </c>
      <c r="R86" s="7">
        <v>33909</v>
      </c>
      <c r="S86" s="8">
        <f t="shared" si="8"/>
        <v>1992</v>
      </c>
      <c r="T86" s="8">
        <v>1992</v>
      </c>
      <c r="U86" s="8">
        <f t="shared" si="9"/>
        <v>30</v>
      </c>
      <c r="V86" s="7">
        <v>33909</v>
      </c>
      <c r="W86" t="s">
        <v>1726</v>
      </c>
      <c r="X86" s="2">
        <v>1.026</v>
      </c>
      <c r="Y86" s="6">
        <f t="shared" si="10"/>
        <v>2.738848402338432E-2</v>
      </c>
      <c r="AA86">
        <v>380938</v>
      </c>
      <c r="AB86">
        <v>28245</v>
      </c>
      <c r="AC86" t="s">
        <v>1725</v>
      </c>
      <c r="AD86" t="s">
        <v>1</v>
      </c>
      <c r="AE86">
        <v>142</v>
      </c>
      <c r="AF86">
        <v>1</v>
      </c>
      <c r="AH86" t="s">
        <v>1903</v>
      </c>
      <c r="AI86" t="s">
        <v>1902</v>
      </c>
      <c r="AK86" t="s">
        <v>1901</v>
      </c>
      <c r="AL86">
        <v>8</v>
      </c>
      <c r="AM86" s="5">
        <f t="shared" si="11"/>
        <v>0.26666666666666666</v>
      </c>
      <c r="AN86" s="4">
        <f t="shared" si="12"/>
        <v>4.0388741638268334E-4</v>
      </c>
      <c r="AO86" s="3"/>
      <c r="AP86">
        <v>0</v>
      </c>
      <c r="AR86" t="s">
        <v>0</v>
      </c>
      <c r="AT86" s="2">
        <v>2.6709999999999998</v>
      </c>
      <c r="AU86" s="1">
        <f t="shared" si="13"/>
        <v>1.9293105041283829</v>
      </c>
      <c r="AV86" s="1">
        <f t="shared" si="14"/>
        <v>1.3896185719883503</v>
      </c>
      <c r="AW86" s="1">
        <f t="shared" si="15"/>
        <v>0.8499266398483174</v>
      </c>
    </row>
    <row r="87" spans="1:49" x14ac:dyDescent="0.2">
      <c r="A87">
        <v>85</v>
      </c>
      <c r="B87" t="s">
        <v>1900</v>
      </c>
      <c r="F87" t="s">
        <v>1899</v>
      </c>
      <c r="G87" t="s">
        <v>4</v>
      </c>
      <c r="H87" t="s">
        <v>3</v>
      </c>
      <c r="I87" t="s">
        <v>1898</v>
      </c>
      <c r="N87">
        <v>2</v>
      </c>
      <c r="O87" t="s">
        <v>1897</v>
      </c>
      <c r="P87" t="s">
        <v>1896</v>
      </c>
      <c r="Q87" t="s">
        <v>45</v>
      </c>
      <c r="R87" s="7">
        <v>33909</v>
      </c>
      <c r="S87" s="8">
        <f t="shared" si="8"/>
        <v>1992</v>
      </c>
      <c r="T87" s="8">
        <v>1992</v>
      </c>
      <c r="U87" s="8">
        <f t="shared" si="9"/>
        <v>30</v>
      </c>
      <c r="V87" s="7">
        <v>33909</v>
      </c>
      <c r="W87" t="s">
        <v>36</v>
      </c>
      <c r="X87" s="2">
        <v>0.14099999999999999</v>
      </c>
      <c r="Y87" s="6">
        <f t="shared" si="10"/>
        <v>3.7639144710498915E-3</v>
      </c>
      <c r="AA87">
        <v>402508</v>
      </c>
      <c r="AB87">
        <v>20868</v>
      </c>
      <c r="AD87" t="s">
        <v>1</v>
      </c>
      <c r="AE87">
        <v>47</v>
      </c>
      <c r="AF87">
        <v>11</v>
      </c>
      <c r="AH87" t="s">
        <v>261</v>
      </c>
      <c r="AI87" t="s">
        <v>1895</v>
      </c>
      <c r="AK87" t="s">
        <v>1894</v>
      </c>
      <c r="AL87">
        <v>0</v>
      </c>
      <c r="AM87" s="5">
        <f t="shared" si="11"/>
        <v>0</v>
      </c>
      <c r="AN87" s="4">
        <f t="shared" si="12"/>
        <v>0</v>
      </c>
      <c r="AO87" s="3"/>
      <c r="AP87">
        <v>0</v>
      </c>
      <c r="AR87" t="s">
        <v>0</v>
      </c>
      <c r="AT87" s="2" t="s">
        <v>5</v>
      </c>
      <c r="AU87" s="1">
        <f t="shared" si="13"/>
        <v>0.26347401297349238</v>
      </c>
      <c r="AV87" s="1">
        <f t="shared" si="14"/>
        <v>0.18819572355249459</v>
      </c>
      <c r="AW87" s="1">
        <f t="shared" si="15"/>
        <v>0.11291743413149673</v>
      </c>
    </row>
    <row r="88" spans="1:49" x14ac:dyDescent="0.2">
      <c r="A88">
        <v>86</v>
      </c>
      <c r="B88" t="s">
        <v>1893</v>
      </c>
      <c r="F88" t="s">
        <v>1892</v>
      </c>
      <c r="G88" t="s">
        <v>4</v>
      </c>
      <c r="H88" t="s">
        <v>3</v>
      </c>
      <c r="I88" t="s">
        <v>1891</v>
      </c>
      <c r="N88">
        <v>2</v>
      </c>
      <c r="O88" t="s">
        <v>1890</v>
      </c>
      <c r="P88" t="s">
        <v>1889</v>
      </c>
      <c r="Q88" t="s">
        <v>45</v>
      </c>
      <c r="R88" s="7">
        <v>33909</v>
      </c>
      <c r="S88" s="8">
        <f t="shared" si="8"/>
        <v>1992</v>
      </c>
      <c r="T88" s="8">
        <v>1992</v>
      </c>
      <c r="U88" s="8">
        <f t="shared" si="9"/>
        <v>30</v>
      </c>
      <c r="V88" s="7">
        <v>33909</v>
      </c>
      <c r="W88" t="s">
        <v>36</v>
      </c>
      <c r="X88" s="2">
        <v>0.14099999999999999</v>
      </c>
      <c r="Y88" s="6">
        <f t="shared" si="10"/>
        <v>3.7639144710498915E-3</v>
      </c>
      <c r="AA88">
        <v>402508</v>
      </c>
      <c r="AB88">
        <v>20868</v>
      </c>
      <c r="AD88" t="s">
        <v>1</v>
      </c>
      <c r="AE88">
        <v>47</v>
      </c>
      <c r="AF88">
        <v>11</v>
      </c>
      <c r="AH88" t="s">
        <v>1888</v>
      </c>
      <c r="AI88" t="s">
        <v>1887</v>
      </c>
      <c r="AK88" t="s">
        <v>1886</v>
      </c>
      <c r="AL88">
        <v>0</v>
      </c>
      <c r="AM88" s="5">
        <f t="shared" si="11"/>
        <v>0</v>
      </c>
      <c r="AN88" s="4">
        <f t="shared" si="12"/>
        <v>0</v>
      </c>
      <c r="AO88" s="3"/>
      <c r="AP88">
        <v>0</v>
      </c>
      <c r="AR88" t="s">
        <v>0</v>
      </c>
      <c r="AT88" s="2" t="s">
        <v>5</v>
      </c>
      <c r="AU88" s="1">
        <f t="shared" si="13"/>
        <v>0.26347401297349238</v>
      </c>
      <c r="AV88" s="1">
        <f t="shared" si="14"/>
        <v>0.18819572355249459</v>
      </c>
      <c r="AW88" s="1">
        <f t="shared" si="15"/>
        <v>0.11291743413149673</v>
      </c>
    </row>
    <row r="89" spans="1:49" x14ac:dyDescent="0.2">
      <c r="A89">
        <v>87</v>
      </c>
      <c r="B89" t="s">
        <v>1885</v>
      </c>
      <c r="F89" t="s">
        <v>1884</v>
      </c>
      <c r="G89" t="s">
        <v>4</v>
      </c>
      <c r="H89" t="s">
        <v>3</v>
      </c>
      <c r="I89" t="s">
        <v>1883</v>
      </c>
      <c r="N89">
        <v>1</v>
      </c>
      <c r="O89" t="s">
        <v>1882</v>
      </c>
      <c r="P89">
        <v>6505963660</v>
      </c>
      <c r="R89" s="7">
        <v>33909</v>
      </c>
      <c r="S89" s="8">
        <f t="shared" si="8"/>
        <v>1992</v>
      </c>
      <c r="T89" s="8">
        <v>1992</v>
      </c>
      <c r="U89" s="8">
        <f t="shared" si="9"/>
        <v>30</v>
      </c>
      <c r="V89" s="7">
        <v>33909</v>
      </c>
      <c r="W89" t="s">
        <v>36</v>
      </c>
      <c r="X89" s="2">
        <v>0.14099999999999999</v>
      </c>
      <c r="Y89" s="6">
        <f t="shared" si="10"/>
        <v>3.7639144710498915E-3</v>
      </c>
      <c r="AA89">
        <v>402508</v>
      </c>
      <c r="AB89">
        <v>20868</v>
      </c>
      <c r="AD89" t="s">
        <v>1</v>
      </c>
      <c r="AE89">
        <v>47</v>
      </c>
      <c r="AF89">
        <v>11</v>
      </c>
      <c r="AH89" s="10">
        <v>42675</v>
      </c>
      <c r="AI89" t="s">
        <v>1881</v>
      </c>
      <c r="AK89" t="s">
        <v>1880</v>
      </c>
      <c r="AL89">
        <v>0</v>
      </c>
      <c r="AM89" s="5">
        <f t="shared" si="11"/>
        <v>0</v>
      </c>
      <c r="AN89" s="4">
        <f t="shared" si="12"/>
        <v>0</v>
      </c>
      <c r="AO89" s="3"/>
      <c r="AP89">
        <v>0</v>
      </c>
      <c r="AR89" t="s">
        <v>0</v>
      </c>
      <c r="AT89" s="2" t="s">
        <v>5</v>
      </c>
      <c r="AU89" s="1">
        <f t="shared" si="13"/>
        <v>0.26347401297349238</v>
      </c>
      <c r="AV89" s="1">
        <f t="shared" si="14"/>
        <v>0.18819572355249459</v>
      </c>
      <c r="AW89" s="1">
        <f t="shared" si="15"/>
        <v>0.11291743413149673</v>
      </c>
    </row>
    <row r="90" spans="1:49" x14ac:dyDescent="0.2">
      <c r="A90">
        <v>88</v>
      </c>
      <c r="B90" t="s">
        <v>1879</v>
      </c>
      <c r="F90" t="s">
        <v>1878</v>
      </c>
      <c r="G90" t="s">
        <v>4</v>
      </c>
      <c r="H90" t="s">
        <v>3</v>
      </c>
      <c r="I90" t="s">
        <v>1877</v>
      </c>
      <c r="N90">
        <v>2</v>
      </c>
      <c r="O90" t="s">
        <v>1876</v>
      </c>
      <c r="P90" t="s">
        <v>1875</v>
      </c>
      <c r="Q90" t="s">
        <v>45</v>
      </c>
      <c r="R90" s="7">
        <v>33909</v>
      </c>
      <c r="S90" s="8">
        <f t="shared" si="8"/>
        <v>1992</v>
      </c>
      <c r="T90" s="8">
        <v>1992</v>
      </c>
      <c r="U90" s="8">
        <f t="shared" si="9"/>
        <v>30</v>
      </c>
      <c r="V90" s="7">
        <v>33909</v>
      </c>
      <c r="W90" t="s">
        <v>36</v>
      </c>
      <c r="X90" s="2">
        <v>0.14099999999999999</v>
      </c>
      <c r="Y90" s="6">
        <f t="shared" si="10"/>
        <v>3.7639144710498915E-3</v>
      </c>
      <c r="AA90">
        <v>402508</v>
      </c>
      <c r="AB90">
        <v>20868</v>
      </c>
      <c r="AD90" t="s">
        <v>1</v>
      </c>
      <c r="AE90">
        <v>47</v>
      </c>
      <c r="AF90">
        <v>11</v>
      </c>
      <c r="AH90" t="s">
        <v>1874</v>
      </c>
      <c r="AI90" t="s">
        <v>1873</v>
      </c>
      <c r="AK90" t="s">
        <v>1872</v>
      </c>
      <c r="AL90">
        <v>0</v>
      </c>
      <c r="AM90" s="5">
        <f t="shared" si="11"/>
        <v>0</v>
      </c>
      <c r="AN90" s="4">
        <f t="shared" si="12"/>
        <v>0</v>
      </c>
      <c r="AO90" s="3"/>
      <c r="AP90">
        <v>0</v>
      </c>
      <c r="AR90" t="s">
        <v>0</v>
      </c>
      <c r="AT90" s="2" t="s">
        <v>5</v>
      </c>
      <c r="AU90" s="1">
        <f t="shared" si="13"/>
        <v>0.26347401297349238</v>
      </c>
      <c r="AV90" s="1">
        <f t="shared" si="14"/>
        <v>0.18819572355249459</v>
      </c>
      <c r="AW90" s="1">
        <f t="shared" si="15"/>
        <v>0.11291743413149673</v>
      </c>
    </row>
    <row r="91" spans="1:49" x14ac:dyDescent="0.2">
      <c r="A91">
        <v>89</v>
      </c>
      <c r="B91" t="s">
        <v>1871</v>
      </c>
      <c r="F91" t="s">
        <v>1870</v>
      </c>
      <c r="G91" t="s">
        <v>4</v>
      </c>
      <c r="H91" t="s">
        <v>3</v>
      </c>
      <c r="I91" t="s">
        <v>1869</v>
      </c>
      <c r="N91">
        <v>1</v>
      </c>
      <c r="O91" t="s">
        <v>1868</v>
      </c>
      <c r="P91">
        <v>7101981338</v>
      </c>
      <c r="R91" s="7">
        <v>33909</v>
      </c>
      <c r="S91" s="8">
        <f t="shared" si="8"/>
        <v>1992</v>
      </c>
      <c r="T91" s="8">
        <v>1992</v>
      </c>
      <c r="U91" s="8">
        <f t="shared" si="9"/>
        <v>30</v>
      </c>
      <c r="V91" s="7">
        <v>33909</v>
      </c>
      <c r="W91" t="s">
        <v>36</v>
      </c>
      <c r="X91" s="2">
        <v>0.14099999999999999</v>
      </c>
      <c r="Y91" s="6">
        <f t="shared" si="10"/>
        <v>3.7639144710498915E-3</v>
      </c>
      <c r="AA91">
        <v>402508</v>
      </c>
      <c r="AB91">
        <v>20868</v>
      </c>
      <c r="AD91" t="s">
        <v>1</v>
      </c>
      <c r="AE91">
        <v>47</v>
      </c>
      <c r="AF91">
        <v>11</v>
      </c>
      <c r="AH91" t="s">
        <v>1867</v>
      </c>
      <c r="AI91" t="s">
        <v>1866</v>
      </c>
      <c r="AK91" t="s">
        <v>1865</v>
      </c>
      <c r="AL91">
        <v>0</v>
      </c>
      <c r="AM91" s="5">
        <f t="shared" si="11"/>
        <v>0</v>
      </c>
      <c r="AN91" s="4">
        <f t="shared" si="12"/>
        <v>0</v>
      </c>
      <c r="AO91" s="3"/>
      <c r="AP91">
        <v>0</v>
      </c>
      <c r="AR91" t="s">
        <v>0</v>
      </c>
      <c r="AT91" s="2" t="s">
        <v>5</v>
      </c>
      <c r="AU91" s="1">
        <f t="shared" si="13"/>
        <v>0.26347401297349238</v>
      </c>
      <c r="AV91" s="1">
        <f t="shared" si="14"/>
        <v>0.18819572355249459</v>
      </c>
      <c r="AW91" s="1">
        <f t="shared" si="15"/>
        <v>0.11291743413149673</v>
      </c>
    </row>
    <row r="92" spans="1:49" x14ac:dyDescent="0.2">
      <c r="A92">
        <v>90</v>
      </c>
      <c r="B92" t="s">
        <v>1864</v>
      </c>
      <c r="F92" t="s">
        <v>1863</v>
      </c>
      <c r="G92" t="s">
        <v>4</v>
      </c>
      <c r="H92" t="s">
        <v>3</v>
      </c>
      <c r="I92" t="s">
        <v>1862</v>
      </c>
      <c r="N92">
        <v>3</v>
      </c>
      <c r="O92" t="s">
        <v>1861</v>
      </c>
      <c r="P92" t="s">
        <v>1860</v>
      </c>
      <c r="Q92" t="s">
        <v>71</v>
      </c>
      <c r="R92" s="7">
        <v>33909</v>
      </c>
      <c r="S92" s="8">
        <f t="shared" si="8"/>
        <v>1992</v>
      </c>
      <c r="T92" s="8">
        <v>1992</v>
      </c>
      <c r="U92" s="8">
        <f t="shared" si="9"/>
        <v>30</v>
      </c>
      <c r="V92" s="7">
        <v>33909</v>
      </c>
      <c r="W92" t="s">
        <v>36</v>
      </c>
      <c r="X92" s="2">
        <v>0.14099999999999999</v>
      </c>
      <c r="Y92" s="6">
        <f t="shared" si="10"/>
        <v>3.7639144710498915E-3</v>
      </c>
      <c r="AA92">
        <v>402508</v>
      </c>
      <c r="AB92">
        <v>20868</v>
      </c>
      <c r="AD92" t="s">
        <v>1</v>
      </c>
      <c r="AE92">
        <v>47</v>
      </c>
      <c r="AF92">
        <v>11</v>
      </c>
      <c r="AH92" t="s">
        <v>272</v>
      </c>
      <c r="AI92" t="s">
        <v>1859</v>
      </c>
      <c r="AK92" t="s">
        <v>1858</v>
      </c>
      <c r="AL92">
        <v>0</v>
      </c>
      <c r="AM92" s="5">
        <f t="shared" si="11"/>
        <v>0</v>
      </c>
      <c r="AN92" s="4">
        <f t="shared" si="12"/>
        <v>0</v>
      </c>
      <c r="AO92" s="3"/>
      <c r="AP92">
        <v>0</v>
      </c>
      <c r="AR92" t="s">
        <v>0</v>
      </c>
      <c r="AT92" s="2" t="s">
        <v>5</v>
      </c>
      <c r="AU92" s="1">
        <f t="shared" si="13"/>
        <v>0.26347401297349238</v>
      </c>
      <c r="AV92" s="1">
        <f t="shared" si="14"/>
        <v>0.18819572355249459</v>
      </c>
      <c r="AW92" s="1">
        <f t="shared" si="15"/>
        <v>0.11291743413149673</v>
      </c>
    </row>
    <row r="93" spans="1:49" x14ac:dyDescent="0.2">
      <c r="A93">
        <v>91</v>
      </c>
      <c r="B93" t="s">
        <v>1857</v>
      </c>
      <c r="F93" t="s">
        <v>1856</v>
      </c>
      <c r="G93" t="s">
        <v>4</v>
      </c>
      <c r="H93" t="s">
        <v>3</v>
      </c>
      <c r="I93" t="s">
        <v>1855</v>
      </c>
      <c r="N93">
        <v>2</v>
      </c>
      <c r="O93" t="s">
        <v>1854</v>
      </c>
      <c r="P93" t="s">
        <v>1853</v>
      </c>
      <c r="Q93" t="s">
        <v>45</v>
      </c>
      <c r="R93" s="7">
        <v>33909</v>
      </c>
      <c r="S93" s="8">
        <f t="shared" si="8"/>
        <v>1992</v>
      </c>
      <c r="T93" s="8">
        <v>1992</v>
      </c>
      <c r="U93" s="8">
        <f t="shared" si="9"/>
        <v>30</v>
      </c>
      <c r="V93" s="7">
        <v>33909</v>
      </c>
      <c r="W93" t="s">
        <v>36</v>
      </c>
      <c r="X93" s="2">
        <v>0.14099999999999999</v>
      </c>
      <c r="Y93" s="6">
        <f t="shared" si="10"/>
        <v>3.7639144710498915E-3</v>
      </c>
      <c r="AA93">
        <v>402508</v>
      </c>
      <c r="AB93">
        <v>20868</v>
      </c>
      <c r="AD93" t="s">
        <v>1</v>
      </c>
      <c r="AE93">
        <v>47</v>
      </c>
      <c r="AF93">
        <v>11</v>
      </c>
      <c r="AH93" s="9">
        <v>44470</v>
      </c>
      <c r="AI93" t="s">
        <v>1852</v>
      </c>
      <c r="AK93" t="s">
        <v>1851</v>
      </c>
      <c r="AL93">
        <v>0</v>
      </c>
      <c r="AM93" s="5">
        <f t="shared" si="11"/>
        <v>0</v>
      </c>
      <c r="AN93" s="4">
        <f t="shared" si="12"/>
        <v>0</v>
      </c>
      <c r="AO93" s="3"/>
      <c r="AP93">
        <v>0</v>
      </c>
      <c r="AR93" t="s">
        <v>0</v>
      </c>
      <c r="AT93" s="2" t="s">
        <v>5</v>
      </c>
      <c r="AU93" s="1">
        <f t="shared" si="13"/>
        <v>0.26347401297349238</v>
      </c>
      <c r="AV93" s="1">
        <f t="shared" si="14"/>
        <v>0.18819572355249459</v>
      </c>
      <c r="AW93" s="1">
        <f t="shared" si="15"/>
        <v>0.11291743413149673</v>
      </c>
    </row>
    <row r="94" spans="1:49" x14ac:dyDescent="0.2">
      <c r="A94">
        <v>92</v>
      </c>
      <c r="B94" t="s">
        <v>1850</v>
      </c>
      <c r="F94" t="s">
        <v>1849</v>
      </c>
      <c r="G94" t="s">
        <v>4</v>
      </c>
      <c r="H94" t="s">
        <v>3</v>
      </c>
      <c r="I94" t="s">
        <v>1848</v>
      </c>
      <c r="N94">
        <v>2</v>
      </c>
      <c r="O94" t="s">
        <v>1847</v>
      </c>
      <c r="P94" t="s">
        <v>1846</v>
      </c>
      <c r="Q94" t="s">
        <v>45</v>
      </c>
      <c r="R94" s="7">
        <v>33909</v>
      </c>
      <c r="S94" s="8">
        <f t="shared" si="8"/>
        <v>1992</v>
      </c>
      <c r="T94" s="8">
        <v>1992</v>
      </c>
      <c r="U94" s="8">
        <f t="shared" si="9"/>
        <v>30</v>
      </c>
      <c r="V94" s="7">
        <v>33909</v>
      </c>
      <c r="W94" t="s">
        <v>36</v>
      </c>
      <c r="X94" s="2">
        <v>0.14099999999999999</v>
      </c>
      <c r="Y94" s="6">
        <f t="shared" si="10"/>
        <v>3.7639144710498915E-3</v>
      </c>
      <c r="AA94">
        <v>402508</v>
      </c>
      <c r="AB94">
        <v>20868</v>
      </c>
      <c r="AD94" t="s">
        <v>1</v>
      </c>
      <c r="AE94">
        <v>47</v>
      </c>
      <c r="AF94">
        <v>11</v>
      </c>
      <c r="AH94" t="s">
        <v>1845</v>
      </c>
      <c r="AI94" t="s">
        <v>1844</v>
      </c>
      <c r="AK94" t="s">
        <v>1843</v>
      </c>
      <c r="AL94">
        <v>0</v>
      </c>
      <c r="AM94" s="5">
        <f t="shared" si="11"/>
        <v>0</v>
      </c>
      <c r="AN94" s="4">
        <f t="shared" si="12"/>
        <v>0</v>
      </c>
      <c r="AO94" s="3"/>
      <c r="AP94">
        <v>0</v>
      </c>
      <c r="AR94" t="s">
        <v>0</v>
      </c>
      <c r="AT94" s="2" t="s">
        <v>5</v>
      </c>
      <c r="AU94" s="1">
        <f t="shared" si="13"/>
        <v>0.26347401297349238</v>
      </c>
      <c r="AV94" s="1">
        <f t="shared" si="14"/>
        <v>0.18819572355249459</v>
      </c>
      <c r="AW94" s="1">
        <f t="shared" si="15"/>
        <v>0.11291743413149673</v>
      </c>
    </row>
    <row r="95" spans="1:49" x14ac:dyDescent="0.2">
      <c r="A95">
        <v>93</v>
      </c>
      <c r="B95" t="s">
        <v>1842</v>
      </c>
      <c r="F95" t="s">
        <v>1841</v>
      </c>
      <c r="G95" t="s">
        <v>4</v>
      </c>
      <c r="H95" t="s">
        <v>3</v>
      </c>
      <c r="I95" t="s">
        <v>1840</v>
      </c>
      <c r="N95">
        <v>4</v>
      </c>
      <c r="O95" t="s">
        <v>1839</v>
      </c>
      <c r="P95" t="s">
        <v>1838</v>
      </c>
      <c r="Q95" t="s">
        <v>84</v>
      </c>
      <c r="R95" s="7">
        <v>33909</v>
      </c>
      <c r="S95" s="8">
        <f t="shared" si="8"/>
        <v>1992</v>
      </c>
      <c r="T95" s="8">
        <v>1992</v>
      </c>
      <c r="U95" s="8">
        <f t="shared" si="9"/>
        <v>30</v>
      </c>
      <c r="V95" s="7">
        <v>33909</v>
      </c>
      <c r="W95" t="s">
        <v>36</v>
      </c>
      <c r="X95" s="2">
        <v>0.14099999999999999</v>
      </c>
      <c r="Y95" s="6">
        <f t="shared" si="10"/>
        <v>3.7639144710498915E-3</v>
      </c>
      <c r="AA95">
        <v>402508</v>
      </c>
      <c r="AB95">
        <v>20868</v>
      </c>
      <c r="AD95" t="s">
        <v>1</v>
      </c>
      <c r="AE95">
        <v>47</v>
      </c>
      <c r="AF95">
        <v>11</v>
      </c>
      <c r="AH95" t="s">
        <v>1837</v>
      </c>
      <c r="AI95" t="s">
        <v>1836</v>
      </c>
      <c r="AK95" t="s">
        <v>1835</v>
      </c>
      <c r="AL95">
        <v>0</v>
      </c>
      <c r="AM95" s="5">
        <f t="shared" si="11"/>
        <v>0</v>
      </c>
      <c r="AN95" s="4">
        <f t="shared" si="12"/>
        <v>0</v>
      </c>
      <c r="AO95" s="3"/>
      <c r="AP95">
        <v>0</v>
      </c>
      <c r="AR95" t="s">
        <v>0</v>
      </c>
      <c r="AT95" s="2" t="s">
        <v>5</v>
      </c>
      <c r="AU95" s="1">
        <f t="shared" si="13"/>
        <v>0.26347401297349238</v>
      </c>
      <c r="AV95" s="1">
        <f t="shared" si="14"/>
        <v>0.18819572355249459</v>
      </c>
      <c r="AW95" s="1">
        <f t="shared" si="15"/>
        <v>0.11291743413149673</v>
      </c>
    </row>
    <row r="96" spans="1:49" x14ac:dyDescent="0.2">
      <c r="A96">
        <v>94</v>
      </c>
      <c r="B96" t="s">
        <v>1834</v>
      </c>
      <c r="C96" t="s">
        <v>1833</v>
      </c>
      <c r="F96" t="s">
        <v>1832</v>
      </c>
      <c r="G96" t="s">
        <v>4</v>
      </c>
      <c r="H96" t="s">
        <v>3</v>
      </c>
      <c r="I96" t="s">
        <v>1831</v>
      </c>
      <c r="J96">
        <v>60031293</v>
      </c>
      <c r="K96" t="s">
        <v>1830</v>
      </c>
      <c r="L96" t="s">
        <v>42</v>
      </c>
      <c r="M96" t="s">
        <v>12</v>
      </c>
      <c r="N96">
        <v>4</v>
      </c>
      <c r="O96" t="s">
        <v>1829</v>
      </c>
      <c r="P96" t="s">
        <v>1828</v>
      </c>
      <c r="Q96" t="s">
        <v>1827</v>
      </c>
      <c r="R96" s="7">
        <v>33909</v>
      </c>
      <c r="S96" s="8">
        <f t="shared" si="8"/>
        <v>1992</v>
      </c>
      <c r="T96" s="8">
        <v>1992</v>
      </c>
      <c r="U96" s="8">
        <f t="shared" si="9"/>
        <v>30</v>
      </c>
      <c r="V96" s="7">
        <v>33909</v>
      </c>
      <c r="W96" t="s">
        <v>33</v>
      </c>
      <c r="X96" s="2">
        <v>0.65500000000000003</v>
      </c>
      <c r="Y96" s="6">
        <f t="shared" si="10"/>
        <v>1.7484850911614749E-2</v>
      </c>
      <c r="AA96">
        <v>189375</v>
      </c>
      <c r="AB96">
        <v>26051</v>
      </c>
      <c r="AD96" t="s">
        <v>1</v>
      </c>
      <c r="AE96">
        <v>34</v>
      </c>
      <c r="AF96">
        <v>4</v>
      </c>
      <c r="AH96" t="s">
        <v>1826</v>
      </c>
      <c r="AI96" t="s">
        <v>1825</v>
      </c>
      <c r="AK96" t="s">
        <v>1824</v>
      </c>
      <c r="AL96">
        <v>3</v>
      </c>
      <c r="AM96" s="5">
        <f t="shared" si="11"/>
        <v>0.1</v>
      </c>
      <c r="AN96" s="4">
        <f t="shared" si="12"/>
        <v>1.5145778114350627E-4</v>
      </c>
      <c r="AO96" s="3"/>
      <c r="AP96">
        <v>0</v>
      </c>
      <c r="AR96" t="s">
        <v>0</v>
      </c>
      <c r="AT96" s="2" t="s">
        <v>5</v>
      </c>
      <c r="AU96" s="1">
        <f t="shared" si="13"/>
        <v>1.2284832972473376</v>
      </c>
      <c r="AV96" s="1">
        <f t="shared" si="14"/>
        <v>0.88181543463791268</v>
      </c>
      <c r="AW96" s="1">
        <f t="shared" si="15"/>
        <v>0.53514757202848795</v>
      </c>
    </row>
    <row r="97" spans="1:49" x14ac:dyDescent="0.2">
      <c r="A97">
        <v>95</v>
      </c>
      <c r="B97" t="s">
        <v>1823</v>
      </c>
      <c r="C97" t="s">
        <v>1822</v>
      </c>
      <c r="F97" t="s">
        <v>1821</v>
      </c>
      <c r="G97" t="s">
        <v>4</v>
      </c>
      <c r="H97" t="s">
        <v>3</v>
      </c>
      <c r="I97" t="s">
        <v>1820</v>
      </c>
      <c r="N97">
        <v>3</v>
      </c>
      <c r="O97" t="s">
        <v>1819</v>
      </c>
      <c r="P97" t="s">
        <v>1818</v>
      </c>
      <c r="Q97" t="s">
        <v>71</v>
      </c>
      <c r="R97" s="7">
        <v>33909</v>
      </c>
      <c r="S97" s="8">
        <f t="shared" si="8"/>
        <v>1992</v>
      </c>
      <c r="T97" s="8">
        <v>1992</v>
      </c>
      <c r="U97" s="8">
        <f t="shared" si="9"/>
        <v>30</v>
      </c>
      <c r="V97" s="7">
        <v>33909</v>
      </c>
      <c r="W97" t="s">
        <v>33</v>
      </c>
      <c r="X97" s="2">
        <v>0.65500000000000003</v>
      </c>
      <c r="Y97" s="6">
        <f t="shared" si="10"/>
        <v>1.7484850911614749E-2</v>
      </c>
      <c r="AA97">
        <v>189375</v>
      </c>
      <c r="AB97">
        <v>26051</v>
      </c>
      <c r="AD97" t="s">
        <v>1</v>
      </c>
      <c r="AE97">
        <v>34</v>
      </c>
      <c r="AF97">
        <v>4</v>
      </c>
      <c r="AH97" t="s">
        <v>1817</v>
      </c>
      <c r="AI97" t="s">
        <v>1816</v>
      </c>
      <c r="AK97" t="s">
        <v>1815</v>
      </c>
      <c r="AL97">
        <v>19</v>
      </c>
      <c r="AM97" s="5">
        <f t="shared" si="11"/>
        <v>0.6333333333333333</v>
      </c>
      <c r="AN97" s="4">
        <f t="shared" si="12"/>
        <v>9.5923261390887281E-4</v>
      </c>
      <c r="AO97" s="3"/>
      <c r="AP97">
        <v>0</v>
      </c>
      <c r="AR97" t="s">
        <v>0</v>
      </c>
      <c r="AT97" s="2" t="s">
        <v>5</v>
      </c>
      <c r="AU97" s="1">
        <f t="shared" si="13"/>
        <v>1.2527165422302984</v>
      </c>
      <c r="AV97" s="1">
        <f t="shared" si="14"/>
        <v>0.92220417627618101</v>
      </c>
      <c r="AW97" s="1">
        <f t="shared" si="15"/>
        <v>0.59169181032206353</v>
      </c>
    </row>
    <row r="98" spans="1:49" x14ac:dyDescent="0.2">
      <c r="A98">
        <v>96</v>
      </c>
      <c r="B98" t="s">
        <v>1814</v>
      </c>
      <c r="C98" t="s">
        <v>1813</v>
      </c>
      <c r="F98" t="s">
        <v>1812</v>
      </c>
      <c r="G98" t="s">
        <v>4</v>
      </c>
      <c r="H98" t="s">
        <v>3</v>
      </c>
      <c r="I98" t="s">
        <v>1811</v>
      </c>
      <c r="N98">
        <v>4</v>
      </c>
      <c r="O98" t="s">
        <v>1810</v>
      </c>
      <c r="P98" t="s">
        <v>1809</v>
      </c>
      <c r="Q98" t="s">
        <v>84</v>
      </c>
      <c r="R98" s="7">
        <v>33909</v>
      </c>
      <c r="S98" s="8">
        <f t="shared" si="8"/>
        <v>1992</v>
      </c>
      <c r="T98" s="8">
        <v>1992</v>
      </c>
      <c r="U98" s="8">
        <f t="shared" si="9"/>
        <v>30</v>
      </c>
      <c r="V98" s="7">
        <v>33909</v>
      </c>
      <c r="W98" t="s">
        <v>33</v>
      </c>
      <c r="X98" s="2">
        <v>0.65500000000000003</v>
      </c>
      <c r="Y98" s="6">
        <f t="shared" si="10"/>
        <v>1.7484850911614749E-2</v>
      </c>
      <c r="AA98">
        <v>189375</v>
      </c>
      <c r="AB98">
        <v>26051</v>
      </c>
      <c r="AD98" t="s">
        <v>1</v>
      </c>
      <c r="AE98">
        <v>34</v>
      </c>
      <c r="AF98">
        <v>4</v>
      </c>
      <c r="AH98" t="s">
        <v>1808</v>
      </c>
      <c r="AI98" t="s">
        <v>1807</v>
      </c>
      <c r="AK98" t="s">
        <v>1806</v>
      </c>
      <c r="AL98">
        <v>115</v>
      </c>
      <c r="AM98" s="5">
        <f t="shared" si="11"/>
        <v>3.8333333333333335</v>
      </c>
      <c r="AN98" s="4">
        <f t="shared" si="12"/>
        <v>5.805881610501073E-3</v>
      </c>
      <c r="AO98" s="3"/>
      <c r="AP98">
        <v>0</v>
      </c>
      <c r="AR98" t="s">
        <v>0</v>
      </c>
      <c r="AT98" s="2" t="s">
        <v>5</v>
      </c>
      <c r="AU98" s="1">
        <f t="shared" si="13"/>
        <v>1.3981160121280645</v>
      </c>
      <c r="AV98" s="1">
        <f t="shared" si="14"/>
        <v>1.164536626105791</v>
      </c>
      <c r="AW98" s="1">
        <f t="shared" si="15"/>
        <v>0.93095724008351766</v>
      </c>
    </row>
    <row r="99" spans="1:49" x14ac:dyDescent="0.2">
      <c r="A99">
        <v>97</v>
      </c>
      <c r="B99" t="s">
        <v>1805</v>
      </c>
      <c r="C99" t="s">
        <v>1804</v>
      </c>
      <c r="F99" t="s">
        <v>1803</v>
      </c>
      <c r="G99" t="s">
        <v>4</v>
      </c>
      <c r="H99" t="s">
        <v>3</v>
      </c>
      <c r="I99" t="s">
        <v>1802</v>
      </c>
      <c r="J99">
        <v>107048878</v>
      </c>
      <c r="K99" t="s">
        <v>1801</v>
      </c>
      <c r="L99" t="s">
        <v>1800</v>
      </c>
      <c r="M99" t="s">
        <v>38</v>
      </c>
      <c r="N99">
        <v>1</v>
      </c>
      <c r="O99" t="s">
        <v>1799</v>
      </c>
      <c r="P99">
        <v>7004289277</v>
      </c>
      <c r="Q99">
        <v>107048878</v>
      </c>
      <c r="R99" s="7">
        <v>33909</v>
      </c>
      <c r="S99" s="8">
        <f t="shared" si="8"/>
        <v>1992</v>
      </c>
      <c r="T99" s="8">
        <v>1992</v>
      </c>
      <c r="U99" s="8">
        <f t="shared" si="9"/>
        <v>30</v>
      </c>
      <c r="V99" s="7">
        <v>33909</v>
      </c>
      <c r="W99" t="s">
        <v>96</v>
      </c>
      <c r="X99" s="2">
        <v>0.33800000000000002</v>
      </c>
      <c r="Y99" s="6">
        <f t="shared" si="10"/>
        <v>9.0227169589706634E-3</v>
      </c>
      <c r="AA99">
        <v>34347</v>
      </c>
      <c r="AB99">
        <v>17722</v>
      </c>
      <c r="AC99">
        <v>19589395</v>
      </c>
      <c r="AD99" t="s">
        <v>1</v>
      </c>
      <c r="AE99">
        <v>47</v>
      </c>
      <c r="AF99" s="9">
        <v>44541</v>
      </c>
      <c r="AH99" t="s">
        <v>1798</v>
      </c>
      <c r="AI99" t="s">
        <v>1797</v>
      </c>
      <c r="AJ99" t="s">
        <v>1796</v>
      </c>
      <c r="AK99" t="s">
        <v>1795</v>
      </c>
      <c r="AL99">
        <v>0</v>
      </c>
      <c r="AM99" s="5">
        <f t="shared" si="11"/>
        <v>0</v>
      </c>
      <c r="AN99" s="4">
        <f t="shared" si="12"/>
        <v>0</v>
      </c>
      <c r="AO99" s="3"/>
      <c r="AP99">
        <v>0</v>
      </c>
      <c r="AR99" t="s">
        <v>0</v>
      </c>
      <c r="AT99" s="2" t="s">
        <v>5</v>
      </c>
      <c r="AU99" s="1">
        <f t="shared" si="13"/>
        <v>0.63159018712794635</v>
      </c>
      <c r="AV99" s="1">
        <f t="shared" si="14"/>
        <v>0.45113584794853318</v>
      </c>
      <c r="AW99" s="1">
        <f t="shared" si="15"/>
        <v>0.27068150876911989</v>
      </c>
    </row>
    <row r="100" spans="1:49" x14ac:dyDescent="0.2">
      <c r="A100">
        <v>98</v>
      </c>
      <c r="B100" t="s">
        <v>1794</v>
      </c>
      <c r="C100" t="s">
        <v>1793</v>
      </c>
      <c r="F100" t="s">
        <v>1792</v>
      </c>
      <c r="G100" t="s">
        <v>4</v>
      </c>
      <c r="H100" t="s">
        <v>3</v>
      </c>
      <c r="I100" t="s">
        <v>1791</v>
      </c>
      <c r="N100">
        <v>1</v>
      </c>
      <c r="O100" t="s">
        <v>1790</v>
      </c>
      <c r="P100">
        <v>35612041100</v>
      </c>
      <c r="R100" s="7">
        <v>33909</v>
      </c>
      <c r="S100" s="8">
        <f t="shared" si="8"/>
        <v>1992</v>
      </c>
      <c r="T100" s="8">
        <v>1992</v>
      </c>
      <c r="U100" s="8">
        <f t="shared" si="9"/>
        <v>30</v>
      </c>
      <c r="V100" s="7">
        <v>33909</v>
      </c>
      <c r="W100" t="s">
        <v>33</v>
      </c>
      <c r="X100" s="2">
        <v>0.65500000000000003</v>
      </c>
      <c r="Y100" s="6">
        <f t="shared" si="10"/>
        <v>1.7484850911614749E-2</v>
      </c>
      <c r="AA100">
        <v>189375</v>
      </c>
      <c r="AB100">
        <v>26051</v>
      </c>
      <c r="AD100" t="s">
        <v>1</v>
      </c>
      <c r="AE100">
        <v>34</v>
      </c>
      <c r="AF100">
        <v>4</v>
      </c>
      <c r="AH100" t="s">
        <v>1789</v>
      </c>
      <c r="AI100" t="s">
        <v>1788</v>
      </c>
      <c r="AK100" t="s">
        <v>1787</v>
      </c>
      <c r="AL100">
        <v>3</v>
      </c>
      <c r="AM100" s="5">
        <f t="shared" si="11"/>
        <v>0.1</v>
      </c>
      <c r="AN100" s="4">
        <f t="shared" si="12"/>
        <v>1.5145778114350627E-4</v>
      </c>
      <c r="AO100" s="3"/>
      <c r="AP100">
        <v>0</v>
      </c>
      <c r="AR100" t="s">
        <v>0</v>
      </c>
      <c r="AT100" s="2" t="s">
        <v>5</v>
      </c>
      <c r="AU100" s="1">
        <f t="shared" si="13"/>
        <v>1.2284832972473376</v>
      </c>
      <c r="AV100" s="1">
        <f t="shared" si="14"/>
        <v>0.88181543463791268</v>
      </c>
      <c r="AW100" s="1">
        <f t="shared" si="15"/>
        <v>0.53514757202848795</v>
      </c>
    </row>
    <row r="101" spans="1:49" x14ac:dyDescent="0.2">
      <c r="A101">
        <v>99</v>
      </c>
      <c r="B101" t="s">
        <v>1786</v>
      </c>
      <c r="C101" t="s">
        <v>1785</v>
      </c>
      <c r="F101" t="s">
        <v>1784</v>
      </c>
      <c r="G101" t="s">
        <v>4</v>
      </c>
      <c r="H101" t="s">
        <v>3</v>
      </c>
      <c r="I101" t="s">
        <v>1783</v>
      </c>
      <c r="J101">
        <v>60007566</v>
      </c>
      <c r="K101" t="s">
        <v>1782</v>
      </c>
      <c r="L101" t="s">
        <v>1781</v>
      </c>
      <c r="M101" t="s">
        <v>2</v>
      </c>
      <c r="N101">
        <v>5</v>
      </c>
      <c r="O101" t="s">
        <v>1780</v>
      </c>
      <c r="P101" t="s">
        <v>1779</v>
      </c>
      <c r="Q101" t="s">
        <v>1778</v>
      </c>
      <c r="R101" s="7">
        <v>33909</v>
      </c>
      <c r="S101" s="8">
        <f t="shared" si="8"/>
        <v>1992</v>
      </c>
      <c r="T101" s="8">
        <v>1992</v>
      </c>
      <c r="U101" s="8">
        <f t="shared" si="9"/>
        <v>30</v>
      </c>
      <c r="V101" s="7">
        <v>33909</v>
      </c>
      <c r="W101" t="s">
        <v>33</v>
      </c>
      <c r="X101" s="2">
        <v>0.65500000000000003</v>
      </c>
      <c r="Y101" s="6">
        <f t="shared" si="10"/>
        <v>1.7484850911614749E-2</v>
      </c>
      <c r="AA101">
        <v>189375</v>
      </c>
      <c r="AB101">
        <v>26051</v>
      </c>
      <c r="AD101" t="s">
        <v>1</v>
      </c>
      <c r="AE101">
        <v>34</v>
      </c>
      <c r="AF101">
        <v>4</v>
      </c>
      <c r="AH101" t="s">
        <v>1777</v>
      </c>
      <c r="AI101" t="s">
        <v>1776</v>
      </c>
      <c r="AK101" t="s">
        <v>1775</v>
      </c>
      <c r="AL101">
        <v>34</v>
      </c>
      <c r="AM101" s="5">
        <f t="shared" si="11"/>
        <v>1.1333333333333333</v>
      </c>
      <c r="AN101" s="4">
        <f t="shared" si="12"/>
        <v>1.7165215196264041E-3</v>
      </c>
      <c r="AO101" s="3"/>
      <c r="AP101">
        <v>0</v>
      </c>
      <c r="AQ101" t="s">
        <v>167</v>
      </c>
      <c r="AR101" t="s">
        <v>1774</v>
      </c>
      <c r="AS101" t="s">
        <v>166</v>
      </c>
      <c r="AT101" s="2" t="s">
        <v>5</v>
      </c>
      <c r="AU101" s="1">
        <f t="shared" si="13"/>
        <v>1.2754352094018244</v>
      </c>
      <c r="AV101" s="1">
        <f t="shared" si="14"/>
        <v>0.96006862156205763</v>
      </c>
      <c r="AW101" s="1">
        <f t="shared" si="15"/>
        <v>0.64470203372229073</v>
      </c>
    </row>
    <row r="102" spans="1:49" x14ac:dyDescent="0.2">
      <c r="A102">
        <v>100</v>
      </c>
      <c r="B102" t="s">
        <v>1773</v>
      </c>
      <c r="C102" t="s">
        <v>1772</v>
      </c>
      <c r="F102" t="s">
        <v>1771</v>
      </c>
      <c r="G102" t="s">
        <v>4</v>
      </c>
      <c r="H102" t="s">
        <v>3</v>
      </c>
      <c r="I102" t="s">
        <v>1770</v>
      </c>
      <c r="J102">
        <v>60002286</v>
      </c>
      <c r="K102" t="s">
        <v>208</v>
      </c>
      <c r="L102" t="s">
        <v>207</v>
      </c>
      <c r="M102" t="s">
        <v>14</v>
      </c>
      <c r="N102">
        <v>1</v>
      </c>
      <c r="O102" t="s">
        <v>1769</v>
      </c>
      <c r="P102">
        <v>7004871684</v>
      </c>
      <c r="Q102">
        <v>60002286</v>
      </c>
      <c r="R102" s="7">
        <v>33909</v>
      </c>
      <c r="S102" s="8">
        <f t="shared" si="8"/>
        <v>1992</v>
      </c>
      <c r="T102" s="8">
        <v>1992</v>
      </c>
      <c r="U102" s="8">
        <f t="shared" si="9"/>
        <v>30</v>
      </c>
      <c r="V102" s="7">
        <v>33909</v>
      </c>
      <c r="W102" t="s">
        <v>96</v>
      </c>
      <c r="X102" s="2">
        <v>0.33800000000000002</v>
      </c>
      <c r="Y102" s="6">
        <f t="shared" si="10"/>
        <v>9.0227169589706634E-3</v>
      </c>
      <c r="AA102">
        <v>34347</v>
      </c>
      <c r="AB102">
        <v>17722</v>
      </c>
      <c r="AC102">
        <v>19589395</v>
      </c>
      <c r="AD102" t="s">
        <v>1</v>
      </c>
      <c r="AE102">
        <v>47</v>
      </c>
      <c r="AF102" s="9">
        <v>44541</v>
      </c>
      <c r="AH102" t="s">
        <v>1768</v>
      </c>
      <c r="AI102" t="s">
        <v>1767</v>
      </c>
      <c r="AJ102" t="s">
        <v>1766</v>
      </c>
      <c r="AK102" t="s">
        <v>1765</v>
      </c>
      <c r="AL102">
        <v>11</v>
      </c>
      <c r="AM102" s="5">
        <f t="shared" si="11"/>
        <v>0.36666666666666664</v>
      </c>
      <c r="AN102" s="4">
        <f t="shared" si="12"/>
        <v>5.5534519752618958E-4</v>
      </c>
      <c r="AO102" s="3"/>
      <c r="AP102">
        <v>0</v>
      </c>
      <c r="AR102" t="s">
        <v>0</v>
      </c>
      <c r="AT102" s="2" t="s">
        <v>5</v>
      </c>
      <c r="AU102" s="1">
        <f t="shared" si="13"/>
        <v>0.64825054305373209</v>
      </c>
      <c r="AV102" s="1">
        <f t="shared" si="14"/>
        <v>0.47890310782484269</v>
      </c>
      <c r="AW102" s="1">
        <f t="shared" si="15"/>
        <v>0.30955567259595312</v>
      </c>
    </row>
    <row r="103" spans="1:49" x14ac:dyDescent="0.2">
      <c r="A103">
        <v>101</v>
      </c>
      <c r="B103" t="s">
        <v>1764</v>
      </c>
      <c r="C103" t="s">
        <v>1763</v>
      </c>
      <c r="E103">
        <v>1451169</v>
      </c>
      <c r="F103" t="s">
        <v>1762</v>
      </c>
      <c r="G103" t="s">
        <v>4</v>
      </c>
      <c r="H103" t="s">
        <v>3</v>
      </c>
      <c r="I103" t="s">
        <v>1761</v>
      </c>
      <c r="J103" t="s">
        <v>1760</v>
      </c>
      <c r="K103" t="s">
        <v>1759</v>
      </c>
      <c r="L103" t="s">
        <v>1758</v>
      </c>
      <c r="M103" t="s">
        <v>226</v>
      </c>
      <c r="N103">
        <v>2</v>
      </c>
      <c r="O103" t="s">
        <v>1757</v>
      </c>
      <c r="P103" t="s">
        <v>1756</v>
      </c>
      <c r="Q103" t="s">
        <v>1755</v>
      </c>
      <c r="R103" s="7">
        <v>33909</v>
      </c>
      <c r="S103" s="8">
        <f t="shared" si="8"/>
        <v>1992</v>
      </c>
      <c r="T103" s="8">
        <v>1992</v>
      </c>
      <c r="U103" s="8">
        <f t="shared" si="9"/>
        <v>30</v>
      </c>
      <c r="V103" s="7">
        <v>33909</v>
      </c>
      <c r="W103" t="s">
        <v>93</v>
      </c>
      <c r="X103" s="2" t="s">
        <v>5</v>
      </c>
      <c r="Y103" s="6" t="e">
        <f t="shared" si="10"/>
        <v>#VALUE!</v>
      </c>
      <c r="AA103" t="s">
        <v>92</v>
      </c>
      <c r="AB103">
        <v>18446</v>
      </c>
      <c r="AC103">
        <v>14320878</v>
      </c>
      <c r="AD103" t="s">
        <v>1</v>
      </c>
      <c r="AE103">
        <v>270</v>
      </c>
      <c r="AF103">
        <v>2</v>
      </c>
      <c r="AH103" t="s">
        <v>1754</v>
      </c>
      <c r="AI103" t="s">
        <v>1753</v>
      </c>
      <c r="AJ103" t="s">
        <v>1752</v>
      </c>
      <c r="AK103" t="s">
        <v>1751</v>
      </c>
      <c r="AL103">
        <v>110</v>
      </c>
      <c r="AM103" s="5">
        <f t="shared" si="11"/>
        <v>3.6666666666666665</v>
      </c>
      <c r="AN103" s="4">
        <f t="shared" si="12"/>
        <v>5.5534519752618956E-3</v>
      </c>
      <c r="AO103" s="3"/>
      <c r="AP103">
        <v>0</v>
      </c>
      <c r="AQ103" t="s">
        <v>102</v>
      </c>
      <c r="AR103" t="s">
        <v>101</v>
      </c>
      <c r="AS103" t="s">
        <v>100</v>
      </c>
      <c r="AT103" s="2" t="s">
        <v>5</v>
      </c>
      <c r="AU103" s="1" t="e">
        <f t="shared" si="13"/>
        <v>#VALUE!</v>
      </c>
      <c r="AV103" s="1" t="e">
        <f t="shared" si="14"/>
        <v>#VALUE!</v>
      </c>
      <c r="AW103" s="1" t="e">
        <f t="shared" si="15"/>
        <v>#VALUE!</v>
      </c>
    </row>
    <row r="104" spans="1:49" x14ac:dyDescent="0.2">
      <c r="A104">
        <v>102</v>
      </c>
      <c r="B104" t="s">
        <v>1750</v>
      </c>
      <c r="C104" t="s">
        <v>1749</v>
      </c>
      <c r="F104" t="s">
        <v>1748</v>
      </c>
      <c r="G104" t="s">
        <v>4</v>
      </c>
      <c r="H104" t="s">
        <v>3</v>
      </c>
      <c r="I104" t="s">
        <v>1747</v>
      </c>
      <c r="J104">
        <v>60029526</v>
      </c>
      <c r="K104" t="s">
        <v>1746</v>
      </c>
      <c r="L104" t="s">
        <v>1745</v>
      </c>
      <c r="M104" t="s">
        <v>2</v>
      </c>
      <c r="N104">
        <v>2</v>
      </c>
      <c r="O104" t="s">
        <v>1744</v>
      </c>
      <c r="P104" t="s">
        <v>1743</v>
      </c>
      <c r="Q104" t="s">
        <v>1742</v>
      </c>
      <c r="R104" s="7">
        <v>33909</v>
      </c>
      <c r="S104" s="8">
        <f t="shared" si="8"/>
        <v>1992</v>
      </c>
      <c r="T104" s="8">
        <v>1992</v>
      </c>
      <c r="U104" s="8">
        <f t="shared" si="9"/>
        <v>30</v>
      </c>
      <c r="V104" s="7">
        <v>33909</v>
      </c>
      <c r="W104" t="s">
        <v>8</v>
      </c>
      <c r="X104" s="2">
        <v>0.53400000000000003</v>
      </c>
      <c r="Y104" s="6">
        <f t="shared" si="10"/>
        <v>1.4254825018018741E-2</v>
      </c>
      <c r="AA104">
        <v>8927553</v>
      </c>
      <c r="AB104">
        <v>20484</v>
      </c>
      <c r="AC104">
        <v>15728889</v>
      </c>
      <c r="AD104" t="s">
        <v>1</v>
      </c>
      <c r="AE104">
        <v>5</v>
      </c>
      <c r="AF104">
        <v>6</v>
      </c>
      <c r="AH104" t="s">
        <v>1741</v>
      </c>
      <c r="AI104" t="s">
        <v>1740</v>
      </c>
      <c r="AJ104" t="s">
        <v>1739</v>
      </c>
      <c r="AK104" t="s">
        <v>1738</v>
      </c>
      <c r="AL104">
        <v>83</v>
      </c>
      <c r="AM104" s="5">
        <f t="shared" si="11"/>
        <v>2.7666666666666666</v>
      </c>
      <c r="AN104" s="4">
        <f t="shared" si="12"/>
        <v>4.1903319449703392E-3</v>
      </c>
      <c r="AO104" s="3"/>
      <c r="AP104">
        <v>0</v>
      </c>
      <c r="AR104" t="s">
        <v>0</v>
      </c>
      <c r="AT104" s="2">
        <v>1.3089999999999999</v>
      </c>
      <c r="AU104" s="1">
        <f t="shared" si="13"/>
        <v>1.1235477096104221</v>
      </c>
      <c r="AV104" s="1">
        <f t="shared" si="14"/>
        <v>0.92225784814945411</v>
      </c>
      <c r="AW104" s="1">
        <f t="shared" si="15"/>
        <v>0.72096798668848594</v>
      </c>
    </row>
    <row r="105" spans="1:49" x14ac:dyDescent="0.2">
      <c r="A105">
        <v>103</v>
      </c>
      <c r="B105" t="s">
        <v>1737</v>
      </c>
      <c r="C105" t="s">
        <v>1736</v>
      </c>
      <c r="F105" t="s">
        <v>1735</v>
      </c>
      <c r="G105" t="s">
        <v>4</v>
      </c>
      <c r="H105" t="s">
        <v>3</v>
      </c>
      <c r="I105" t="s">
        <v>1734</v>
      </c>
      <c r="J105" t="s">
        <v>1733</v>
      </c>
      <c r="K105" t="s">
        <v>1732</v>
      </c>
      <c r="L105" t="s">
        <v>1731</v>
      </c>
      <c r="M105" t="s">
        <v>1730</v>
      </c>
      <c r="N105">
        <v>5</v>
      </c>
      <c r="O105" t="s">
        <v>1729</v>
      </c>
      <c r="P105" t="s">
        <v>1728</v>
      </c>
      <c r="Q105" t="s">
        <v>1727</v>
      </c>
      <c r="R105" s="7">
        <v>33909</v>
      </c>
      <c r="S105" s="8">
        <f t="shared" si="8"/>
        <v>1992</v>
      </c>
      <c r="T105" s="8">
        <v>1992</v>
      </c>
      <c r="U105" s="8">
        <f t="shared" si="9"/>
        <v>30</v>
      </c>
      <c r="V105" s="7">
        <v>33909</v>
      </c>
      <c r="W105" t="s">
        <v>1726</v>
      </c>
      <c r="X105" s="2">
        <v>1.026</v>
      </c>
      <c r="Y105" s="6">
        <f t="shared" si="10"/>
        <v>2.738848402338432E-2</v>
      </c>
      <c r="AA105">
        <v>380938</v>
      </c>
      <c r="AB105">
        <v>28245</v>
      </c>
      <c r="AC105" t="s">
        <v>1725</v>
      </c>
      <c r="AD105" t="s">
        <v>1</v>
      </c>
      <c r="AE105">
        <v>142</v>
      </c>
      <c r="AF105">
        <v>1</v>
      </c>
      <c r="AH105" t="s">
        <v>1724</v>
      </c>
      <c r="AI105" t="s">
        <v>1723</v>
      </c>
      <c r="AK105" t="s">
        <v>1722</v>
      </c>
      <c r="AL105">
        <v>20</v>
      </c>
      <c r="AM105" s="5">
        <f t="shared" si="11"/>
        <v>0.66666666666666663</v>
      </c>
      <c r="AN105" s="4">
        <f t="shared" si="12"/>
        <v>1.0097185409567082E-3</v>
      </c>
      <c r="AO105" s="3"/>
      <c r="AP105">
        <v>0</v>
      </c>
      <c r="AR105" t="s">
        <v>0</v>
      </c>
      <c r="AT105" s="2">
        <v>2.6709999999999998</v>
      </c>
      <c r="AU105" s="1">
        <f t="shared" si="13"/>
        <v>1.9474854378656037</v>
      </c>
      <c r="AV105" s="1">
        <f t="shared" si="14"/>
        <v>1.4199101282170514</v>
      </c>
      <c r="AW105" s="1">
        <f t="shared" si="15"/>
        <v>0.89233481856849906</v>
      </c>
    </row>
    <row r="106" spans="1:49" x14ac:dyDescent="0.2">
      <c r="A106">
        <v>104</v>
      </c>
      <c r="B106" t="s">
        <v>1721</v>
      </c>
      <c r="C106" t="s">
        <v>1720</v>
      </c>
      <c r="F106" t="s">
        <v>1719</v>
      </c>
      <c r="G106" t="s">
        <v>4</v>
      </c>
      <c r="H106" t="s">
        <v>3</v>
      </c>
      <c r="I106" t="s">
        <v>1718</v>
      </c>
      <c r="J106" t="s">
        <v>1717</v>
      </c>
      <c r="K106" t="s">
        <v>1716</v>
      </c>
      <c r="L106" t="s">
        <v>1715</v>
      </c>
      <c r="M106" t="s">
        <v>23</v>
      </c>
      <c r="N106">
        <v>6</v>
      </c>
      <c r="O106" t="s">
        <v>1714</v>
      </c>
      <c r="P106" t="s">
        <v>1713</v>
      </c>
      <c r="Q106" t="s">
        <v>1712</v>
      </c>
      <c r="R106" s="7">
        <v>33909</v>
      </c>
      <c r="S106" s="8">
        <f t="shared" si="8"/>
        <v>1992</v>
      </c>
      <c r="T106" s="8">
        <v>1992</v>
      </c>
      <c r="U106" s="8">
        <f t="shared" si="9"/>
        <v>30</v>
      </c>
      <c r="V106" s="7">
        <v>33909</v>
      </c>
      <c r="W106" t="s">
        <v>282</v>
      </c>
      <c r="X106" s="2">
        <v>1.2529999999999999</v>
      </c>
      <c r="Y106" s="6">
        <f t="shared" si="10"/>
        <v>3.3448119377485916E-2</v>
      </c>
      <c r="AA106">
        <v>320935</v>
      </c>
      <c r="AB106">
        <v>16646</v>
      </c>
      <c r="AC106">
        <v>14322048</v>
      </c>
      <c r="AD106" t="s">
        <v>1</v>
      </c>
      <c r="AE106">
        <v>188</v>
      </c>
      <c r="AF106">
        <v>4</v>
      </c>
      <c r="AH106" t="s">
        <v>1711</v>
      </c>
      <c r="AI106" t="s">
        <v>1710</v>
      </c>
      <c r="AJ106" t="s">
        <v>1709</v>
      </c>
      <c r="AK106" t="s">
        <v>1708</v>
      </c>
      <c r="AL106">
        <v>34</v>
      </c>
      <c r="AM106" s="5">
        <f t="shared" si="11"/>
        <v>1.1333333333333333</v>
      </c>
      <c r="AN106" s="4">
        <f t="shared" si="12"/>
        <v>1.7165215196264041E-3</v>
      </c>
      <c r="AO106" s="3"/>
      <c r="AP106">
        <v>0</v>
      </c>
      <c r="AR106" t="s">
        <v>0</v>
      </c>
      <c r="AT106" s="2">
        <v>4.1159999999999997</v>
      </c>
      <c r="AU106" s="1">
        <f t="shared" si="13"/>
        <v>2.3928640020128058</v>
      </c>
      <c r="AV106" s="1">
        <f t="shared" si="14"/>
        <v>1.7582320448556159</v>
      </c>
      <c r="AW106" s="1">
        <f t="shared" si="15"/>
        <v>1.1236000876984258</v>
      </c>
    </row>
    <row r="107" spans="1:49" x14ac:dyDescent="0.2">
      <c r="A107">
        <v>105</v>
      </c>
      <c r="B107" t="s">
        <v>1707</v>
      </c>
      <c r="C107" t="s">
        <v>1706</v>
      </c>
      <c r="F107" t="s">
        <v>1705</v>
      </c>
      <c r="G107" t="s">
        <v>4</v>
      </c>
      <c r="H107" t="s">
        <v>3</v>
      </c>
      <c r="I107" t="s">
        <v>1704</v>
      </c>
      <c r="J107">
        <v>60018306</v>
      </c>
      <c r="K107" t="s">
        <v>1703</v>
      </c>
      <c r="L107" t="s">
        <v>105</v>
      </c>
      <c r="M107" t="s">
        <v>2</v>
      </c>
      <c r="N107">
        <v>2</v>
      </c>
      <c r="O107" t="s">
        <v>1702</v>
      </c>
      <c r="P107" t="s">
        <v>1701</v>
      </c>
      <c r="Q107" t="s">
        <v>1700</v>
      </c>
      <c r="R107" s="7">
        <v>33907</v>
      </c>
      <c r="S107" s="8">
        <f t="shared" si="8"/>
        <v>1992</v>
      </c>
      <c r="T107" s="8">
        <v>1992</v>
      </c>
      <c r="U107" s="8">
        <f t="shared" si="9"/>
        <v>30</v>
      </c>
      <c r="V107" s="7">
        <v>1992</v>
      </c>
      <c r="W107" t="s">
        <v>62</v>
      </c>
      <c r="X107" s="2">
        <v>0.46700000000000003</v>
      </c>
      <c r="Y107" s="6">
        <f t="shared" si="10"/>
        <v>1.2466298283548225E-2</v>
      </c>
      <c r="AA107">
        <v>223395</v>
      </c>
      <c r="AB107">
        <v>22444</v>
      </c>
      <c r="AD107" t="s">
        <v>1</v>
      </c>
      <c r="AE107">
        <v>78</v>
      </c>
      <c r="AF107">
        <v>5</v>
      </c>
      <c r="AH107" t="s">
        <v>1699</v>
      </c>
      <c r="AI107" t="s">
        <v>1698</v>
      </c>
      <c r="AK107" t="s">
        <v>1697</v>
      </c>
      <c r="AL107">
        <v>3</v>
      </c>
      <c r="AM107" s="5">
        <f t="shared" si="11"/>
        <v>0.1</v>
      </c>
      <c r="AN107" s="4">
        <f t="shared" si="12"/>
        <v>1.5145778114350627E-4</v>
      </c>
      <c r="AO107" s="3"/>
      <c r="AP107">
        <v>0</v>
      </c>
      <c r="AR107" t="s">
        <v>0</v>
      </c>
      <c r="AT107" s="2">
        <v>1.276</v>
      </c>
      <c r="AU107" s="1">
        <f t="shared" si="13"/>
        <v>0.87718461328268105</v>
      </c>
      <c r="AV107" s="1">
        <f t="shared" si="14"/>
        <v>0.6308878032345866</v>
      </c>
      <c r="AW107" s="1">
        <f t="shared" si="15"/>
        <v>0.3845909931864922</v>
      </c>
    </row>
    <row r="108" spans="1:49" x14ac:dyDescent="0.2">
      <c r="A108">
        <v>106</v>
      </c>
      <c r="B108" t="s">
        <v>1696</v>
      </c>
      <c r="C108" t="s">
        <v>1695</v>
      </c>
      <c r="D108" t="s">
        <v>1694</v>
      </c>
      <c r="E108">
        <v>1445292</v>
      </c>
      <c r="F108" t="s">
        <v>1693</v>
      </c>
      <c r="G108" t="s">
        <v>4</v>
      </c>
      <c r="H108" t="s">
        <v>3</v>
      </c>
      <c r="I108" t="s">
        <v>1692</v>
      </c>
      <c r="J108" t="s">
        <v>1691</v>
      </c>
      <c r="K108" t="s">
        <v>1690</v>
      </c>
      <c r="L108" t="s">
        <v>1689</v>
      </c>
      <c r="M108" t="s">
        <v>59</v>
      </c>
      <c r="N108">
        <v>4</v>
      </c>
      <c r="O108" t="s">
        <v>1688</v>
      </c>
      <c r="P108" t="s">
        <v>1687</v>
      </c>
      <c r="Q108" t="s">
        <v>1686</v>
      </c>
      <c r="R108" s="7">
        <v>33907</v>
      </c>
      <c r="S108" s="8">
        <f t="shared" si="8"/>
        <v>1992</v>
      </c>
      <c r="T108" s="8">
        <v>1992</v>
      </c>
      <c r="U108" s="8">
        <f t="shared" si="9"/>
        <v>30</v>
      </c>
      <c r="V108" s="7">
        <v>33907</v>
      </c>
      <c r="W108" t="s">
        <v>281</v>
      </c>
      <c r="X108" s="2">
        <v>0.998</v>
      </c>
      <c r="Y108" s="6">
        <f t="shared" si="10"/>
        <v>2.664104001494888E-2</v>
      </c>
      <c r="AA108" t="s">
        <v>280</v>
      </c>
      <c r="AB108">
        <v>16845</v>
      </c>
      <c r="AC108">
        <v>10902104</v>
      </c>
      <c r="AD108" t="s">
        <v>1</v>
      </c>
      <c r="AE108">
        <v>188</v>
      </c>
      <c r="AF108">
        <v>2</v>
      </c>
      <c r="AH108" t="s">
        <v>1685</v>
      </c>
      <c r="AI108" t="s">
        <v>1684</v>
      </c>
      <c r="AK108" t="s">
        <v>1683</v>
      </c>
      <c r="AL108">
        <v>70</v>
      </c>
      <c r="AM108" s="5">
        <f t="shared" si="11"/>
        <v>2.3333333333333335</v>
      </c>
      <c r="AN108" s="4">
        <f t="shared" si="12"/>
        <v>3.5340148933484792E-3</v>
      </c>
      <c r="AO108" s="3"/>
      <c r="AP108">
        <v>0</v>
      </c>
      <c r="AR108" t="s">
        <v>0</v>
      </c>
      <c r="AS108" t="s">
        <v>1682</v>
      </c>
      <c r="AT108" s="2" t="s">
        <v>5</v>
      </c>
      <c r="AU108" s="1">
        <f t="shared" si="13"/>
        <v>1.9708932478468759</v>
      </c>
      <c r="AV108" s="1">
        <f t="shared" si="14"/>
        <v>1.5087527454148679</v>
      </c>
      <c r="AW108" s="1">
        <f t="shared" si="15"/>
        <v>1.0466122429828599</v>
      </c>
    </row>
    <row r="109" spans="1:49" x14ac:dyDescent="0.2">
      <c r="A109">
        <v>107</v>
      </c>
      <c r="B109" t="s">
        <v>1681</v>
      </c>
      <c r="C109" t="s">
        <v>1680</v>
      </c>
      <c r="E109">
        <v>1409666</v>
      </c>
      <c r="F109" t="s">
        <v>1679</v>
      </c>
      <c r="G109" t="s">
        <v>4</v>
      </c>
      <c r="H109" t="s">
        <v>3</v>
      </c>
      <c r="I109" t="s">
        <v>1678</v>
      </c>
      <c r="J109">
        <v>60000179</v>
      </c>
      <c r="K109" t="s">
        <v>245</v>
      </c>
      <c r="L109" t="s">
        <v>39</v>
      </c>
      <c r="M109" t="s">
        <v>38</v>
      </c>
      <c r="N109">
        <v>7</v>
      </c>
      <c r="O109" t="s">
        <v>1677</v>
      </c>
      <c r="P109" t="s">
        <v>1676</v>
      </c>
      <c r="Q109" t="s">
        <v>1675</v>
      </c>
      <c r="R109" s="7">
        <v>33905</v>
      </c>
      <c r="S109" s="8">
        <f t="shared" si="8"/>
        <v>1992</v>
      </c>
      <c r="T109" s="8">
        <v>1992</v>
      </c>
      <c r="U109" s="8">
        <f t="shared" si="9"/>
        <v>30</v>
      </c>
      <c r="V109" s="7">
        <v>1992</v>
      </c>
      <c r="W109" t="s">
        <v>1674</v>
      </c>
      <c r="X109" s="2">
        <v>5.0110000000000001</v>
      </c>
      <c r="Y109" s="6">
        <f t="shared" si="10"/>
        <v>0.13376578308107098</v>
      </c>
      <c r="AA109">
        <v>278424</v>
      </c>
      <c r="AB109">
        <v>21121</v>
      </c>
      <c r="AD109" t="s">
        <v>1</v>
      </c>
      <c r="AE109">
        <v>89</v>
      </c>
      <c r="AF109">
        <v>20</v>
      </c>
      <c r="AH109" t="s">
        <v>1673</v>
      </c>
      <c r="AI109" t="s">
        <v>1672</v>
      </c>
      <c r="AJ109" t="s">
        <v>1671</v>
      </c>
      <c r="AK109" t="s">
        <v>1670</v>
      </c>
      <c r="AL109">
        <v>36</v>
      </c>
      <c r="AM109" s="5">
        <f t="shared" si="11"/>
        <v>1.2</v>
      </c>
      <c r="AN109" s="4">
        <f t="shared" si="12"/>
        <v>1.8174933737220749E-3</v>
      </c>
      <c r="AO109" s="3"/>
      <c r="AP109">
        <v>1</v>
      </c>
      <c r="AR109" t="s">
        <v>0</v>
      </c>
      <c r="AT109" s="2" t="s">
        <v>5</v>
      </c>
      <c r="AU109" s="1">
        <f t="shared" si="13"/>
        <v>9.4181296168866311</v>
      </c>
      <c r="AV109" s="1">
        <f t="shared" si="14"/>
        <v>6.7791638227396529</v>
      </c>
      <c r="AW109" s="1">
        <f t="shared" si="15"/>
        <v>4.1401980285926747</v>
      </c>
    </row>
    <row r="110" spans="1:49" x14ac:dyDescent="0.2">
      <c r="A110">
        <v>108</v>
      </c>
      <c r="B110" t="s">
        <v>1669</v>
      </c>
      <c r="C110" t="s">
        <v>1668</v>
      </c>
      <c r="E110">
        <v>1400577</v>
      </c>
      <c r="F110" t="s">
        <v>1667</v>
      </c>
      <c r="G110" t="s">
        <v>4</v>
      </c>
      <c r="H110" t="s">
        <v>3</v>
      </c>
      <c r="I110" t="s">
        <v>1666</v>
      </c>
      <c r="J110">
        <v>60000481</v>
      </c>
      <c r="K110" t="s">
        <v>64</v>
      </c>
      <c r="L110" t="s">
        <v>63</v>
      </c>
      <c r="M110" t="s">
        <v>16</v>
      </c>
      <c r="N110">
        <v>5</v>
      </c>
      <c r="O110" t="s">
        <v>1665</v>
      </c>
      <c r="P110" t="s">
        <v>1664</v>
      </c>
      <c r="Q110" t="s">
        <v>1663</v>
      </c>
      <c r="R110" s="7">
        <v>33904</v>
      </c>
      <c r="S110" s="8">
        <f t="shared" si="8"/>
        <v>1992</v>
      </c>
      <c r="T110" s="8">
        <v>1992</v>
      </c>
      <c r="U110" s="8">
        <f t="shared" si="9"/>
        <v>30</v>
      </c>
      <c r="V110" s="7">
        <v>1992</v>
      </c>
      <c r="W110" t="s">
        <v>1662</v>
      </c>
      <c r="X110" s="2">
        <v>5.4139999999999997</v>
      </c>
      <c r="Y110" s="6">
        <f t="shared" si="10"/>
        <v>0.14452363791676676</v>
      </c>
      <c r="AA110">
        <v>219525</v>
      </c>
      <c r="AB110">
        <v>18555</v>
      </c>
      <c r="AD110" t="s">
        <v>1</v>
      </c>
      <c r="AE110">
        <v>119</v>
      </c>
      <c r="AF110">
        <v>2</v>
      </c>
      <c r="AH110" t="s">
        <v>1661</v>
      </c>
      <c r="AI110" t="s">
        <v>1660</v>
      </c>
      <c r="AK110" t="s">
        <v>1659</v>
      </c>
      <c r="AL110">
        <v>113</v>
      </c>
      <c r="AM110" s="5">
        <f t="shared" si="11"/>
        <v>3.7666666666666666</v>
      </c>
      <c r="AN110" s="4">
        <f t="shared" si="12"/>
        <v>5.7049097564054021E-3</v>
      </c>
      <c r="AO110" s="3"/>
      <c r="AP110">
        <v>1</v>
      </c>
      <c r="AR110" t="s">
        <v>0</v>
      </c>
      <c r="AT110" s="2">
        <v>10.539</v>
      </c>
      <c r="AU110" s="1">
        <f t="shared" si="13"/>
        <v>10.287801946865834</v>
      </c>
      <c r="AV110" s="1">
        <f t="shared" si="14"/>
        <v>7.5114273836586074</v>
      </c>
      <c r="AW110" s="1">
        <f t="shared" si="15"/>
        <v>4.7350528204513811</v>
      </c>
    </row>
    <row r="111" spans="1:49" x14ac:dyDescent="0.2">
      <c r="A111">
        <v>109</v>
      </c>
      <c r="B111" t="s">
        <v>1658</v>
      </c>
      <c r="C111" t="s">
        <v>1657</v>
      </c>
      <c r="D111" t="s">
        <v>1656</v>
      </c>
      <c r="E111">
        <v>1397300</v>
      </c>
      <c r="F111" t="s">
        <v>1655</v>
      </c>
      <c r="G111" t="s">
        <v>4</v>
      </c>
      <c r="H111" t="s">
        <v>3</v>
      </c>
      <c r="I111" t="s">
        <v>1643</v>
      </c>
      <c r="J111">
        <v>60025858</v>
      </c>
      <c r="K111" t="s">
        <v>61</v>
      </c>
      <c r="L111" t="s">
        <v>60</v>
      </c>
      <c r="M111" t="s">
        <v>13</v>
      </c>
      <c r="N111">
        <v>3</v>
      </c>
      <c r="O111" t="s">
        <v>1654</v>
      </c>
      <c r="P111" t="s">
        <v>1653</v>
      </c>
      <c r="Q111" t="s">
        <v>1652</v>
      </c>
      <c r="R111" s="7">
        <v>33896</v>
      </c>
      <c r="S111" s="8">
        <f t="shared" si="8"/>
        <v>1992</v>
      </c>
      <c r="T111" s="8">
        <v>1992</v>
      </c>
      <c r="U111" s="8">
        <f t="shared" si="9"/>
        <v>30</v>
      </c>
      <c r="V111" s="7">
        <v>33896</v>
      </c>
      <c r="W111" t="s">
        <v>291</v>
      </c>
      <c r="X111" s="2">
        <v>1.593</v>
      </c>
      <c r="Y111" s="6">
        <f t="shared" si="10"/>
        <v>4.2524225194201973E-2</v>
      </c>
      <c r="AA111">
        <v>145793</v>
      </c>
      <c r="AB111">
        <v>17481</v>
      </c>
      <c r="AD111" t="s">
        <v>1</v>
      </c>
      <c r="AE111">
        <v>311</v>
      </c>
      <c r="AF111">
        <v>2</v>
      </c>
      <c r="AH111" t="s">
        <v>1651</v>
      </c>
      <c r="AI111" t="s">
        <v>1650</v>
      </c>
      <c r="AJ111" t="s">
        <v>1649</v>
      </c>
      <c r="AK111" t="s">
        <v>1648</v>
      </c>
      <c r="AL111">
        <v>45</v>
      </c>
      <c r="AM111" s="5">
        <f t="shared" si="11"/>
        <v>1.5</v>
      </c>
      <c r="AN111" s="4">
        <f t="shared" si="12"/>
        <v>2.2718667171525938E-3</v>
      </c>
      <c r="AO111" s="3"/>
      <c r="AP111">
        <v>1</v>
      </c>
      <c r="AR111" t="s">
        <v>872</v>
      </c>
      <c r="AT111" s="2">
        <v>4.1239999999999997</v>
      </c>
      <c r="AU111" s="1">
        <f t="shared" si="13"/>
        <v>3.0448517651087159</v>
      </c>
      <c r="AV111" s="1">
        <f t="shared" si="14"/>
        <v>2.2398045955677284</v>
      </c>
      <c r="AW111" s="1">
        <f t="shared" si="15"/>
        <v>1.4347574260267406</v>
      </c>
    </row>
    <row r="112" spans="1:49" x14ac:dyDescent="0.2">
      <c r="A112">
        <v>110</v>
      </c>
      <c r="B112" t="s">
        <v>1647</v>
      </c>
      <c r="C112" t="s">
        <v>1646</v>
      </c>
      <c r="D112" t="s">
        <v>1645</v>
      </c>
      <c r="E112">
        <v>1397301</v>
      </c>
      <c r="F112" t="s">
        <v>1644</v>
      </c>
      <c r="G112" t="s">
        <v>4</v>
      </c>
      <c r="H112" t="s">
        <v>3</v>
      </c>
      <c r="I112" t="s">
        <v>1643</v>
      </c>
      <c r="J112">
        <v>60025858</v>
      </c>
      <c r="K112" t="s">
        <v>61</v>
      </c>
      <c r="L112" t="s">
        <v>60</v>
      </c>
      <c r="M112" t="s">
        <v>13</v>
      </c>
      <c r="N112">
        <v>4</v>
      </c>
      <c r="O112" t="s">
        <v>1642</v>
      </c>
      <c r="P112" t="s">
        <v>1641</v>
      </c>
      <c r="Q112" t="s">
        <v>1640</v>
      </c>
      <c r="R112" s="7">
        <v>33896</v>
      </c>
      <c r="S112" s="8">
        <f t="shared" si="8"/>
        <v>1992</v>
      </c>
      <c r="T112" s="8">
        <v>1992</v>
      </c>
      <c r="U112" s="8">
        <f t="shared" si="9"/>
        <v>30</v>
      </c>
      <c r="V112" s="7">
        <v>33896</v>
      </c>
      <c r="W112" t="s">
        <v>291</v>
      </c>
      <c r="X112" s="2">
        <v>1.593</v>
      </c>
      <c r="Y112" s="6">
        <f t="shared" si="10"/>
        <v>4.2524225194201973E-2</v>
      </c>
      <c r="AA112">
        <v>145793</v>
      </c>
      <c r="AB112">
        <v>17481</v>
      </c>
      <c r="AD112" t="s">
        <v>1</v>
      </c>
      <c r="AE112">
        <v>311</v>
      </c>
      <c r="AF112">
        <v>2</v>
      </c>
      <c r="AH112" t="s">
        <v>148</v>
      </c>
      <c r="AI112" t="s">
        <v>1639</v>
      </c>
      <c r="AJ112" t="s">
        <v>1638</v>
      </c>
      <c r="AK112" t="s">
        <v>1637</v>
      </c>
      <c r="AL112">
        <v>36</v>
      </c>
      <c r="AM112" s="5">
        <f t="shared" si="11"/>
        <v>1.2</v>
      </c>
      <c r="AN112" s="4">
        <f t="shared" si="12"/>
        <v>1.8174933737220749E-3</v>
      </c>
      <c r="AO112" s="3"/>
      <c r="AP112">
        <v>1</v>
      </c>
      <c r="AR112" t="s">
        <v>0</v>
      </c>
      <c r="AT112" s="2">
        <v>4.1239999999999997</v>
      </c>
      <c r="AU112" s="1">
        <f t="shared" si="13"/>
        <v>3.0312205648058002</v>
      </c>
      <c r="AV112" s="1">
        <f t="shared" si="14"/>
        <v>2.2170859283962026</v>
      </c>
      <c r="AW112" s="1">
        <f t="shared" si="15"/>
        <v>1.4029512919866043</v>
      </c>
    </row>
    <row r="113" spans="1:49" x14ac:dyDescent="0.2">
      <c r="A113">
        <v>111</v>
      </c>
      <c r="B113" t="s">
        <v>1636</v>
      </c>
      <c r="C113" t="s">
        <v>1635</v>
      </c>
      <c r="D113" t="s">
        <v>1634</v>
      </c>
      <c r="F113" t="s">
        <v>1633</v>
      </c>
      <c r="G113" t="s">
        <v>4</v>
      </c>
      <c r="H113" t="s">
        <v>3</v>
      </c>
      <c r="I113" t="s">
        <v>1632</v>
      </c>
      <c r="J113">
        <v>60000145</v>
      </c>
      <c r="K113" t="s">
        <v>19</v>
      </c>
      <c r="L113" t="s">
        <v>18</v>
      </c>
      <c r="M113" t="s">
        <v>17</v>
      </c>
      <c r="N113">
        <v>2</v>
      </c>
      <c r="O113" t="s">
        <v>1631</v>
      </c>
      <c r="P113" t="s">
        <v>1630</v>
      </c>
      <c r="Q113" t="s">
        <v>1629</v>
      </c>
      <c r="R113" s="7">
        <v>33884</v>
      </c>
      <c r="S113" s="8">
        <f t="shared" si="8"/>
        <v>1992</v>
      </c>
      <c r="T113" s="8">
        <v>1992</v>
      </c>
      <c r="U113" s="8">
        <f t="shared" si="9"/>
        <v>30</v>
      </c>
      <c r="V113" s="7">
        <v>33884</v>
      </c>
      <c r="W113" t="s">
        <v>1628</v>
      </c>
      <c r="X113" s="2">
        <v>0.65700000000000003</v>
      </c>
      <c r="Y113" s="6">
        <f t="shared" si="10"/>
        <v>1.7538239769360135E-2</v>
      </c>
      <c r="AA113">
        <v>225193</v>
      </c>
      <c r="AB113">
        <v>29663</v>
      </c>
      <c r="AC113">
        <v>10958541</v>
      </c>
      <c r="AD113" t="s">
        <v>1</v>
      </c>
      <c r="AE113">
        <v>158</v>
      </c>
      <c r="AF113">
        <v>3</v>
      </c>
      <c r="AH113" t="s">
        <v>1627</v>
      </c>
      <c r="AI113" t="s">
        <v>1626</v>
      </c>
      <c r="AK113" t="s">
        <v>1625</v>
      </c>
      <c r="AL113">
        <v>34</v>
      </c>
      <c r="AM113" s="5">
        <f t="shared" si="11"/>
        <v>1.1333333333333333</v>
      </c>
      <c r="AN113" s="4">
        <f t="shared" si="12"/>
        <v>1.7165215196264041E-3</v>
      </c>
      <c r="AO113" s="3"/>
      <c r="AP113">
        <v>0</v>
      </c>
      <c r="AQ113" t="s">
        <v>44</v>
      </c>
      <c r="AR113" t="s">
        <v>0</v>
      </c>
      <c r="AS113" t="s">
        <v>43</v>
      </c>
      <c r="AT113" s="2">
        <v>2.6909999999999998</v>
      </c>
      <c r="AU113" s="1">
        <f t="shared" si="13"/>
        <v>1.2791724294440014</v>
      </c>
      <c r="AV113" s="1">
        <f t="shared" si="14"/>
        <v>0.96273806444932686</v>
      </c>
      <c r="AW113" s="1">
        <f t="shared" si="15"/>
        <v>0.64630369945465238</v>
      </c>
    </row>
    <row r="114" spans="1:49" x14ac:dyDescent="0.2">
      <c r="A114">
        <v>112</v>
      </c>
      <c r="B114" t="s">
        <v>1624</v>
      </c>
      <c r="C114" t="s">
        <v>1623</v>
      </c>
      <c r="D114" t="s">
        <v>1622</v>
      </c>
      <c r="F114" t="s">
        <v>1621</v>
      </c>
      <c r="G114" t="s">
        <v>4</v>
      </c>
      <c r="H114" t="s">
        <v>3</v>
      </c>
      <c r="I114" t="s">
        <v>1620</v>
      </c>
      <c r="J114" t="s">
        <v>1615</v>
      </c>
      <c r="K114" t="s">
        <v>1619</v>
      </c>
      <c r="L114" t="s">
        <v>1618</v>
      </c>
      <c r="M114" t="s">
        <v>11</v>
      </c>
      <c r="N114">
        <v>2</v>
      </c>
      <c r="O114" t="s">
        <v>1617</v>
      </c>
      <c r="P114" t="s">
        <v>1616</v>
      </c>
      <c r="Q114" t="s">
        <v>1615</v>
      </c>
      <c r="R114" s="7">
        <v>33880</v>
      </c>
      <c r="S114" s="8">
        <f t="shared" si="8"/>
        <v>1992</v>
      </c>
      <c r="T114" s="8">
        <v>1992</v>
      </c>
      <c r="U114" s="8">
        <f t="shared" si="9"/>
        <v>30</v>
      </c>
      <c r="V114" s="7">
        <v>33880</v>
      </c>
      <c r="W114" t="s">
        <v>1614</v>
      </c>
      <c r="X114" s="2">
        <v>1.45</v>
      </c>
      <c r="Y114" s="6">
        <f t="shared" si="10"/>
        <v>3.8706921865406689E-2</v>
      </c>
      <c r="AA114">
        <v>457949</v>
      </c>
      <c r="AB114">
        <v>18171</v>
      </c>
      <c r="AD114" t="s">
        <v>1</v>
      </c>
      <c r="AE114">
        <v>45</v>
      </c>
      <c r="AF114">
        <v>2</v>
      </c>
      <c r="AH114" t="s">
        <v>1613</v>
      </c>
      <c r="AI114" t="s">
        <v>1612</v>
      </c>
      <c r="AK114" t="s">
        <v>1611</v>
      </c>
      <c r="AL114">
        <v>3</v>
      </c>
      <c r="AM114" s="5">
        <f t="shared" si="11"/>
        <v>0.1</v>
      </c>
      <c r="AN114" s="4">
        <f t="shared" si="12"/>
        <v>1.5145778114350627E-4</v>
      </c>
      <c r="AO114" s="3"/>
      <c r="AP114">
        <v>0</v>
      </c>
      <c r="AR114" t="s">
        <v>0</v>
      </c>
      <c r="AT114" s="2" t="s">
        <v>5</v>
      </c>
      <c r="AU114" s="1">
        <f t="shared" si="13"/>
        <v>2.7140282640127733</v>
      </c>
      <c r="AV114" s="1">
        <f t="shared" si="14"/>
        <v>1.9429189823275097</v>
      </c>
      <c r="AW114" s="1">
        <f t="shared" si="15"/>
        <v>1.1718097006422461</v>
      </c>
    </row>
    <row r="115" spans="1:49" x14ac:dyDescent="0.2">
      <c r="A115">
        <v>113</v>
      </c>
      <c r="B115" t="s">
        <v>1610</v>
      </c>
      <c r="C115" t="s">
        <v>1609</v>
      </c>
      <c r="F115" t="s">
        <v>1608</v>
      </c>
      <c r="G115" t="s">
        <v>4</v>
      </c>
      <c r="H115" t="s">
        <v>3</v>
      </c>
      <c r="I115" t="s">
        <v>1607</v>
      </c>
      <c r="J115">
        <v>60012708</v>
      </c>
      <c r="K115" t="s">
        <v>179</v>
      </c>
      <c r="L115" t="s">
        <v>81</v>
      </c>
      <c r="M115" t="s">
        <v>2</v>
      </c>
      <c r="N115">
        <v>1</v>
      </c>
      <c r="O115" t="s">
        <v>1606</v>
      </c>
      <c r="P115">
        <v>7004061281</v>
      </c>
      <c r="Q115">
        <v>60012708</v>
      </c>
      <c r="R115" s="7">
        <v>33878</v>
      </c>
      <c r="S115" s="8">
        <f t="shared" si="8"/>
        <v>1992</v>
      </c>
      <c r="T115" s="8">
        <v>1992</v>
      </c>
      <c r="U115" s="8">
        <f t="shared" si="9"/>
        <v>30</v>
      </c>
      <c r="V115" s="7">
        <v>33878</v>
      </c>
      <c r="W115" t="s">
        <v>271</v>
      </c>
      <c r="X115" s="2" t="s">
        <v>5</v>
      </c>
      <c r="Y115" s="6" t="e">
        <f t="shared" si="10"/>
        <v>#VALUE!</v>
      </c>
      <c r="AA115">
        <v>74632</v>
      </c>
      <c r="AB115">
        <v>76104</v>
      </c>
      <c r="AC115">
        <v>14321394</v>
      </c>
      <c r="AD115" t="s">
        <v>1</v>
      </c>
      <c r="AE115">
        <v>66</v>
      </c>
      <c r="AF115">
        <v>3</v>
      </c>
      <c r="AH115" t="s">
        <v>1605</v>
      </c>
      <c r="AI115" t="s">
        <v>1604</v>
      </c>
      <c r="AK115" t="s">
        <v>1603</v>
      </c>
      <c r="AL115">
        <v>4</v>
      </c>
      <c r="AM115" s="5">
        <f t="shared" si="11"/>
        <v>0.13333333333333333</v>
      </c>
      <c r="AN115" s="4">
        <f t="shared" si="12"/>
        <v>2.0194370819134167E-4</v>
      </c>
      <c r="AO115" s="3"/>
      <c r="AP115">
        <v>0</v>
      </c>
      <c r="AR115" t="s">
        <v>0</v>
      </c>
      <c r="AT115" s="2" t="s">
        <v>5</v>
      </c>
      <c r="AU115" s="1" t="e">
        <f t="shared" si="13"/>
        <v>#VALUE!</v>
      </c>
      <c r="AV115" s="1" t="e">
        <f t="shared" si="14"/>
        <v>#VALUE!</v>
      </c>
      <c r="AW115" s="1" t="e">
        <f t="shared" si="15"/>
        <v>#VALUE!</v>
      </c>
    </row>
    <row r="116" spans="1:49" x14ac:dyDescent="0.2">
      <c r="A116">
        <v>114</v>
      </c>
      <c r="B116" t="s">
        <v>1602</v>
      </c>
      <c r="D116" t="s">
        <v>1601</v>
      </c>
      <c r="F116" t="s">
        <v>1600</v>
      </c>
      <c r="G116" t="s">
        <v>4</v>
      </c>
      <c r="H116" t="s">
        <v>3</v>
      </c>
      <c r="I116" t="s">
        <v>1599</v>
      </c>
      <c r="J116">
        <v>60019706</v>
      </c>
      <c r="K116" t="s">
        <v>1598</v>
      </c>
      <c r="L116" t="s">
        <v>1597</v>
      </c>
      <c r="M116" t="s">
        <v>34</v>
      </c>
      <c r="N116">
        <v>5</v>
      </c>
      <c r="O116" t="s">
        <v>1596</v>
      </c>
      <c r="P116" t="s">
        <v>1595</v>
      </c>
      <c r="Q116" t="s">
        <v>1594</v>
      </c>
      <c r="R116" s="7">
        <v>33878</v>
      </c>
      <c r="S116" s="8">
        <f t="shared" si="8"/>
        <v>1992</v>
      </c>
      <c r="T116" s="8">
        <v>1992</v>
      </c>
      <c r="U116" s="8">
        <f t="shared" si="9"/>
        <v>30</v>
      </c>
      <c r="V116" s="7">
        <v>33878</v>
      </c>
      <c r="W116" t="s">
        <v>1593</v>
      </c>
      <c r="X116" s="2" t="s">
        <v>5</v>
      </c>
      <c r="Y116" s="6" t="e">
        <f t="shared" si="10"/>
        <v>#VALUE!</v>
      </c>
      <c r="AA116">
        <v>10016511</v>
      </c>
      <c r="AB116">
        <v>9700153239</v>
      </c>
      <c r="AD116" t="s">
        <v>1</v>
      </c>
      <c r="AE116">
        <v>35</v>
      </c>
      <c r="AF116">
        <v>10</v>
      </c>
      <c r="AH116" t="s">
        <v>1592</v>
      </c>
      <c r="AI116" t="s">
        <v>1591</v>
      </c>
      <c r="AJ116" t="s">
        <v>1590</v>
      </c>
      <c r="AK116" t="s">
        <v>1589</v>
      </c>
      <c r="AL116">
        <v>4</v>
      </c>
      <c r="AM116" s="5">
        <f t="shared" si="11"/>
        <v>0.13333333333333333</v>
      </c>
      <c r="AN116" s="4">
        <f t="shared" si="12"/>
        <v>2.0194370819134167E-4</v>
      </c>
      <c r="AO116" s="3"/>
      <c r="AP116">
        <v>0</v>
      </c>
      <c r="AR116" t="s">
        <v>0</v>
      </c>
      <c r="AT116" s="2" t="s">
        <v>5</v>
      </c>
      <c r="AU116" s="1" t="e">
        <f t="shared" si="13"/>
        <v>#VALUE!</v>
      </c>
      <c r="AV116" s="1" t="e">
        <f t="shared" si="14"/>
        <v>#VALUE!</v>
      </c>
      <c r="AW116" s="1" t="e">
        <f t="shared" si="15"/>
        <v>#VALUE!</v>
      </c>
    </row>
    <row r="117" spans="1:49" x14ac:dyDescent="0.2">
      <c r="A117">
        <v>115</v>
      </c>
      <c r="B117" t="s">
        <v>1588</v>
      </c>
      <c r="C117" t="s">
        <v>1587</v>
      </c>
      <c r="F117" t="s">
        <v>1586</v>
      </c>
      <c r="G117" t="s">
        <v>4</v>
      </c>
      <c r="H117" t="s">
        <v>3</v>
      </c>
      <c r="I117" t="s">
        <v>1585</v>
      </c>
      <c r="J117">
        <v>60000745</v>
      </c>
      <c r="K117" t="s">
        <v>73</v>
      </c>
      <c r="L117" t="s">
        <v>72</v>
      </c>
      <c r="M117" t="s">
        <v>2</v>
      </c>
      <c r="N117">
        <v>1</v>
      </c>
      <c r="O117" t="s">
        <v>1584</v>
      </c>
      <c r="P117">
        <v>6602703160</v>
      </c>
      <c r="Q117">
        <v>60000745</v>
      </c>
      <c r="R117" s="7">
        <v>33878</v>
      </c>
      <c r="S117" s="8">
        <f t="shared" si="8"/>
        <v>1992</v>
      </c>
      <c r="T117" s="8">
        <v>1992</v>
      </c>
      <c r="U117" s="8">
        <f t="shared" si="9"/>
        <v>30</v>
      </c>
      <c r="V117" s="7">
        <v>33878</v>
      </c>
      <c r="W117" t="s">
        <v>28</v>
      </c>
      <c r="X117" s="2">
        <v>2.3759999999999999</v>
      </c>
      <c r="Y117" s="6">
        <f t="shared" si="10"/>
        <v>6.3425963001521576E-2</v>
      </c>
      <c r="AA117" t="s">
        <v>27</v>
      </c>
      <c r="AB117">
        <v>26765</v>
      </c>
      <c r="AC117">
        <v>15384357</v>
      </c>
      <c r="AD117" t="s">
        <v>1</v>
      </c>
      <c r="AE117">
        <v>397</v>
      </c>
      <c r="AF117" t="s">
        <v>951</v>
      </c>
      <c r="AI117" t="s">
        <v>1583</v>
      </c>
      <c r="AJ117" t="s">
        <v>1582</v>
      </c>
      <c r="AK117" t="s">
        <v>1581</v>
      </c>
      <c r="AL117">
        <v>4</v>
      </c>
      <c r="AM117" s="5">
        <f t="shared" si="11"/>
        <v>0.13333333333333333</v>
      </c>
      <c r="AN117" s="4">
        <f t="shared" si="12"/>
        <v>2.0194370819134167E-4</v>
      </c>
      <c r="AO117" s="3"/>
      <c r="AP117">
        <v>0</v>
      </c>
      <c r="AR117" t="s">
        <v>0</v>
      </c>
      <c r="AT117" s="2">
        <v>5.8739999999999997</v>
      </c>
      <c r="AU117" s="1">
        <f t="shared" si="13"/>
        <v>4.44587572135225</v>
      </c>
      <c r="AV117" s="1">
        <f t="shared" si="14"/>
        <v>3.1813953354856457</v>
      </c>
      <c r="AW117" s="1">
        <f t="shared" si="15"/>
        <v>1.9169149496190412</v>
      </c>
    </row>
    <row r="118" spans="1:49" x14ac:dyDescent="0.2">
      <c r="A118">
        <v>116</v>
      </c>
      <c r="B118" t="s">
        <v>1580</v>
      </c>
      <c r="F118" t="s">
        <v>1579</v>
      </c>
      <c r="G118" t="s">
        <v>4</v>
      </c>
      <c r="H118" t="s">
        <v>3</v>
      </c>
      <c r="I118" t="s">
        <v>1578</v>
      </c>
      <c r="N118">
        <v>3</v>
      </c>
      <c r="O118" t="s">
        <v>1577</v>
      </c>
      <c r="P118" t="s">
        <v>1576</v>
      </c>
      <c r="Q118" t="s">
        <v>71</v>
      </c>
      <c r="R118" s="7">
        <v>33878</v>
      </c>
      <c r="S118" s="8">
        <f t="shared" si="8"/>
        <v>1992</v>
      </c>
      <c r="T118" s="8">
        <v>1992</v>
      </c>
      <c r="U118" s="8">
        <f t="shared" si="9"/>
        <v>30</v>
      </c>
      <c r="V118" s="7">
        <v>33878</v>
      </c>
      <c r="W118" t="s">
        <v>1525</v>
      </c>
      <c r="X118" s="2" t="s">
        <v>5</v>
      </c>
      <c r="Y118" s="6" t="e">
        <f t="shared" si="10"/>
        <v>#VALUE!</v>
      </c>
      <c r="AA118">
        <v>2650193</v>
      </c>
      <c r="AB118">
        <v>35207</v>
      </c>
      <c r="AD118" t="s">
        <v>1</v>
      </c>
      <c r="AE118">
        <v>10</v>
      </c>
      <c r="AF118">
        <v>4</v>
      </c>
      <c r="AH118" s="10">
        <v>44440</v>
      </c>
      <c r="AI118" t="s">
        <v>1575</v>
      </c>
      <c r="AK118" t="s">
        <v>1574</v>
      </c>
      <c r="AL118">
        <v>4</v>
      </c>
      <c r="AM118" s="5">
        <f t="shared" si="11"/>
        <v>0.13333333333333333</v>
      </c>
      <c r="AN118" s="4">
        <f t="shared" si="12"/>
        <v>2.0194370819134167E-4</v>
      </c>
      <c r="AO118" s="3"/>
      <c r="AP118">
        <v>0</v>
      </c>
      <c r="AR118" t="s">
        <v>0</v>
      </c>
      <c r="AT118" s="2" t="s">
        <v>5</v>
      </c>
      <c r="AU118" s="1" t="e">
        <f t="shared" si="13"/>
        <v>#VALUE!</v>
      </c>
      <c r="AV118" s="1" t="e">
        <f t="shared" si="14"/>
        <v>#VALUE!</v>
      </c>
      <c r="AW118" s="1" t="e">
        <f t="shared" si="15"/>
        <v>#VALUE!</v>
      </c>
    </row>
    <row r="119" spans="1:49" x14ac:dyDescent="0.2">
      <c r="A119">
        <v>117</v>
      </c>
      <c r="B119" t="s">
        <v>1573</v>
      </c>
      <c r="C119" t="s">
        <v>1572</v>
      </c>
      <c r="F119" t="s">
        <v>1571</v>
      </c>
      <c r="G119" t="s">
        <v>4</v>
      </c>
      <c r="H119" t="s">
        <v>3</v>
      </c>
      <c r="I119" t="s">
        <v>1570</v>
      </c>
      <c r="J119">
        <v>60005244</v>
      </c>
      <c r="K119" t="s">
        <v>1569</v>
      </c>
      <c r="L119" t="s">
        <v>1568</v>
      </c>
      <c r="M119" t="s">
        <v>34</v>
      </c>
      <c r="N119">
        <v>2</v>
      </c>
      <c r="O119" t="s">
        <v>1567</v>
      </c>
      <c r="P119" t="s">
        <v>1566</v>
      </c>
      <c r="Q119" t="s">
        <v>1565</v>
      </c>
      <c r="R119" s="7">
        <v>33878</v>
      </c>
      <c r="S119" s="8">
        <f t="shared" si="8"/>
        <v>1992</v>
      </c>
      <c r="T119" s="8">
        <v>1992</v>
      </c>
      <c r="U119" s="8">
        <f t="shared" si="9"/>
        <v>30</v>
      </c>
      <c r="V119" s="7">
        <v>33878</v>
      </c>
      <c r="W119" t="s">
        <v>87</v>
      </c>
      <c r="X119" s="2">
        <v>0.61499999999999999</v>
      </c>
      <c r="Y119" s="6">
        <f t="shared" si="10"/>
        <v>1.6417073756706976E-2</v>
      </c>
      <c r="AA119">
        <v>1959271</v>
      </c>
      <c r="AB119">
        <v>12141</v>
      </c>
      <c r="AC119">
        <v>15729559</v>
      </c>
      <c r="AD119" t="s">
        <v>1</v>
      </c>
      <c r="AE119">
        <v>13</v>
      </c>
      <c r="AF119">
        <v>10</v>
      </c>
      <c r="AH119" t="s">
        <v>244</v>
      </c>
      <c r="AI119" t="s">
        <v>1564</v>
      </c>
      <c r="AK119" t="s">
        <v>1563</v>
      </c>
      <c r="AL119">
        <v>1</v>
      </c>
      <c r="AM119" s="5">
        <f t="shared" si="11"/>
        <v>3.3333333333333333E-2</v>
      </c>
      <c r="AN119" s="4">
        <f t="shared" si="12"/>
        <v>5.0485927047835418E-5</v>
      </c>
      <c r="AO119" s="3"/>
      <c r="AP119">
        <v>0</v>
      </c>
      <c r="AR119" t="s">
        <v>0</v>
      </c>
      <c r="AT119" s="2" t="s">
        <v>5</v>
      </c>
      <c r="AU119" s="1">
        <f t="shared" si="13"/>
        <v>1.1507097407809233</v>
      </c>
      <c r="AV119" s="1">
        <f t="shared" si="14"/>
        <v>0.82337798418774044</v>
      </c>
      <c r="AW119" s="1">
        <f t="shared" si="15"/>
        <v>0.49604622759455769</v>
      </c>
    </row>
    <row r="120" spans="1:49" x14ac:dyDescent="0.2">
      <c r="A120">
        <v>118</v>
      </c>
      <c r="B120" t="s">
        <v>1562</v>
      </c>
      <c r="F120" t="s">
        <v>1561</v>
      </c>
      <c r="G120" t="s">
        <v>4</v>
      </c>
      <c r="H120" t="s">
        <v>3</v>
      </c>
      <c r="I120" t="s">
        <v>1560</v>
      </c>
      <c r="N120">
        <v>1</v>
      </c>
      <c r="O120" t="s">
        <v>1559</v>
      </c>
      <c r="P120">
        <v>57225837400</v>
      </c>
      <c r="R120" s="7">
        <v>33878</v>
      </c>
      <c r="S120" s="8">
        <f t="shared" si="8"/>
        <v>1992</v>
      </c>
      <c r="T120" s="8">
        <v>1992</v>
      </c>
      <c r="U120" s="8">
        <f t="shared" si="9"/>
        <v>30</v>
      </c>
      <c r="V120" s="7">
        <v>33878</v>
      </c>
      <c r="W120" t="s">
        <v>1525</v>
      </c>
      <c r="X120" s="2" t="s">
        <v>5</v>
      </c>
      <c r="Y120" s="6" t="e">
        <f t="shared" si="10"/>
        <v>#VALUE!</v>
      </c>
      <c r="AA120">
        <v>2650193</v>
      </c>
      <c r="AB120">
        <v>35207</v>
      </c>
      <c r="AD120" t="s">
        <v>1</v>
      </c>
      <c r="AE120">
        <v>10</v>
      </c>
      <c r="AF120">
        <v>4</v>
      </c>
      <c r="AH120" t="s">
        <v>1558</v>
      </c>
      <c r="AI120" t="s">
        <v>1557</v>
      </c>
      <c r="AK120" t="s">
        <v>1556</v>
      </c>
      <c r="AL120">
        <v>3</v>
      </c>
      <c r="AM120" s="5">
        <f t="shared" si="11"/>
        <v>0.1</v>
      </c>
      <c r="AN120" s="4">
        <f t="shared" si="12"/>
        <v>1.5145778114350627E-4</v>
      </c>
      <c r="AO120" s="3"/>
      <c r="AP120">
        <v>0</v>
      </c>
      <c r="AR120" t="s">
        <v>0</v>
      </c>
      <c r="AT120" s="2" t="s">
        <v>5</v>
      </c>
      <c r="AU120" s="1" t="e">
        <f t="shared" si="13"/>
        <v>#VALUE!</v>
      </c>
      <c r="AV120" s="1" t="e">
        <f t="shared" si="14"/>
        <v>#VALUE!</v>
      </c>
      <c r="AW120" s="1" t="e">
        <f t="shared" si="15"/>
        <v>#VALUE!</v>
      </c>
    </row>
    <row r="121" spans="1:49" x14ac:dyDescent="0.2">
      <c r="A121">
        <v>119</v>
      </c>
      <c r="B121" t="s">
        <v>1555</v>
      </c>
      <c r="F121" t="s">
        <v>1554</v>
      </c>
      <c r="G121" t="s">
        <v>4</v>
      </c>
      <c r="H121" t="s">
        <v>3</v>
      </c>
      <c r="I121" t="s">
        <v>1553</v>
      </c>
      <c r="J121">
        <v>60014846</v>
      </c>
      <c r="K121" t="s">
        <v>1551</v>
      </c>
      <c r="L121" t="s">
        <v>217</v>
      </c>
      <c r="M121" t="s">
        <v>2</v>
      </c>
      <c r="N121">
        <v>1</v>
      </c>
      <c r="O121" t="s">
        <v>1552</v>
      </c>
      <c r="P121">
        <v>7202416087</v>
      </c>
      <c r="Q121">
        <v>60014846</v>
      </c>
      <c r="R121" s="7">
        <v>33878</v>
      </c>
      <c r="S121" s="8">
        <f t="shared" si="8"/>
        <v>1992</v>
      </c>
      <c r="T121" s="8">
        <v>1992</v>
      </c>
      <c r="U121" s="8">
        <f t="shared" si="9"/>
        <v>30</v>
      </c>
      <c r="V121" s="7">
        <v>33878</v>
      </c>
      <c r="W121" t="s">
        <v>1551</v>
      </c>
      <c r="X121" s="2">
        <v>0.22500000000000001</v>
      </c>
      <c r="Y121" s="6">
        <f t="shared" si="10"/>
        <v>6.0062464963562111E-3</v>
      </c>
      <c r="AA121">
        <v>189235</v>
      </c>
      <c r="AB121">
        <v>17318</v>
      </c>
      <c r="AD121" t="s">
        <v>1</v>
      </c>
      <c r="AE121">
        <v>29</v>
      </c>
      <c r="AF121">
        <v>10</v>
      </c>
      <c r="AH121" t="s">
        <v>1550</v>
      </c>
      <c r="AI121" t="s">
        <v>1549</v>
      </c>
      <c r="AK121" t="s">
        <v>1548</v>
      </c>
      <c r="AL121">
        <v>0</v>
      </c>
      <c r="AM121" s="5">
        <f t="shared" si="11"/>
        <v>0</v>
      </c>
      <c r="AN121" s="4">
        <f t="shared" si="12"/>
        <v>0</v>
      </c>
      <c r="AO121" s="3"/>
      <c r="AP121">
        <v>0</v>
      </c>
      <c r="AR121" t="s">
        <v>0</v>
      </c>
      <c r="AT121" s="2">
        <v>2.875</v>
      </c>
      <c r="AU121" s="1">
        <f t="shared" si="13"/>
        <v>0.42043725474493476</v>
      </c>
      <c r="AV121" s="1">
        <f t="shared" si="14"/>
        <v>0.30031232481781056</v>
      </c>
      <c r="AW121" s="1">
        <f t="shared" si="15"/>
        <v>0.18018739489068633</v>
      </c>
    </row>
    <row r="122" spans="1:49" x14ac:dyDescent="0.2">
      <c r="A122">
        <v>120</v>
      </c>
      <c r="B122" t="s">
        <v>1547</v>
      </c>
      <c r="C122" t="s">
        <v>1546</v>
      </c>
      <c r="F122" t="s">
        <v>1545</v>
      </c>
      <c r="G122" t="s">
        <v>4</v>
      </c>
      <c r="H122" t="s">
        <v>3</v>
      </c>
      <c r="I122" t="s">
        <v>1544</v>
      </c>
      <c r="J122">
        <v>101289433</v>
      </c>
      <c r="K122" t="s">
        <v>1543</v>
      </c>
      <c r="L122" t="s">
        <v>81</v>
      </c>
      <c r="M122" t="s">
        <v>2</v>
      </c>
      <c r="N122">
        <v>1</v>
      </c>
      <c r="O122" t="s">
        <v>1542</v>
      </c>
      <c r="P122">
        <v>7005722883</v>
      </c>
      <c r="Q122">
        <v>101289433</v>
      </c>
      <c r="R122" s="7">
        <v>33878</v>
      </c>
      <c r="S122" s="8">
        <f t="shared" si="8"/>
        <v>1992</v>
      </c>
      <c r="T122" s="8">
        <v>1992</v>
      </c>
      <c r="U122" s="8">
        <f t="shared" si="9"/>
        <v>30</v>
      </c>
      <c r="V122" s="7">
        <v>33878</v>
      </c>
      <c r="W122" t="s">
        <v>132</v>
      </c>
      <c r="X122" s="2">
        <v>0.88100000000000001</v>
      </c>
      <c r="Y122" s="6">
        <f t="shared" si="10"/>
        <v>2.3517791836843653E-2</v>
      </c>
      <c r="AA122">
        <v>10459243</v>
      </c>
      <c r="AB122">
        <v>17248</v>
      </c>
      <c r="AD122" t="s">
        <v>1</v>
      </c>
      <c r="AE122">
        <v>34</v>
      </c>
      <c r="AF122">
        <v>5</v>
      </c>
      <c r="AH122" t="s">
        <v>1541</v>
      </c>
      <c r="AI122" t="s">
        <v>1540</v>
      </c>
      <c r="AK122" t="s">
        <v>1539</v>
      </c>
      <c r="AL122">
        <v>0</v>
      </c>
      <c r="AM122" s="5">
        <f t="shared" si="11"/>
        <v>0</v>
      </c>
      <c r="AN122" s="4">
        <f t="shared" si="12"/>
        <v>0</v>
      </c>
      <c r="AO122" s="3"/>
      <c r="AP122">
        <v>0</v>
      </c>
      <c r="AR122" t="s">
        <v>0</v>
      </c>
      <c r="AT122" s="2" t="s">
        <v>5</v>
      </c>
      <c r="AU122" s="1">
        <f t="shared" si="13"/>
        <v>1.6462454285790555</v>
      </c>
      <c r="AV122" s="1">
        <f t="shared" si="14"/>
        <v>1.1758895918421826</v>
      </c>
      <c r="AW122" s="1">
        <f t="shared" si="15"/>
        <v>0.70553375510530958</v>
      </c>
    </row>
    <row r="123" spans="1:49" x14ac:dyDescent="0.2">
      <c r="A123">
        <v>121</v>
      </c>
      <c r="B123" t="s">
        <v>1538</v>
      </c>
      <c r="F123" t="s">
        <v>1537</v>
      </c>
      <c r="G123" t="s">
        <v>4</v>
      </c>
      <c r="H123" t="s">
        <v>3</v>
      </c>
      <c r="I123" t="s">
        <v>1536</v>
      </c>
      <c r="N123">
        <v>3</v>
      </c>
      <c r="O123" t="s">
        <v>1535</v>
      </c>
      <c r="P123" t="s">
        <v>1534</v>
      </c>
      <c r="Q123" t="s">
        <v>71</v>
      </c>
      <c r="R123" s="7">
        <v>33878</v>
      </c>
      <c r="S123" s="8">
        <f t="shared" si="8"/>
        <v>1992</v>
      </c>
      <c r="T123" s="8">
        <v>1992</v>
      </c>
      <c r="U123" s="8">
        <f t="shared" si="9"/>
        <v>30</v>
      </c>
      <c r="V123" s="7">
        <v>33878</v>
      </c>
      <c r="W123" t="s">
        <v>1525</v>
      </c>
      <c r="X123" s="2" t="s">
        <v>5</v>
      </c>
      <c r="Y123" s="6" t="e">
        <f t="shared" si="10"/>
        <v>#VALUE!</v>
      </c>
      <c r="AA123">
        <v>2650193</v>
      </c>
      <c r="AB123">
        <v>35207</v>
      </c>
      <c r="AD123" t="s">
        <v>1</v>
      </c>
      <c r="AE123">
        <v>10</v>
      </c>
      <c r="AF123">
        <v>4</v>
      </c>
      <c r="AH123" t="s">
        <v>1533</v>
      </c>
      <c r="AI123" t="s">
        <v>1532</v>
      </c>
      <c r="AK123" t="s">
        <v>1531</v>
      </c>
      <c r="AL123">
        <v>4</v>
      </c>
      <c r="AM123" s="5">
        <f t="shared" si="11"/>
        <v>0.13333333333333333</v>
      </c>
      <c r="AN123" s="4">
        <f t="shared" si="12"/>
        <v>2.0194370819134167E-4</v>
      </c>
      <c r="AO123" s="3"/>
      <c r="AP123">
        <v>0</v>
      </c>
      <c r="AR123" t="s">
        <v>0</v>
      </c>
      <c r="AT123" s="2" t="s">
        <v>5</v>
      </c>
      <c r="AU123" s="1" t="e">
        <f t="shared" si="13"/>
        <v>#VALUE!</v>
      </c>
      <c r="AV123" s="1" t="e">
        <f t="shared" si="14"/>
        <v>#VALUE!</v>
      </c>
      <c r="AW123" s="1" t="e">
        <f t="shared" si="15"/>
        <v>#VALUE!</v>
      </c>
    </row>
    <row r="124" spans="1:49" x14ac:dyDescent="0.2">
      <c r="A124">
        <v>122</v>
      </c>
      <c r="B124" t="s">
        <v>1530</v>
      </c>
      <c r="F124" t="s">
        <v>1529</v>
      </c>
      <c r="G124" t="s">
        <v>4</v>
      </c>
      <c r="H124" t="s">
        <v>3</v>
      </c>
      <c r="I124" t="s">
        <v>1528</v>
      </c>
      <c r="N124">
        <v>2</v>
      </c>
      <c r="O124" t="s">
        <v>1527</v>
      </c>
      <c r="P124" t="s">
        <v>1526</v>
      </c>
      <c r="Q124" t="s">
        <v>45</v>
      </c>
      <c r="R124" s="7">
        <v>33878</v>
      </c>
      <c r="S124" s="8">
        <f t="shared" si="8"/>
        <v>1992</v>
      </c>
      <c r="T124" s="8">
        <v>1992</v>
      </c>
      <c r="U124" s="8">
        <f t="shared" si="9"/>
        <v>30</v>
      </c>
      <c r="V124" s="7">
        <v>33878</v>
      </c>
      <c r="W124" t="s">
        <v>1525</v>
      </c>
      <c r="X124" s="2" t="s">
        <v>5</v>
      </c>
      <c r="Y124" s="6" t="e">
        <f t="shared" si="10"/>
        <v>#VALUE!</v>
      </c>
      <c r="AA124">
        <v>2650193</v>
      </c>
      <c r="AB124">
        <v>35207</v>
      </c>
      <c r="AD124" t="s">
        <v>1</v>
      </c>
      <c r="AE124">
        <v>10</v>
      </c>
      <c r="AF124">
        <v>4</v>
      </c>
      <c r="AH124" t="s">
        <v>1524</v>
      </c>
      <c r="AI124" t="s">
        <v>1523</v>
      </c>
      <c r="AK124" t="s">
        <v>1522</v>
      </c>
      <c r="AL124">
        <v>0</v>
      </c>
      <c r="AM124" s="5">
        <f t="shared" si="11"/>
        <v>0</v>
      </c>
      <c r="AN124" s="4">
        <f t="shared" si="12"/>
        <v>0</v>
      </c>
      <c r="AO124" s="3"/>
      <c r="AP124">
        <v>0</v>
      </c>
      <c r="AR124" t="s">
        <v>0</v>
      </c>
      <c r="AT124" s="2" t="s">
        <v>5</v>
      </c>
      <c r="AU124" s="1" t="e">
        <f t="shared" si="13"/>
        <v>#VALUE!</v>
      </c>
      <c r="AV124" s="1" t="e">
        <f t="shared" si="14"/>
        <v>#VALUE!</v>
      </c>
      <c r="AW124" s="1" t="e">
        <f t="shared" si="15"/>
        <v>#VALUE!</v>
      </c>
    </row>
    <row r="125" spans="1:49" x14ac:dyDescent="0.2">
      <c r="A125">
        <v>123</v>
      </c>
      <c r="B125" t="s">
        <v>1521</v>
      </c>
      <c r="F125" t="s">
        <v>1520</v>
      </c>
      <c r="G125" t="s">
        <v>4</v>
      </c>
      <c r="H125" t="s">
        <v>3</v>
      </c>
      <c r="I125" t="s">
        <v>1519</v>
      </c>
      <c r="N125">
        <v>1</v>
      </c>
      <c r="O125" t="s">
        <v>1518</v>
      </c>
      <c r="P125">
        <v>7102311441</v>
      </c>
      <c r="R125" s="7">
        <v>33878</v>
      </c>
      <c r="S125" s="8">
        <f t="shared" si="8"/>
        <v>1992</v>
      </c>
      <c r="T125" s="8">
        <v>1992</v>
      </c>
      <c r="U125" s="8">
        <f t="shared" si="9"/>
        <v>30</v>
      </c>
      <c r="V125" s="7">
        <v>33878</v>
      </c>
      <c r="W125" t="s">
        <v>36</v>
      </c>
      <c r="X125" s="2">
        <v>0.14099999999999999</v>
      </c>
      <c r="Y125" s="6">
        <f t="shared" si="10"/>
        <v>3.7639144710498915E-3</v>
      </c>
      <c r="AA125">
        <v>402508</v>
      </c>
      <c r="AB125">
        <v>20868</v>
      </c>
      <c r="AD125" t="s">
        <v>1</v>
      </c>
      <c r="AE125">
        <v>47</v>
      </c>
      <c r="AF125">
        <v>10</v>
      </c>
      <c r="AH125" t="s">
        <v>1517</v>
      </c>
      <c r="AI125" t="s">
        <v>1516</v>
      </c>
      <c r="AK125" t="s">
        <v>1515</v>
      </c>
      <c r="AL125">
        <v>0</v>
      </c>
      <c r="AM125" s="5">
        <f t="shared" si="11"/>
        <v>0</v>
      </c>
      <c r="AN125" s="4">
        <f t="shared" si="12"/>
        <v>0</v>
      </c>
      <c r="AO125" s="3"/>
      <c r="AP125">
        <v>0</v>
      </c>
      <c r="AR125" t="s">
        <v>0</v>
      </c>
      <c r="AT125" s="2" t="s">
        <v>5</v>
      </c>
      <c r="AU125" s="1">
        <f t="shared" si="13"/>
        <v>0.26347401297349238</v>
      </c>
      <c r="AV125" s="1">
        <f t="shared" si="14"/>
        <v>0.18819572355249459</v>
      </c>
      <c r="AW125" s="1">
        <f t="shared" si="15"/>
        <v>0.11291743413149673</v>
      </c>
    </row>
    <row r="126" spans="1:49" x14ac:dyDescent="0.2">
      <c r="A126">
        <v>124</v>
      </c>
      <c r="B126" t="s">
        <v>1514</v>
      </c>
      <c r="F126" t="s">
        <v>1513</v>
      </c>
      <c r="G126" t="s">
        <v>4</v>
      </c>
      <c r="H126" t="s">
        <v>3</v>
      </c>
      <c r="I126" t="s">
        <v>1512</v>
      </c>
      <c r="N126">
        <v>3</v>
      </c>
      <c r="O126" t="s">
        <v>1511</v>
      </c>
      <c r="P126" t="s">
        <v>1510</v>
      </c>
      <c r="Q126" t="s">
        <v>71</v>
      </c>
      <c r="R126" s="7">
        <v>33878</v>
      </c>
      <c r="S126" s="8">
        <f t="shared" si="8"/>
        <v>1992</v>
      </c>
      <c r="T126" s="8">
        <v>1992</v>
      </c>
      <c r="U126" s="8">
        <f t="shared" si="9"/>
        <v>30</v>
      </c>
      <c r="V126" s="7">
        <v>33878</v>
      </c>
      <c r="W126" t="s">
        <v>36</v>
      </c>
      <c r="X126" s="2">
        <v>0.14099999999999999</v>
      </c>
      <c r="Y126" s="6">
        <f t="shared" si="10"/>
        <v>3.7639144710498915E-3</v>
      </c>
      <c r="AA126">
        <v>402508</v>
      </c>
      <c r="AB126">
        <v>20868</v>
      </c>
      <c r="AD126" t="s">
        <v>1</v>
      </c>
      <c r="AE126">
        <v>47</v>
      </c>
      <c r="AF126">
        <v>10</v>
      </c>
      <c r="AH126" t="s">
        <v>1509</v>
      </c>
      <c r="AI126" t="s">
        <v>1508</v>
      </c>
      <c r="AK126" t="s">
        <v>1507</v>
      </c>
      <c r="AL126">
        <v>0</v>
      </c>
      <c r="AM126" s="5">
        <f t="shared" si="11"/>
        <v>0</v>
      </c>
      <c r="AN126" s="4">
        <f t="shared" si="12"/>
        <v>0</v>
      </c>
      <c r="AO126" s="3"/>
      <c r="AP126">
        <v>0</v>
      </c>
      <c r="AR126" t="s">
        <v>0</v>
      </c>
      <c r="AT126" s="2" t="s">
        <v>5</v>
      </c>
      <c r="AU126" s="1">
        <f t="shared" si="13"/>
        <v>0.26347401297349238</v>
      </c>
      <c r="AV126" s="1">
        <f t="shared" si="14"/>
        <v>0.18819572355249459</v>
      </c>
      <c r="AW126" s="1">
        <f t="shared" si="15"/>
        <v>0.11291743413149673</v>
      </c>
    </row>
    <row r="127" spans="1:49" x14ac:dyDescent="0.2">
      <c r="A127">
        <v>125</v>
      </c>
      <c r="B127" t="s">
        <v>1506</v>
      </c>
      <c r="F127" t="s">
        <v>1505</v>
      </c>
      <c r="G127" t="s">
        <v>4</v>
      </c>
      <c r="H127" t="s">
        <v>3</v>
      </c>
      <c r="I127" t="s">
        <v>1504</v>
      </c>
      <c r="N127">
        <v>2</v>
      </c>
      <c r="O127" t="s">
        <v>1503</v>
      </c>
      <c r="P127" t="s">
        <v>1502</v>
      </c>
      <c r="Q127" t="s">
        <v>45</v>
      </c>
      <c r="R127" s="7">
        <v>33878</v>
      </c>
      <c r="S127" s="8">
        <f t="shared" si="8"/>
        <v>1992</v>
      </c>
      <c r="T127" s="8">
        <v>1992</v>
      </c>
      <c r="U127" s="8">
        <f t="shared" si="9"/>
        <v>30</v>
      </c>
      <c r="V127" s="7">
        <v>33878</v>
      </c>
      <c r="W127" t="s">
        <v>36</v>
      </c>
      <c r="X127" s="2">
        <v>0.14099999999999999</v>
      </c>
      <c r="Y127" s="6">
        <f t="shared" si="10"/>
        <v>3.7639144710498915E-3</v>
      </c>
      <c r="AA127">
        <v>402508</v>
      </c>
      <c r="AB127">
        <v>20868</v>
      </c>
      <c r="AD127" t="s">
        <v>1</v>
      </c>
      <c r="AE127">
        <v>47</v>
      </c>
      <c r="AF127">
        <v>10</v>
      </c>
      <c r="AH127" t="s">
        <v>1501</v>
      </c>
      <c r="AI127" t="s">
        <v>1500</v>
      </c>
      <c r="AK127" t="s">
        <v>1499</v>
      </c>
      <c r="AL127">
        <v>0</v>
      </c>
      <c r="AM127" s="5">
        <f t="shared" si="11"/>
        <v>0</v>
      </c>
      <c r="AN127" s="4">
        <f t="shared" si="12"/>
        <v>0</v>
      </c>
      <c r="AO127" s="3"/>
      <c r="AP127">
        <v>0</v>
      </c>
      <c r="AR127" t="s">
        <v>0</v>
      </c>
      <c r="AT127" s="2" t="s">
        <v>5</v>
      </c>
      <c r="AU127" s="1">
        <f t="shared" si="13"/>
        <v>0.26347401297349238</v>
      </c>
      <c r="AV127" s="1">
        <f t="shared" si="14"/>
        <v>0.18819572355249459</v>
      </c>
      <c r="AW127" s="1">
        <f t="shared" si="15"/>
        <v>0.11291743413149673</v>
      </c>
    </row>
    <row r="128" spans="1:49" x14ac:dyDescent="0.2">
      <c r="A128">
        <v>126</v>
      </c>
      <c r="B128" t="s">
        <v>1498</v>
      </c>
      <c r="F128" t="s">
        <v>1497</v>
      </c>
      <c r="G128" t="s">
        <v>4</v>
      </c>
      <c r="H128" t="s">
        <v>3</v>
      </c>
      <c r="I128" t="s">
        <v>1496</v>
      </c>
      <c r="N128">
        <v>1</v>
      </c>
      <c r="O128" t="s">
        <v>1495</v>
      </c>
      <c r="P128">
        <v>6508335475</v>
      </c>
      <c r="R128" s="7">
        <v>33878</v>
      </c>
      <c r="S128" s="8">
        <f t="shared" si="8"/>
        <v>1992</v>
      </c>
      <c r="T128" s="8">
        <v>1992</v>
      </c>
      <c r="U128" s="8">
        <f t="shared" si="9"/>
        <v>30</v>
      </c>
      <c r="V128" s="7">
        <v>33878</v>
      </c>
      <c r="W128" t="s">
        <v>36</v>
      </c>
      <c r="X128" s="2">
        <v>0.14099999999999999</v>
      </c>
      <c r="Y128" s="6">
        <f t="shared" si="10"/>
        <v>3.7639144710498915E-3</v>
      </c>
      <c r="AA128">
        <v>402508</v>
      </c>
      <c r="AB128">
        <v>20868</v>
      </c>
      <c r="AD128" t="s">
        <v>1</v>
      </c>
      <c r="AE128">
        <v>47</v>
      </c>
      <c r="AF128">
        <v>10</v>
      </c>
      <c r="AH128" t="s">
        <v>1494</v>
      </c>
      <c r="AI128" t="s">
        <v>1493</v>
      </c>
      <c r="AK128" t="s">
        <v>1492</v>
      </c>
      <c r="AL128">
        <v>0</v>
      </c>
      <c r="AM128" s="5">
        <f t="shared" si="11"/>
        <v>0</v>
      </c>
      <c r="AN128" s="4">
        <f t="shared" si="12"/>
        <v>0</v>
      </c>
      <c r="AO128" s="3"/>
      <c r="AP128">
        <v>0</v>
      </c>
      <c r="AR128" t="s">
        <v>0</v>
      </c>
      <c r="AT128" s="2" t="s">
        <v>5</v>
      </c>
      <c r="AU128" s="1">
        <f t="shared" si="13"/>
        <v>0.26347401297349238</v>
      </c>
      <c r="AV128" s="1">
        <f t="shared" si="14"/>
        <v>0.18819572355249459</v>
      </c>
      <c r="AW128" s="1">
        <f t="shared" si="15"/>
        <v>0.11291743413149673</v>
      </c>
    </row>
    <row r="129" spans="1:49" x14ac:dyDescent="0.2">
      <c r="A129">
        <v>127</v>
      </c>
      <c r="B129" t="s">
        <v>1491</v>
      </c>
      <c r="F129" t="s">
        <v>1490</v>
      </c>
      <c r="G129" t="s">
        <v>4</v>
      </c>
      <c r="H129" t="s">
        <v>3</v>
      </c>
      <c r="I129" t="s">
        <v>1489</v>
      </c>
      <c r="N129">
        <v>2</v>
      </c>
      <c r="O129" t="s">
        <v>1488</v>
      </c>
      <c r="P129" t="s">
        <v>1487</v>
      </c>
      <c r="Q129" t="s">
        <v>45</v>
      </c>
      <c r="R129" s="7">
        <v>33878</v>
      </c>
      <c r="S129" s="8">
        <f t="shared" si="8"/>
        <v>1992</v>
      </c>
      <c r="T129" s="8">
        <v>1992</v>
      </c>
      <c r="U129" s="8">
        <f t="shared" si="9"/>
        <v>30</v>
      </c>
      <c r="V129" s="7">
        <v>33878</v>
      </c>
      <c r="W129" t="s">
        <v>36</v>
      </c>
      <c r="X129" s="2">
        <v>0.14099999999999999</v>
      </c>
      <c r="Y129" s="6">
        <f t="shared" si="10"/>
        <v>3.7639144710498915E-3</v>
      </c>
      <c r="AA129">
        <v>402508</v>
      </c>
      <c r="AB129">
        <v>20868</v>
      </c>
      <c r="AD129" t="s">
        <v>1</v>
      </c>
      <c r="AE129">
        <v>47</v>
      </c>
      <c r="AF129">
        <v>10</v>
      </c>
      <c r="AH129" t="s">
        <v>128</v>
      </c>
      <c r="AI129" t="s">
        <v>1486</v>
      </c>
      <c r="AK129" t="s">
        <v>1485</v>
      </c>
      <c r="AL129">
        <v>0</v>
      </c>
      <c r="AM129" s="5">
        <f t="shared" si="11"/>
        <v>0</v>
      </c>
      <c r="AN129" s="4">
        <f t="shared" si="12"/>
        <v>0</v>
      </c>
      <c r="AO129" s="3"/>
      <c r="AP129">
        <v>0</v>
      </c>
      <c r="AR129" t="s">
        <v>0</v>
      </c>
      <c r="AT129" s="2" t="s">
        <v>5</v>
      </c>
      <c r="AU129" s="1">
        <f t="shared" si="13"/>
        <v>0.26347401297349238</v>
      </c>
      <c r="AV129" s="1">
        <f t="shared" si="14"/>
        <v>0.18819572355249459</v>
      </c>
      <c r="AW129" s="1">
        <f t="shared" si="15"/>
        <v>0.11291743413149673</v>
      </c>
    </row>
    <row r="130" spans="1:49" x14ac:dyDescent="0.2">
      <c r="A130">
        <v>128</v>
      </c>
      <c r="B130" t="s">
        <v>1484</v>
      </c>
      <c r="F130" t="s">
        <v>1483</v>
      </c>
      <c r="G130" t="s">
        <v>4</v>
      </c>
      <c r="H130" t="s">
        <v>3</v>
      </c>
      <c r="I130" t="s">
        <v>285</v>
      </c>
      <c r="N130">
        <v>2</v>
      </c>
      <c r="O130" t="s">
        <v>1482</v>
      </c>
      <c r="P130" t="s">
        <v>1481</v>
      </c>
      <c r="Q130" t="s">
        <v>45</v>
      </c>
      <c r="R130" s="7">
        <v>33878</v>
      </c>
      <c r="S130" s="8">
        <f t="shared" ref="S130:S193" si="16">YEAR(R130)</f>
        <v>1992</v>
      </c>
      <c r="T130" s="8">
        <v>1992</v>
      </c>
      <c r="U130" s="8">
        <f t="shared" ref="U130:U193" si="17">2022-T130</f>
        <v>30</v>
      </c>
      <c r="V130" s="7">
        <v>33878</v>
      </c>
      <c r="W130" t="s">
        <v>36</v>
      </c>
      <c r="X130" s="2">
        <v>0.14099999999999999</v>
      </c>
      <c r="Y130" s="6">
        <f t="shared" ref="Y130:Y193" si="18">(X130-$Z$4)/($Z$3-$Z$4)</f>
        <v>3.7639144710498915E-3</v>
      </c>
      <c r="AA130">
        <v>402508</v>
      </c>
      <c r="AB130">
        <v>20868</v>
      </c>
      <c r="AD130" t="s">
        <v>1</v>
      </c>
      <c r="AE130">
        <v>47</v>
      </c>
      <c r="AF130">
        <v>10</v>
      </c>
      <c r="AH130" t="s">
        <v>1480</v>
      </c>
      <c r="AI130" t="s">
        <v>1479</v>
      </c>
      <c r="AK130" t="s">
        <v>1478</v>
      </c>
      <c r="AL130">
        <v>0</v>
      </c>
      <c r="AM130" s="5">
        <f t="shared" ref="AM130:AM193" si="19">AL130/U130</f>
        <v>0</v>
      </c>
      <c r="AN130" s="4">
        <f t="shared" ref="AN130:AN193" si="20">(AM130-$AO$4)/($AO$3-$AO$4)</f>
        <v>0</v>
      </c>
      <c r="AO130" s="3"/>
      <c r="AP130">
        <v>0</v>
      </c>
      <c r="AR130" t="s">
        <v>0</v>
      </c>
      <c r="AT130" s="2" t="s">
        <v>5</v>
      </c>
      <c r="AU130" s="1">
        <f t="shared" ref="AU130:AU193" si="21">(Y130*0.7+AN130*0.3)*100</f>
        <v>0.26347401297349238</v>
      </c>
      <c r="AV130" s="1">
        <f t="shared" ref="AV130:AV193" si="22">(Y130*0.5+AN130*0.5)*100</f>
        <v>0.18819572355249459</v>
      </c>
      <c r="AW130" s="1">
        <f t="shared" ref="AW130:AW193" si="23">(Y130*0.3+AN130*0.7)*100</f>
        <v>0.11291743413149673</v>
      </c>
    </row>
    <row r="131" spans="1:49" x14ac:dyDescent="0.2">
      <c r="A131">
        <v>129</v>
      </c>
      <c r="B131" t="s">
        <v>1477</v>
      </c>
      <c r="F131" t="s">
        <v>1476</v>
      </c>
      <c r="G131" t="s">
        <v>4</v>
      </c>
      <c r="H131" t="s">
        <v>3</v>
      </c>
      <c r="I131" t="s">
        <v>1475</v>
      </c>
      <c r="N131">
        <v>4</v>
      </c>
      <c r="O131" t="s">
        <v>1474</v>
      </c>
      <c r="P131" t="s">
        <v>1473</v>
      </c>
      <c r="Q131" t="s">
        <v>84</v>
      </c>
      <c r="R131" s="7">
        <v>33878</v>
      </c>
      <c r="S131" s="8">
        <f t="shared" si="16"/>
        <v>1992</v>
      </c>
      <c r="T131" s="8">
        <v>1992</v>
      </c>
      <c r="U131" s="8">
        <f t="shared" si="17"/>
        <v>30</v>
      </c>
      <c r="V131" s="7">
        <v>33878</v>
      </c>
      <c r="W131" t="s">
        <v>36</v>
      </c>
      <c r="X131" s="2">
        <v>0.14099999999999999</v>
      </c>
      <c r="Y131" s="6">
        <f t="shared" si="18"/>
        <v>3.7639144710498915E-3</v>
      </c>
      <c r="AA131">
        <v>402508</v>
      </c>
      <c r="AB131">
        <v>20868</v>
      </c>
      <c r="AD131" t="s">
        <v>1</v>
      </c>
      <c r="AE131">
        <v>47</v>
      </c>
      <c r="AF131">
        <v>10</v>
      </c>
      <c r="AH131" t="s">
        <v>1201</v>
      </c>
      <c r="AI131" t="s">
        <v>1472</v>
      </c>
      <c r="AK131" t="s">
        <v>1471</v>
      </c>
      <c r="AL131">
        <v>0</v>
      </c>
      <c r="AM131" s="5">
        <f t="shared" si="19"/>
        <v>0</v>
      </c>
      <c r="AN131" s="4">
        <f t="shared" si="20"/>
        <v>0</v>
      </c>
      <c r="AO131" s="3"/>
      <c r="AP131">
        <v>0</v>
      </c>
      <c r="AR131" t="s">
        <v>0</v>
      </c>
      <c r="AT131" s="2" t="s">
        <v>5</v>
      </c>
      <c r="AU131" s="1">
        <f t="shared" si="21"/>
        <v>0.26347401297349238</v>
      </c>
      <c r="AV131" s="1">
        <f t="shared" si="22"/>
        <v>0.18819572355249459</v>
      </c>
      <c r="AW131" s="1">
        <f t="shared" si="23"/>
        <v>0.11291743413149673</v>
      </c>
    </row>
    <row r="132" spans="1:49" x14ac:dyDescent="0.2">
      <c r="A132">
        <v>130</v>
      </c>
      <c r="B132" t="s">
        <v>1470</v>
      </c>
      <c r="F132" t="s">
        <v>1469</v>
      </c>
      <c r="G132" t="s">
        <v>4</v>
      </c>
      <c r="H132" t="s">
        <v>3</v>
      </c>
      <c r="I132" t="s">
        <v>1468</v>
      </c>
      <c r="N132">
        <v>2</v>
      </c>
      <c r="O132" t="s">
        <v>1467</v>
      </c>
      <c r="P132" t="s">
        <v>1466</v>
      </c>
      <c r="Q132" t="s">
        <v>45</v>
      </c>
      <c r="R132" s="7">
        <v>33878</v>
      </c>
      <c r="S132" s="8">
        <f t="shared" si="16"/>
        <v>1992</v>
      </c>
      <c r="T132" s="8">
        <v>1992</v>
      </c>
      <c r="U132" s="8">
        <f t="shared" si="17"/>
        <v>30</v>
      </c>
      <c r="V132" s="7">
        <v>33878</v>
      </c>
      <c r="W132" t="s">
        <v>36</v>
      </c>
      <c r="X132" s="2">
        <v>0.14099999999999999</v>
      </c>
      <c r="Y132" s="6">
        <f t="shared" si="18"/>
        <v>3.7639144710498915E-3</v>
      </c>
      <c r="AA132">
        <v>402508</v>
      </c>
      <c r="AB132">
        <v>20868</v>
      </c>
      <c r="AD132" t="s">
        <v>1</v>
      </c>
      <c r="AE132">
        <v>47</v>
      </c>
      <c r="AF132">
        <v>10</v>
      </c>
      <c r="AH132" t="s">
        <v>1465</v>
      </c>
      <c r="AI132" t="s">
        <v>1464</v>
      </c>
      <c r="AK132" t="s">
        <v>1463</v>
      </c>
      <c r="AL132">
        <v>0</v>
      </c>
      <c r="AM132" s="5">
        <f t="shared" si="19"/>
        <v>0</v>
      </c>
      <c r="AN132" s="4">
        <f t="shared" si="20"/>
        <v>0</v>
      </c>
      <c r="AO132" s="3"/>
      <c r="AP132">
        <v>0</v>
      </c>
      <c r="AR132" t="s">
        <v>0</v>
      </c>
      <c r="AT132" s="2" t="s">
        <v>5</v>
      </c>
      <c r="AU132" s="1">
        <f t="shared" si="21"/>
        <v>0.26347401297349238</v>
      </c>
      <c r="AV132" s="1">
        <f t="shared" si="22"/>
        <v>0.18819572355249459</v>
      </c>
      <c r="AW132" s="1">
        <f t="shared" si="23"/>
        <v>0.11291743413149673</v>
      </c>
    </row>
    <row r="133" spans="1:49" x14ac:dyDescent="0.2">
      <c r="A133">
        <v>131</v>
      </c>
      <c r="B133" t="s">
        <v>1462</v>
      </c>
      <c r="F133" t="s">
        <v>1461</v>
      </c>
      <c r="G133" t="s">
        <v>4</v>
      </c>
      <c r="H133" t="s">
        <v>3</v>
      </c>
      <c r="I133" t="s">
        <v>1460</v>
      </c>
      <c r="J133">
        <v>101093345</v>
      </c>
      <c r="K133" t="s">
        <v>1459</v>
      </c>
      <c r="L133" t="s">
        <v>1458</v>
      </c>
      <c r="M133" t="s">
        <v>2</v>
      </c>
      <c r="N133">
        <v>1</v>
      </c>
      <c r="O133" t="s">
        <v>1457</v>
      </c>
      <c r="P133">
        <v>7102842878</v>
      </c>
      <c r="Q133">
        <v>101093345</v>
      </c>
      <c r="R133" s="7">
        <v>33878</v>
      </c>
      <c r="S133" s="8">
        <f t="shared" si="16"/>
        <v>1992</v>
      </c>
      <c r="T133" s="8">
        <v>1992</v>
      </c>
      <c r="U133" s="8">
        <f t="shared" si="17"/>
        <v>30</v>
      </c>
      <c r="V133" s="7">
        <v>33878</v>
      </c>
      <c r="W133" t="s">
        <v>88</v>
      </c>
      <c r="X133" s="2">
        <v>0.22</v>
      </c>
      <c r="Y133" s="6">
        <f t="shared" si="18"/>
        <v>5.8727743519927395E-3</v>
      </c>
      <c r="AA133">
        <v>2705214</v>
      </c>
      <c r="AB133">
        <v>28119</v>
      </c>
      <c r="AD133" t="s">
        <v>1</v>
      </c>
      <c r="AE133">
        <v>13</v>
      </c>
      <c r="AF133">
        <v>4</v>
      </c>
      <c r="AH133" t="s">
        <v>1456</v>
      </c>
      <c r="AI133" t="s">
        <v>1455</v>
      </c>
      <c r="AK133" t="s">
        <v>1454</v>
      </c>
      <c r="AL133">
        <v>3</v>
      </c>
      <c r="AM133" s="5">
        <f t="shared" si="19"/>
        <v>0.1</v>
      </c>
      <c r="AN133" s="4">
        <f t="shared" si="20"/>
        <v>1.5145778114350627E-4</v>
      </c>
      <c r="AO133" s="3"/>
      <c r="AP133">
        <v>0</v>
      </c>
      <c r="AR133" t="s">
        <v>0</v>
      </c>
      <c r="AT133" s="2" t="s">
        <v>5</v>
      </c>
      <c r="AU133" s="1">
        <f t="shared" si="21"/>
        <v>0.41563793807379695</v>
      </c>
      <c r="AV133" s="1">
        <f t="shared" si="22"/>
        <v>0.30121160665681229</v>
      </c>
      <c r="AW133" s="1">
        <f t="shared" si="23"/>
        <v>0.18678527523982763</v>
      </c>
    </row>
    <row r="134" spans="1:49" x14ac:dyDescent="0.2">
      <c r="A134">
        <v>132</v>
      </c>
      <c r="B134" t="s">
        <v>1453</v>
      </c>
      <c r="F134" t="s">
        <v>1452</v>
      </c>
      <c r="G134" t="s">
        <v>4</v>
      </c>
      <c r="H134" t="s">
        <v>3</v>
      </c>
      <c r="I134" t="s">
        <v>1451</v>
      </c>
      <c r="J134">
        <v>100635820</v>
      </c>
      <c r="K134" t="s">
        <v>1450</v>
      </c>
      <c r="N134">
        <v>2</v>
      </c>
      <c r="O134" t="s">
        <v>1449</v>
      </c>
      <c r="P134" t="s">
        <v>1448</v>
      </c>
      <c r="Q134" t="s">
        <v>1447</v>
      </c>
      <c r="R134" s="7">
        <v>33878</v>
      </c>
      <c r="S134" s="8">
        <f t="shared" si="16"/>
        <v>1992</v>
      </c>
      <c r="T134" s="8">
        <v>1992</v>
      </c>
      <c r="U134" s="8">
        <f t="shared" si="17"/>
        <v>30</v>
      </c>
      <c r="V134" s="7">
        <v>33878</v>
      </c>
      <c r="W134" t="s">
        <v>1446</v>
      </c>
      <c r="X134" s="2" t="s">
        <v>5</v>
      </c>
      <c r="Y134" s="6" t="e">
        <f t="shared" si="18"/>
        <v>#VALUE!</v>
      </c>
      <c r="AA134">
        <v>236063</v>
      </c>
      <c r="AB134">
        <v>30944</v>
      </c>
      <c r="AD134" t="s">
        <v>1</v>
      </c>
      <c r="AE134">
        <v>54</v>
      </c>
      <c r="AF134" t="s">
        <v>1445</v>
      </c>
      <c r="AH134" t="s">
        <v>1444</v>
      </c>
      <c r="AI134" t="s">
        <v>1443</v>
      </c>
      <c r="AK134" t="s">
        <v>1442</v>
      </c>
      <c r="AL134">
        <v>0</v>
      </c>
      <c r="AM134" s="5">
        <f t="shared" si="19"/>
        <v>0</v>
      </c>
      <c r="AN134" s="4">
        <f t="shared" si="20"/>
        <v>0</v>
      </c>
      <c r="AO134" s="3"/>
      <c r="AP134">
        <v>0</v>
      </c>
      <c r="AR134" t="s">
        <v>0</v>
      </c>
      <c r="AT134" s="2" t="s">
        <v>5</v>
      </c>
      <c r="AU134" s="1" t="e">
        <f t="shared" si="21"/>
        <v>#VALUE!</v>
      </c>
      <c r="AV134" s="1" t="e">
        <f t="shared" si="22"/>
        <v>#VALUE!</v>
      </c>
      <c r="AW134" s="1" t="e">
        <f t="shared" si="23"/>
        <v>#VALUE!</v>
      </c>
    </row>
    <row r="135" spans="1:49" x14ac:dyDescent="0.2">
      <c r="A135">
        <v>133</v>
      </c>
      <c r="B135" t="s">
        <v>1441</v>
      </c>
      <c r="C135" t="s">
        <v>1440</v>
      </c>
      <c r="F135" t="s">
        <v>1439</v>
      </c>
      <c r="G135" t="s">
        <v>4</v>
      </c>
      <c r="H135" t="s">
        <v>3</v>
      </c>
      <c r="I135" t="s">
        <v>1438</v>
      </c>
      <c r="J135" t="s">
        <v>1437</v>
      </c>
      <c r="K135" t="s">
        <v>1436</v>
      </c>
      <c r="L135" t="s">
        <v>1435</v>
      </c>
      <c r="M135" t="s">
        <v>1434</v>
      </c>
      <c r="N135">
        <v>6</v>
      </c>
      <c r="O135" t="s">
        <v>1433</v>
      </c>
      <c r="P135" t="s">
        <v>1432</v>
      </c>
      <c r="Q135" t="s">
        <v>1431</v>
      </c>
      <c r="R135" s="7">
        <v>33878</v>
      </c>
      <c r="S135" s="8">
        <f t="shared" si="16"/>
        <v>1992</v>
      </c>
      <c r="T135" s="8">
        <v>1992</v>
      </c>
      <c r="U135" s="8">
        <f t="shared" si="17"/>
        <v>30</v>
      </c>
      <c r="V135" s="7">
        <v>33878</v>
      </c>
      <c r="W135" t="s">
        <v>1430</v>
      </c>
      <c r="X135" s="2">
        <v>0.64800000000000002</v>
      </c>
      <c r="Y135" s="6">
        <f t="shared" si="18"/>
        <v>1.7297989909505887E-2</v>
      </c>
      <c r="AA135">
        <v>3028933</v>
      </c>
      <c r="AB135">
        <v>19623</v>
      </c>
      <c r="AC135" t="s">
        <v>1429</v>
      </c>
      <c r="AD135" t="s">
        <v>1</v>
      </c>
      <c r="AE135">
        <v>158</v>
      </c>
      <c r="AF135">
        <v>5</v>
      </c>
      <c r="AH135" t="s">
        <v>1428</v>
      </c>
      <c r="AI135" t="s">
        <v>1427</v>
      </c>
      <c r="AJ135" t="s">
        <v>1426</v>
      </c>
      <c r="AK135" t="s">
        <v>1425</v>
      </c>
      <c r="AL135">
        <v>10</v>
      </c>
      <c r="AM135" s="5">
        <f t="shared" si="19"/>
        <v>0.33333333333333331</v>
      </c>
      <c r="AN135" s="4">
        <f t="shared" si="20"/>
        <v>5.048592704783541E-4</v>
      </c>
      <c r="AO135" s="3"/>
      <c r="AP135">
        <v>0</v>
      </c>
      <c r="AR135" t="s">
        <v>0</v>
      </c>
      <c r="AT135" s="2">
        <v>2.552</v>
      </c>
      <c r="AU135" s="1">
        <f t="shared" si="21"/>
        <v>1.2260050717797626</v>
      </c>
      <c r="AV135" s="1">
        <f t="shared" si="22"/>
        <v>0.89014245899921207</v>
      </c>
      <c r="AW135" s="1">
        <f t="shared" si="23"/>
        <v>0.55427984621866133</v>
      </c>
    </row>
    <row r="136" spans="1:49" x14ac:dyDescent="0.2">
      <c r="A136">
        <v>134</v>
      </c>
      <c r="B136" t="s">
        <v>1424</v>
      </c>
      <c r="C136" t="s">
        <v>1423</v>
      </c>
      <c r="F136" t="s">
        <v>1422</v>
      </c>
      <c r="G136" t="s">
        <v>4</v>
      </c>
      <c r="H136" t="s">
        <v>3</v>
      </c>
      <c r="I136" t="s">
        <v>1421</v>
      </c>
      <c r="J136">
        <v>60025555</v>
      </c>
      <c r="K136" t="s">
        <v>135</v>
      </c>
      <c r="L136" t="s">
        <v>42</v>
      </c>
      <c r="M136" t="s">
        <v>12</v>
      </c>
      <c r="N136">
        <v>6</v>
      </c>
      <c r="O136" t="s">
        <v>1420</v>
      </c>
      <c r="P136" t="s">
        <v>1419</v>
      </c>
      <c r="Q136" t="s">
        <v>1418</v>
      </c>
      <c r="R136" s="7">
        <v>33878</v>
      </c>
      <c r="S136" s="8">
        <f t="shared" si="16"/>
        <v>1992</v>
      </c>
      <c r="T136" s="8">
        <v>1992</v>
      </c>
      <c r="U136" s="8">
        <f t="shared" si="17"/>
        <v>30</v>
      </c>
      <c r="V136" s="7">
        <v>33878</v>
      </c>
      <c r="W136" t="s">
        <v>757</v>
      </c>
      <c r="X136" s="2" t="s">
        <v>5</v>
      </c>
      <c r="Y136" s="6" t="e">
        <f t="shared" si="18"/>
        <v>#VALUE!</v>
      </c>
      <c r="AA136">
        <v>8961107</v>
      </c>
      <c r="AB136">
        <v>99971</v>
      </c>
      <c r="AC136">
        <v>15729605</v>
      </c>
      <c r="AD136" t="s">
        <v>1</v>
      </c>
      <c r="AE136">
        <v>5</v>
      </c>
      <c r="AF136">
        <v>5</v>
      </c>
      <c r="AH136" t="s">
        <v>1417</v>
      </c>
      <c r="AI136" t="s">
        <v>1416</v>
      </c>
      <c r="AJ136" t="s">
        <v>1415</v>
      </c>
      <c r="AK136" t="s">
        <v>1414</v>
      </c>
      <c r="AL136">
        <v>9</v>
      </c>
      <c r="AM136" s="5">
        <f t="shared" si="19"/>
        <v>0.3</v>
      </c>
      <c r="AN136" s="4">
        <f t="shared" si="20"/>
        <v>4.5437334343051872E-4</v>
      </c>
      <c r="AO136" s="3"/>
      <c r="AP136">
        <v>0</v>
      </c>
      <c r="AR136" t="s">
        <v>0</v>
      </c>
      <c r="AT136" s="2" t="s">
        <v>5</v>
      </c>
      <c r="AU136" s="1" t="e">
        <f t="shared" si="21"/>
        <v>#VALUE!</v>
      </c>
      <c r="AV136" s="1" t="e">
        <f t="shared" si="22"/>
        <v>#VALUE!</v>
      </c>
      <c r="AW136" s="1" t="e">
        <f t="shared" si="23"/>
        <v>#VALUE!</v>
      </c>
    </row>
    <row r="137" spans="1:49" x14ac:dyDescent="0.2">
      <c r="A137">
        <v>135</v>
      </c>
      <c r="B137" t="s">
        <v>1413</v>
      </c>
      <c r="C137" t="s">
        <v>1412</v>
      </c>
      <c r="F137" t="s">
        <v>1411</v>
      </c>
      <c r="G137" t="s">
        <v>4</v>
      </c>
      <c r="H137" t="s">
        <v>3</v>
      </c>
      <c r="I137" t="s">
        <v>1410</v>
      </c>
      <c r="J137">
        <v>60006754</v>
      </c>
      <c r="K137" t="s">
        <v>1409</v>
      </c>
      <c r="L137" t="s">
        <v>1408</v>
      </c>
      <c r="M137" t="s">
        <v>106</v>
      </c>
      <c r="N137">
        <v>3</v>
      </c>
      <c r="O137" t="s">
        <v>1407</v>
      </c>
      <c r="P137" t="s">
        <v>1406</v>
      </c>
      <c r="Q137" t="s">
        <v>1405</v>
      </c>
      <c r="R137" s="7">
        <v>33878</v>
      </c>
      <c r="S137" s="8">
        <f t="shared" si="16"/>
        <v>1992</v>
      </c>
      <c r="T137" s="8">
        <v>1992</v>
      </c>
      <c r="U137" s="8">
        <f t="shared" si="17"/>
        <v>30</v>
      </c>
      <c r="V137" s="7">
        <v>33878</v>
      </c>
      <c r="W137" t="s">
        <v>1404</v>
      </c>
      <c r="X137" s="2">
        <v>0.46200000000000002</v>
      </c>
      <c r="Y137" s="6">
        <f t="shared" si="18"/>
        <v>1.2332826139184754E-2</v>
      </c>
      <c r="AA137">
        <v>1904167</v>
      </c>
      <c r="AB137">
        <v>19235</v>
      </c>
      <c r="AC137">
        <v>15324087</v>
      </c>
      <c r="AD137" t="s">
        <v>1</v>
      </c>
      <c r="AE137">
        <v>15</v>
      </c>
      <c r="AF137">
        <v>10</v>
      </c>
      <c r="AH137" t="s">
        <v>1403</v>
      </c>
      <c r="AI137" t="s">
        <v>1402</v>
      </c>
      <c r="AK137" t="s">
        <v>1401</v>
      </c>
      <c r="AL137">
        <v>7</v>
      </c>
      <c r="AM137" s="5">
        <f t="shared" si="19"/>
        <v>0.23333333333333334</v>
      </c>
      <c r="AN137" s="4">
        <f t="shared" si="20"/>
        <v>3.5340148933484791E-4</v>
      </c>
      <c r="AO137" s="3"/>
      <c r="AP137">
        <v>0</v>
      </c>
      <c r="AQ137" t="s">
        <v>1400</v>
      </c>
      <c r="AR137" t="s">
        <v>1399</v>
      </c>
      <c r="AS137" t="s">
        <v>1398</v>
      </c>
      <c r="AT137" s="2">
        <v>1.7070000000000001</v>
      </c>
      <c r="AU137" s="1">
        <f t="shared" si="21"/>
        <v>0.87389987442297812</v>
      </c>
      <c r="AV137" s="1">
        <f t="shared" si="22"/>
        <v>0.63431138142598009</v>
      </c>
      <c r="AW137" s="1">
        <f t="shared" si="23"/>
        <v>0.3947228884289819</v>
      </c>
    </row>
    <row r="138" spans="1:49" x14ac:dyDescent="0.2">
      <c r="A138">
        <v>136</v>
      </c>
      <c r="B138" t="s">
        <v>1397</v>
      </c>
      <c r="C138" t="s">
        <v>1396</v>
      </c>
      <c r="F138" t="s">
        <v>1395</v>
      </c>
      <c r="G138" t="s">
        <v>4</v>
      </c>
      <c r="H138" t="s">
        <v>3</v>
      </c>
      <c r="I138" t="s">
        <v>1394</v>
      </c>
      <c r="J138">
        <v>60031720</v>
      </c>
      <c r="K138" t="s">
        <v>1393</v>
      </c>
      <c r="L138" t="s">
        <v>322</v>
      </c>
      <c r="M138" t="s">
        <v>12</v>
      </c>
      <c r="N138">
        <v>3</v>
      </c>
      <c r="O138" t="s">
        <v>1392</v>
      </c>
      <c r="P138" t="s">
        <v>1391</v>
      </c>
      <c r="Q138" t="s">
        <v>1390</v>
      </c>
      <c r="R138" s="7">
        <v>33878</v>
      </c>
      <c r="S138" s="8">
        <f t="shared" si="16"/>
        <v>1992</v>
      </c>
      <c r="T138" s="8">
        <v>1992</v>
      </c>
      <c r="U138" s="8">
        <f t="shared" si="17"/>
        <v>30</v>
      </c>
      <c r="V138" s="7">
        <v>33878</v>
      </c>
      <c r="W138" t="s">
        <v>284</v>
      </c>
      <c r="X138" s="2">
        <v>0.8</v>
      </c>
      <c r="Y138" s="6">
        <f t="shared" si="18"/>
        <v>2.1355543098155415E-2</v>
      </c>
      <c r="AA138">
        <v>3407594</v>
      </c>
      <c r="AB138">
        <v>23456</v>
      </c>
      <c r="AC138">
        <v>14321351</v>
      </c>
      <c r="AD138" t="s">
        <v>1</v>
      </c>
      <c r="AE138">
        <v>171</v>
      </c>
      <c r="AF138">
        <v>3</v>
      </c>
      <c r="AH138" t="s">
        <v>1389</v>
      </c>
      <c r="AI138" t="s">
        <v>1388</v>
      </c>
      <c r="AJ138" t="s">
        <v>1387</v>
      </c>
      <c r="AK138" t="s">
        <v>1386</v>
      </c>
      <c r="AL138">
        <v>29</v>
      </c>
      <c r="AM138" s="5">
        <f t="shared" si="19"/>
        <v>0.96666666666666667</v>
      </c>
      <c r="AN138" s="4">
        <f t="shared" si="20"/>
        <v>1.4640918843872271E-3</v>
      </c>
      <c r="AO138" s="3"/>
      <c r="AP138">
        <v>0</v>
      </c>
      <c r="AR138" t="s">
        <v>0</v>
      </c>
      <c r="AT138" s="2" t="s">
        <v>5</v>
      </c>
      <c r="AU138" s="1">
        <f t="shared" si="21"/>
        <v>1.5388107734024956</v>
      </c>
      <c r="AV138" s="1">
        <f t="shared" si="22"/>
        <v>1.1409817491271321</v>
      </c>
      <c r="AW138" s="1">
        <f t="shared" si="23"/>
        <v>0.74315272485176831</v>
      </c>
    </row>
    <row r="139" spans="1:49" x14ac:dyDescent="0.2">
      <c r="A139">
        <v>137</v>
      </c>
      <c r="B139" t="s">
        <v>1385</v>
      </c>
      <c r="C139" t="s">
        <v>1384</v>
      </c>
      <c r="D139">
        <v>5272892901039</v>
      </c>
      <c r="F139" t="s">
        <v>1383</v>
      </c>
      <c r="G139" t="s">
        <v>4</v>
      </c>
      <c r="H139" t="s">
        <v>3</v>
      </c>
      <c r="I139" t="s">
        <v>1382</v>
      </c>
      <c r="J139" t="s">
        <v>1353</v>
      </c>
      <c r="K139" t="s">
        <v>1352</v>
      </c>
      <c r="L139" t="s">
        <v>1351</v>
      </c>
      <c r="M139" t="s">
        <v>111</v>
      </c>
      <c r="N139">
        <v>5</v>
      </c>
      <c r="O139" t="s">
        <v>1381</v>
      </c>
      <c r="P139" t="s">
        <v>1380</v>
      </c>
      <c r="Q139" t="s">
        <v>1379</v>
      </c>
      <c r="R139" s="7">
        <v>33872</v>
      </c>
      <c r="S139" s="8">
        <f t="shared" si="16"/>
        <v>1992</v>
      </c>
      <c r="T139" s="8">
        <v>1992</v>
      </c>
      <c r="U139" s="8">
        <f t="shared" si="17"/>
        <v>30</v>
      </c>
      <c r="V139" s="7">
        <v>33872</v>
      </c>
      <c r="W139" t="s">
        <v>262</v>
      </c>
      <c r="X139" s="2">
        <v>1.59</v>
      </c>
      <c r="Y139" s="6">
        <f t="shared" si="18"/>
        <v>4.2444141907583888E-2</v>
      </c>
      <c r="AA139">
        <v>52728</v>
      </c>
      <c r="AB139">
        <v>16791</v>
      </c>
      <c r="AD139" t="s">
        <v>1</v>
      </c>
      <c r="AE139">
        <v>1102</v>
      </c>
      <c r="AF139">
        <v>2</v>
      </c>
      <c r="AH139" t="s">
        <v>1378</v>
      </c>
      <c r="AI139" t="s">
        <v>1377</v>
      </c>
      <c r="AJ139" t="s">
        <v>1376</v>
      </c>
      <c r="AK139" t="s">
        <v>1375</v>
      </c>
      <c r="AL139">
        <v>25</v>
      </c>
      <c r="AM139" s="5">
        <f t="shared" si="19"/>
        <v>0.83333333333333337</v>
      </c>
      <c r="AN139" s="4">
        <f t="shared" si="20"/>
        <v>1.2621481761958854E-3</v>
      </c>
      <c r="AO139" s="3"/>
      <c r="AP139">
        <v>0</v>
      </c>
      <c r="AR139" t="s">
        <v>0</v>
      </c>
      <c r="AT139" s="2" t="s">
        <v>5</v>
      </c>
      <c r="AU139" s="1">
        <f t="shared" si="21"/>
        <v>3.0089543788167488</v>
      </c>
      <c r="AV139" s="1">
        <f t="shared" si="22"/>
        <v>2.1853145041889883</v>
      </c>
      <c r="AW139" s="1">
        <f t="shared" si="23"/>
        <v>1.3616746295612285</v>
      </c>
    </row>
    <row r="140" spans="1:49" x14ac:dyDescent="0.2">
      <c r="A140">
        <v>138</v>
      </c>
      <c r="B140" t="s">
        <v>1374</v>
      </c>
      <c r="C140" t="s">
        <v>1373</v>
      </c>
      <c r="D140" t="s">
        <v>1372</v>
      </c>
      <c r="F140" t="s">
        <v>1371</v>
      </c>
      <c r="G140" t="s">
        <v>4</v>
      </c>
      <c r="H140" t="s">
        <v>3</v>
      </c>
      <c r="I140" t="s">
        <v>1370</v>
      </c>
      <c r="J140" t="s">
        <v>1369</v>
      </c>
      <c r="K140" t="s">
        <v>1368</v>
      </c>
      <c r="L140" t="s">
        <v>1367</v>
      </c>
      <c r="M140" t="s">
        <v>1366</v>
      </c>
      <c r="N140">
        <v>3</v>
      </c>
      <c r="O140" t="s">
        <v>1365</v>
      </c>
      <c r="P140" t="s">
        <v>1364</v>
      </c>
      <c r="Q140" t="s">
        <v>1363</v>
      </c>
      <c r="R140" s="7">
        <v>33872</v>
      </c>
      <c r="S140" s="8">
        <f t="shared" si="16"/>
        <v>1992</v>
      </c>
      <c r="T140" s="8">
        <v>1992</v>
      </c>
      <c r="U140" s="8">
        <f t="shared" si="17"/>
        <v>30</v>
      </c>
      <c r="V140" s="7">
        <v>33872</v>
      </c>
      <c r="W140" t="s">
        <v>262</v>
      </c>
      <c r="X140" s="2">
        <v>1.59</v>
      </c>
      <c r="Y140" s="6">
        <f t="shared" si="18"/>
        <v>4.2444141907583888E-2</v>
      </c>
      <c r="AA140">
        <v>52728</v>
      </c>
      <c r="AB140">
        <v>16791</v>
      </c>
      <c r="AD140" t="s">
        <v>1</v>
      </c>
      <c r="AE140">
        <v>1102</v>
      </c>
      <c r="AF140">
        <v>2</v>
      </c>
      <c r="AH140" t="s">
        <v>1362</v>
      </c>
      <c r="AI140" t="s">
        <v>1361</v>
      </c>
      <c r="AJ140" t="s">
        <v>1360</v>
      </c>
      <c r="AK140" t="s">
        <v>1359</v>
      </c>
      <c r="AL140">
        <v>105</v>
      </c>
      <c r="AM140" s="5">
        <f t="shared" si="19"/>
        <v>3.5</v>
      </c>
      <c r="AN140" s="4">
        <f t="shared" si="20"/>
        <v>5.301022340022719E-3</v>
      </c>
      <c r="AO140" s="3"/>
      <c r="AP140">
        <v>0</v>
      </c>
      <c r="AR140" t="s">
        <v>0</v>
      </c>
      <c r="AT140" s="2" t="s">
        <v>5</v>
      </c>
      <c r="AU140" s="1">
        <f t="shared" si="21"/>
        <v>3.1301206037315539</v>
      </c>
      <c r="AV140" s="1">
        <f t="shared" si="22"/>
        <v>2.3872582123803303</v>
      </c>
      <c r="AW140" s="1">
        <f t="shared" si="23"/>
        <v>1.6443958210291068</v>
      </c>
    </row>
    <row r="141" spans="1:49" x14ac:dyDescent="0.2">
      <c r="A141">
        <v>139</v>
      </c>
      <c r="B141" t="s">
        <v>1358</v>
      </c>
      <c r="C141" t="s">
        <v>1357</v>
      </c>
      <c r="D141" t="s">
        <v>1356</v>
      </c>
      <c r="F141" t="s">
        <v>1355</v>
      </c>
      <c r="G141" t="s">
        <v>4</v>
      </c>
      <c r="H141" t="s">
        <v>3</v>
      </c>
      <c r="I141" t="s">
        <v>1354</v>
      </c>
      <c r="J141" t="s">
        <v>1353</v>
      </c>
      <c r="K141" t="s">
        <v>1352</v>
      </c>
      <c r="L141" t="s">
        <v>1351</v>
      </c>
      <c r="M141" t="s">
        <v>111</v>
      </c>
      <c r="N141">
        <v>5</v>
      </c>
      <c r="O141" t="s">
        <v>1350</v>
      </c>
      <c r="P141" t="s">
        <v>1349</v>
      </c>
      <c r="Q141" t="s">
        <v>1348</v>
      </c>
      <c r="R141" s="7">
        <v>33872</v>
      </c>
      <c r="S141" s="8">
        <f t="shared" si="16"/>
        <v>1992</v>
      </c>
      <c r="T141" s="8">
        <v>1992</v>
      </c>
      <c r="U141" s="8">
        <f t="shared" si="17"/>
        <v>30</v>
      </c>
      <c r="V141" s="7">
        <v>33872</v>
      </c>
      <c r="W141" t="s">
        <v>262</v>
      </c>
      <c r="X141" s="2">
        <v>1.59</v>
      </c>
      <c r="Y141" s="6">
        <f t="shared" si="18"/>
        <v>4.2444141907583888E-2</v>
      </c>
      <c r="AA141">
        <v>52728</v>
      </c>
      <c r="AB141">
        <v>16791</v>
      </c>
      <c r="AD141" t="s">
        <v>1</v>
      </c>
      <c r="AE141">
        <v>1102</v>
      </c>
      <c r="AF141">
        <v>2</v>
      </c>
      <c r="AH141" t="s">
        <v>1347</v>
      </c>
      <c r="AI141" t="s">
        <v>1346</v>
      </c>
      <c r="AJ141" t="s">
        <v>1345</v>
      </c>
      <c r="AK141" t="s">
        <v>1344</v>
      </c>
      <c r="AL141">
        <v>8</v>
      </c>
      <c r="AM141" s="5">
        <f t="shared" si="19"/>
        <v>0.26666666666666666</v>
      </c>
      <c r="AN141" s="4">
        <f t="shared" si="20"/>
        <v>4.0388741638268334E-4</v>
      </c>
      <c r="AO141" s="3"/>
      <c r="AP141">
        <v>0</v>
      </c>
      <c r="AR141" t="s">
        <v>1343</v>
      </c>
      <c r="AT141" s="2" t="s">
        <v>5</v>
      </c>
      <c r="AU141" s="1">
        <f t="shared" si="21"/>
        <v>2.9832065560223526</v>
      </c>
      <c r="AV141" s="1">
        <f t="shared" si="22"/>
        <v>2.1424014661983284</v>
      </c>
      <c r="AW141" s="1">
        <f t="shared" si="23"/>
        <v>1.3015963763743044</v>
      </c>
    </row>
    <row r="142" spans="1:49" x14ac:dyDescent="0.2">
      <c r="A142">
        <v>140</v>
      </c>
      <c r="B142" t="s">
        <v>1342</v>
      </c>
      <c r="C142" t="s">
        <v>1341</v>
      </c>
      <c r="D142">
        <v>5272892901017</v>
      </c>
      <c r="F142" t="s">
        <v>1340</v>
      </c>
      <c r="G142" t="s">
        <v>4</v>
      </c>
      <c r="H142" t="s">
        <v>3</v>
      </c>
      <c r="I142" t="s">
        <v>255</v>
      </c>
      <c r="J142" t="s">
        <v>254</v>
      </c>
      <c r="K142" t="s">
        <v>253</v>
      </c>
      <c r="L142" t="s">
        <v>252</v>
      </c>
      <c r="M142" t="s">
        <v>251</v>
      </c>
      <c r="N142">
        <v>6</v>
      </c>
      <c r="O142" t="s">
        <v>1339</v>
      </c>
      <c r="P142" t="s">
        <v>1338</v>
      </c>
      <c r="Q142" t="s">
        <v>1337</v>
      </c>
      <c r="R142" s="7">
        <v>33872</v>
      </c>
      <c r="S142" s="8">
        <f t="shared" si="16"/>
        <v>1992</v>
      </c>
      <c r="T142" s="8">
        <v>1992</v>
      </c>
      <c r="U142" s="8">
        <f t="shared" si="17"/>
        <v>30</v>
      </c>
      <c r="V142" s="7">
        <v>33872</v>
      </c>
      <c r="W142" t="s">
        <v>262</v>
      </c>
      <c r="X142" s="2">
        <v>1.59</v>
      </c>
      <c r="Y142" s="6">
        <f t="shared" si="18"/>
        <v>4.2444141907583888E-2</v>
      </c>
      <c r="AA142">
        <v>52728</v>
      </c>
      <c r="AB142">
        <v>16791</v>
      </c>
      <c r="AD142" t="s">
        <v>1</v>
      </c>
      <c r="AE142">
        <v>1102</v>
      </c>
      <c r="AF142">
        <v>2</v>
      </c>
      <c r="AH142" t="s">
        <v>1336</v>
      </c>
      <c r="AI142" t="s">
        <v>1335</v>
      </c>
      <c r="AJ142" t="s">
        <v>1334</v>
      </c>
      <c r="AK142" t="s">
        <v>1333</v>
      </c>
      <c r="AL142">
        <v>54</v>
      </c>
      <c r="AM142" s="5">
        <f t="shared" si="19"/>
        <v>1.8</v>
      </c>
      <c r="AN142" s="4">
        <f t="shared" si="20"/>
        <v>2.7262400605831123E-3</v>
      </c>
      <c r="AO142" s="3"/>
      <c r="AP142">
        <v>0</v>
      </c>
      <c r="AQ142" t="s">
        <v>167</v>
      </c>
      <c r="AR142" t="s">
        <v>0</v>
      </c>
      <c r="AS142" t="s">
        <v>166</v>
      </c>
      <c r="AT142" s="2" t="s">
        <v>5</v>
      </c>
      <c r="AU142" s="1">
        <f t="shared" si="21"/>
        <v>3.0528771353483655</v>
      </c>
      <c r="AV142" s="1">
        <f t="shared" si="22"/>
        <v>2.2585190984083501</v>
      </c>
      <c r="AW142" s="1">
        <f t="shared" si="23"/>
        <v>1.4641610614683342</v>
      </c>
    </row>
    <row r="143" spans="1:49" x14ac:dyDescent="0.2">
      <c r="A143">
        <v>141</v>
      </c>
      <c r="B143" t="s">
        <v>1332</v>
      </c>
      <c r="C143" t="s">
        <v>1331</v>
      </c>
      <c r="F143" t="s">
        <v>1330</v>
      </c>
      <c r="G143" t="s">
        <v>4</v>
      </c>
      <c r="H143" t="s">
        <v>3</v>
      </c>
      <c r="I143" t="s">
        <v>1329</v>
      </c>
      <c r="J143">
        <v>60020547</v>
      </c>
      <c r="K143" t="s">
        <v>198</v>
      </c>
      <c r="L143" t="s">
        <v>197</v>
      </c>
      <c r="M143" t="s">
        <v>2</v>
      </c>
      <c r="N143">
        <v>3</v>
      </c>
      <c r="O143" t="s">
        <v>1328</v>
      </c>
      <c r="P143" t="s">
        <v>1327</v>
      </c>
      <c r="Q143" t="s">
        <v>204</v>
      </c>
      <c r="R143" s="7">
        <v>33871</v>
      </c>
      <c r="S143" s="8">
        <f t="shared" si="16"/>
        <v>1992</v>
      </c>
      <c r="T143" s="8">
        <v>1992</v>
      </c>
      <c r="U143" s="8">
        <f t="shared" si="17"/>
        <v>30</v>
      </c>
      <c r="V143" s="7">
        <v>33871</v>
      </c>
      <c r="W143" t="s">
        <v>37</v>
      </c>
      <c r="X143" s="2">
        <v>0.375</v>
      </c>
      <c r="Y143" s="6">
        <f t="shared" si="18"/>
        <v>1.0010410827260351E-2</v>
      </c>
      <c r="AA143">
        <v>135194</v>
      </c>
      <c r="AB143">
        <v>24918</v>
      </c>
      <c r="AD143" t="s">
        <v>1</v>
      </c>
      <c r="AE143">
        <v>28</v>
      </c>
      <c r="AF143">
        <v>20</v>
      </c>
      <c r="AH143" t="s">
        <v>1326</v>
      </c>
      <c r="AI143" t="s">
        <v>1325</v>
      </c>
      <c r="AJ143" t="s">
        <v>1324</v>
      </c>
      <c r="AK143" t="s">
        <v>1323</v>
      </c>
      <c r="AL143">
        <v>12</v>
      </c>
      <c r="AM143" s="5">
        <f t="shared" si="19"/>
        <v>0.4</v>
      </c>
      <c r="AN143" s="4">
        <f t="shared" si="20"/>
        <v>6.0583112457402507E-4</v>
      </c>
      <c r="AO143" s="3"/>
      <c r="AP143">
        <v>0</v>
      </c>
      <c r="AR143" t="s">
        <v>0</v>
      </c>
      <c r="AT143" s="2">
        <v>1.3140000000000001</v>
      </c>
      <c r="AU143" s="1">
        <f t="shared" si="21"/>
        <v>0.71890369164544532</v>
      </c>
      <c r="AV143" s="1">
        <f t="shared" si="22"/>
        <v>0.53081209759171888</v>
      </c>
      <c r="AW143" s="1">
        <f t="shared" si="23"/>
        <v>0.34272050353799227</v>
      </c>
    </row>
    <row r="144" spans="1:49" x14ac:dyDescent="0.2">
      <c r="A144">
        <v>142</v>
      </c>
      <c r="B144" t="s">
        <v>1322</v>
      </c>
      <c r="C144" t="s">
        <v>1321</v>
      </c>
      <c r="D144" t="s">
        <v>1320</v>
      </c>
      <c r="F144" t="s">
        <v>1319</v>
      </c>
      <c r="G144" t="s">
        <v>4</v>
      </c>
      <c r="H144" t="s">
        <v>3</v>
      </c>
      <c r="I144" t="s">
        <v>1318</v>
      </c>
      <c r="J144">
        <v>60072285</v>
      </c>
      <c r="K144" t="s">
        <v>277</v>
      </c>
      <c r="L144" t="s">
        <v>276</v>
      </c>
      <c r="M144" t="s">
        <v>50</v>
      </c>
      <c r="N144">
        <v>3</v>
      </c>
      <c r="O144" t="s">
        <v>1317</v>
      </c>
      <c r="P144" t="s">
        <v>1316</v>
      </c>
      <c r="Q144" t="s">
        <v>275</v>
      </c>
      <c r="R144" s="7">
        <v>33862</v>
      </c>
      <c r="S144" s="8">
        <f t="shared" si="16"/>
        <v>1992</v>
      </c>
      <c r="T144" s="8">
        <v>1992</v>
      </c>
      <c r="U144" s="8">
        <f t="shared" si="17"/>
        <v>30</v>
      </c>
      <c r="V144" s="7">
        <v>33862</v>
      </c>
      <c r="W144" t="s">
        <v>35</v>
      </c>
      <c r="X144" s="2" t="s">
        <v>5</v>
      </c>
      <c r="Y144" s="6" t="e">
        <f t="shared" si="18"/>
        <v>#VALUE!</v>
      </c>
      <c r="AA144">
        <v>10111344</v>
      </c>
      <c r="AB144">
        <v>17622</v>
      </c>
      <c r="AD144" t="s">
        <v>1</v>
      </c>
      <c r="AE144">
        <v>15</v>
      </c>
      <c r="AF144">
        <v>4</v>
      </c>
      <c r="AH144" t="s">
        <v>1315</v>
      </c>
      <c r="AI144" t="s">
        <v>1314</v>
      </c>
      <c r="AJ144" t="s">
        <v>1313</v>
      </c>
      <c r="AK144" t="s">
        <v>1312</v>
      </c>
      <c r="AL144">
        <v>54</v>
      </c>
      <c r="AM144" s="5">
        <f t="shared" si="19"/>
        <v>1.8</v>
      </c>
      <c r="AN144" s="4">
        <f t="shared" si="20"/>
        <v>2.7262400605831123E-3</v>
      </c>
      <c r="AO144" s="3"/>
      <c r="AP144">
        <v>0</v>
      </c>
      <c r="AR144" t="s">
        <v>0</v>
      </c>
      <c r="AT144" s="2" t="s">
        <v>5</v>
      </c>
      <c r="AU144" s="1" t="e">
        <f t="shared" si="21"/>
        <v>#VALUE!</v>
      </c>
      <c r="AV144" s="1" t="e">
        <f t="shared" si="22"/>
        <v>#VALUE!</v>
      </c>
      <c r="AW144" s="1" t="e">
        <f t="shared" si="23"/>
        <v>#VALUE!</v>
      </c>
    </row>
    <row r="145" spans="1:49" x14ac:dyDescent="0.2">
      <c r="A145">
        <v>143</v>
      </c>
      <c r="B145" t="s">
        <v>1311</v>
      </c>
      <c r="C145" t="s">
        <v>1310</v>
      </c>
      <c r="F145" t="s">
        <v>1309</v>
      </c>
      <c r="G145" t="s">
        <v>4</v>
      </c>
      <c r="H145" t="s">
        <v>3</v>
      </c>
      <c r="I145" t="s">
        <v>1308</v>
      </c>
      <c r="J145" t="s">
        <v>1307</v>
      </c>
      <c r="K145" t="s">
        <v>1306</v>
      </c>
      <c r="L145" t="s">
        <v>1305</v>
      </c>
      <c r="M145" t="s">
        <v>1304</v>
      </c>
      <c r="N145">
        <v>4</v>
      </c>
      <c r="O145" t="s">
        <v>1303</v>
      </c>
      <c r="P145" t="s">
        <v>1302</v>
      </c>
      <c r="Q145" t="s">
        <v>1301</v>
      </c>
      <c r="R145" s="7">
        <v>33857</v>
      </c>
      <c r="S145" s="8">
        <f t="shared" si="16"/>
        <v>1992</v>
      </c>
      <c r="T145" s="8">
        <v>1992</v>
      </c>
      <c r="U145" s="8">
        <f t="shared" si="17"/>
        <v>30</v>
      </c>
      <c r="V145" s="7">
        <v>33857</v>
      </c>
      <c r="W145" t="s">
        <v>37</v>
      </c>
      <c r="X145" s="2">
        <v>0.375</v>
      </c>
      <c r="Y145" s="6">
        <f t="shared" si="18"/>
        <v>1.0010410827260351E-2</v>
      </c>
      <c r="AA145">
        <v>135194</v>
      </c>
      <c r="AB145">
        <v>24918</v>
      </c>
      <c r="AD145" t="s">
        <v>1</v>
      </c>
      <c r="AE145">
        <v>28</v>
      </c>
      <c r="AF145">
        <v>19</v>
      </c>
      <c r="AH145" t="s">
        <v>1300</v>
      </c>
      <c r="AI145" t="s">
        <v>1299</v>
      </c>
      <c r="AJ145" t="s">
        <v>1298</v>
      </c>
      <c r="AK145" t="s">
        <v>1297</v>
      </c>
      <c r="AL145">
        <v>2</v>
      </c>
      <c r="AM145" s="5">
        <f t="shared" si="19"/>
        <v>6.6666666666666666E-2</v>
      </c>
      <c r="AN145" s="4">
        <f t="shared" si="20"/>
        <v>1.0097185409567084E-4</v>
      </c>
      <c r="AO145" s="3"/>
      <c r="AP145">
        <v>0</v>
      </c>
      <c r="AR145" t="s">
        <v>0</v>
      </c>
      <c r="AT145" s="2">
        <v>1.3140000000000001</v>
      </c>
      <c r="AU145" s="1">
        <f t="shared" si="21"/>
        <v>0.70375791353109474</v>
      </c>
      <c r="AV145" s="1">
        <f t="shared" si="22"/>
        <v>0.50556913406780113</v>
      </c>
      <c r="AW145" s="1">
        <f t="shared" si="23"/>
        <v>0.30738035460450747</v>
      </c>
    </row>
    <row r="146" spans="1:49" x14ac:dyDescent="0.2">
      <c r="A146">
        <v>144</v>
      </c>
      <c r="B146" t="s">
        <v>1296</v>
      </c>
      <c r="C146" t="s">
        <v>1295</v>
      </c>
      <c r="F146" t="s">
        <v>1294</v>
      </c>
      <c r="G146" t="s">
        <v>4</v>
      </c>
      <c r="H146" t="s">
        <v>3</v>
      </c>
      <c r="I146" t="s">
        <v>144</v>
      </c>
      <c r="J146">
        <v>60031004</v>
      </c>
      <c r="K146" t="s">
        <v>143</v>
      </c>
      <c r="L146" t="s">
        <v>142</v>
      </c>
      <c r="M146" t="s">
        <v>120</v>
      </c>
      <c r="N146">
        <v>1</v>
      </c>
      <c r="O146" t="s">
        <v>1293</v>
      </c>
      <c r="P146">
        <v>35478779700</v>
      </c>
      <c r="Q146">
        <v>60031004</v>
      </c>
      <c r="R146" s="7">
        <v>33857</v>
      </c>
      <c r="S146" s="8">
        <f t="shared" si="16"/>
        <v>1992</v>
      </c>
      <c r="T146" s="8">
        <v>1992</v>
      </c>
      <c r="U146" s="8">
        <f t="shared" si="17"/>
        <v>30</v>
      </c>
      <c r="V146" s="7">
        <v>33857</v>
      </c>
      <c r="W146" t="s">
        <v>37</v>
      </c>
      <c r="X146" s="2">
        <v>0.375</v>
      </c>
      <c r="Y146" s="6">
        <f t="shared" si="18"/>
        <v>1.0010410827260351E-2</v>
      </c>
      <c r="AA146">
        <v>135194</v>
      </c>
      <c r="AB146">
        <v>24918</v>
      </c>
      <c r="AD146" t="s">
        <v>1</v>
      </c>
      <c r="AE146">
        <v>28</v>
      </c>
      <c r="AF146">
        <v>19</v>
      </c>
      <c r="AH146" t="s">
        <v>1292</v>
      </c>
      <c r="AI146" t="s">
        <v>1291</v>
      </c>
      <c r="AJ146" t="s">
        <v>1290</v>
      </c>
      <c r="AK146" t="s">
        <v>1289</v>
      </c>
      <c r="AL146">
        <v>5</v>
      </c>
      <c r="AM146" s="5">
        <f t="shared" si="19"/>
        <v>0.16666666666666666</v>
      </c>
      <c r="AN146" s="4">
        <f t="shared" si="20"/>
        <v>2.5242963523917705E-4</v>
      </c>
      <c r="AO146" s="3"/>
      <c r="AP146">
        <v>0</v>
      </c>
      <c r="AR146" t="s">
        <v>0</v>
      </c>
      <c r="AT146" s="2">
        <v>1.3140000000000001</v>
      </c>
      <c r="AU146" s="1">
        <f t="shared" si="21"/>
        <v>0.70830164696539988</v>
      </c>
      <c r="AV146" s="1">
        <f t="shared" si="22"/>
        <v>0.51314202312497648</v>
      </c>
      <c r="AW146" s="1">
        <f t="shared" si="23"/>
        <v>0.31798239928455291</v>
      </c>
    </row>
    <row r="147" spans="1:49" x14ac:dyDescent="0.2">
      <c r="A147">
        <v>145</v>
      </c>
      <c r="B147" t="s">
        <v>1288</v>
      </c>
      <c r="C147" t="s">
        <v>1287</v>
      </c>
      <c r="F147" t="s">
        <v>1286</v>
      </c>
      <c r="G147" t="s">
        <v>4</v>
      </c>
      <c r="H147" t="s">
        <v>3</v>
      </c>
      <c r="I147" t="s">
        <v>165</v>
      </c>
      <c r="J147">
        <v>60025063</v>
      </c>
      <c r="K147" t="s">
        <v>164</v>
      </c>
      <c r="L147" t="s">
        <v>163</v>
      </c>
      <c r="M147" t="s">
        <v>17</v>
      </c>
      <c r="N147">
        <v>2</v>
      </c>
      <c r="O147" t="s">
        <v>1285</v>
      </c>
      <c r="P147" t="s">
        <v>162</v>
      </c>
      <c r="Q147" t="s">
        <v>161</v>
      </c>
      <c r="R147" s="7">
        <v>33857</v>
      </c>
      <c r="S147" s="8">
        <f t="shared" si="16"/>
        <v>1992</v>
      </c>
      <c r="T147" s="8">
        <v>1992</v>
      </c>
      <c r="U147" s="8">
        <f t="shared" si="17"/>
        <v>30</v>
      </c>
      <c r="V147" s="7">
        <v>33857</v>
      </c>
      <c r="W147" t="s">
        <v>37</v>
      </c>
      <c r="X147" s="2">
        <v>0.375</v>
      </c>
      <c r="Y147" s="6">
        <f t="shared" si="18"/>
        <v>1.0010410827260351E-2</v>
      </c>
      <c r="AA147">
        <v>135194</v>
      </c>
      <c r="AB147">
        <v>24918</v>
      </c>
      <c r="AD147" t="s">
        <v>1</v>
      </c>
      <c r="AE147">
        <v>28</v>
      </c>
      <c r="AF147">
        <v>19</v>
      </c>
      <c r="AH147" t="s">
        <v>1284</v>
      </c>
      <c r="AI147" t="s">
        <v>1283</v>
      </c>
      <c r="AJ147" t="s">
        <v>1282</v>
      </c>
      <c r="AK147" t="s">
        <v>1281</v>
      </c>
      <c r="AL147">
        <v>8</v>
      </c>
      <c r="AM147" s="5">
        <f t="shared" si="19"/>
        <v>0.26666666666666666</v>
      </c>
      <c r="AN147" s="4">
        <f t="shared" si="20"/>
        <v>4.0388741638268334E-4</v>
      </c>
      <c r="AO147" s="3"/>
      <c r="AP147">
        <v>0</v>
      </c>
      <c r="AR147" t="s">
        <v>0</v>
      </c>
      <c r="AT147" s="2">
        <v>1.3140000000000001</v>
      </c>
      <c r="AU147" s="1">
        <f t="shared" si="21"/>
        <v>0.71284538039970513</v>
      </c>
      <c r="AV147" s="1">
        <f t="shared" si="22"/>
        <v>0.52071491218215171</v>
      </c>
      <c r="AW147" s="1">
        <f t="shared" si="23"/>
        <v>0.32858444396459835</v>
      </c>
    </row>
    <row r="148" spans="1:49" x14ac:dyDescent="0.2">
      <c r="A148">
        <v>146</v>
      </c>
      <c r="B148" t="s">
        <v>1280</v>
      </c>
      <c r="C148" t="s">
        <v>1279</v>
      </c>
      <c r="F148" t="s">
        <v>1278</v>
      </c>
      <c r="G148" t="s">
        <v>4</v>
      </c>
      <c r="H148" t="s">
        <v>3</v>
      </c>
      <c r="I148" t="s">
        <v>1277</v>
      </c>
      <c r="J148">
        <v>60030553</v>
      </c>
      <c r="K148" t="s">
        <v>147</v>
      </c>
      <c r="L148" t="s">
        <v>146</v>
      </c>
      <c r="M148" t="s">
        <v>38</v>
      </c>
      <c r="N148">
        <v>3</v>
      </c>
      <c r="O148" t="s">
        <v>1276</v>
      </c>
      <c r="P148" t="s">
        <v>1275</v>
      </c>
      <c r="Q148" t="s">
        <v>464</v>
      </c>
      <c r="R148" s="7">
        <v>33857</v>
      </c>
      <c r="S148" s="8">
        <f t="shared" si="16"/>
        <v>1992</v>
      </c>
      <c r="T148" s="8">
        <v>1992</v>
      </c>
      <c r="U148" s="8">
        <f t="shared" si="17"/>
        <v>30</v>
      </c>
      <c r="V148" s="7">
        <v>33857</v>
      </c>
      <c r="W148" t="s">
        <v>37</v>
      </c>
      <c r="X148" s="2">
        <v>0.375</v>
      </c>
      <c r="Y148" s="6">
        <f t="shared" si="18"/>
        <v>1.0010410827260351E-2</v>
      </c>
      <c r="AA148">
        <v>135194</v>
      </c>
      <c r="AB148">
        <v>24918</v>
      </c>
      <c r="AD148" t="s">
        <v>1</v>
      </c>
      <c r="AE148">
        <v>28</v>
      </c>
      <c r="AF148">
        <v>19</v>
      </c>
      <c r="AH148" t="s">
        <v>1274</v>
      </c>
      <c r="AI148" t="s">
        <v>1273</v>
      </c>
      <c r="AJ148" t="s">
        <v>526</v>
      </c>
      <c r="AK148" t="s">
        <v>1272</v>
      </c>
      <c r="AL148">
        <v>43</v>
      </c>
      <c r="AM148" s="5">
        <f t="shared" si="19"/>
        <v>1.4333333333333333</v>
      </c>
      <c r="AN148" s="4">
        <f t="shared" si="20"/>
        <v>2.1708948630569228E-3</v>
      </c>
      <c r="AO148" s="3"/>
      <c r="AP148">
        <v>0</v>
      </c>
      <c r="AR148" t="s">
        <v>0</v>
      </c>
      <c r="AT148" s="2">
        <v>1.3140000000000001</v>
      </c>
      <c r="AU148" s="1">
        <f t="shared" si="21"/>
        <v>0.76585560379993223</v>
      </c>
      <c r="AV148" s="1">
        <f t="shared" si="22"/>
        <v>0.60906528451586373</v>
      </c>
      <c r="AW148" s="1">
        <f t="shared" si="23"/>
        <v>0.45227496523179511</v>
      </c>
    </row>
    <row r="149" spans="1:49" x14ac:dyDescent="0.2">
      <c r="A149">
        <v>147</v>
      </c>
      <c r="B149" t="s">
        <v>1271</v>
      </c>
      <c r="C149" t="s">
        <v>1270</v>
      </c>
      <c r="F149" t="s">
        <v>1269</v>
      </c>
      <c r="G149" t="s">
        <v>4</v>
      </c>
      <c r="H149" t="s">
        <v>3</v>
      </c>
      <c r="I149" t="s">
        <v>1268</v>
      </c>
      <c r="J149">
        <v>60110693</v>
      </c>
      <c r="K149" t="s">
        <v>1267</v>
      </c>
      <c r="L149" t="s">
        <v>1266</v>
      </c>
      <c r="M149" t="s">
        <v>38</v>
      </c>
      <c r="N149">
        <v>3</v>
      </c>
      <c r="O149" t="s">
        <v>1265</v>
      </c>
      <c r="P149" t="s">
        <v>1264</v>
      </c>
      <c r="Q149" t="s">
        <v>1263</v>
      </c>
      <c r="R149" s="7">
        <v>33857</v>
      </c>
      <c r="S149" s="8">
        <f t="shared" si="16"/>
        <v>1992</v>
      </c>
      <c r="T149" s="8">
        <v>1992</v>
      </c>
      <c r="U149" s="8">
        <f t="shared" si="17"/>
        <v>30</v>
      </c>
      <c r="V149" s="7">
        <v>33857</v>
      </c>
      <c r="W149" t="s">
        <v>37</v>
      </c>
      <c r="X149" s="2">
        <v>0.375</v>
      </c>
      <c r="Y149" s="6">
        <f t="shared" si="18"/>
        <v>1.0010410827260351E-2</v>
      </c>
      <c r="AA149">
        <v>135194</v>
      </c>
      <c r="AB149">
        <v>24918</v>
      </c>
      <c r="AD149" t="s">
        <v>1</v>
      </c>
      <c r="AE149">
        <v>28</v>
      </c>
      <c r="AF149">
        <v>19</v>
      </c>
      <c r="AH149" t="s">
        <v>1262</v>
      </c>
      <c r="AI149" t="s">
        <v>1261</v>
      </c>
      <c r="AJ149" t="s">
        <v>1260</v>
      </c>
      <c r="AK149" t="s">
        <v>1259</v>
      </c>
      <c r="AL149">
        <v>30</v>
      </c>
      <c r="AM149" s="5">
        <f t="shared" si="19"/>
        <v>1</v>
      </c>
      <c r="AN149" s="4">
        <f t="shared" si="20"/>
        <v>1.5145778114350624E-3</v>
      </c>
      <c r="AO149" s="3"/>
      <c r="AP149">
        <v>0</v>
      </c>
      <c r="AR149" t="s">
        <v>0</v>
      </c>
      <c r="AT149" s="2">
        <v>1.3140000000000001</v>
      </c>
      <c r="AU149" s="1">
        <f t="shared" si="21"/>
        <v>0.74616609225127639</v>
      </c>
      <c r="AV149" s="1">
        <f t="shared" si="22"/>
        <v>0.57624943193477074</v>
      </c>
      <c r="AW149" s="1">
        <f t="shared" si="23"/>
        <v>0.40633277161826492</v>
      </c>
    </row>
    <row r="150" spans="1:49" x14ac:dyDescent="0.2">
      <c r="A150">
        <v>148</v>
      </c>
      <c r="B150" t="s">
        <v>1258</v>
      </c>
      <c r="C150" t="s">
        <v>1257</v>
      </c>
      <c r="F150" t="s">
        <v>1256</v>
      </c>
      <c r="G150" t="s">
        <v>4</v>
      </c>
      <c r="H150" t="s">
        <v>3</v>
      </c>
      <c r="I150" t="s">
        <v>1255</v>
      </c>
      <c r="J150" t="s">
        <v>1254</v>
      </c>
      <c r="K150" t="s">
        <v>1253</v>
      </c>
      <c r="L150" t="s">
        <v>1252</v>
      </c>
      <c r="M150" t="s">
        <v>59</v>
      </c>
      <c r="N150">
        <v>3</v>
      </c>
      <c r="O150" t="s">
        <v>1251</v>
      </c>
      <c r="P150" t="s">
        <v>1250</v>
      </c>
      <c r="Q150" t="s">
        <v>1249</v>
      </c>
      <c r="R150" s="7">
        <v>33857</v>
      </c>
      <c r="S150" s="8">
        <f t="shared" si="16"/>
        <v>1992</v>
      </c>
      <c r="T150" s="8">
        <v>1992</v>
      </c>
      <c r="U150" s="8">
        <f t="shared" si="17"/>
        <v>30</v>
      </c>
      <c r="V150" s="7">
        <v>33857</v>
      </c>
      <c r="W150" t="s">
        <v>28</v>
      </c>
      <c r="X150" s="2">
        <v>2.3759999999999999</v>
      </c>
      <c r="Y150" s="6">
        <f t="shared" si="18"/>
        <v>6.3425963001521576E-2</v>
      </c>
      <c r="AA150" t="s">
        <v>27</v>
      </c>
      <c r="AB150">
        <v>26765</v>
      </c>
      <c r="AC150">
        <v>15384357</v>
      </c>
      <c r="AD150" t="s">
        <v>1</v>
      </c>
      <c r="AE150">
        <v>396</v>
      </c>
      <c r="AF150" t="s">
        <v>951</v>
      </c>
      <c r="AI150" t="s">
        <v>1248</v>
      </c>
      <c r="AJ150" t="s">
        <v>1247</v>
      </c>
      <c r="AK150" t="s">
        <v>1246</v>
      </c>
      <c r="AL150">
        <v>14</v>
      </c>
      <c r="AM150" s="5">
        <f t="shared" si="19"/>
        <v>0.46666666666666667</v>
      </c>
      <c r="AN150" s="4">
        <f t="shared" si="20"/>
        <v>7.0680297866969582E-4</v>
      </c>
      <c r="AO150" s="3"/>
      <c r="AP150">
        <v>0</v>
      </c>
      <c r="AR150" t="s">
        <v>0</v>
      </c>
      <c r="AT150" s="2">
        <v>5.8739999999999997</v>
      </c>
      <c r="AU150" s="1">
        <f t="shared" si="21"/>
        <v>4.4610214994666011</v>
      </c>
      <c r="AV150" s="1">
        <f t="shared" si="22"/>
        <v>3.2066382990095637</v>
      </c>
      <c r="AW150" s="1">
        <f t="shared" si="23"/>
        <v>1.9522550985525262</v>
      </c>
    </row>
    <row r="151" spans="1:49" x14ac:dyDescent="0.2">
      <c r="A151">
        <v>149</v>
      </c>
      <c r="B151" t="s">
        <v>1245</v>
      </c>
      <c r="C151" t="s">
        <v>1244</v>
      </c>
      <c r="F151" t="s">
        <v>1243</v>
      </c>
      <c r="G151" t="s">
        <v>4</v>
      </c>
      <c r="H151" t="s">
        <v>3</v>
      </c>
      <c r="I151" t="s">
        <v>1242</v>
      </c>
      <c r="N151">
        <v>1</v>
      </c>
      <c r="O151" t="s">
        <v>1241</v>
      </c>
      <c r="P151">
        <v>7003404766</v>
      </c>
      <c r="R151" s="7">
        <v>33848</v>
      </c>
      <c r="S151" s="8">
        <f t="shared" si="16"/>
        <v>1992</v>
      </c>
      <c r="T151" s="8">
        <v>1992</v>
      </c>
      <c r="U151" s="8">
        <f t="shared" si="17"/>
        <v>30</v>
      </c>
      <c r="V151" s="7">
        <v>33848</v>
      </c>
      <c r="W151" t="s">
        <v>266</v>
      </c>
      <c r="X151" s="2">
        <v>0.318</v>
      </c>
      <c r="Y151" s="6">
        <f t="shared" si="18"/>
        <v>8.4888283815167786E-3</v>
      </c>
      <c r="AA151">
        <v>338443</v>
      </c>
      <c r="AB151">
        <v>27160</v>
      </c>
      <c r="AC151">
        <v>15739120</v>
      </c>
      <c r="AD151" t="s">
        <v>1</v>
      </c>
      <c r="AE151">
        <v>35</v>
      </c>
      <c r="AF151" s="9">
        <v>44478</v>
      </c>
      <c r="AH151" t="s">
        <v>222</v>
      </c>
      <c r="AI151" t="s">
        <v>1240</v>
      </c>
      <c r="AK151" t="s">
        <v>1239</v>
      </c>
      <c r="AL151">
        <v>1</v>
      </c>
      <c r="AM151" s="5">
        <f t="shared" si="19"/>
        <v>3.3333333333333333E-2</v>
      </c>
      <c r="AN151" s="4">
        <f t="shared" si="20"/>
        <v>5.0485927047835418E-5</v>
      </c>
      <c r="AO151" s="3"/>
      <c r="AP151">
        <v>0</v>
      </c>
      <c r="AR151" t="s">
        <v>0</v>
      </c>
      <c r="AT151" s="2">
        <v>0.77</v>
      </c>
      <c r="AU151" s="1">
        <f t="shared" si="21"/>
        <v>0.59573256451760959</v>
      </c>
      <c r="AV151" s="1">
        <f t="shared" si="22"/>
        <v>0.4269657154282307</v>
      </c>
      <c r="AW151" s="1">
        <f t="shared" si="23"/>
        <v>0.25819886633885186</v>
      </c>
    </row>
    <row r="152" spans="1:49" x14ac:dyDescent="0.2">
      <c r="A152">
        <v>150</v>
      </c>
      <c r="B152" t="s">
        <v>1238</v>
      </c>
      <c r="C152" t="s">
        <v>1237</v>
      </c>
      <c r="F152" t="s">
        <v>1236</v>
      </c>
      <c r="G152" t="s">
        <v>4</v>
      </c>
      <c r="H152" t="s">
        <v>3</v>
      </c>
      <c r="I152" t="s">
        <v>1235</v>
      </c>
      <c r="J152">
        <v>60030931</v>
      </c>
      <c r="K152" t="s">
        <v>1234</v>
      </c>
      <c r="L152" t="s">
        <v>1233</v>
      </c>
      <c r="M152" t="s">
        <v>2</v>
      </c>
      <c r="N152">
        <v>2</v>
      </c>
      <c r="O152" t="s">
        <v>1232</v>
      </c>
      <c r="P152" t="s">
        <v>1231</v>
      </c>
      <c r="Q152" t="s">
        <v>1230</v>
      </c>
      <c r="R152" s="7">
        <v>33848</v>
      </c>
      <c r="S152" s="8">
        <f t="shared" si="16"/>
        <v>1992</v>
      </c>
      <c r="T152" s="8">
        <v>1992</v>
      </c>
      <c r="U152" s="8">
        <f t="shared" si="17"/>
        <v>30</v>
      </c>
      <c r="V152" s="7">
        <v>33848</v>
      </c>
      <c r="W152" t="s">
        <v>1229</v>
      </c>
      <c r="X152" s="2">
        <v>1.252</v>
      </c>
      <c r="Y152" s="6">
        <f t="shared" si="18"/>
        <v>3.3421424948613228E-2</v>
      </c>
      <c r="AA152" t="s">
        <v>1228</v>
      </c>
      <c r="AB152">
        <v>21576</v>
      </c>
      <c r="AC152" t="s">
        <v>1227</v>
      </c>
      <c r="AD152" t="s">
        <v>1</v>
      </c>
      <c r="AE152">
        <v>3</v>
      </c>
      <c r="AF152">
        <v>5</v>
      </c>
      <c r="AH152" t="s">
        <v>1226</v>
      </c>
      <c r="AI152" t="s">
        <v>1225</v>
      </c>
      <c r="AJ152" t="s">
        <v>1224</v>
      </c>
      <c r="AK152" t="s">
        <v>1223</v>
      </c>
      <c r="AL152">
        <v>6</v>
      </c>
      <c r="AM152" s="5">
        <f t="shared" si="19"/>
        <v>0.2</v>
      </c>
      <c r="AN152" s="4">
        <f t="shared" si="20"/>
        <v>3.0291556228701253E-4</v>
      </c>
      <c r="AO152" s="3"/>
      <c r="AP152">
        <v>0</v>
      </c>
      <c r="AR152" t="s">
        <v>0</v>
      </c>
      <c r="AT152" s="2">
        <v>5.0220000000000002</v>
      </c>
      <c r="AU152" s="1">
        <f t="shared" si="21"/>
        <v>2.3485872132715362</v>
      </c>
      <c r="AV152" s="1">
        <f t="shared" si="22"/>
        <v>1.686217025545012</v>
      </c>
      <c r="AW152" s="1">
        <f t="shared" si="23"/>
        <v>1.0238468378184877</v>
      </c>
    </row>
    <row r="153" spans="1:49" x14ac:dyDescent="0.2">
      <c r="A153">
        <v>151</v>
      </c>
      <c r="B153" t="s">
        <v>1222</v>
      </c>
      <c r="F153" t="s">
        <v>1221</v>
      </c>
      <c r="G153" t="s">
        <v>4</v>
      </c>
      <c r="H153" t="s">
        <v>3</v>
      </c>
      <c r="I153" t="s">
        <v>1220</v>
      </c>
      <c r="J153">
        <v>60025063</v>
      </c>
      <c r="K153" t="s">
        <v>164</v>
      </c>
      <c r="L153" t="s">
        <v>163</v>
      </c>
      <c r="M153" t="s">
        <v>17</v>
      </c>
      <c r="N153">
        <v>4</v>
      </c>
      <c r="O153" t="s">
        <v>1219</v>
      </c>
      <c r="P153" t="s">
        <v>1218</v>
      </c>
      <c r="Q153" t="s">
        <v>962</v>
      </c>
      <c r="R153" s="7">
        <v>33848</v>
      </c>
      <c r="S153" s="8">
        <f t="shared" si="16"/>
        <v>1992</v>
      </c>
      <c r="T153" s="8">
        <v>1992</v>
      </c>
      <c r="U153" s="8">
        <f t="shared" si="17"/>
        <v>30</v>
      </c>
      <c r="V153" s="7">
        <v>33848</v>
      </c>
      <c r="W153" t="s">
        <v>1210</v>
      </c>
      <c r="X153" s="2">
        <v>0.54700000000000004</v>
      </c>
      <c r="Y153" s="6">
        <f t="shared" si="18"/>
        <v>1.4601852593363766E-2</v>
      </c>
      <c r="AA153">
        <v>11096</v>
      </c>
      <c r="AB153">
        <v>31211</v>
      </c>
      <c r="AD153" t="s">
        <v>1</v>
      </c>
      <c r="AE153">
        <v>46</v>
      </c>
      <c r="AF153">
        <v>5</v>
      </c>
      <c r="AH153" t="s">
        <v>1217</v>
      </c>
      <c r="AI153" t="s">
        <v>1216</v>
      </c>
      <c r="AK153" t="s">
        <v>1215</v>
      </c>
      <c r="AL153">
        <v>0</v>
      </c>
      <c r="AM153" s="5">
        <f t="shared" si="19"/>
        <v>0</v>
      </c>
      <c r="AN153" s="4">
        <f t="shared" si="20"/>
        <v>0</v>
      </c>
      <c r="AO153" s="3"/>
      <c r="AP153">
        <v>0</v>
      </c>
      <c r="AR153" t="s">
        <v>0</v>
      </c>
      <c r="AT153" s="2" t="s">
        <v>5</v>
      </c>
      <c r="AU153" s="1">
        <f t="shared" si="21"/>
        <v>1.0221296815354637</v>
      </c>
      <c r="AV153" s="1">
        <f t="shared" si="22"/>
        <v>0.73009262966818833</v>
      </c>
      <c r="AW153" s="1">
        <f t="shared" si="23"/>
        <v>0.43805557780091298</v>
      </c>
    </row>
    <row r="154" spans="1:49" x14ac:dyDescent="0.2">
      <c r="A154">
        <v>152</v>
      </c>
      <c r="B154" t="s">
        <v>1214</v>
      </c>
      <c r="F154" t="s">
        <v>1213</v>
      </c>
      <c r="G154" t="s">
        <v>4</v>
      </c>
      <c r="H154" t="s">
        <v>3</v>
      </c>
      <c r="I154" t="s">
        <v>188</v>
      </c>
      <c r="J154">
        <v>60085149</v>
      </c>
      <c r="K154" t="s">
        <v>187</v>
      </c>
      <c r="L154" t="s">
        <v>186</v>
      </c>
      <c r="M154" t="s">
        <v>50</v>
      </c>
      <c r="N154">
        <v>4</v>
      </c>
      <c r="O154" t="s">
        <v>1212</v>
      </c>
      <c r="P154" t="s">
        <v>1211</v>
      </c>
      <c r="Q154" t="s">
        <v>185</v>
      </c>
      <c r="R154" s="7">
        <v>33848</v>
      </c>
      <c r="S154" s="8">
        <f t="shared" si="16"/>
        <v>1992</v>
      </c>
      <c r="T154" s="8">
        <v>1992</v>
      </c>
      <c r="U154" s="8">
        <f t="shared" si="17"/>
        <v>30</v>
      </c>
      <c r="V154" s="7">
        <v>33848</v>
      </c>
      <c r="W154" t="s">
        <v>1210</v>
      </c>
      <c r="X154" s="2">
        <v>0.54700000000000004</v>
      </c>
      <c r="Y154" s="6">
        <f t="shared" si="18"/>
        <v>1.4601852593363766E-2</v>
      </c>
      <c r="AA154">
        <v>11096</v>
      </c>
      <c r="AB154">
        <v>31211</v>
      </c>
      <c r="AD154" t="s">
        <v>1</v>
      </c>
      <c r="AE154">
        <v>46</v>
      </c>
      <c r="AF154">
        <v>5</v>
      </c>
      <c r="AH154" t="s">
        <v>1209</v>
      </c>
      <c r="AI154" t="s">
        <v>1208</v>
      </c>
      <c r="AK154" t="s">
        <v>1207</v>
      </c>
      <c r="AL154">
        <v>0</v>
      </c>
      <c r="AM154" s="5">
        <f t="shared" si="19"/>
        <v>0</v>
      </c>
      <c r="AN154" s="4">
        <f t="shared" si="20"/>
        <v>0</v>
      </c>
      <c r="AO154" s="3"/>
      <c r="AP154">
        <v>0</v>
      </c>
      <c r="AR154" t="s">
        <v>0</v>
      </c>
      <c r="AT154" s="2" t="s">
        <v>5</v>
      </c>
      <c r="AU154" s="1">
        <f t="shared" si="21"/>
        <v>1.0221296815354637</v>
      </c>
      <c r="AV154" s="1">
        <f t="shared" si="22"/>
        <v>0.73009262966818833</v>
      </c>
      <c r="AW154" s="1">
        <f t="shared" si="23"/>
        <v>0.43805557780091298</v>
      </c>
    </row>
    <row r="155" spans="1:49" x14ac:dyDescent="0.2">
      <c r="A155">
        <v>153</v>
      </c>
      <c r="B155" t="s">
        <v>1206</v>
      </c>
      <c r="F155" t="s">
        <v>1205</v>
      </c>
      <c r="G155" t="s">
        <v>4</v>
      </c>
      <c r="H155" t="s">
        <v>3</v>
      </c>
      <c r="I155" t="s">
        <v>1204</v>
      </c>
      <c r="N155">
        <v>3</v>
      </c>
      <c r="O155" t="s">
        <v>1203</v>
      </c>
      <c r="P155" t="s">
        <v>1202</v>
      </c>
      <c r="Q155" t="s">
        <v>71</v>
      </c>
      <c r="R155" s="7">
        <v>33848</v>
      </c>
      <c r="S155" s="8">
        <f t="shared" si="16"/>
        <v>1992</v>
      </c>
      <c r="T155" s="8">
        <v>1992</v>
      </c>
      <c r="U155" s="8">
        <f t="shared" si="17"/>
        <v>30</v>
      </c>
      <c r="V155" s="7">
        <v>33848</v>
      </c>
      <c r="W155" t="s">
        <v>36</v>
      </c>
      <c r="X155" s="2">
        <v>0.14099999999999999</v>
      </c>
      <c r="Y155" s="6">
        <f t="shared" si="18"/>
        <v>3.7639144710498915E-3</v>
      </c>
      <c r="AA155">
        <v>402508</v>
      </c>
      <c r="AB155">
        <v>20868</v>
      </c>
      <c r="AD155" t="s">
        <v>1</v>
      </c>
      <c r="AE155">
        <v>47</v>
      </c>
      <c r="AF155">
        <v>9</v>
      </c>
      <c r="AH155" t="s">
        <v>1201</v>
      </c>
      <c r="AI155" t="s">
        <v>1200</v>
      </c>
      <c r="AK155" t="s">
        <v>1199</v>
      </c>
      <c r="AL155">
        <v>0</v>
      </c>
      <c r="AM155" s="5">
        <f t="shared" si="19"/>
        <v>0</v>
      </c>
      <c r="AN155" s="4">
        <f t="shared" si="20"/>
        <v>0</v>
      </c>
      <c r="AO155" s="3"/>
      <c r="AP155">
        <v>0</v>
      </c>
      <c r="AR155" t="s">
        <v>0</v>
      </c>
      <c r="AT155" s="2" t="s">
        <v>5</v>
      </c>
      <c r="AU155" s="1">
        <f t="shared" si="21"/>
        <v>0.26347401297349238</v>
      </c>
      <c r="AV155" s="1">
        <f t="shared" si="22"/>
        <v>0.18819572355249459</v>
      </c>
      <c r="AW155" s="1">
        <f t="shared" si="23"/>
        <v>0.11291743413149673</v>
      </c>
    </row>
    <row r="156" spans="1:49" x14ac:dyDescent="0.2">
      <c r="A156">
        <v>154</v>
      </c>
      <c r="B156" t="s">
        <v>1198</v>
      </c>
      <c r="F156" t="s">
        <v>1197</v>
      </c>
      <c r="G156" t="s">
        <v>4</v>
      </c>
      <c r="H156" t="s">
        <v>3</v>
      </c>
      <c r="I156" t="s">
        <v>1196</v>
      </c>
      <c r="N156">
        <v>1</v>
      </c>
      <c r="O156" t="s">
        <v>1195</v>
      </c>
      <c r="P156">
        <v>7801634203</v>
      </c>
      <c r="R156" s="7">
        <v>33848</v>
      </c>
      <c r="S156" s="8">
        <f t="shared" si="16"/>
        <v>1992</v>
      </c>
      <c r="T156" s="8">
        <v>1992</v>
      </c>
      <c r="U156" s="8">
        <f t="shared" si="17"/>
        <v>30</v>
      </c>
      <c r="V156" s="7">
        <v>33848</v>
      </c>
      <c r="W156" t="s">
        <v>36</v>
      </c>
      <c r="X156" s="2">
        <v>0.14099999999999999</v>
      </c>
      <c r="Y156" s="6">
        <f t="shared" si="18"/>
        <v>3.7639144710498915E-3</v>
      </c>
      <c r="AA156">
        <v>402508</v>
      </c>
      <c r="AB156">
        <v>20868</v>
      </c>
      <c r="AD156" t="s">
        <v>1</v>
      </c>
      <c r="AE156">
        <v>47</v>
      </c>
      <c r="AF156">
        <v>9</v>
      </c>
      <c r="AH156" t="s">
        <v>1194</v>
      </c>
      <c r="AI156" t="s">
        <v>1193</v>
      </c>
      <c r="AK156" t="s">
        <v>1192</v>
      </c>
      <c r="AL156">
        <v>0</v>
      </c>
      <c r="AM156" s="5">
        <f t="shared" si="19"/>
        <v>0</v>
      </c>
      <c r="AN156" s="4">
        <f t="shared" si="20"/>
        <v>0</v>
      </c>
      <c r="AO156" s="3"/>
      <c r="AP156">
        <v>0</v>
      </c>
      <c r="AR156" t="s">
        <v>0</v>
      </c>
      <c r="AT156" s="2" t="s">
        <v>5</v>
      </c>
      <c r="AU156" s="1">
        <f t="shared" si="21"/>
        <v>0.26347401297349238</v>
      </c>
      <c r="AV156" s="1">
        <f t="shared" si="22"/>
        <v>0.18819572355249459</v>
      </c>
      <c r="AW156" s="1">
        <f t="shared" si="23"/>
        <v>0.11291743413149673</v>
      </c>
    </row>
    <row r="157" spans="1:49" x14ac:dyDescent="0.2">
      <c r="A157">
        <v>155</v>
      </c>
      <c r="B157" t="s">
        <v>1191</v>
      </c>
      <c r="F157" t="s">
        <v>1190</v>
      </c>
      <c r="G157" t="s">
        <v>4</v>
      </c>
      <c r="H157" t="s">
        <v>3</v>
      </c>
      <c r="I157" t="s">
        <v>1189</v>
      </c>
      <c r="N157">
        <v>2</v>
      </c>
      <c r="O157" t="s">
        <v>1188</v>
      </c>
      <c r="P157" t="s">
        <v>1187</v>
      </c>
      <c r="Q157" t="s">
        <v>45</v>
      </c>
      <c r="R157" s="7">
        <v>33848</v>
      </c>
      <c r="S157" s="8">
        <f t="shared" si="16"/>
        <v>1992</v>
      </c>
      <c r="T157" s="8">
        <v>1992</v>
      </c>
      <c r="U157" s="8">
        <f t="shared" si="17"/>
        <v>30</v>
      </c>
      <c r="V157" s="7">
        <v>33848</v>
      </c>
      <c r="W157" t="s">
        <v>36</v>
      </c>
      <c r="X157" s="2">
        <v>0.14099999999999999</v>
      </c>
      <c r="Y157" s="6">
        <f t="shared" si="18"/>
        <v>3.7639144710498915E-3</v>
      </c>
      <c r="AA157">
        <v>402508</v>
      </c>
      <c r="AB157">
        <v>20868</v>
      </c>
      <c r="AD157" t="s">
        <v>1</v>
      </c>
      <c r="AE157">
        <v>47</v>
      </c>
      <c r="AF157">
        <v>9</v>
      </c>
      <c r="AH157" t="s">
        <v>1186</v>
      </c>
      <c r="AI157" t="s">
        <v>1185</v>
      </c>
      <c r="AK157" t="s">
        <v>1184</v>
      </c>
      <c r="AL157">
        <v>0</v>
      </c>
      <c r="AM157" s="5">
        <f t="shared" si="19"/>
        <v>0</v>
      </c>
      <c r="AN157" s="4">
        <f t="shared" si="20"/>
        <v>0</v>
      </c>
      <c r="AO157" s="3"/>
      <c r="AP157">
        <v>0</v>
      </c>
      <c r="AR157" t="s">
        <v>0</v>
      </c>
      <c r="AT157" s="2" t="s">
        <v>5</v>
      </c>
      <c r="AU157" s="1">
        <f t="shared" si="21"/>
        <v>0.26347401297349238</v>
      </c>
      <c r="AV157" s="1">
        <f t="shared" si="22"/>
        <v>0.18819572355249459</v>
      </c>
      <c r="AW157" s="1">
        <f t="shared" si="23"/>
        <v>0.11291743413149673</v>
      </c>
    </row>
    <row r="158" spans="1:49" x14ac:dyDescent="0.2">
      <c r="A158">
        <v>156</v>
      </c>
      <c r="B158" t="s">
        <v>1183</v>
      </c>
      <c r="F158" t="s">
        <v>1182</v>
      </c>
      <c r="G158" t="s">
        <v>4</v>
      </c>
      <c r="H158" t="s">
        <v>3</v>
      </c>
      <c r="I158" t="s">
        <v>1181</v>
      </c>
      <c r="N158">
        <v>1</v>
      </c>
      <c r="O158" t="s">
        <v>1180</v>
      </c>
      <c r="P158">
        <v>6701411909</v>
      </c>
      <c r="R158" s="7">
        <v>33848</v>
      </c>
      <c r="S158" s="8">
        <f t="shared" si="16"/>
        <v>1992</v>
      </c>
      <c r="T158" s="8">
        <v>1992</v>
      </c>
      <c r="U158" s="8">
        <f t="shared" si="17"/>
        <v>30</v>
      </c>
      <c r="V158" s="7">
        <v>33848</v>
      </c>
      <c r="W158" t="s">
        <v>36</v>
      </c>
      <c r="X158" s="2">
        <v>0.14099999999999999</v>
      </c>
      <c r="Y158" s="6">
        <f t="shared" si="18"/>
        <v>3.7639144710498915E-3</v>
      </c>
      <c r="AA158">
        <v>402508</v>
      </c>
      <c r="AB158">
        <v>20868</v>
      </c>
      <c r="AD158" t="s">
        <v>1</v>
      </c>
      <c r="AE158">
        <v>47</v>
      </c>
      <c r="AF158">
        <v>9</v>
      </c>
      <c r="AH158" t="s">
        <v>151</v>
      </c>
      <c r="AI158" t="s">
        <v>1179</v>
      </c>
      <c r="AK158" t="s">
        <v>1178</v>
      </c>
      <c r="AL158">
        <v>0</v>
      </c>
      <c r="AM158" s="5">
        <f t="shared" si="19"/>
        <v>0</v>
      </c>
      <c r="AN158" s="4">
        <f t="shared" si="20"/>
        <v>0</v>
      </c>
      <c r="AO158" s="3"/>
      <c r="AP158">
        <v>0</v>
      </c>
      <c r="AR158" t="s">
        <v>0</v>
      </c>
      <c r="AT158" s="2" t="s">
        <v>5</v>
      </c>
      <c r="AU158" s="1">
        <f t="shared" si="21"/>
        <v>0.26347401297349238</v>
      </c>
      <c r="AV158" s="1">
        <f t="shared" si="22"/>
        <v>0.18819572355249459</v>
      </c>
      <c r="AW158" s="1">
        <f t="shared" si="23"/>
        <v>0.11291743413149673</v>
      </c>
    </row>
    <row r="159" spans="1:49" x14ac:dyDescent="0.2">
      <c r="A159">
        <v>157</v>
      </c>
      <c r="B159" t="s">
        <v>1177</v>
      </c>
      <c r="F159" t="s">
        <v>1176</v>
      </c>
      <c r="G159" t="s">
        <v>4</v>
      </c>
      <c r="H159" t="s">
        <v>3</v>
      </c>
      <c r="I159" t="s">
        <v>1175</v>
      </c>
      <c r="N159">
        <v>1</v>
      </c>
      <c r="O159" t="s">
        <v>1174</v>
      </c>
      <c r="P159">
        <v>6508151850</v>
      </c>
      <c r="R159" s="7">
        <v>33848</v>
      </c>
      <c r="S159" s="8">
        <f t="shared" si="16"/>
        <v>1992</v>
      </c>
      <c r="T159" s="8">
        <v>1992</v>
      </c>
      <c r="U159" s="8">
        <f t="shared" si="17"/>
        <v>30</v>
      </c>
      <c r="V159" s="7">
        <v>33848</v>
      </c>
      <c r="W159" t="s">
        <v>36</v>
      </c>
      <c r="X159" s="2">
        <v>0.14099999999999999</v>
      </c>
      <c r="Y159" s="6">
        <f t="shared" si="18"/>
        <v>3.7639144710498915E-3</v>
      </c>
      <c r="AA159">
        <v>402508</v>
      </c>
      <c r="AB159">
        <v>20868</v>
      </c>
      <c r="AD159" t="s">
        <v>1</v>
      </c>
      <c r="AE159">
        <v>47</v>
      </c>
      <c r="AF159">
        <v>9</v>
      </c>
      <c r="AH159" t="s">
        <v>1173</v>
      </c>
      <c r="AI159" t="s">
        <v>1172</v>
      </c>
      <c r="AK159" t="s">
        <v>1171</v>
      </c>
      <c r="AL159">
        <v>0</v>
      </c>
      <c r="AM159" s="5">
        <f t="shared" si="19"/>
        <v>0</v>
      </c>
      <c r="AN159" s="4">
        <f t="shared" si="20"/>
        <v>0</v>
      </c>
      <c r="AO159" s="3"/>
      <c r="AP159">
        <v>0</v>
      </c>
      <c r="AR159" t="s">
        <v>0</v>
      </c>
      <c r="AT159" s="2" t="s">
        <v>5</v>
      </c>
      <c r="AU159" s="1">
        <f t="shared" si="21"/>
        <v>0.26347401297349238</v>
      </c>
      <c r="AV159" s="1">
        <f t="shared" si="22"/>
        <v>0.18819572355249459</v>
      </c>
      <c r="AW159" s="1">
        <f t="shared" si="23"/>
        <v>0.11291743413149673</v>
      </c>
    </row>
    <row r="160" spans="1:49" x14ac:dyDescent="0.2">
      <c r="A160">
        <v>158</v>
      </c>
      <c r="B160" t="s">
        <v>1170</v>
      </c>
      <c r="F160" t="s">
        <v>1169</v>
      </c>
      <c r="G160" t="s">
        <v>4</v>
      </c>
      <c r="H160" t="s">
        <v>3</v>
      </c>
      <c r="I160" t="s">
        <v>1168</v>
      </c>
      <c r="J160">
        <v>100893716</v>
      </c>
      <c r="K160" t="s">
        <v>1167</v>
      </c>
      <c r="N160">
        <v>1</v>
      </c>
      <c r="O160" t="s">
        <v>1166</v>
      </c>
      <c r="P160">
        <v>7004304668</v>
      </c>
      <c r="Q160">
        <v>100893716</v>
      </c>
      <c r="R160" s="7">
        <v>33848</v>
      </c>
      <c r="S160" s="8">
        <f t="shared" si="16"/>
        <v>1992</v>
      </c>
      <c r="T160" s="8">
        <v>1992</v>
      </c>
      <c r="U160" s="8">
        <f t="shared" si="17"/>
        <v>30</v>
      </c>
      <c r="V160" s="7">
        <v>33848</v>
      </c>
      <c r="W160" t="s">
        <v>270</v>
      </c>
      <c r="X160" s="2" t="s">
        <v>5</v>
      </c>
      <c r="Y160" s="6" t="e">
        <f t="shared" si="18"/>
        <v>#VALUE!</v>
      </c>
      <c r="AA160">
        <v>3865096</v>
      </c>
      <c r="AB160">
        <v>18584</v>
      </c>
      <c r="AD160" t="s">
        <v>1</v>
      </c>
      <c r="AE160">
        <v>60</v>
      </c>
      <c r="AH160" t="s">
        <v>1165</v>
      </c>
      <c r="AI160" t="s">
        <v>1164</v>
      </c>
      <c r="AK160" t="s">
        <v>1163</v>
      </c>
      <c r="AL160">
        <v>0</v>
      </c>
      <c r="AM160" s="5">
        <f t="shared" si="19"/>
        <v>0</v>
      </c>
      <c r="AN160" s="4">
        <f t="shared" si="20"/>
        <v>0</v>
      </c>
      <c r="AO160" s="3"/>
      <c r="AP160">
        <v>0</v>
      </c>
      <c r="AR160" t="s">
        <v>0</v>
      </c>
      <c r="AT160" s="2" t="s">
        <v>5</v>
      </c>
      <c r="AU160" s="1" t="e">
        <f t="shared" si="21"/>
        <v>#VALUE!</v>
      </c>
      <c r="AV160" s="1" t="e">
        <f t="shared" si="22"/>
        <v>#VALUE!</v>
      </c>
      <c r="AW160" s="1" t="e">
        <f t="shared" si="23"/>
        <v>#VALUE!</v>
      </c>
    </row>
    <row r="161" spans="1:49" x14ac:dyDescent="0.2">
      <c r="A161">
        <v>159</v>
      </c>
      <c r="B161" t="s">
        <v>1162</v>
      </c>
      <c r="F161" t="s">
        <v>1161</v>
      </c>
      <c r="G161" t="s">
        <v>4</v>
      </c>
      <c r="H161" t="s">
        <v>3</v>
      </c>
      <c r="I161" t="s">
        <v>1160</v>
      </c>
      <c r="J161">
        <v>60025555</v>
      </c>
      <c r="K161" t="s">
        <v>135</v>
      </c>
      <c r="L161" t="s">
        <v>42</v>
      </c>
      <c r="M161" t="s">
        <v>12</v>
      </c>
      <c r="N161">
        <v>2</v>
      </c>
      <c r="O161" t="s">
        <v>1159</v>
      </c>
      <c r="P161" t="s">
        <v>1158</v>
      </c>
      <c r="Q161" t="s">
        <v>220</v>
      </c>
      <c r="R161" s="7">
        <v>33848</v>
      </c>
      <c r="S161" s="8">
        <f t="shared" si="16"/>
        <v>1992</v>
      </c>
      <c r="T161" s="8">
        <v>1992</v>
      </c>
      <c r="U161" s="8">
        <f t="shared" si="17"/>
        <v>30</v>
      </c>
      <c r="V161" s="7">
        <v>33848</v>
      </c>
      <c r="W161" t="s">
        <v>270</v>
      </c>
      <c r="X161" s="2" t="s">
        <v>5</v>
      </c>
      <c r="Y161" s="6" t="e">
        <f t="shared" si="18"/>
        <v>#VALUE!</v>
      </c>
      <c r="AA161">
        <v>3865096</v>
      </c>
      <c r="AB161">
        <v>18584</v>
      </c>
      <c r="AD161" t="s">
        <v>1</v>
      </c>
      <c r="AE161">
        <v>60</v>
      </c>
      <c r="AH161" s="9">
        <v>44477</v>
      </c>
      <c r="AI161" t="s">
        <v>1157</v>
      </c>
      <c r="AK161" t="s">
        <v>1156</v>
      </c>
      <c r="AL161">
        <v>0</v>
      </c>
      <c r="AM161" s="5">
        <f t="shared" si="19"/>
        <v>0</v>
      </c>
      <c r="AN161" s="4">
        <f t="shared" si="20"/>
        <v>0</v>
      </c>
      <c r="AO161" s="3"/>
      <c r="AP161">
        <v>0</v>
      </c>
      <c r="AR161" t="s">
        <v>0</v>
      </c>
      <c r="AT161" s="2" t="s">
        <v>5</v>
      </c>
      <c r="AU161" s="1" t="e">
        <f t="shared" si="21"/>
        <v>#VALUE!</v>
      </c>
      <c r="AV161" s="1" t="e">
        <f t="shared" si="22"/>
        <v>#VALUE!</v>
      </c>
      <c r="AW161" s="1" t="e">
        <f t="shared" si="23"/>
        <v>#VALUE!</v>
      </c>
    </row>
    <row r="162" spans="1:49" x14ac:dyDescent="0.2">
      <c r="A162">
        <v>160</v>
      </c>
      <c r="B162" t="s">
        <v>1155</v>
      </c>
      <c r="F162" t="s">
        <v>1154</v>
      </c>
      <c r="G162" t="s">
        <v>4</v>
      </c>
      <c r="H162" t="s">
        <v>3</v>
      </c>
      <c r="I162" t="s">
        <v>1153</v>
      </c>
      <c r="N162">
        <v>3</v>
      </c>
      <c r="O162" t="s">
        <v>1152</v>
      </c>
      <c r="P162" t="s">
        <v>1151</v>
      </c>
      <c r="Q162" t="s">
        <v>71</v>
      </c>
      <c r="R162" s="7">
        <v>33848</v>
      </c>
      <c r="S162" s="8">
        <f t="shared" si="16"/>
        <v>1992</v>
      </c>
      <c r="T162" s="8">
        <v>1992</v>
      </c>
      <c r="U162" s="8">
        <f t="shared" si="17"/>
        <v>30</v>
      </c>
      <c r="V162" s="7">
        <v>33848</v>
      </c>
      <c r="W162" t="s">
        <v>1087</v>
      </c>
      <c r="X162" s="2">
        <v>0.14099999999999999</v>
      </c>
      <c r="Y162" s="6">
        <f t="shared" si="18"/>
        <v>3.7639144710498915E-3</v>
      </c>
      <c r="AA162">
        <v>7252986</v>
      </c>
      <c r="AB162">
        <v>18037</v>
      </c>
      <c r="AD162" t="s">
        <v>1</v>
      </c>
      <c r="AE162">
        <v>12</v>
      </c>
      <c r="AF162">
        <v>3</v>
      </c>
      <c r="AH162" t="s">
        <v>1150</v>
      </c>
      <c r="AI162" t="s">
        <v>1149</v>
      </c>
      <c r="AK162" t="s">
        <v>1148</v>
      </c>
      <c r="AL162">
        <v>1</v>
      </c>
      <c r="AM162" s="5">
        <f t="shared" si="19"/>
        <v>3.3333333333333333E-2</v>
      </c>
      <c r="AN162" s="4">
        <f t="shared" si="20"/>
        <v>5.0485927047835418E-5</v>
      </c>
      <c r="AO162" s="3"/>
      <c r="AP162">
        <v>0</v>
      </c>
      <c r="AR162" t="s">
        <v>0</v>
      </c>
      <c r="AT162" s="2" t="s">
        <v>5</v>
      </c>
      <c r="AU162" s="1">
        <f t="shared" si="21"/>
        <v>0.26498859078492742</v>
      </c>
      <c r="AV162" s="1">
        <f t="shared" si="22"/>
        <v>0.19072001990488635</v>
      </c>
      <c r="AW162" s="1">
        <f t="shared" si="23"/>
        <v>0.11645144902484521</v>
      </c>
    </row>
    <row r="163" spans="1:49" x14ac:dyDescent="0.2">
      <c r="A163">
        <v>161</v>
      </c>
      <c r="B163" t="s">
        <v>1147</v>
      </c>
      <c r="F163" t="s">
        <v>1146</v>
      </c>
      <c r="G163" t="s">
        <v>4</v>
      </c>
      <c r="H163" t="s">
        <v>3</v>
      </c>
      <c r="I163" t="s">
        <v>1145</v>
      </c>
      <c r="J163">
        <v>60005510</v>
      </c>
      <c r="K163" t="s">
        <v>137</v>
      </c>
      <c r="L163" t="s">
        <v>119</v>
      </c>
      <c r="M163" t="s">
        <v>118</v>
      </c>
      <c r="N163">
        <v>2</v>
      </c>
      <c r="O163" t="s">
        <v>1144</v>
      </c>
      <c r="P163" t="s">
        <v>1143</v>
      </c>
      <c r="Q163" t="s">
        <v>136</v>
      </c>
      <c r="R163" s="7">
        <v>33848</v>
      </c>
      <c r="S163" s="8">
        <f t="shared" si="16"/>
        <v>1992</v>
      </c>
      <c r="T163" s="8">
        <v>1992</v>
      </c>
      <c r="U163" s="8">
        <f t="shared" si="17"/>
        <v>30</v>
      </c>
      <c r="V163" s="7">
        <v>33848</v>
      </c>
      <c r="W163" t="s">
        <v>1087</v>
      </c>
      <c r="X163" s="2">
        <v>0.14099999999999999</v>
      </c>
      <c r="Y163" s="6">
        <f t="shared" si="18"/>
        <v>3.7639144710498915E-3</v>
      </c>
      <c r="AA163">
        <v>7252986</v>
      </c>
      <c r="AB163">
        <v>18037</v>
      </c>
      <c r="AD163" t="s">
        <v>1</v>
      </c>
      <c r="AE163">
        <v>12</v>
      </c>
      <c r="AF163">
        <v>3</v>
      </c>
      <c r="AH163" t="s">
        <v>1142</v>
      </c>
      <c r="AI163" t="s">
        <v>1141</v>
      </c>
      <c r="AK163" t="s">
        <v>1140</v>
      </c>
      <c r="AL163">
        <v>1</v>
      </c>
      <c r="AM163" s="5">
        <f t="shared" si="19"/>
        <v>3.3333333333333333E-2</v>
      </c>
      <c r="AN163" s="4">
        <f t="shared" si="20"/>
        <v>5.0485927047835418E-5</v>
      </c>
      <c r="AO163" s="3"/>
      <c r="AP163">
        <v>0</v>
      </c>
      <c r="AR163" t="s">
        <v>0</v>
      </c>
      <c r="AT163" s="2" t="s">
        <v>5</v>
      </c>
      <c r="AU163" s="1">
        <f t="shared" si="21"/>
        <v>0.26498859078492742</v>
      </c>
      <c r="AV163" s="1">
        <f t="shared" si="22"/>
        <v>0.19072001990488635</v>
      </c>
      <c r="AW163" s="1">
        <f t="shared" si="23"/>
        <v>0.11645144902484521</v>
      </c>
    </row>
    <row r="164" spans="1:49" x14ac:dyDescent="0.2">
      <c r="A164">
        <v>162</v>
      </c>
      <c r="B164" t="s">
        <v>1139</v>
      </c>
      <c r="F164" t="s">
        <v>1138</v>
      </c>
      <c r="G164" t="s">
        <v>4</v>
      </c>
      <c r="H164" t="s">
        <v>3</v>
      </c>
      <c r="I164" t="s">
        <v>1137</v>
      </c>
      <c r="J164">
        <v>60025555</v>
      </c>
      <c r="K164" t="s">
        <v>135</v>
      </c>
      <c r="L164" t="s">
        <v>42</v>
      </c>
      <c r="M164" t="s">
        <v>12</v>
      </c>
      <c r="N164">
        <v>2</v>
      </c>
      <c r="O164" t="s">
        <v>1136</v>
      </c>
      <c r="P164" t="s">
        <v>1135</v>
      </c>
      <c r="Q164" t="s">
        <v>220</v>
      </c>
      <c r="R164" s="7">
        <v>33848</v>
      </c>
      <c r="S164" s="8">
        <f t="shared" si="16"/>
        <v>1992</v>
      </c>
      <c r="T164" s="8">
        <v>1992</v>
      </c>
      <c r="U164" s="8">
        <f t="shared" si="17"/>
        <v>30</v>
      </c>
      <c r="V164" s="7">
        <v>33848</v>
      </c>
      <c r="W164" t="s">
        <v>270</v>
      </c>
      <c r="X164" s="2" t="s">
        <v>5</v>
      </c>
      <c r="Y164" s="6" t="e">
        <f t="shared" si="18"/>
        <v>#VALUE!</v>
      </c>
      <c r="AA164">
        <v>3865096</v>
      </c>
      <c r="AB164">
        <v>18584</v>
      </c>
      <c r="AD164" t="s">
        <v>1</v>
      </c>
      <c r="AE164">
        <v>60</v>
      </c>
      <c r="AH164" t="s">
        <v>261</v>
      </c>
      <c r="AI164" t="s">
        <v>1134</v>
      </c>
      <c r="AK164" t="s">
        <v>1133</v>
      </c>
      <c r="AL164">
        <v>0</v>
      </c>
      <c r="AM164" s="5">
        <f t="shared" si="19"/>
        <v>0</v>
      </c>
      <c r="AN164" s="4">
        <f t="shared" si="20"/>
        <v>0</v>
      </c>
      <c r="AO164" s="3"/>
      <c r="AP164">
        <v>0</v>
      </c>
      <c r="AR164" t="s">
        <v>0</v>
      </c>
      <c r="AT164" s="2" t="s">
        <v>5</v>
      </c>
      <c r="AU164" s="1" t="e">
        <f t="shared" si="21"/>
        <v>#VALUE!</v>
      </c>
      <c r="AV164" s="1" t="e">
        <f t="shared" si="22"/>
        <v>#VALUE!</v>
      </c>
      <c r="AW164" s="1" t="e">
        <f t="shared" si="23"/>
        <v>#VALUE!</v>
      </c>
    </row>
    <row r="165" spans="1:49" x14ac:dyDescent="0.2">
      <c r="A165">
        <v>163</v>
      </c>
      <c r="B165" t="s">
        <v>1132</v>
      </c>
      <c r="F165" t="s">
        <v>1131</v>
      </c>
      <c r="G165" t="s">
        <v>4</v>
      </c>
      <c r="H165" t="s">
        <v>3</v>
      </c>
      <c r="I165" t="s">
        <v>1130</v>
      </c>
      <c r="J165">
        <v>60000264</v>
      </c>
      <c r="K165" t="s">
        <v>1129</v>
      </c>
      <c r="L165" t="s">
        <v>212</v>
      </c>
      <c r="M165" t="s">
        <v>12</v>
      </c>
      <c r="N165">
        <v>2</v>
      </c>
      <c r="O165" t="s">
        <v>1128</v>
      </c>
      <c r="P165" t="s">
        <v>1127</v>
      </c>
      <c r="Q165" t="s">
        <v>1126</v>
      </c>
      <c r="R165" s="7">
        <v>33848</v>
      </c>
      <c r="S165" s="8">
        <f t="shared" si="16"/>
        <v>1992</v>
      </c>
      <c r="T165" s="8">
        <v>1992</v>
      </c>
      <c r="U165" s="8">
        <f t="shared" si="17"/>
        <v>30</v>
      </c>
      <c r="V165" s="7">
        <v>33848</v>
      </c>
      <c r="W165" t="s">
        <v>270</v>
      </c>
      <c r="X165" s="2" t="s">
        <v>5</v>
      </c>
      <c r="Y165" s="6" t="e">
        <f t="shared" si="18"/>
        <v>#VALUE!</v>
      </c>
      <c r="AA165">
        <v>3865096</v>
      </c>
      <c r="AB165">
        <v>18584</v>
      </c>
      <c r="AD165" t="s">
        <v>1</v>
      </c>
      <c r="AE165">
        <v>60</v>
      </c>
      <c r="AH165" s="10">
        <v>41579</v>
      </c>
      <c r="AI165" t="s">
        <v>1125</v>
      </c>
      <c r="AK165" t="s">
        <v>1124</v>
      </c>
      <c r="AL165">
        <v>20</v>
      </c>
      <c r="AM165" s="5">
        <f t="shared" si="19"/>
        <v>0.66666666666666663</v>
      </c>
      <c r="AN165" s="4">
        <f t="shared" si="20"/>
        <v>1.0097185409567082E-3</v>
      </c>
      <c r="AO165" s="3"/>
      <c r="AP165">
        <v>0</v>
      </c>
      <c r="AR165" t="s">
        <v>0</v>
      </c>
      <c r="AT165" s="2" t="s">
        <v>5</v>
      </c>
      <c r="AU165" s="1" t="e">
        <f t="shared" si="21"/>
        <v>#VALUE!</v>
      </c>
      <c r="AV165" s="1" t="e">
        <f t="shared" si="22"/>
        <v>#VALUE!</v>
      </c>
      <c r="AW165" s="1" t="e">
        <f t="shared" si="23"/>
        <v>#VALUE!</v>
      </c>
    </row>
    <row r="166" spans="1:49" x14ac:dyDescent="0.2">
      <c r="A166">
        <v>164</v>
      </c>
      <c r="B166" t="s">
        <v>1123</v>
      </c>
      <c r="F166" t="s">
        <v>1122</v>
      </c>
      <c r="G166" t="s">
        <v>4</v>
      </c>
      <c r="H166" t="s">
        <v>3</v>
      </c>
      <c r="I166" t="s">
        <v>1121</v>
      </c>
      <c r="J166">
        <v>101125417</v>
      </c>
      <c r="K166" t="s">
        <v>1120</v>
      </c>
      <c r="N166">
        <v>3</v>
      </c>
      <c r="O166" t="s">
        <v>1119</v>
      </c>
      <c r="P166" t="s">
        <v>1118</v>
      </c>
      <c r="Q166" t="s">
        <v>1117</v>
      </c>
      <c r="R166" s="7">
        <v>33848</v>
      </c>
      <c r="S166" s="8">
        <f t="shared" si="16"/>
        <v>1992</v>
      </c>
      <c r="T166" s="8">
        <v>1992</v>
      </c>
      <c r="U166" s="8">
        <f t="shared" si="17"/>
        <v>30</v>
      </c>
      <c r="V166" s="7">
        <v>33848</v>
      </c>
      <c r="W166" t="s">
        <v>270</v>
      </c>
      <c r="X166" s="2" t="s">
        <v>5</v>
      </c>
      <c r="Y166" s="6" t="e">
        <f t="shared" si="18"/>
        <v>#VALUE!</v>
      </c>
      <c r="AA166">
        <v>3865096</v>
      </c>
      <c r="AB166">
        <v>18584</v>
      </c>
      <c r="AD166" t="s">
        <v>1</v>
      </c>
      <c r="AE166">
        <v>60</v>
      </c>
      <c r="AH166" t="s">
        <v>1116</v>
      </c>
      <c r="AI166" t="s">
        <v>1115</v>
      </c>
      <c r="AK166" t="s">
        <v>1114</v>
      </c>
      <c r="AL166">
        <v>0</v>
      </c>
      <c r="AM166" s="5">
        <f t="shared" si="19"/>
        <v>0</v>
      </c>
      <c r="AN166" s="4">
        <f t="shared" si="20"/>
        <v>0</v>
      </c>
      <c r="AO166" s="3"/>
      <c r="AP166">
        <v>0</v>
      </c>
      <c r="AR166" t="s">
        <v>0</v>
      </c>
      <c r="AT166" s="2" t="s">
        <v>5</v>
      </c>
      <c r="AU166" s="1" t="e">
        <f t="shared" si="21"/>
        <v>#VALUE!</v>
      </c>
      <c r="AV166" s="1" t="e">
        <f t="shared" si="22"/>
        <v>#VALUE!</v>
      </c>
      <c r="AW166" s="1" t="e">
        <f t="shared" si="23"/>
        <v>#VALUE!</v>
      </c>
    </row>
    <row r="167" spans="1:49" x14ac:dyDescent="0.2">
      <c r="A167">
        <v>165</v>
      </c>
      <c r="B167" t="s">
        <v>1113</v>
      </c>
      <c r="F167" t="s">
        <v>1112</v>
      </c>
      <c r="G167" t="s">
        <v>4</v>
      </c>
      <c r="H167" t="s">
        <v>3</v>
      </c>
      <c r="I167" t="s">
        <v>1111</v>
      </c>
      <c r="J167">
        <v>100382458</v>
      </c>
      <c r="K167" t="s">
        <v>1110</v>
      </c>
      <c r="N167">
        <v>2</v>
      </c>
      <c r="O167" t="s">
        <v>1109</v>
      </c>
      <c r="P167" t="s">
        <v>1108</v>
      </c>
      <c r="Q167" t="s">
        <v>1107</v>
      </c>
      <c r="R167" s="7">
        <v>33848</v>
      </c>
      <c r="S167" s="8">
        <f t="shared" si="16"/>
        <v>1992</v>
      </c>
      <c r="T167" s="8">
        <v>1992</v>
      </c>
      <c r="U167" s="8">
        <f t="shared" si="17"/>
        <v>30</v>
      </c>
      <c r="V167" s="7">
        <v>33848</v>
      </c>
      <c r="W167" t="s">
        <v>270</v>
      </c>
      <c r="X167" s="2" t="s">
        <v>5</v>
      </c>
      <c r="Y167" s="6" t="e">
        <f t="shared" si="18"/>
        <v>#VALUE!</v>
      </c>
      <c r="AA167">
        <v>3865096</v>
      </c>
      <c r="AB167">
        <v>18584</v>
      </c>
      <c r="AD167" t="s">
        <v>1</v>
      </c>
      <c r="AE167">
        <v>60</v>
      </c>
      <c r="AH167" s="9">
        <v>44288</v>
      </c>
      <c r="AI167" t="s">
        <v>1106</v>
      </c>
      <c r="AK167" t="s">
        <v>1105</v>
      </c>
      <c r="AL167">
        <v>0</v>
      </c>
      <c r="AM167" s="5">
        <f t="shared" si="19"/>
        <v>0</v>
      </c>
      <c r="AN167" s="4">
        <f t="shared" si="20"/>
        <v>0</v>
      </c>
      <c r="AO167" s="3"/>
      <c r="AP167">
        <v>0</v>
      </c>
      <c r="AR167" t="s">
        <v>0</v>
      </c>
      <c r="AT167" s="2" t="s">
        <v>5</v>
      </c>
      <c r="AU167" s="1" t="e">
        <f t="shared" si="21"/>
        <v>#VALUE!</v>
      </c>
      <c r="AV167" s="1" t="e">
        <f t="shared" si="22"/>
        <v>#VALUE!</v>
      </c>
      <c r="AW167" s="1" t="e">
        <f t="shared" si="23"/>
        <v>#VALUE!</v>
      </c>
    </row>
    <row r="168" spans="1:49" x14ac:dyDescent="0.2">
      <c r="A168">
        <v>166</v>
      </c>
      <c r="B168" t="s">
        <v>1104</v>
      </c>
      <c r="F168" t="s">
        <v>1103</v>
      </c>
      <c r="G168" t="s">
        <v>4</v>
      </c>
      <c r="H168" t="s">
        <v>3</v>
      </c>
      <c r="I168" t="s">
        <v>1102</v>
      </c>
      <c r="J168">
        <v>60026242</v>
      </c>
      <c r="K168" t="s">
        <v>1101</v>
      </c>
      <c r="L168" t="s">
        <v>1100</v>
      </c>
      <c r="M168" t="s">
        <v>52</v>
      </c>
      <c r="N168">
        <v>2</v>
      </c>
      <c r="O168" t="s">
        <v>1099</v>
      </c>
      <c r="P168" t="s">
        <v>1098</v>
      </c>
      <c r="Q168" t="s">
        <v>1097</v>
      </c>
      <c r="R168" s="7">
        <v>33848</v>
      </c>
      <c r="S168" s="8">
        <f t="shared" si="16"/>
        <v>1992</v>
      </c>
      <c r="T168" s="8">
        <v>1992</v>
      </c>
      <c r="U168" s="8">
        <f t="shared" si="17"/>
        <v>30</v>
      </c>
      <c r="V168" s="7">
        <v>33848</v>
      </c>
      <c r="W168" t="s">
        <v>1087</v>
      </c>
      <c r="X168" s="2">
        <v>0.14099999999999999</v>
      </c>
      <c r="Y168" s="6">
        <f t="shared" si="18"/>
        <v>3.7639144710498915E-3</v>
      </c>
      <c r="AA168">
        <v>7252986</v>
      </c>
      <c r="AB168">
        <v>18037</v>
      </c>
      <c r="AD168" t="s">
        <v>1</v>
      </c>
      <c r="AE168">
        <v>12</v>
      </c>
      <c r="AF168">
        <v>3</v>
      </c>
      <c r="AH168" t="s">
        <v>1096</v>
      </c>
      <c r="AI168" t="s">
        <v>1095</v>
      </c>
      <c r="AK168" t="s">
        <v>1094</v>
      </c>
      <c r="AL168">
        <v>1</v>
      </c>
      <c r="AM168" s="5">
        <f t="shared" si="19"/>
        <v>3.3333333333333333E-2</v>
      </c>
      <c r="AN168" s="4">
        <f t="shared" si="20"/>
        <v>5.0485927047835418E-5</v>
      </c>
      <c r="AO168" s="3"/>
      <c r="AP168">
        <v>0</v>
      </c>
      <c r="AR168" t="s">
        <v>0</v>
      </c>
      <c r="AT168" s="2" t="s">
        <v>5</v>
      </c>
      <c r="AU168" s="1">
        <f t="shared" si="21"/>
        <v>0.26498859078492742</v>
      </c>
      <c r="AV168" s="1">
        <f t="shared" si="22"/>
        <v>0.19072001990488635</v>
      </c>
      <c r="AW168" s="1">
        <f t="shared" si="23"/>
        <v>0.11645144902484521</v>
      </c>
    </row>
    <row r="169" spans="1:49" x14ac:dyDescent="0.2">
      <c r="A169">
        <v>167</v>
      </c>
      <c r="B169" t="s">
        <v>1093</v>
      </c>
      <c r="F169" t="s">
        <v>1092</v>
      </c>
      <c r="G169" t="s">
        <v>4</v>
      </c>
      <c r="H169" t="s">
        <v>3</v>
      </c>
      <c r="I169" t="s">
        <v>1091</v>
      </c>
      <c r="J169">
        <v>60029470</v>
      </c>
      <c r="K169" t="s">
        <v>214</v>
      </c>
      <c r="L169" t="s">
        <v>53</v>
      </c>
      <c r="M169" t="s">
        <v>120</v>
      </c>
      <c r="N169">
        <v>2</v>
      </c>
      <c r="O169" t="s">
        <v>1090</v>
      </c>
      <c r="P169" t="s">
        <v>1089</v>
      </c>
      <c r="Q169" t="s">
        <v>1088</v>
      </c>
      <c r="R169" s="7">
        <v>33848</v>
      </c>
      <c r="S169" s="8">
        <f t="shared" si="16"/>
        <v>1992</v>
      </c>
      <c r="T169" s="8">
        <v>1992</v>
      </c>
      <c r="U169" s="8">
        <f t="shared" si="17"/>
        <v>30</v>
      </c>
      <c r="V169" s="7">
        <v>33848</v>
      </c>
      <c r="W169" t="s">
        <v>1087</v>
      </c>
      <c r="X169" s="2">
        <v>0.14099999999999999</v>
      </c>
      <c r="Y169" s="6">
        <f t="shared" si="18"/>
        <v>3.7639144710498915E-3</v>
      </c>
      <c r="AA169">
        <v>7252986</v>
      </c>
      <c r="AB169">
        <v>18037</v>
      </c>
      <c r="AD169" t="s">
        <v>1</v>
      </c>
      <c r="AE169">
        <v>12</v>
      </c>
      <c r="AF169">
        <v>3</v>
      </c>
      <c r="AH169" t="s">
        <v>1086</v>
      </c>
      <c r="AI169" t="s">
        <v>1085</v>
      </c>
      <c r="AK169" t="s">
        <v>1084</v>
      </c>
      <c r="AL169">
        <v>3</v>
      </c>
      <c r="AM169" s="5">
        <f t="shared" si="19"/>
        <v>0.1</v>
      </c>
      <c r="AN169" s="4">
        <f t="shared" si="20"/>
        <v>1.5145778114350627E-4</v>
      </c>
      <c r="AO169" s="3"/>
      <c r="AP169">
        <v>0</v>
      </c>
      <c r="AR169" t="s">
        <v>0</v>
      </c>
      <c r="AT169" s="2" t="s">
        <v>5</v>
      </c>
      <c r="AU169" s="1">
        <f t="shared" si="21"/>
        <v>0.26801774640779752</v>
      </c>
      <c r="AV169" s="1">
        <f t="shared" si="22"/>
        <v>0.19576861260966988</v>
      </c>
      <c r="AW169" s="1">
        <f t="shared" si="23"/>
        <v>0.12351947881154217</v>
      </c>
    </row>
    <row r="170" spans="1:49" x14ac:dyDescent="0.2">
      <c r="A170">
        <v>168</v>
      </c>
      <c r="B170" t="s">
        <v>1083</v>
      </c>
      <c r="F170" t="s">
        <v>1082</v>
      </c>
      <c r="G170" t="s">
        <v>4</v>
      </c>
      <c r="H170" t="s">
        <v>3</v>
      </c>
      <c r="I170" t="s">
        <v>1081</v>
      </c>
      <c r="N170">
        <v>2</v>
      </c>
      <c r="O170" t="s">
        <v>1080</v>
      </c>
      <c r="P170" t="s">
        <v>1079</v>
      </c>
      <c r="Q170" t="s">
        <v>45</v>
      </c>
      <c r="R170" s="7">
        <v>33848</v>
      </c>
      <c r="S170" s="8">
        <f t="shared" si="16"/>
        <v>1992</v>
      </c>
      <c r="T170" s="8">
        <v>1992</v>
      </c>
      <c r="U170" s="8">
        <f t="shared" si="17"/>
        <v>30</v>
      </c>
      <c r="V170" s="7">
        <v>33848</v>
      </c>
      <c r="W170" t="s">
        <v>270</v>
      </c>
      <c r="X170" s="2" t="s">
        <v>5</v>
      </c>
      <c r="Y170" s="6" t="e">
        <f t="shared" si="18"/>
        <v>#VALUE!</v>
      </c>
      <c r="AA170">
        <v>3865096</v>
      </c>
      <c r="AB170">
        <v>18584</v>
      </c>
      <c r="AD170" t="s">
        <v>1</v>
      </c>
      <c r="AE170">
        <v>60</v>
      </c>
      <c r="AH170" s="9">
        <v>44382</v>
      </c>
      <c r="AI170" t="s">
        <v>1078</v>
      </c>
      <c r="AK170" t="s">
        <v>1077</v>
      </c>
      <c r="AL170">
        <v>0</v>
      </c>
      <c r="AM170" s="5">
        <f t="shared" si="19"/>
        <v>0</v>
      </c>
      <c r="AN170" s="4">
        <f t="shared" si="20"/>
        <v>0</v>
      </c>
      <c r="AO170" s="3"/>
      <c r="AP170">
        <v>0</v>
      </c>
      <c r="AR170" t="s">
        <v>0</v>
      </c>
      <c r="AT170" s="2" t="s">
        <v>5</v>
      </c>
      <c r="AU170" s="1" t="e">
        <f t="shared" si="21"/>
        <v>#VALUE!</v>
      </c>
      <c r="AV170" s="1" t="e">
        <f t="shared" si="22"/>
        <v>#VALUE!</v>
      </c>
      <c r="AW170" s="1" t="e">
        <f t="shared" si="23"/>
        <v>#VALUE!</v>
      </c>
    </row>
    <row r="171" spans="1:49" x14ac:dyDescent="0.2">
      <c r="A171">
        <v>169</v>
      </c>
      <c r="B171" t="s">
        <v>1076</v>
      </c>
      <c r="F171" t="s">
        <v>1075</v>
      </c>
      <c r="G171" t="s">
        <v>4</v>
      </c>
      <c r="H171" t="s">
        <v>3</v>
      </c>
      <c r="I171" t="s">
        <v>1074</v>
      </c>
      <c r="N171">
        <v>1</v>
      </c>
      <c r="O171" t="s">
        <v>1073</v>
      </c>
      <c r="P171">
        <v>7003686996</v>
      </c>
      <c r="R171" s="7">
        <v>33848</v>
      </c>
      <c r="S171" s="8">
        <f t="shared" si="16"/>
        <v>1992</v>
      </c>
      <c r="T171" s="8">
        <v>1992</v>
      </c>
      <c r="U171" s="8">
        <f t="shared" si="17"/>
        <v>30</v>
      </c>
      <c r="V171" s="7">
        <v>33848</v>
      </c>
      <c r="W171" t="s">
        <v>270</v>
      </c>
      <c r="X171" s="2" t="s">
        <v>5</v>
      </c>
      <c r="Y171" s="6" t="e">
        <f t="shared" si="18"/>
        <v>#VALUE!</v>
      </c>
      <c r="AA171">
        <v>3865096</v>
      </c>
      <c r="AB171">
        <v>18584</v>
      </c>
      <c r="AD171" t="s">
        <v>1</v>
      </c>
      <c r="AE171">
        <v>60</v>
      </c>
      <c r="AH171" t="s">
        <v>1072</v>
      </c>
      <c r="AI171" t="s">
        <v>1071</v>
      </c>
      <c r="AK171" t="s">
        <v>1070</v>
      </c>
      <c r="AL171">
        <v>0</v>
      </c>
      <c r="AM171" s="5">
        <f t="shared" si="19"/>
        <v>0</v>
      </c>
      <c r="AN171" s="4">
        <f t="shared" si="20"/>
        <v>0</v>
      </c>
      <c r="AO171" s="3"/>
      <c r="AP171">
        <v>0</v>
      </c>
      <c r="AR171" t="s">
        <v>0</v>
      </c>
      <c r="AT171" s="2" t="s">
        <v>5</v>
      </c>
      <c r="AU171" s="1" t="e">
        <f t="shared" si="21"/>
        <v>#VALUE!</v>
      </c>
      <c r="AV171" s="1" t="e">
        <f t="shared" si="22"/>
        <v>#VALUE!</v>
      </c>
      <c r="AW171" s="1" t="e">
        <f t="shared" si="23"/>
        <v>#VALUE!</v>
      </c>
    </row>
    <row r="172" spans="1:49" x14ac:dyDescent="0.2">
      <c r="A172">
        <v>170</v>
      </c>
      <c r="B172" t="s">
        <v>1069</v>
      </c>
      <c r="C172" t="s">
        <v>1068</v>
      </c>
      <c r="F172" t="s">
        <v>1067</v>
      </c>
      <c r="G172" t="s">
        <v>4</v>
      </c>
      <c r="H172" t="s">
        <v>3</v>
      </c>
      <c r="I172" t="s">
        <v>1066</v>
      </c>
      <c r="J172">
        <v>60008134</v>
      </c>
      <c r="K172" t="s">
        <v>230</v>
      </c>
      <c r="L172" t="s">
        <v>39</v>
      </c>
      <c r="M172" t="s">
        <v>38</v>
      </c>
      <c r="N172">
        <v>4</v>
      </c>
      <c r="O172" t="s">
        <v>1065</v>
      </c>
      <c r="P172" t="s">
        <v>1064</v>
      </c>
      <c r="Q172" t="s">
        <v>229</v>
      </c>
      <c r="R172" s="7">
        <v>33848</v>
      </c>
      <c r="S172" s="8">
        <f t="shared" si="16"/>
        <v>1992</v>
      </c>
      <c r="T172" s="8">
        <v>1992</v>
      </c>
      <c r="U172" s="8">
        <f t="shared" si="17"/>
        <v>30</v>
      </c>
      <c r="V172" s="7">
        <v>33848</v>
      </c>
      <c r="W172" t="s">
        <v>1063</v>
      </c>
      <c r="X172" s="2" t="s">
        <v>5</v>
      </c>
      <c r="Y172" s="6" t="e">
        <f t="shared" si="18"/>
        <v>#VALUE!</v>
      </c>
      <c r="AA172" t="s">
        <v>1062</v>
      </c>
      <c r="AB172">
        <v>53590</v>
      </c>
      <c r="AC172" t="s">
        <v>1061</v>
      </c>
      <c r="AD172" t="s">
        <v>1</v>
      </c>
      <c r="AE172">
        <v>201</v>
      </c>
      <c r="AF172">
        <v>5</v>
      </c>
      <c r="AH172" t="s">
        <v>1060</v>
      </c>
      <c r="AI172" t="s">
        <v>1059</v>
      </c>
      <c r="AJ172" t="s">
        <v>1058</v>
      </c>
      <c r="AK172" t="s">
        <v>1057</v>
      </c>
      <c r="AL172">
        <v>9</v>
      </c>
      <c r="AM172" s="5">
        <f t="shared" si="19"/>
        <v>0.3</v>
      </c>
      <c r="AN172" s="4">
        <f t="shared" si="20"/>
        <v>4.5437334343051872E-4</v>
      </c>
      <c r="AO172" s="3"/>
      <c r="AP172">
        <v>0</v>
      </c>
      <c r="AR172" t="s">
        <v>0</v>
      </c>
      <c r="AT172" s="2" t="s">
        <v>5</v>
      </c>
      <c r="AU172" s="1" t="e">
        <f t="shared" si="21"/>
        <v>#VALUE!</v>
      </c>
      <c r="AV172" s="1" t="e">
        <f t="shared" si="22"/>
        <v>#VALUE!</v>
      </c>
      <c r="AW172" s="1" t="e">
        <f t="shared" si="23"/>
        <v>#VALUE!</v>
      </c>
    </row>
    <row r="173" spans="1:49" x14ac:dyDescent="0.2">
      <c r="A173">
        <v>171</v>
      </c>
      <c r="B173" t="s">
        <v>1056</v>
      </c>
      <c r="C173" t="s">
        <v>1055</v>
      </c>
      <c r="E173">
        <v>1358056</v>
      </c>
      <c r="F173" t="s">
        <v>1054</v>
      </c>
      <c r="G173" t="s">
        <v>4</v>
      </c>
      <c r="H173" t="s">
        <v>3</v>
      </c>
      <c r="I173" t="s">
        <v>1053</v>
      </c>
      <c r="J173">
        <v>60119141</v>
      </c>
      <c r="K173" t="s">
        <v>242</v>
      </c>
      <c r="L173" t="s">
        <v>241</v>
      </c>
      <c r="M173" t="s">
        <v>2</v>
      </c>
      <c r="N173">
        <v>2</v>
      </c>
      <c r="O173" t="s">
        <v>1052</v>
      </c>
      <c r="P173" t="s">
        <v>1051</v>
      </c>
      <c r="Q173" t="s">
        <v>1050</v>
      </c>
      <c r="R173" s="7">
        <v>33848</v>
      </c>
      <c r="S173" s="8">
        <f t="shared" si="16"/>
        <v>1992</v>
      </c>
      <c r="T173" s="8">
        <v>1992</v>
      </c>
      <c r="U173" s="8">
        <f t="shared" si="17"/>
        <v>30</v>
      </c>
      <c r="V173" s="7">
        <v>33848</v>
      </c>
      <c r="W173" t="s">
        <v>1049</v>
      </c>
      <c r="X173" s="2">
        <v>0.86499999999999999</v>
      </c>
      <c r="Y173" s="6">
        <f t="shared" si="18"/>
        <v>2.3090680974880543E-2</v>
      </c>
      <c r="AA173">
        <v>18244</v>
      </c>
      <c r="AB173">
        <v>21741</v>
      </c>
      <c r="AC173">
        <v>15733297</v>
      </c>
      <c r="AD173" t="s">
        <v>1</v>
      </c>
      <c r="AE173">
        <v>22</v>
      </c>
      <c r="AF173">
        <v>5</v>
      </c>
      <c r="AH173" t="s">
        <v>1048</v>
      </c>
      <c r="AI173" t="s">
        <v>1047</v>
      </c>
      <c r="AJ173" t="s">
        <v>1046</v>
      </c>
      <c r="AK173" t="s">
        <v>1045</v>
      </c>
      <c r="AL173">
        <v>12</v>
      </c>
      <c r="AM173" s="5">
        <f t="shared" si="19"/>
        <v>0.4</v>
      </c>
      <c r="AN173" s="4">
        <f t="shared" si="20"/>
        <v>6.0583112457402507E-4</v>
      </c>
      <c r="AO173" s="3"/>
      <c r="AP173">
        <v>0</v>
      </c>
      <c r="AR173" t="s">
        <v>0</v>
      </c>
      <c r="AT173" s="2">
        <v>2.8050000000000002</v>
      </c>
      <c r="AU173" s="1">
        <f t="shared" si="21"/>
        <v>1.6345226019788588</v>
      </c>
      <c r="AV173" s="1">
        <f t="shared" si="22"/>
        <v>1.1848256049727284</v>
      </c>
      <c r="AW173" s="1">
        <f t="shared" si="23"/>
        <v>0.73512860796659796</v>
      </c>
    </row>
    <row r="174" spans="1:49" x14ac:dyDescent="0.2">
      <c r="A174">
        <v>172</v>
      </c>
      <c r="B174" t="s">
        <v>1044</v>
      </c>
      <c r="C174" t="s">
        <v>1043</v>
      </c>
      <c r="F174" t="s">
        <v>1042</v>
      </c>
      <c r="G174" t="s">
        <v>4</v>
      </c>
      <c r="H174" t="s">
        <v>3</v>
      </c>
      <c r="I174" t="s">
        <v>1041</v>
      </c>
      <c r="J174">
        <v>60009611</v>
      </c>
      <c r="K174" t="s">
        <v>235</v>
      </c>
      <c r="L174" t="s">
        <v>21</v>
      </c>
      <c r="M174" t="s">
        <v>2</v>
      </c>
      <c r="N174">
        <v>2</v>
      </c>
      <c r="O174" t="s">
        <v>1040</v>
      </c>
      <c r="P174" t="s">
        <v>1039</v>
      </c>
      <c r="Q174" t="s">
        <v>1038</v>
      </c>
      <c r="R174" s="7">
        <v>33848</v>
      </c>
      <c r="S174" s="8">
        <f t="shared" si="16"/>
        <v>1992</v>
      </c>
      <c r="T174" s="8">
        <v>1992</v>
      </c>
      <c r="U174" s="8">
        <f t="shared" si="17"/>
        <v>30</v>
      </c>
      <c r="V174" s="7">
        <v>33848</v>
      </c>
      <c r="W174" t="s">
        <v>284</v>
      </c>
      <c r="X174" s="2">
        <v>0.8</v>
      </c>
      <c r="Y174" s="6">
        <f t="shared" si="18"/>
        <v>2.1355543098155415E-2</v>
      </c>
      <c r="AA174">
        <v>3407594</v>
      </c>
      <c r="AB174">
        <v>23456</v>
      </c>
      <c r="AC174">
        <v>14321351</v>
      </c>
      <c r="AD174" t="s">
        <v>1</v>
      </c>
      <c r="AE174">
        <v>171</v>
      </c>
      <c r="AF174">
        <v>5</v>
      </c>
      <c r="AH174" t="s">
        <v>1037</v>
      </c>
      <c r="AI174" t="s">
        <v>1036</v>
      </c>
      <c r="AJ174" t="s">
        <v>1035</v>
      </c>
      <c r="AK174" t="s">
        <v>1034</v>
      </c>
      <c r="AL174">
        <v>45</v>
      </c>
      <c r="AM174" s="5">
        <f t="shared" si="19"/>
        <v>1.5</v>
      </c>
      <c r="AN174" s="4">
        <f t="shared" si="20"/>
        <v>2.2718667171525938E-3</v>
      </c>
      <c r="AO174" s="3"/>
      <c r="AP174">
        <v>0</v>
      </c>
      <c r="AR174" t="s">
        <v>0</v>
      </c>
      <c r="AT174" s="2" t="s">
        <v>5</v>
      </c>
      <c r="AU174" s="1">
        <f t="shared" si="21"/>
        <v>1.5630440183854566</v>
      </c>
      <c r="AV174" s="1">
        <f t="shared" si="22"/>
        <v>1.1813704907654006</v>
      </c>
      <c r="AW174" s="1">
        <f t="shared" si="23"/>
        <v>0.799696963145344</v>
      </c>
    </row>
    <row r="175" spans="1:49" x14ac:dyDescent="0.2">
      <c r="A175">
        <v>173</v>
      </c>
      <c r="B175" t="s">
        <v>1033</v>
      </c>
      <c r="C175" t="s">
        <v>1032</v>
      </c>
      <c r="F175" t="s">
        <v>1031</v>
      </c>
      <c r="G175" t="s">
        <v>4</v>
      </c>
      <c r="H175" t="s">
        <v>3</v>
      </c>
      <c r="I175" t="s">
        <v>1030</v>
      </c>
      <c r="J175">
        <v>60025525</v>
      </c>
      <c r="K175" t="s">
        <v>1029</v>
      </c>
      <c r="L175" t="s">
        <v>1028</v>
      </c>
      <c r="M175" t="s">
        <v>50</v>
      </c>
      <c r="N175">
        <v>1</v>
      </c>
      <c r="O175" t="s">
        <v>1027</v>
      </c>
      <c r="P175">
        <v>16146256400</v>
      </c>
      <c r="Q175">
        <v>60025525</v>
      </c>
      <c r="R175" s="7">
        <v>33848</v>
      </c>
      <c r="S175" s="8">
        <f t="shared" si="16"/>
        <v>1992</v>
      </c>
      <c r="T175" s="8">
        <v>1992</v>
      </c>
      <c r="U175" s="8">
        <f t="shared" si="17"/>
        <v>30</v>
      </c>
      <c r="V175" s="7">
        <v>33848</v>
      </c>
      <c r="W175" t="s">
        <v>284</v>
      </c>
      <c r="X175" s="2">
        <v>0.8</v>
      </c>
      <c r="Y175" s="6">
        <f t="shared" si="18"/>
        <v>2.1355543098155415E-2</v>
      </c>
      <c r="AA175">
        <v>3407594</v>
      </c>
      <c r="AB175">
        <v>23456</v>
      </c>
      <c r="AC175">
        <v>14321351</v>
      </c>
      <c r="AD175" t="s">
        <v>1</v>
      </c>
      <c r="AE175">
        <v>171</v>
      </c>
      <c r="AF175">
        <v>5</v>
      </c>
      <c r="AH175" t="s">
        <v>1026</v>
      </c>
      <c r="AI175" t="s">
        <v>1025</v>
      </c>
      <c r="AJ175" t="s">
        <v>1024</v>
      </c>
      <c r="AK175" t="s">
        <v>1023</v>
      </c>
      <c r="AL175">
        <v>11</v>
      </c>
      <c r="AM175" s="5">
        <f t="shared" si="19"/>
        <v>0.36666666666666664</v>
      </c>
      <c r="AN175" s="4">
        <f t="shared" si="20"/>
        <v>5.5534519752618958E-4</v>
      </c>
      <c r="AO175" s="3"/>
      <c r="AP175">
        <v>0</v>
      </c>
      <c r="AR175" t="s">
        <v>0</v>
      </c>
      <c r="AT175" s="2" t="s">
        <v>5</v>
      </c>
      <c r="AU175" s="1">
        <f t="shared" si="21"/>
        <v>1.5115483727966645</v>
      </c>
      <c r="AV175" s="1">
        <f t="shared" si="22"/>
        <v>1.0955444147840803</v>
      </c>
      <c r="AW175" s="1">
        <f t="shared" si="23"/>
        <v>0.67954045677149577</v>
      </c>
    </row>
    <row r="176" spans="1:49" x14ac:dyDescent="0.2">
      <c r="A176">
        <v>174</v>
      </c>
      <c r="B176" t="s">
        <v>1022</v>
      </c>
      <c r="C176" t="s">
        <v>1021</v>
      </c>
      <c r="D176" t="s">
        <v>1020</v>
      </c>
      <c r="F176" t="s">
        <v>1019</v>
      </c>
      <c r="G176" t="s">
        <v>4</v>
      </c>
      <c r="H176" t="s">
        <v>3</v>
      </c>
      <c r="I176" t="s">
        <v>78</v>
      </c>
      <c r="J176" t="s">
        <v>1018</v>
      </c>
      <c r="K176" t="s">
        <v>1017</v>
      </c>
      <c r="L176" t="s">
        <v>77</v>
      </c>
      <c r="M176" t="s">
        <v>11</v>
      </c>
      <c r="N176">
        <v>2</v>
      </c>
      <c r="O176" t="s">
        <v>1016</v>
      </c>
      <c r="P176" t="s">
        <v>1015</v>
      </c>
      <c r="Q176" t="s">
        <v>1014</v>
      </c>
      <c r="R176" s="7">
        <v>33844</v>
      </c>
      <c r="S176" s="8">
        <f t="shared" si="16"/>
        <v>1992</v>
      </c>
      <c r="T176" s="8">
        <v>1992</v>
      </c>
      <c r="U176" s="8">
        <f t="shared" si="17"/>
        <v>30</v>
      </c>
      <c r="V176" s="7">
        <v>33844</v>
      </c>
      <c r="W176" t="s">
        <v>1013</v>
      </c>
      <c r="X176" s="2">
        <v>0.54400000000000004</v>
      </c>
      <c r="Y176" s="6">
        <f t="shared" si="18"/>
        <v>1.4521769306745683E-2</v>
      </c>
      <c r="AA176">
        <v>406090</v>
      </c>
      <c r="AB176">
        <v>12347</v>
      </c>
      <c r="AD176" t="s">
        <v>1</v>
      </c>
      <c r="AE176">
        <v>216</v>
      </c>
      <c r="AF176">
        <v>1</v>
      </c>
      <c r="AH176" t="s">
        <v>1012</v>
      </c>
      <c r="AI176" t="s">
        <v>1011</v>
      </c>
      <c r="AK176" t="s">
        <v>1010</v>
      </c>
      <c r="AL176">
        <v>0</v>
      </c>
      <c r="AM176" s="5">
        <f t="shared" si="19"/>
        <v>0</v>
      </c>
      <c r="AN176" s="4">
        <f t="shared" si="20"/>
        <v>0</v>
      </c>
      <c r="AO176" s="3"/>
      <c r="AP176">
        <v>0</v>
      </c>
      <c r="AR176" t="s">
        <v>0</v>
      </c>
      <c r="AT176" s="2">
        <v>2.1829999999999998</v>
      </c>
      <c r="AU176" s="1">
        <f t="shared" si="21"/>
        <v>1.0165238514721977</v>
      </c>
      <c r="AV176" s="1">
        <f t="shared" si="22"/>
        <v>0.72608846533728411</v>
      </c>
      <c r="AW176" s="1">
        <f t="shared" si="23"/>
        <v>0.43565307920237045</v>
      </c>
    </row>
    <row r="177" spans="1:49" x14ac:dyDescent="0.2">
      <c r="A177">
        <v>175</v>
      </c>
      <c r="B177" t="s">
        <v>1009</v>
      </c>
      <c r="C177" t="s">
        <v>1008</v>
      </c>
      <c r="D177" t="s">
        <v>1007</v>
      </c>
      <c r="E177">
        <v>1510992</v>
      </c>
      <c r="F177" t="s">
        <v>1006</v>
      </c>
      <c r="G177" t="s">
        <v>4</v>
      </c>
      <c r="H177" t="s">
        <v>3</v>
      </c>
      <c r="I177" t="s">
        <v>1005</v>
      </c>
      <c r="J177" t="s">
        <v>1004</v>
      </c>
      <c r="K177" t="s">
        <v>1003</v>
      </c>
      <c r="L177" t="s">
        <v>1002</v>
      </c>
      <c r="M177" t="s">
        <v>1001</v>
      </c>
      <c r="N177">
        <v>6</v>
      </c>
      <c r="O177" t="s">
        <v>1000</v>
      </c>
      <c r="P177" t="s">
        <v>999</v>
      </c>
      <c r="Q177" t="s">
        <v>998</v>
      </c>
      <c r="R177" s="7">
        <v>33844</v>
      </c>
      <c r="S177" s="8">
        <f t="shared" si="16"/>
        <v>1992</v>
      </c>
      <c r="T177" s="8">
        <v>1992</v>
      </c>
      <c r="U177" s="8">
        <f t="shared" si="17"/>
        <v>30</v>
      </c>
      <c r="V177" s="7">
        <v>33844</v>
      </c>
      <c r="W177" t="s">
        <v>262</v>
      </c>
      <c r="X177" s="2">
        <v>1.59</v>
      </c>
      <c r="Y177" s="6">
        <f t="shared" si="18"/>
        <v>4.2444141907583888E-2</v>
      </c>
      <c r="AA177">
        <v>52728</v>
      </c>
      <c r="AB177">
        <v>16791</v>
      </c>
      <c r="AD177" t="s">
        <v>1</v>
      </c>
      <c r="AE177">
        <v>1102</v>
      </c>
      <c r="AF177">
        <v>1</v>
      </c>
      <c r="AH177" t="s">
        <v>997</v>
      </c>
      <c r="AI177" t="s">
        <v>996</v>
      </c>
      <c r="AJ177" t="s">
        <v>995</v>
      </c>
      <c r="AK177" t="s">
        <v>994</v>
      </c>
      <c r="AL177">
        <v>97</v>
      </c>
      <c r="AM177" s="5">
        <f t="shared" si="19"/>
        <v>3.2333333333333334</v>
      </c>
      <c r="AN177" s="4">
        <f t="shared" si="20"/>
        <v>4.8971349236400352E-3</v>
      </c>
      <c r="AO177" s="3"/>
      <c r="AP177">
        <v>0</v>
      </c>
      <c r="AQ177" t="s">
        <v>55</v>
      </c>
      <c r="AR177" t="s">
        <v>993</v>
      </c>
      <c r="AS177" t="s">
        <v>54</v>
      </c>
      <c r="AT177" s="2" t="s">
        <v>5</v>
      </c>
      <c r="AU177" s="1">
        <f t="shared" si="21"/>
        <v>3.1180039812400731</v>
      </c>
      <c r="AV177" s="1">
        <f t="shared" si="22"/>
        <v>2.3670638415611962</v>
      </c>
      <c r="AW177" s="1">
        <f t="shared" si="23"/>
        <v>1.6161237018823189</v>
      </c>
    </row>
    <row r="178" spans="1:49" x14ac:dyDescent="0.2">
      <c r="A178">
        <v>176</v>
      </c>
      <c r="B178" t="s">
        <v>992</v>
      </c>
      <c r="C178" t="s">
        <v>991</v>
      </c>
      <c r="F178" t="s">
        <v>990</v>
      </c>
      <c r="G178" t="s">
        <v>4</v>
      </c>
      <c r="H178" t="s">
        <v>3</v>
      </c>
      <c r="I178" t="s">
        <v>989</v>
      </c>
      <c r="J178">
        <v>60025063</v>
      </c>
      <c r="K178" t="s">
        <v>164</v>
      </c>
      <c r="L178" t="s">
        <v>163</v>
      </c>
      <c r="M178" t="s">
        <v>17</v>
      </c>
      <c r="N178">
        <v>2</v>
      </c>
      <c r="O178" t="s">
        <v>988</v>
      </c>
      <c r="P178" t="s">
        <v>987</v>
      </c>
      <c r="Q178" t="s">
        <v>161</v>
      </c>
      <c r="R178" s="7">
        <v>33843</v>
      </c>
      <c r="S178" s="8">
        <f t="shared" si="16"/>
        <v>1992</v>
      </c>
      <c r="T178" s="8">
        <v>1992</v>
      </c>
      <c r="U178" s="8">
        <f t="shared" si="17"/>
        <v>30</v>
      </c>
      <c r="V178" s="7">
        <v>33843</v>
      </c>
      <c r="W178" t="s">
        <v>37</v>
      </c>
      <c r="X178" s="2">
        <v>0.375</v>
      </c>
      <c r="Y178" s="6">
        <f t="shared" si="18"/>
        <v>1.0010410827260351E-2</v>
      </c>
      <c r="AA178">
        <v>135194</v>
      </c>
      <c r="AB178">
        <v>24918</v>
      </c>
      <c r="AD178" t="s">
        <v>1</v>
      </c>
      <c r="AE178">
        <v>28</v>
      </c>
      <c r="AF178">
        <v>18</v>
      </c>
      <c r="AH178" t="s">
        <v>986</v>
      </c>
      <c r="AI178" t="s">
        <v>985</v>
      </c>
      <c r="AJ178" t="s">
        <v>984</v>
      </c>
      <c r="AK178" t="s">
        <v>983</v>
      </c>
      <c r="AL178">
        <v>5</v>
      </c>
      <c r="AM178" s="5">
        <f t="shared" si="19"/>
        <v>0.16666666666666666</v>
      </c>
      <c r="AN178" s="4">
        <f t="shared" si="20"/>
        <v>2.5242963523917705E-4</v>
      </c>
      <c r="AO178" s="3"/>
      <c r="AP178">
        <v>0</v>
      </c>
      <c r="AR178" t="s">
        <v>0</v>
      </c>
      <c r="AT178" s="2">
        <v>1.3140000000000001</v>
      </c>
      <c r="AU178" s="1">
        <f t="shared" si="21"/>
        <v>0.70830164696539988</v>
      </c>
      <c r="AV178" s="1">
        <f t="shared" si="22"/>
        <v>0.51314202312497648</v>
      </c>
      <c r="AW178" s="1">
        <f t="shared" si="23"/>
        <v>0.31798239928455291</v>
      </c>
    </row>
    <row r="179" spans="1:49" x14ac:dyDescent="0.2">
      <c r="A179">
        <v>177</v>
      </c>
      <c r="B179" t="s">
        <v>982</v>
      </c>
      <c r="C179" t="s">
        <v>981</v>
      </c>
      <c r="F179" t="s">
        <v>980</v>
      </c>
      <c r="G179" t="s">
        <v>4</v>
      </c>
      <c r="H179" t="s">
        <v>3</v>
      </c>
      <c r="I179" t="s">
        <v>171</v>
      </c>
      <c r="J179" t="s">
        <v>979</v>
      </c>
      <c r="K179" t="s">
        <v>978</v>
      </c>
      <c r="L179" t="s">
        <v>977</v>
      </c>
      <c r="M179" t="s">
        <v>976</v>
      </c>
      <c r="N179">
        <v>2</v>
      </c>
      <c r="O179" t="s">
        <v>975</v>
      </c>
      <c r="P179" t="s">
        <v>974</v>
      </c>
      <c r="Q179" t="s">
        <v>973</v>
      </c>
      <c r="R179" s="7">
        <v>33843</v>
      </c>
      <c r="S179" s="8">
        <f t="shared" si="16"/>
        <v>1992</v>
      </c>
      <c r="T179" s="8">
        <v>1992</v>
      </c>
      <c r="U179" s="8">
        <f t="shared" si="17"/>
        <v>30</v>
      </c>
      <c r="V179" s="7">
        <v>33843</v>
      </c>
      <c r="W179" t="s">
        <v>37</v>
      </c>
      <c r="X179" s="2">
        <v>0.375</v>
      </c>
      <c r="Y179" s="6">
        <f t="shared" si="18"/>
        <v>1.0010410827260351E-2</v>
      </c>
      <c r="AA179">
        <v>135194</v>
      </c>
      <c r="AB179">
        <v>24918</v>
      </c>
      <c r="AD179" t="s">
        <v>1</v>
      </c>
      <c r="AE179">
        <v>28</v>
      </c>
      <c r="AF179">
        <v>18</v>
      </c>
      <c r="AH179" t="s">
        <v>972</v>
      </c>
      <c r="AI179" t="s">
        <v>971</v>
      </c>
      <c r="AJ179" t="s">
        <v>970</v>
      </c>
      <c r="AK179" t="s">
        <v>969</v>
      </c>
      <c r="AL179">
        <v>9</v>
      </c>
      <c r="AM179" s="5">
        <f t="shared" si="19"/>
        <v>0.3</v>
      </c>
      <c r="AN179" s="4">
        <f t="shared" si="20"/>
        <v>4.5437334343051872E-4</v>
      </c>
      <c r="AO179" s="3"/>
      <c r="AP179">
        <v>0</v>
      </c>
      <c r="AR179" t="s">
        <v>0</v>
      </c>
      <c r="AT179" s="2">
        <v>1.3140000000000001</v>
      </c>
      <c r="AU179" s="1">
        <f t="shared" si="21"/>
        <v>0.71435995821114018</v>
      </c>
      <c r="AV179" s="1">
        <f t="shared" si="22"/>
        <v>0.52323920853454353</v>
      </c>
      <c r="AW179" s="1">
        <f t="shared" si="23"/>
        <v>0.33211845885794683</v>
      </c>
    </row>
    <row r="180" spans="1:49" x14ac:dyDescent="0.2">
      <c r="A180">
        <v>178</v>
      </c>
      <c r="B180" t="s">
        <v>968</v>
      </c>
      <c r="C180" t="s">
        <v>967</v>
      </c>
      <c r="F180" t="s">
        <v>966</v>
      </c>
      <c r="G180" t="s">
        <v>4</v>
      </c>
      <c r="H180" t="s">
        <v>3</v>
      </c>
      <c r="I180" t="s">
        <v>965</v>
      </c>
      <c r="J180">
        <v>60025063</v>
      </c>
      <c r="K180" t="s">
        <v>164</v>
      </c>
      <c r="L180" t="s">
        <v>163</v>
      </c>
      <c r="M180" t="s">
        <v>17</v>
      </c>
      <c r="N180">
        <v>4</v>
      </c>
      <c r="O180" t="s">
        <v>964</v>
      </c>
      <c r="P180" t="s">
        <v>963</v>
      </c>
      <c r="Q180" t="s">
        <v>962</v>
      </c>
      <c r="R180" s="7">
        <v>33843</v>
      </c>
      <c r="S180" s="8">
        <f t="shared" si="16"/>
        <v>1992</v>
      </c>
      <c r="T180" s="8">
        <v>1992</v>
      </c>
      <c r="U180" s="8">
        <f t="shared" si="17"/>
        <v>30</v>
      </c>
      <c r="V180" s="7">
        <v>33843</v>
      </c>
      <c r="W180" t="s">
        <v>37</v>
      </c>
      <c r="X180" s="2">
        <v>0.375</v>
      </c>
      <c r="Y180" s="6">
        <f t="shared" si="18"/>
        <v>1.0010410827260351E-2</v>
      </c>
      <c r="AA180">
        <v>135194</v>
      </c>
      <c r="AB180">
        <v>24918</v>
      </c>
      <c r="AD180" t="s">
        <v>1</v>
      </c>
      <c r="AE180">
        <v>28</v>
      </c>
      <c r="AF180">
        <v>18</v>
      </c>
      <c r="AH180" t="s">
        <v>961</v>
      </c>
      <c r="AI180" t="s">
        <v>960</v>
      </c>
      <c r="AJ180" t="s">
        <v>461</v>
      </c>
      <c r="AK180" t="s">
        <v>959</v>
      </c>
      <c r="AL180">
        <v>4</v>
      </c>
      <c r="AM180" s="5">
        <f t="shared" si="19"/>
        <v>0.13333333333333333</v>
      </c>
      <c r="AN180" s="4">
        <f t="shared" si="20"/>
        <v>2.0194370819134167E-4</v>
      </c>
      <c r="AO180" s="3"/>
      <c r="AP180">
        <v>0</v>
      </c>
      <c r="AR180" t="s">
        <v>0</v>
      </c>
      <c r="AT180" s="2">
        <v>1.3140000000000001</v>
      </c>
      <c r="AU180" s="1">
        <f t="shared" si="21"/>
        <v>0.70678706915396483</v>
      </c>
      <c r="AV180" s="1">
        <f t="shared" si="22"/>
        <v>0.51061772677258466</v>
      </c>
      <c r="AW180" s="1">
        <f t="shared" si="23"/>
        <v>0.31444838439120443</v>
      </c>
    </row>
    <row r="181" spans="1:49" x14ac:dyDescent="0.2">
      <c r="A181">
        <v>179</v>
      </c>
      <c r="B181" t="s">
        <v>958</v>
      </c>
      <c r="C181" t="s">
        <v>957</v>
      </c>
      <c r="F181" t="s">
        <v>956</v>
      </c>
      <c r="G181" t="s">
        <v>4</v>
      </c>
      <c r="H181" t="s">
        <v>3</v>
      </c>
      <c r="I181" t="s">
        <v>955</v>
      </c>
      <c r="J181">
        <v>60014313</v>
      </c>
      <c r="K181" t="s">
        <v>10</v>
      </c>
      <c r="L181" t="s">
        <v>9</v>
      </c>
      <c r="M181" t="s">
        <v>2</v>
      </c>
      <c r="N181">
        <v>5</v>
      </c>
      <c r="O181" t="s">
        <v>954</v>
      </c>
      <c r="P181" t="s">
        <v>953</v>
      </c>
      <c r="Q181" t="s">
        <v>952</v>
      </c>
      <c r="R181" s="7">
        <v>33836</v>
      </c>
      <c r="S181" s="8">
        <f t="shared" si="16"/>
        <v>1992</v>
      </c>
      <c r="T181" s="8">
        <v>1992</v>
      </c>
      <c r="U181" s="8">
        <f t="shared" si="17"/>
        <v>30</v>
      </c>
      <c r="V181" s="7">
        <v>33836</v>
      </c>
      <c r="W181" t="s">
        <v>28</v>
      </c>
      <c r="X181" s="2">
        <v>2.3759999999999999</v>
      </c>
      <c r="Y181" s="6">
        <f t="shared" si="18"/>
        <v>6.3425963001521576E-2</v>
      </c>
      <c r="AA181" t="s">
        <v>27</v>
      </c>
      <c r="AB181">
        <v>26765</v>
      </c>
      <c r="AC181">
        <v>15384357</v>
      </c>
      <c r="AD181" t="s">
        <v>1</v>
      </c>
      <c r="AE181">
        <v>395</v>
      </c>
      <c r="AF181" t="s">
        <v>951</v>
      </c>
      <c r="AI181" t="s">
        <v>950</v>
      </c>
      <c r="AJ181" t="s">
        <v>949</v>
      </c>
      <c r="AK181" t="s">
        <v>948</v>
      </c>
      <c r="AL181">
        <v>25</v>
      </c>
      <c r="AM181" s="5">
        <f t="shared" si="19"/>
        <v>0.83333333333333337</v>
      </c>
      <c r="AN181" s="4">
        <f t="shared" si="20"/>
        <v>1.2621481761958854E-3</v>
      </c>
      <c r="AO181" s="3"/>
      <c r="AP181">
        <v>0</v>
      </c>
      <c r="AR181" t="s">
        <v>0</v>
      </c>
      <c r="AT181" s="2">
        <v>5.8739999999999997</v>
      </c>
      <c r="AU181" s="1">
        <f t="shared" si="21"/>
        <v>4.4776818553923867</v>
      </c>
      <c r="AV181" s="1">
        <f t="shared" si="22"/>
        <v>3.2344055588858729</v>
      </c>
      <c r="AW181" s="1">
        <f t="shared" si="23"/>
        <v>1.9911292623793593</v>
      </c>
    </row>
    <row r="182" spans="1:49" x14ac:dyDescent="0.2">
      <c r="A182">
        <v>180</v>
      </c>
      <c r="B182" t="s">
        <v>947</v>
      </c>
      <c r="C182" t="s">
        <v>946</v>
      </c>
      <c r="F182" t="s">
        <v>945</v>
      </c>
      <c r="G182" t="s">
        <v>4</v>
      </c>
      <c r="H182" t="s">
        <v>3</v>
      </c>
      <c r="I182" t="s">
        <v>944</v>
      </c>
      <c r="J182" t="s">
        <v>943</v>
      </c>
      <c r="K182" t="s">
        <v>942</v>
      </c>
      <c r="L182" t="s">
        <v>941</v>
      </c>
      <c r="M182" t="s">
        <v>940</v>
      </c>
      <c r="N182">
        <v>5</v>
      </c>
      <c r="O182" t="s">
        <v>939</v>
      </c>
      <c r="P182" t="s">
        <v>938</v>
      </c>
      <c r="Q182" t="s">
        <v>937</v>
      </c>
      <c r="R182" s="7">
        <v>33836</v>
      </c>
      <c r="S182" s="8">
        <f t="shared" si="16"/>
        <v>1992</v>
      </c>
      <c r="T182" s="8">
        <v>1992</v>
      </c>
      <c r="U182" s="8">
        <f t="shared" si="17"/>
        <v>30</v>
      </c>
      <c r="V182" s="7">
        <v>33836</v>
      </c>
      <c r="W182" t="s">
        <v>28</v>
      </c>
      <c r="X182" s="2">
        <v>2.3759999999999999</v>
      </c>
      <c r="Y182" s="6">
        <f t="shared" si="18"/>
        <v>6.3425963001521576E-2</v>
      </c>
      <c r="AA182" t="s">
        <v>27</v>
      </c>
      <c r="AB182">
        <v>26765</v>
      </c>
      <c r="AC182">
        <v>15384357</v>
      </c>
      <c r="AD182" t="s">
        <v>1</v>
      </c>
      <c r="AE182">
        <v>395</v>
      </c>
      <c r="AF182">
        <v>2</v>
      </c>
      <c r="AH182" t="s">
        <v>936</v>
      </c>
      <c r="AI182" t="s">
        <v>935</v>
      </c>
      <c r="AJ182" t="s">
        <v>934</v>
      </c>
      <c r="AK182" t="s">
        <v>933</v>
      </c>
      <c r="AL182">
        <v>18</v>
      </c>
      <c r="AM182" s="5">
        <f t="shared" si="19"/>
        <v>0.6</v>
      </c>
      <c r="AN182" s="4">
        <f t="shared" si="20"/>
        <v>9.0874668686103744E-4</v>
      </c>
      <c r="AO182" s="3"/>
      <c r="AP182">
        <v>0</v>
      </c>
      <c r="AR182" t="s">
        <v>0</v>
      </c>
      <c r="AT182" s="2">
        <v>5.8739999999999997</v>
      </c>
      <c r="AU182" s="1">
        <f t="shared" si="21"/>
        <v>4.4670798107123408</v>
      </c>
      <c r="AV182" s="1">
        <f t="shared" si="22"/>
        <v>3.2167354844191309</v>
      </c>
      <c r="AW182" s="1">
        <f t="shared" si="23"/>
        <v>1.9663911581259199</v>
      </c>
    </row>
    <row r="183" spans="1:49" x14ac:dyDescent="0.2">
      <c r="A183">
        <v>181</v>
      </c>
      <c r="B183" t="s">
        <v>932</v>
      </c>
      <c r="C183" t="s">
        <v>931</v>
      </c>
      <c r="D183" t="s">
        <v>930</v>
      </c>
      <c r="F183" t="s">
        <v>929</v>
      </c>
      <c r="G183" t="s">
        <v>4</v>
      </c>
      <c r="H183" t="s">
        <v>3</v>
      </c>
      <c r="I183" t="s">
        <v>928</v>
      </c>
      <c r="J183">
        <v>100922732</v>
      </c>
      <c r="K183" t="s">
        <v>927</v>
      </c>
      <c r="L183" t="s">
        <v>243</v>
      </c>
      <c r="M183" t="s">
        <v>24</v>
      </c>
      <c r="N183">
        <v>3</v>
      </c>
      <c r="O183" t="s">
        <v>926</v>
      </c>
      <c r="P183" t="s">
        <v>925</v>
      </c>
      <c r="Q183" t="s">
        <v>924</v>
      </c>
      <c r="R183" s="7">
        <v>33831</v>
      </c>
      <c r="S183" s="8">
        <f t="shared" si="16"/>
        <v>1992</v>
      </c>
      <c r="T183" s="8">
        <v>1992</v>
      </c>
      <c r="U183" s="8">
        <f t="shared" si="17"/>
        <v>30</v>
      </c>
      <c r="V183" s="7">
        <v>33831</v>
      </c>
      <c r="W183" t="s">
        <v>288</v>
      </c>
      <c r="X183" s="2">
        <v>0.625</v>
      </c>
      <c r="Y183" s="6">
        <f t="shared" si="18"/>
        <v>1.6684018045433919E-2</v>
      </c>
      <c r="AA183">
        <v>304018</v>
      </c>
      <c r="AB183">
        <v>12352</v>
      </c>
      <c r="AD183" t="s">
        <v>1</v>
      </c>
      <c r="AE183">
        <v>92</v>
      </c>
      <c r="AF183" s="9">
        <v>44256</v>
      </c>
      <c r="AH183" t="s">
        <v>91</v>
      </c>
      <c r="AI183" t="s">
        <v>923</v>
      </c>
      <c r="AK183" t="s">
        <v>922</v>
      </c>
      <c r="AL183">
        <v>3</v>
      </c>
      <c r="AM183" s="5">
        <f t="shared" si="19"/>
        <v>0.1</v>
      </c>
      <c r="AN183" s="4">
        <f t="shared" si="20"/>
        <v>1.5145778114350627E-4</v>
      </c>
      <c r="AO183" s="3"/>
      <c r="AP183">
        <v>0</v>
      </c>
      <c r="AR183" t="s">
        <v>0</v>
      </c>
      <c r="AT183" s="2">
        <v>2.31</v>
      </c>
      <c r="AU183" s="1">
        <f t="shared" si="21"/>
        <v>1.1724249966146796</v>
      </c>
      <c r="AV183" s="1">
        <f t="shared" si="22"/>
        <v>0.8417737913288712</v>
      </c>
      <c r="AW183" s="1">
        <f t="shared" si="23"/>
        <v>0.51112258604306304</v>
      </c>
    </row>
    <row r="184" spans="1:49" x14ac:dyDescent="0.2">
      <c r="A184">
        <v>182</v>
      </c>
      <c r="B184" t="s">
        <v>921</v>
      </c>
      <c r="C184" t="s">
        <v>920</v>
      </c>
      <c r="D184" t="s">
        <v>919</v>
      </c>
      <c r="E184">
        <v>11536509</v>
      </c>
      <c r="F184" t="s">
        <v>918</v>
      </c>
      <c r="G184" t="s">
        <v>4</v>
      </c>
      <c r="H184" t="s">
        <v>3</v>
      </c>
      <c r="I184" t="s">
        <v>917</v>
      </c>
      <c r="J184">
        <v>60003892</v>
      </c>
      <c r="K184" t="s">
        <v>90</v>
      </c>
      <c r="L184" t="s">
        <v>89</v>
      </c>
      <c r="M184" t="s">
        <v>2</v>
      </c>
      <c r="N184">
        <v>3</v>
      </c>
      <c r="O184" t="s">
        <v>916</v>
      </c>
      <c r="P184" t="s">
        <v>915</v>
      </c>
      <c r="Q184" t="s">
        <v>140</v>
      </c>
      <c r="R184" s="7">
        <v>33830</v>
      </c>
      <c r="S184" s="8">
        <f t="shared" si="16"/>
        <v>1992</v>
      </c>
      <c r="T184" s="8">
        <v>1992</v>
      </c>
      <c r="U184" s="8">
        <f t="shared" si="17"/>
        <v>30</v>
      </c>
      <c r="V184" s="7">
        <v>33830</v>
      </c>
      <c r="W184" t="s">
        <v>35</v>
      </c>
      <c r="X184" s="2" t="s">
        <v>5</v>
      </c>
      <c r="Y184" s="6" t="e">
        <f t="shared" si="18"/>
        <v>#VALUE!</v>
      </c>
      <c r="AA184">
        <v>10111344</v>
      </c>
      <c r="AB184">
        <v>17622</v>
      </c>
      <c r="AD184" t="s">
        <v>1</v>
      </c>
      <c r="AE184">
        <v>15</v>
      </c>
      <c r="AF184" s="9">
        <v>44228</v>
      </c>
      <c r="AH184" t="s">
        <v>914</v>
      </c>
      <c r="AI184" t="s">
        <v>913</v>
      </c>
      <c r="AJ184" t="s">
        <v>912</v>
      </c>
      <c r="AK184" t="s">
        <v>911</v>
      </c>
      <c r="AL184">
        <v>50</v>
      </c>
      <c r="AM184" s="5">
        <f t="shared" si="19"/>
        <v>1.6666666666666667</v>
      </c>
      <c r="AN184" s="4">
        <f t="shared" si="20"/>
        <v>2.5242963523917708E-3</v>
      </c>
      <c r="AO184" s="3"/>
      <c r="AP184">
        <v>0</v>
      </c>
      <c r="AQ184" t="s">
        <v>104</v>
      </c>
      <c r="AR184" t="s">
        <v>910</v>
      </c>
      <c r="AS184" t="s">
        <v>103</v>
      </c>
      <c r="AT184" s="2" t="s">
        <v>5</v>
      </c>
      <c r="AU184" s="1" t="e">
        <f t="shared" si="21"/>
        <v>#VALUE!</v>
      </c>
      <c r="AV184" s="1" t="e">
        <f t="shared" si="22"/>
        <v>#VALUE!</v>
      </c>
      <c r="AW184" s="1" t="e">
        <f t="shared" si="23"/>
        <v>#VALUE!</v>
      </c>
    </row>
    <row r="185" spans="1:49" x14ac:dyDescent="0.2">
      <c r="A185">
        <v>183</v>
      </c>
      <c r="B185" t="s">
        <v>909</v>
      </c>
      <c r="C185" t="s">
        <v>908</v>
      </c>
      <c r="D185" t="s">
        <v>907</v>
      </c>
      <c r="F185" t="s">
        <v>906</v>
      </c>
      <c r="G185" t="s">
        <v>4</v>
      </c>
      <c r="H185" t="s">
        <v>3</v>
      </c>
      <c r="I185" t="s">
        <v>905</v>
      </c>
      <c r="J185">
        <v>60068852</v>
      </c>
      <c r="K185" t="s">
        <v>31</v>
      </c>
      <c r="L185" t="s">
        <v>30</v>
      </c>
      <c r="M185" t="s">
        <v>29</v>
      </c>
      <c r="N185">
        <v>2</v>
      </c>
      <c r="O185" t="s">
        <v>904</v>
      </c>
      <c r="P185" t="s">
        <v>903</v>
      </c>
      <c r="Q185" t="s">
        <v>110</v>
      </c>
      <c r="R185" s="7">
        <v>33830</v>
      </c>
      <c r="S185" s="8">
        <f t="shared" si="16"/>
        <v>1992</v>
      </c>
      <c r="T185" s="8">
        <v>1992</v>
      </c>
      <c r="U185" s="8">
        <f t="shared" si="17"/>
        <v>30</v>
      </c>
      <c r="V185" s="7">
        <v>33830</v>
      </c>
      <c r="W185" t="s">
        <v>35</v>
      </c>
      <c r="X185" s="2" t="s">
        <v>5</v>
      </c>
      <c r="Y185" s="6" t="e">
        <f t="shared" si="18"/>
        <v>#VALUE!</v>
      </c>
      <c r="AA185">
        <v>10111344</v>
      </c>
      <c r="AB185">
        <v>17622</v>
      </c>
      <c r="AD185" t="s">
        <v>1</v>
      </c>
      <c r="AE185">
        <v>15</v>
      </c>
      <c r="AF185" s="9">
        <v>44228</v>
      </c>
      <c r="AH185" t="s">
        <v>902</v>
      </c>
      <c r="AI185" t="s">
        <v>901</v>
      </c>
      <c r="AJ185" t="s">
        <v>900</v>
      </c>
      <c r="AK185" t="s">
        <v>899</v>
      </c>
      <c r="AL185">
        <v>14</v>
      </c>
      <c r="AM185" s="5">
        <f t="shared" si="19"/>
        <v>0.46666666666666667</v>
      </c>
      <c r="AN185" s="4">
        <f t="shared" si="20"/>
        <v>7.0680297866969582E-4</v>
      </c>
      <c r="AO185" s="3"/>
      <c r="AP185">
        <v>0</v>
      </c>
      <c r="AR185" t="s">
        <v>0</v>
      </c>
      <c r="AT185" s="2" t="s">
        <v>5</v>
      </c>
      <c r="AU185" s="1" t="e">
        <f t="shared" si="21"/>
        <v>#VALUE!</v>
      </c>
      <c r="AV185" s="1" t="e">
        <f t="shared" si="22"/>
        <v>#VALUE!</v>
      </c>
      <c r="AW185" s="1" t="e">
        <f t="shared" si="23"/>
        <v>#VALUE!</v>
      </c>
    </row>
    <row r="186" spans="1:49" x14ac:dyDescent="0.2">
      <c r="A186">
        <v>184</v>
      </c>
      <c r="B186" t="s">
        <v>898</v>
      </c>
      <c r="C186" t="s">
        <v>897</v>
      </c>
      <c r="D186" t="s">
        <v>896</v>
      </c>
      <c r="F186" t="s">
        <v>895</v>
      </c>
      <c r="G186" t="s">
        <v>4</v>
      </c>
      <c r="H186" t="s">
        <v>3</v>
      </c>
      <c r="I186" t="s">
        <v>894</v>
      </c>
      <c r="J186" t="s">
        <v>888</v>
      </c>
      <c r="K186" t="s">
        <v>893</v>
      </c>
      <c r="L186" t="s">
        <v>892</v>
      </c>
      <c r="M186" t="s">
        <v>891</v>
      </c>
      <c r="N186">
        <v>2</v>
      </c>
      <c r="O186" t="s">
        <v>890</v>
      </c>
      <c r="P186" t="s">
        <v>889</v>
      </c>
      <c r="Q186" t="s">
        <v>888</v>
      </c>
      <c r="R186" s="7">
        <v>33830</v>
      </c>
      <c r="S186" s="8">
        <f t="shared" si="16"/>
        <v>1992</v>
      </c>
      <c r="T186" s="8">
        <v>1992</v>
      </c>
      <c r="U186" s="8">
        <f t="shared" si="17"/>
        <v>30</v>
      </c>
      <c r="V186" s="7">
        <v>33830</v>
      </c>
      <c r="W186" t="s">
        <v>35</v>
      </c>
      <c r="X186" s="2" t="s">
        <v>5</v>
      </c>
      <c r="Y186" s="6" t="e">
        <f t="shared" si="18"/>
        <v>#VALUE!</v>
      </c>
      <c r="AA186">
        <v>10111344</v>
      </c>
      <c r="AB186">
        <v>17622</v>
      </c>
      <c r="AD186" t="s">
        <v>1</v>
      </c>
      <c r="AE186">
        <v>15</v>
      </c>
      <c r="AF186" s="9">
        <v>44228</v>
      </c>
      <c r="AH186" t="s">
        <v>887</v>
      </c>
      <c r="AI186" t="s">
        <v>886</v>
      </c>
      <c r="AJ186" t="s">
        <v>885</v>
      </c>
      <c r="AK186" t="s">
        <v>884</v>
      </c>
      <c r="AL186">
        <v>8</v>
      </c>
      <c r="AM186" s="5">
        <f t="shared" si="19"/>
        <v>0.26666666666666666</v>
      </c>
      <c r="AN186" s="4">
        <f t="shared" si="20"/>
        <v>4.0388741638268334E-4</v>
      </c>
      <c r="AO186" s="3"/>
      <c r="AP186">
        <v>0</v>
      </c>
      <c r="AR186" t="s">
        <v>0</v>
      </c>
      <c r="AT186" s="2" t="s">
        <v>5</v>
      </c>
      <c r="AU186" s="1" t="e">
        <f t="shared" si="21"/>
        <v>#VALUE!</v>
      </c>
      <c r="AV186" s="1" t="e">
        <f t="shared" si="22"/>
        <v>#VALUE!</v>
      </c>
      <c r="AW186" s="1" t="e">
        <f t="shared" si="23"/>
        <v>#VALUE!</v>
      </c>
    </row>
    <row r="187" spans="1:49" x14ac:dyDescent="0.2">
      <c r="A187">
        <v>185</v>
      </c>
      <c r="B187" t="s">
        <v>883</v>
      </c>
      <c r="C187" t="s">
        <v>882</v>
      </c>
      <c r="D187">
        <v>1011134492870100</v>
      </c>
      <c r="E187">
        <v>1460542</v>
      </c>
      <c r="F187" t="s">
        <v>881</v>
      </c>
      <c r="G187" t="s">
        <v>4</v>
      </c>
      <c r="H187" t="s">
        <v>3</v>
      </c>
      <c r="I187" t="s">
        <v>880</v>
      </c>
      <c r="J187">
        <v>60025858</v>
      </c>
      <c r="K187" t="s">
        <v>61</v>
      </c>
      <c r="L187" t="s">
        <v>60</v>
      </c>
      <c r="M187" t="s">
        <v>13</v>
      </c>
      <c r="N187">
        <v>2</v>
      </c>
      <c r="O187" t="s">
        <v>879</v>
      </c>
      <c r="P187" t="s">
        <v>878</v>
      </c>
      <c r="Q187" t="s">
        <v>877</v>
      </c>
      <c r="R187" s="7">
        <v>33830</v>
      </c>
      <c r="S187" s="8">
        <f t="shared" si="16"/>
        <v>1992</v>
      </c>
      <c r="T187" s="8">
        <v>1992</v>
      </c>
      <c r="U187" s="8">
        <f t="shared" si="17"/>
        <v>30</v>
      </c>
      <c r="V187" s="7">
        <v>33830</v>
      </c>
      <c r="W187" t="s">
        <v>35</v>
      </c>
      <c r="X187" s="2" t="s">
        <v>5</v>
      </c>
      <c r="Y187" s="6" t="e">
        <f t="shared" si="18"/>
        <v>#VALUE!</v>
      </c>
      <c r="AA187">
        <v>10111344</v>
      </c>
      <c r="AB187">
        <v>17622</v>
      </c>
      <c r="AD187" t="s">
        <v>1</v>
      </c>
      <c r="AE187">
        <v>15</v>
      </c>
      <c r="AF187" s="9">
        <v>44228</v>
      </c>
      <c r="AH187" t="s">
        <v>876</v>
      </c>
      <c r="AI187" t="s">
        <v>875</v>
      </c>
      <c r="AJ187" t="s">
        <v>874</v>
      </c>
      <c r="AK187" t="s">
        <v>873</v>
      </c>
      <c r="AL187">
        <v>57</v>
      </c>
      <c r="AM187" s="5">
        <f t="shared" si="19"/>
        <v>1.9</v>
      </c>
      <c r="AN187" s="4">
        <f t="shared" si="20"/>
        <v>2.8776978417266188E-3</v>
      </c>
      <c r="AO187" s="3"/>
      <c r="AP187">
        <v>0</v>
      </c>
      <c r="AQ187" t="s">
        <v>134</v>
      </c>
      <c r="AR187" t="s">
        <v>872</v>
      </c>
      <c r="AS187" t="s">
        <v>133</v>
      </c>
      <c r="AT187" s="2" t="s">
        <v>5</v>
      </c>
      <c r="AU187" s="1" t="e">
        <f t="shared" si="21"/>
        <v>#VALUE!</v>
      </c>
      <c r="AV187" s="1" t="e">
        <f t="shared" si="22"/>
        <v>#VALUE!</v>
      </c>
      <c r="AW187" s="1" t="e">
        <f t="shared" si="23"/>
        <v>#VALUE!</v>
      </c>
    </row>
    <row r="188" spans="1:49" x14ac:dyDescent="0.2">
      <c r="A188">
        <v>186</v>
      </c>
      <c r="B188" t="s">
        <v>871</v>
      </c>
      <c r="C188" t="s">
        <v>870</v>
      </c>
      <c r="D188" t="s">
        <v>869</v>
      </c>
      <c r="F188" t="s">
        <v>868</v>
      </c>
      <c r="G188" t="s">
        <v>4</v>
      </c>
      <c r="H188" t="s">
        <v>3</v>
      </c>
      <c r="I188" t="s">
        <v>867</v>
      </c>
      <c r="J188">
        <v>60028717</v>
      </c>
      <c r="K188" t="s">
        <v>866</v>
      </c>
      <c r="L188" t="s">
        <v>209</v>
      </c>
      <c r="M188" t="s">
        <v>50</v>
      </c>
      <c r="N188">
        <v>2</v>
      </c>
      <c r="O188" t="s">
        <v>865</v>
      </c>
      <c r="P188" t="s">
        <v>864</v>
      </c>
      <c r="Q188" t="s">
        <v>863</v>
      </c>
      <c r="R188" s="7">
        <v>33830</v>
      </c>
      <c r="S188" s="8">
        <f t="shared" si="16"/>
        <v>1992</v>
      </c>
      <c r="T188" s="8">
        <v>1992</v>
      </c>
      <c r="U188" s="8">
        <f t="shared" si="17"/>
        <v>30</v>
      </c>
      <c r="V188" s="7">
        <v>33830</v>
      </c>
      <c r="W188" t="s">
        <v>35</v>
      </c>
      <c r="X188" s="2" t="s">
        <v>5</v>
      </c>
      <c r="Y188" s="6" t="e">
        <f t="shared" si="18"/>
        <v>#VALUE!</v>
      </c>
      <c r="AA188">
        <v>10111344</v>
      </c>
      <c r="AB188">
        <v>17622</v>
      </c>
      <c r="AD188" t="s">
        <v>1</v>
      </c>
      <c r="AE188">
        <v>15</v>
      </c>
      <c r="AF188" s="9">
        <v>44228</v>
      </c>
      <c r="AH188" t="s">
        <v>862</v>
      </c>
      <c r="AI188" t="s">
        <v>861</v>
      </c>
      <c r="AJ188" t="s">
        <v>860</v>
      </c>
      <c r="AK188" t="s">
        <v>859</v>
      </c>
      <c r="AL188">
        <v>5</v>
      </c>
      <c r="AM188" s="5">
        <f t="shared" si="19"/>
        <v>0.16666666666666666</v>
      </c>
      <c r="AN188" s="4">
        <f t="shared" si="20"/>
        <v>2.5242963523917705E-4</v>
      </c>
      <c r="AO188" s="3"/>
      <c r="AP188">
        <v>0</v>
      </c>
      <c r="AQ188" t="s">
        <v>279</v>
      </c>
      <c r="AR188" t="s">
        <v>0</v>
      </c>
      <c r="AS188" t="s">
        <v>858</v>
      </c>
      <c r="AT188" s="2" t="s">
        <v>5</v>
      </c>
      <c r="AU188" s="1" t="e">
        <f t="shared" si="21"/>
        <v>#VALUE!</v>
      </c>
      <c r="AV188" s="1" t="e">
        <f t="shared" si="22"/>
        <v>#VALUE!</v>
      </c>
      <c r="AW188" s="1" t="e">
        <f t="shared" si="23"/>
        <v>#VALUE!</v>
      </c>
    </row>
    <row r="189" spans="1:49" x14ac:dyDescent="0.2">
      <c r="A189">
        <v>187</v>
      </c>
      <c r="B189" t="s">
        <v>857</v>
      </c>
      <c r="C189" t="s">
        <v>856</v>
      </c>
      <c r="D189" t="s">
        <v>855</v>
      </c>
      <c r="F189" t="s">
        <v>854</v>
      </c>
      <c r="G189" t="s">
        <v>4</v>
      </c>
      <c r="H189" t="s">
        <v>3</v>
      </c>
      <c r="I189" t="s">
        <v>853</v>
      </c>
      <c r="J189" t="s">
        <v>852</v>
      </c>
      <c r="K189" t="s">
        <v>851</v>
      </c>
      <c r="L189" t="s">
        <v>850</v>
      </c>
      <c r="M189" t="s">
        <v>849</v>
      </c>
      <c r="N189">
        <v>3</v>
      </c>
      <c r="O189" t="s">
        <v>848</v>
      </c>
      <c r="P189" t="s">
        <v>847</v>
      </c>
      <c r="Q189" t="s">
        <v>846</v>
      </c>
      <c r="R189" s="7">
        <v>33830</v>
      </c>
      <c r="S189" s="8">
        <f t="shared" si="16"/>
        <v>1992</v>
      </c>
      <c r="T189" s="8">
        <v>1992</v>
      </c>
      <c r="U189" s="8">
        <f t="shared" si="17"/>
        <v>30</v>
      </c>
      <c r="V189" s="7">
        <v>33830</v>
      </c>
      <c r="W189" t="s">
        <v>35</v>
      </c>
      <c r="X189" s="2" t="s">
        <v>5</v>
      </c>
      <c r="Y189" s="6" t="e">
        <f t="shared" si="18"/>
        <v>#VALUE!</v>
      </c>
      <c r="AA189">
        <v>10111344</v>
      </c>
      <c r="AB189">
        <v>17622</v>
      </c>
      <c r="AD189" t="s">
        <v>1</v>
      </c>
      <c r="AE189">
        <v>15</v>
      </c>
      <c r="AF189" s="9">
        <v>44228</v>
      </c>
      <c r="AH189" t="s">
        <v>845</v>
      </c>
      <c r="AI189" t="s">
        <v>844</v>
      </c>
      <c r="AJ189" t="s">
        <v>843</v>
      </c>
      <c r="AK189" t="s">
        <v>842</v>
      </c>
      <c r="AL189">
        <v>16</v>
      </c>
      <c r="AM189" s="5">
        <f t="shared" si="19"/>
        <v>0.53333333333333333</v>
      </c>
      <c r="AN189" s="4">
        <f t="shared" si="20"/>
        <v>8.0777483276536668E-4</v>
      </c>
      <c r="AO189" s="3"/>
      <c r="AP189">
        <v>0</v>
      </c>
      <c r="AQ189" t="s">
        <v>268</v>
      </c>
      <c r="AR189" t="s">
        <v>0</v>
      </c>
      <c r="AS189" t="s">
        <v>267</v>
      </c>
      <c r="AT189" s="2" t="s">
        <v>5</v>
      </c>
      <c r="AU189" s="1" t="e">
        <f t="shared" si="21"/>
        <v>#VALUE!</v>
      </c>
      <c r="AV189" s="1" t="e">
        <f t="shared" si="22"/>
        <v>#VALUE!</v>
      </c>
      <c r="AW189" s="1" t="e">
        <f t="shared" si="23"/>
        <v>#VALUE!</v>
      </c>
    </row>
    <row r="190" spans="1:49" x14ac:dyDescent="0.2">
      <c r="A190">
        <v>188</v>
      </c>
      <c r="B190" t="s">
        <v>841</v>
      </c>
      <c r="C190" t="s">
        <v>840</v>
      </c>
      <c r="D190" t="s">
        <v>839</v>
      </c>
      <c r="F190" t="s">
        <v>838</v>
      </c>
      <c r="G190" t="s">
        <v>4</v>
      </c>
      <c r="H190" t="s">
        <v>3</v>
      </c>
      <c r="I190" t="s">
        <v>837</v>
      </c>
      <c r="J190">
        <v>60000812</v>
      </c>
      <c r="K190" t="s">
        <v>836</v>
      </c>
      <c r="L190" t="s">
        <v>835</v>
      </c>
      <c r="M190" t="s">
        <v>2</v>
      </c>
      <c r="N190">
        <v>1</v>
      </c>
      <c r="O190" t="s">
        <v>834</v>
      </c>
      <c r="P190">
        <v>7004444579</v>
      </c>
      <c r="Q190">
        <v>60000812</v>
      </c>
      <c r="R190" s="7">
        <v>33830</v>
      </c>
      <c r="S190" s="8">
        <f t="shared" si="16"/>
        <v>1992</v>
      </c>
      <c r="T190" s="8">
        <v>1992</v>
      </c>
      <c r="U190" s="8">
        <f t="shared" si="17"/>
        <v>30</v>
      </c>
      <c r="V190" s="7">
        <v>33830</v>
      </c>
      <c r="W190" t="s">
        <v>35</v>
      </c>
      <c r="X190" s="2" t="s">
        <v>5</v>
      </c>
      <c r="Y190" s="6" t="e">
        <f t="shared" si="18"/>
        <v>#VALUE!</v>
      </c>
      <c r="AA190">
        <v>10111344</v>
      </c>
      <c r="AB190">
        <v>17622</v>
      </c>
      <c r="AD190" t="s">
        <v>1</v>
      </c>
      <c r="AE190">
        <v>15</v>
      </c>
      <c r="AF190" s="9">
        <v>44228</v>
      </c>
      <c r="AH190" t="s">
        <v>65</v>
      </c>
      <c r="AI190" t="s">
        <v>833</v>
      </c>
      <c r="AJ190" t="s">
        <v>832</v>
      </c>
      <c r="AK190" t="s">
        <v>831</v>
      </c>
      <c r="AL190">
        <v>18</v>
      </c>
      <c r="AM190" s="5">
        <f t="shared" si="19"/>
        <v>0.6</v>
      </c>
      <c r="AN190" s="4">
        <f t="shared" si="20"/>
        <v>9.0874668686103744E-4</v>
      </c>
      <c r="AO190" s="3"/>
      <c r="AP190">
        <v>0</v>
      </c>
      <c r="AR190" t="s">
        <v>0</v>
      </c>
      <c r="AT190" s="2" t="s">
        <v>5</v>
      </c>
      <c r="AU190" s="1" t="e">
        <f t="shared" si="21"/>
        <v>#VALUE!</v>
      </c>
      <c r="AV190" s="1" t="e">
        <f t="shared" si="22"/>
        <v>#VALUE!</v>
      </c>
      <c r="AW190" s="1" t="e">
        <f t="shared" si="23"/>
        <v>#VALUE!</v>
      </c>
    </row>
    <row r="191" spans="1:49" x14ac:dyDescent="0.2">
      <c r="A191">
        <v>189</v>
      </c>
      <c r="B191" t="s">
        <v>830</v>
      </c>
      <c r="C191" t="s">
        <v>829</v>
      </c>
      <c r="D191" t="s">
        <v>828</v>
      </c>
      <c r="F191" t="s">
        <v>827</v>
      </c>
      <c r="G191" t="s">
        <v>4</v>
      </c>
      <c r="H191" t="s">
        <v>3</v>
      </c>
      <c r="I191" t="s">
        <v>278</v>
      </c>
      <c r="J191">
        <v>60072285</v>
      </c>
      <c r="K191" t="s">
        <v>277</v>
      </c>
      <c r="L191" t="s">
        <v>276</v>
      </c>
      <c r="M191" t="s">
        <v>50</v>
      </c>
      <c r="N191">
        <v>2</v>
      </c>
      <c r="O191" t="s">
        <v>826</v>
      </c>
      <c r="P191" t="s">
        <v>825</v>
      </c>
      <c r="Q191" t="s">
        <v>824</v>
      </c>
      <c r="R191" s="7">
        <v>33830</v>
      </c>
      <c r="S191" s="8">
        <f t="shared" si="16"/>
        <v>1992</v>
      </c>
      <c r="T191" s="8">
        <v>1992</v>
      </c>
      <c r="U191" s="8">
        <f t="shared" si="17"/>
        <v>30</v>
      </c>
      <c r="V191" s="7">
        <v>33830</v>
      </c>
      <c r="W191" t="s">
        <v>35</v>
      </c>
      <c r="X191" s="2" t="s">
        <v>5</v>
      </c>
      <c r="Y191" s="6" t="e">
        <f t="shared" si="18"/>
        <v>#VALUE!</v>
      </c>
      <c r="AA191">
        <v>10111344</v>
      </c>
      <c r="AB191">
        <v>17622</v>
      </c>
      <c r="AD191" t="s">
        <v>1</v>
      </c>
      <c r="AE191">
        <v>15</v>
      </c>
      <c r="AF191" s="9">
        <v>44228</v>
      </c>
      <c r="AH191" t="s">
        <v>823</v>
      </c>
      <c r="AI191" t="s">
        <v>822</v>
      </c>
      <c r="AJ191" t="s">
        <v>821</v>
      </c>
      <c r="AK191" t="s">
        <v>820</v>
      </c>
      <c r="AL191">
        <v>26</v>
      </c>
      <c r="AM191" s="5">
        <f t="shared" si="19"/>
        <v>0.8666666666666667</v>
      </c>
      <c r="AN191" s="4">
        <f t="shared" si="20"/>
        <v>1.3126341032437209E-3</v>
      </c>
      <c r="AO191" s="3"/>
      <c r="AP191">
        <v>0</v>
      </c>
      <c r="AR191" t="s">
        <v>0</v>
      </c>
      <c r="AT191" s="2" t="s">
        <v>5</v>
      </c>
      <c r="AU191" s="1" t="e">
        <f t="shared" si="21"/>
        <v>#VALUE!</v>
      </c>
      <c r="AV191" s="1" t="e">
        <f t="shared" si="22"/>
        <v>#VALUE!</v>
      </c>
      <c r="AW191" s="1" t="e">
        <f t="shared" si="23"/>
        <v>#VALUE!</v>
      </c>
    </row>
    <row r="192" spans="1:49" x14ac:dyDescent="0.2">
      <c r="A192">
        <v>190</v>
      </c>
      <c r="B192" t="s">
        <v>819</v>
      </c>
      <c r="C192" t="s">
        <v>818</v>
      </c>
      <c r="F192" t="s">
        <v>817</v>
      </c>
      <c r="G192" t="s">
        <v>4</v>
      </c>
      <c r="H192" t="s">
        <v>3</v>
      </c>
      <c r="I192" t="s">
        <v>816</v>
      </c>
      <c r="J192">
        <v>60018163</v>
      </c>
      <c r="K192" t="s">
        <v>815</v>
      </c>
      <c r="L192" t="s">
        <v>86</v>
      </c>
      <c r="M192" t="s">
        <v>85</v>
      </c>
      <c r="N192">
        <v>2</v>
      </c>
      <c r="O192" t="s">
        <v>814</v>
      </c>
      <c r="P192" t="s">
        <v>813</v>
      </c>
      <c r="Q192" t="s">
        <v>812</v>
      </c>
      <c r="R192" s="7">
        <v>33829</v>
      </c>
      <c r="S192" s="8">
        <f t="shared" si="16"/>
        <v>1992</v>
      </c>
      <c r="T192" s="8">
        <v>1992</v>
      </c>
      <c r="U192" s="8">
        <f t="shared" si="17"/>
        <v>30</v>
      </c>
      <c r="V192" s="7">
        <v>33829</v>
      </c>
      <c r="W192" t="s">
        <v>37</v>
      </c>
      <c r="X192" s="2">
        <v>0.375</v>
      </c>
      <c r="Y192" s="6">
        <f t="shared" si="18"/>
        <v>1.0010410827260351E-2</v>
      </c>
      <c r="AA192">
        <v>135194</v>
      </c>
      <c r="AB192">
        <v>24918</v>
      </c>
      <c r="AD192" t="s">
        <v>1</v>
      </c>
      <c r="AE192">
        <v>28</v>
      </c>
      <c r="AF192">
        <v>17</v>
      </c>
      <c r="AH192" t="s">
        <v>811</v>
      </c>
      <c r="AI192" t="s">
        <v>810</v>
      </c>
      <c r="AJ192" t="s">
        <v>809</v>
      </c>
      <c r="AK192" t="s">
        <v>808</v>
      </c>
      <c r="AL192">
        <v>3</v>
      </c>
      <c r="AM192" s="5">
        <f t="shared" si="19"/>
        <v>0.1</v>
      </c>
      <c r="AN192" s="4">
        <f t="shared" si="20"/>
        <v>1.5145778114350627E-4</v>
      </c>
      <c r="AO192" s="3"/>
      <c r="AP192">
        <v>0</v>
      </c>
      <c r="AR192" t="s">
        <v>0</v>
      </c>
      <c r="AT192" s="2">
        <v>1.3140000000000001</v>
      </c>
      <c r="AU192" s="1">
        <f t="shared" si="21"/>
        <v>0.70527249134252978</v>
      </c>
      <c r="AV192" s="1">
        <f t="shared" si="22"/>
        <v>0.50809343042019284</v>
      </c>
      <c r="AW192" s="1">
        <f t="shared" si="23"/>
        <v>0.31091436949785595</v>
      </c>
    </row>
    <row r="193" spans="1:49" x14ac:dyDescent="0.2">
      <c r="A193">
        <v>191</v>
      </c>
      <c r="B193" t="s">
        <v>807</v>
      </c>
      <c r="C193" t="s">
        <v>806</v>
      </c>
      <c r="F193" t="s">
        <v>805</v>
      </c>
      <c r="G193" t="s">
        <v>4</v>
      </c>
      <c r="H193" t="s">
        <v>3</v>
      </c>
      <c r="I193" t="s">
        <v>804</v>
      </c>
      <c r="J193">
        <v>60022148</v>
      </c>
      <c r="K193" t="s">
        <v>211</v>
      </c>
      <c r="L193" t="s">
        <v>129</v>
      </c>
      <c r="M193" t="s">
        <v>52</v>
      </c>
      <c r="N193">
        <v>2</v>
      </c>
      <c r="O193" t="s">
        <v>803</v>
      </c>
      <c r="P193" t="s">
        <v>802</v>
      </c>
      <c r="Q193" t="s">
        <v>210</v>
      </c>
      <c r="R193" s="7">
        <v>33829</v>
      </c>
      <c r="S193" s="8">
        <f t="shared" si="16"/>
        <v>1992</v>
      </c>
      <c r="T193" s="8">
        <v>1992</v>
      </c>
      <c r="U193" s="8">
        <f t="shared" si="17"/>
        <v>30</v>
      </c>
      <c r="V193" s="7">
        <v>33829</v>
      </c>
      <c r="W193" t="s">
        <v>37</v>
      </c>
      <c r="X193" s="2">
        <v>0.375</v>
      </c>
      <c r="Y193" s="6">
        <f t="shared" si="18"/>
        <v>1.0010410827260351E-2</v>
      </c>
      <c r="AA193">
        <v>135194</v>
      </c>
      <c r="AB193">
        <v>24918</v>
      </c>
      <c r="AD193" t="s">
        <v>1</v>
      </c>
      <c r="AE193">
        <v>28</v>
      </c>
      <c r="AF193">
        <v>17</v>
      </c>
      <c r="AH193" t="s">
        <v>801</v>
      </c>
      <c r="AI193" t="s">
        <v>800</v>
      </c>
      <c r="AJ193" t="s">
        <v>213</v>
      </c>
      <c r="AK193" t="s">
        <v>799</v>
      </c>
      <c r="AL193">
        <v>13</v>
      </c>
      <c r="AM193" s="5">
        <f t="shared" si="19"/>
        <v>0.43333333333333335</v>
      </c>
      <c r="AN193" s="4">
        <f t="shared" si="20"/>
        <v>6.5631705162186044E-4</v>
      </c>
      <c r="AO193" s="3"/>
      <c r="AP193">
        <v>0</v>
      </c>
      <c r="AR193" t="s">
        <v>0</v>
      </c>
      <c r="AT193" s="2">
        <v>1.3140000000000001</v>
      </c>
      <c r="AU193" s="1">
        <f t="shared" si="21"/>
        <v>0.72041826945688037</v>
      </c>
      <c r="AV193" s="1">
        <f t="shared" si="22"/>
        <v>0.53333639394411059</v>
      </c>
      <c r="AW193" s="1">
        <f t="shared" si="23"/>
        <v>0.34625451843134075</v>
      </c>
    </row>
    <row r="194" spans="1:49" x14ac:dyDescent="0.2">
      <c r="A194">
        <v>192</v>
      </c>
      <c r="B194" t="s">
        <v>798</v>
      </c>
      <c r="C194" t="s">
        <v>797</v>
      </c>
      <c r="D194" t="s">
        <v>796</v>
      </c>
      <c r="E194">
        <v>1644194</v>
      </c>
      <c r="F194" t="s">
        <v>795</v>
      </c>
      <c r="G194" t="s">
        <v>4</v>
      </c>
      <c r="H194" t="s">
        <v>3</v>
      </c>
      <c r="I194" t="s">
        <v>794</v>
      </c>
      <c r="J194" t="s">
        <v>793</v>
      </c>
      <c r="K194" t="s">
        <v>792</v>
      </c>
      <c r="L194" t="s">
        <v>791</v>
      </c>
      <c r="M194" t="s">
        <v>790</v>
      </c>
      <c r="N194">
        <v>2</v>
      </c>
      <c r="O194" t="s">
        <v>789</v>
      </c>
      <c r="P194" t="s">
        <v>788</v>
      </c>
      <c r="Q194" t="s">
        <v>787</v>
      </c>
      <c r="R194" s="7">
        <v>33819</v>
      </c>
      <c r="S194" s="8">
        <f t="shared" ref="S194:S241" si="24">YEAR(R194)</f>
        <v>1992</v>
      </c>
      <c r="T194" s="8">
        <v>1992</v>
      </c>
      <c r="U194" s="8">
        <f t="shared" ref="U194:U241" si="25">2022-T194</f>
        <v>30</v>
      </c>
      <c r="V194" s="7">
        <v>33819</v>
      </c>
      <c r="W194" t="s">
        <v>291</v>
      </c>
      <c r="X194" s="2">
        <v>1.593</v>
      </c>
      <c r="Y194" s="6">
        <f t="shared" ref="Y194:Y241" si="26">(X194-$Z$4)/($Z$3-$Z$4)</f>
        <v>4.2524225194201973E-2</v>
      </c>
      <c r="AA194">
        <v>145793</v>
      </c>
      <c r="AB194">
        <v>17481</v>
      </c>
      <c r="AD194" t="s">
        <v>1</v>
      </c>
      <c r="AE194">
        <v>307</v>
      </c>
      <c r="AF194">
        <v>3</v>
      </c>
      <c r="AH194" t="s">
        <v>786</v>
      </c>
      <c r="AI194" t="s">
        <v>785</v>
      </c>
      <c r="AJ194" t="s">
        <v>784</v>
      </c>
      <c r="AK194" t="s">
        <v>783</v>
      </c>
      <c r="AL194">
        <v>50</v>
      </c>
      <c r="AM194" s="5">
        <f t="shared" ref="AM194:AM241" si="27">AL194/U194</f>
        <v>1.6666666666666667</v>
      </c>
      <c r="AN194" s="4">
        <f t="shared" ref="AN194:AN241" si="28">(AM194-$AO$4)/($AO$3-$AO$4)</f>
        <v>2.5242963523917708E-3</v>
      </c>
      <c r="AO194" s="3"/>
      <c r="AP194">
        <v>1</v>
      </c>
      <c r="AR194" t="s">
        <v>0</v>
      </c>
      <c r="AT194" s="2">
        <v>4.1239999999999997</v>
      </c>
      <c r="AU194" s="1">
        <f t="shared" ref="AU194:AU241" si="29">(Y194*0.7+AN194*0.3)*100</f>
        <v>3.052424654165891</v>
      </c>
      <c r="AV194" s="1">
        <f t="shared" ref="AV194:AV241" si="30">(Y194*0.5+AN194*0.5)*100</f>
        <v>2.2524260773296874</v>
      </c>
      <c r="AW194" s="1">
        <f t="shared" ref="AW194:AW241" si="31">(Y194*0.3+AN194*0.7)*100</f>
        <v>1.452427500493483</v>
      </c>
    </row>
    <row r="195" spans="1:49" x14ac:dyDescent="0.2">
      <c r="A195">
        <v>193</v>
      </c>
      <c r="B195" t="s">
        <v>782</v>
      </c>
      <c r="C195" t="s">
        <v>781</v>
      </c>
      <c r="F195" t="s">
        <v>780</v>
      </c>
      <c r="G195" t="s">
        <v>4</v>
      </c>
      <c r="H195" t="s">
        <v>3</v>
      </c>
      <c r="I195" t="s">
        <v>779</v>
      </c>
      <c r="N195">
        <v>3</v>
      </c>
      <c r="O195" t="s">
        <v>778</v>
      </c>
      <c r="P195" t="s">
        <v>777</v>
      </c>
      <c r="Q195" t="s">
        <v>71</v>
      </c>
      <c r="R195" s="7">
        <v>33817</v>
      </c>
      <c r="S195" s="8">
        <f t="shared" si="24"/>
        <v>1992</v>
      </c>
      <c r="T195" s="8">
        <v>1992</v>
      </c>
      <c r="U195" s="8">
        <f t="shared" si="25"/>
        <v>30</v>
      </c>
      <c r="V195" s="7">
        <v>33817</v>
      </c>
      <c r="W195" t="s">
        <v>266</v>
      </c>
      <c r="X195" s="2">
        <v>0.318</v>
      </c>
      <c r="Y195" s="6">
        <f t="shared" si="26"/>
        <v>8.4888283815167786E-3</v>
      </c>
      <c r="AA195">
        <v>338443</v>
      </c>
      <c r="AB195">
        <v>27160</v>
      </c>
      <c r="AC195">
        <v>15739120</v>
      </c>
      <c r="AD195" t="s">
        <v>1</v>
      </c>
      <c r="AE195">
        <v>35</v>
      </c>
      <c r="AF195">
        <v>8</v>
      </c>
      <c r="AH195" t="s">
        <v>776</v>
      </c>
      <c r="AI195" t="s">
        <v>775</v>
      </c>
      <c r="AK195" t="s">
        <v>774</v>
      </c>
      <c r="AL195">
        <v>1</v>
      </c>
      <c r="AM195" s="5">
        <f t="shared" si="27"/>
        <v>3.3333333333333333E-2</v>
      </c>
      <c r="AN195" s="4">
        <f t="shared" si="28"/>
        <v>5.0485927047835418E-5</v>
      </c>
      <c r="AO195" s="3"/>
      <c r="AP195">
        <v>0</v>
      </c>
      <c r="AR195" t="s">
        <v>0</v>
      </c>
      <c r="AT195" s="2">
        <v>0.77</v>
      </c>
      <c r="AU195" s="1">
        <f t="shared" si="29"/>
        <v>0.59573256451760959</v>
      </c>
      <c r="AV195" s="1">
        <f t="shared" si="30"/>
        <v>0.4269657154282307</v>
      </c>
      <c r="AW195" s="1">
        <f t="shared" si="31"/>
        <v>0.25819886633885186</v>
      </c>
    </row>
    <row r="196" spans="1:49" x14ac:dyDescent="0.2">
      <c r="A196">
        <v>194</v>
      </c>
      <c r="B196" t="s">
        <v>773</v>
      </c>
      <c r="C196" t="s">
        <v>772</v>
      </c>
      <c r="F196" t="s">
        <v>771</v>
      </c>
      <c r="G196" t="s">
        <v>4</v>
      </c>
      <c r="H196" t="s">
        <v>3</v>
      </c>
      <c r="I196" t="s">
        <v>770</v>
      </c>
      <c r="N196">
        <v>2</v>
      </c>
      <c r="O196" t="s">
        <v>769</v>
      </c>
      <c r="P196" t="s">
        <v>768</v>
      </c>
      <c r="Q196" t="s">
        <v>45</v>
      </c>
      <c r="R196" s="7">
        <v>33817</v>
      </c>
      <c r="S196" s="8">
        <f t="shared" si="24"/>
        <v>1992</v>
      </c>
      <c r="T196" s="8">
        <v>1992</v>
      </c>
      <c r="U196" s="8">
        <f t="shared" si="25"/>
        <v>30</v>
      </c>
      <c r="V196" s="7">
        <v>33817</v>
      </c>
      <c r="W196" t="s">
        <v>266</v>
      </c>
      <c r="X196" s="2">
        <v>0.318</v>
      </c>
      <c r="Y196" s="6">
        <f t="shared" si="26"/>
        <v>8.4888283815167786E-3</v>
      </c>
      <c r="AA196">
        <v>338443</v>
      </c>
      <c r="AB196">
        <v>27160</v>
      </c>
      <c r="AC196">
        <v>15739120</v>
      </c>
      <c r="AD196" t="s">
        <v>1</v>
      </c>
      <c r="AE196">
        <v>35</v>
      </c>
      <c r="AF196">
        <v>8</v>
      </c>
      <c r="AH196" t="s">
        <v>767</v>
      </c>
      <c r="AI196" t="s">
        <v>766</v>
      </c>
      <c r="AK196" t="s">
        <v>765</v>
      </c>
      <c r="AL196">
        <v>1</v>
      </c>
      <c r="AM196" s="5">
        <f t="shared" si="27"/>
        <v>3.3333333333333333E-2</v>
      </c>
      <c r="AN196" s="4">
        <f t="shared" si="28"/>
        <v>5.0485927047835418E-5</v>
      </c>
      <c r="AO196" s="3"/>
      <c r="AP196">
        <v>0</v>
      </c>
      <c r="AR196" t="s">
        <v>0</v>
      </c>
      <c r="AT196" s="2">
        <v>0.77</v>
      </c>
      <c r="AU196" s="1">
        <f t="shared" si="29"/>
        <v>0.59573256451760959</v>
      </c>
      <c r="AV196" s="1">
        <f t="shared" si="30"/>
        <v>0.4269657154282307</v>
      </c>
      <c r="AW196" s="1">
        <f t="shared" si="31"/>
        <v>0.25819886633885186</v>
      </c>
    </row>
    <row r="197" spans="1:49" x14ac:dyDescent="0.2">
      <c r="A197">
        <v>195</v>
      </c>
      <c r="B197" t="s">
        <v>764</v>
      </c>
      <c r="C197" t="s">
        <v>763</v>
      </c>
      <c r="F197" t="s">
        <v>762</v>
      </c>
      <c r="G197" t="s">
        <v>4</v>
      </c>
      <c r="H197" t="s">
        <v>3</v>
      </c>
      <c r="I197" t="s">
        <v>761</v>
      </c>
      <c r="J197">
        <v>60022995</v>
      </c>
      <c r="K197" t="s">
        <v>760</v>
      </c>
      <c r="L197" t="s">
        <v>759</v>
      </c>
      <c r="M197" t="s">
        <v>50</v>
      </c>
      <c r="N197">
        <v>1</v>
      </c>
      <c r="O197" t="s">
        <v>758</v>
      </c>
      <c r="P197">
        <v>7003780857</v>
      </c>
      <c r="Q197">
        <v>60022995</v>
      </c>
      <c r="R197" s="7">
        <v>33817</v>
      </c>
      <c r="S197" s="8">
        <f t="shared" si="24"/>
        <v>1992</v>
      </c>
      <c r="T197" s="8">
        <v>1992</v>
      </c>
      <c r="U197" s="8">
        <f t="shared" si="25"/>
        <v>30</v>
      </c>
      <c r="V197" s="7">
        <v>33817</v>
      </c>
      <c r="W197" t="s">
        <v>757</v>
      </c>
      <c r="X197" s="2" t="s">
        <v>5</v>
      </c>
      <c r="Y197" s="6" t="e">
        <f t="shared" si="26"/>
        <v>#VALUE!</v>
      </c>
      <c r="AA197">
        <v>8961107</v>
      </c>
      <c r="AB197">
        <v>99971</v>
      </c>
      <c r="AC197">
        <v>15729605</v>
      </c>
      <c r="AD197" t="s">
        <v>1</v>
      </c>
      <c r="AE197">
        <v>5</v>
      </c>
      <c r="AF197">
        <v>4</v>
      </c>
      <c r="AH197" t="s">
        <v>756</v>
      </c>
      <c r="AI197" t="s">
        <v>755</v>
      </c>
      <c r="AJ197" t="s">
        <v>754</v>
      </c>
      <c r="AK197" t="s">
        <v>753</v>
      </c>
      <c r="AL197">
        <v>13</v>
      </c>
      <c r="AM197" s="5">
        <f t="shared" si="27"/>
        <v>0.43333333333333335</v>
      </c>
      <c r="AN197" s="4">
        <f t="shared" si="28"/>
        <v>6.5631705162186044E-4</v>
      </c>
      <c r="AO197" s="3"/>
      <c r="AP197">
        <v>0</v>
      </c>
      <c r="AR197" t="s">
        <v>0</v>
      </c>
      <c r="AT197" s="2" t="s">
        <v>5</v>
      </c>
      <c r="AU197" s="1" t="e">
        <f t="shared" si="29"/>
        <v>#VALUE!</v>
      </c>
      <c r="AV197" s="1" t="e">
        <f t="shared" si="30"/>
        <v>#VALUE!</v>
      </c>
      <c r="AW197" s="1" t="e">
        <f t="shared" si="31"/>
        <v>#VALUE!</v>
      </c>
    </row>
    <row r="198" spans="1:49" x14ac:dyDescent="0.2">
      <c r="A198">
        <v>196</v>
      </c>
      <c r="B198" t="s">
        <v>752</v>
      </c>
      <c r="C198" t="s">
        <v>751</v>
      </c>
      <c r="F198" t="s">
        <v>750</v>
      </c>
      <c r="G198" t="s">
        <v>4</v>
      </c>
      <c r="H198" t="s">
        <v>3</v>
      </c>
      <c r="I198" t="s">
        <v>749</v>
      </c>
      <c r="J198">
        <v>60022195</v>
      </c>
      <c r="K198" t="s">
        <v>98</v>
      </c>
      <c r="L198" t="s">
        <v>97</v>
      </c>
      <c r="M198" t="s">
        <v>2</v>
      </c>
      <c r="N198">
        <v>5</v>
      </c>
      <c r="O198" t="s">
        <v>748</v>
      </c>
      <c r="P198" t="s">
        <v>747</v>
      </c>
      <c r="Q198" t="s">
        <v>746</v>
      </c>
      <c r="R198" s="7">
        <v>33817</v>
      </c>
      <c r="S198" s="8">
        <f t="shared" si="24"/>
        <v>1992</v>
      </c>
      <c r="T198" s="8">
        <v>1992</v>
      </c>
      <c r="U198" s="8">
        <f t="shared" si="25"/>
        <v>30</v>
      </c>
      <c r="V198" s="7">
        <v>33817</v>
      </c>
      <c r="W198" t="s">
        <v>87</v>
      </c>
      <c r="X198" s="2">
        <v>0.61499999999999999</v>
      </c>
      <c r="Y198" s="6">
        <f t="shared" si="26"/>
        <v>1.6417073756706976E-2</v>
      </c>
      <c r="AA198">
        <v>1959271</v>
      </c>
      <c r="AB198">
        <v>12141</v>
      </c>
      <c r="AC198">
        <v>15729559</v>
      </c>
      <c r="AD198" t="s">
        <v>1</v>
      </c>
      <c r="AE198">
        <v>13</v>
      </c>
      <c r="AF198">
        <v>8</v>
      </c>
      <c r="AH198" t="s">
        <v>745</v>
      </c>
      <c r="AI198" t="s">
        <v>744</v>
      </c>
      <c r="AJ198" t="s">
        <v>743</v>
      </c>
      <c r="AK198" t="s">
        <v>742</v>
      </c>
      <c r="AL198">
        <v>17</v>
      </c>
      <c r="AM198" s="5">
        <f t="shared" si="27"/>
        <v>0.56666666666666665</v>
      </c>
      <c r="AN198" s="4">
        <f t="shared" si="28"/>
        <v>8.5826075981320206E-4</v>
      </c>
      <c r="AO198" s="3"/>
      <c r="AP198">
        <v>0</v>
      </c>
      <c r="AR198" t="s">
        <v>0</v>
      </c>
      <c r="AT198" s="2" t="s">
        <v>5</v>
      </c>
      <c r="AU198" s="1">
        <f t="shared" si="29"/>
        <v>1.1749429857638842</v>
      </c>
      <c r="AV198" s="1">
        <f t="shared" si="30"/>
        <v>0.86376672582600889</v>
      </c>
      <c r="AW198" s="1">
        <f t="shared" si="31"/>
        <v>0.55259046588813343</v>
      </c>
    </row>
    <row r="199" spans="1:49" x14ac:dyDescent="0.2">
      <c r="A199">
        <v>197</v>
      </c>
      <c r="B199" t="s">
        <v>741</v>
      </c>
      <c r="F199" t="s">
        <v>740</v>
      </c>
      <c r="G199" t="s">
        <v>4</v>
      </c>
      <c r="H199" t="s">
        <v>3</v>
      </c>
      <c r="I199" t="s">
        <v>739</v>
      </c>
      <c r="N199">
        <v>1</v>
      </c>
      <c r="O199" t="s">
        <v>738</v>
      </c>
      <c r="P199">
        <v>6701595896</v>
      </c>
      <c r="R199" s="7">
        <v>33817</v>
      </c>
      <c r="S199" s="8">
        <f t="shared" si="24"/>
        <v>1992</v>
      </c>
      <c r="T199" s="8">
        <v>1992</v>
      </c>
      <c r="U199" s="8">
        <f t="shared" si="25"/>
        <v>30</v>
      </c>
      <c r="V199" s="7">
        <v>33817</v>
      </c>
      <c r="W199" t="s">
        <v>36</v>
      </c>
      <c r="X199" s="2">
        <v>0.14099999999999999</v>
      </c>
      <c r="Y199" s="6">
        <f t="shared" si="26"/>
        <v>3.7639144710498915E-3</v>
      </c>
      <c r="AA199">
        <v>402508</v>
      </c>
      <c r="AB199">
        <v>20868</v>
      </c>
      <c r="AD199" t="s">
        <v>1</v>
      </c>
      <c r="AE199">
        <v>47</v>
      </c>
      <c r="AF199">
        <v>8</v>
      </c>
      <c r="AH199" t="s">
        <v>737</v>
      </c>
      <c r="AI199" t="s">
        <v>736</v>
      </c>
      <c r="AK199" t="s">
        <v>735</v>
      </c>
      <c r="AL199">
        <v>0</v>
      </c>
      <c r="AM199" s="5">
        <f t="shared" si="27"/>
        <v>0</v>
      </c>
      <c r="AN199" s="4">
        <f t="shared" si="28"/>
        <v>0</v>
      </c>
      <c r="AO199" s="3"/>
      <c r="AP199">
        <v>0</v>
      </c>
      <c r="AR199" t="s">
        <v>0</v>
      </c>
      <c r="AT199" s="2" t="s">
        <v>5</v>
      </c>
      <c r="AU199" s="1">
        <f t="shared" si="29"/>
        <v>0.26347401297349238</v>
      </c>
      <c r="AV199" s="1">
        <f t="shared" si="30"/>
        <v>0.18819572355249459</v>
      </c>
      <c r="AW199" s="1">
        <f t="shared" si="31"/>
        <v>0.11291743413149673</v>
      </c>
    </row>
    <row r="200" spans="1:49" x14ac:dyDescent="0.2">
      <c r="A200">
        <v>198</v>
      </c>
      <c r="B200" t="s">
        <v>734</v>
      </c>
      <c r="F200" t="s">
        <v>733</v>
      </c>
      <c r="G200" t="s">
        <v>4</v>
      </c>
      <c r="H200" t="s">
        <v>3</v>
      </c>
      <c r="I200" t="s">
        <v>732</v>
      </c>
      <c r="N200">
        <v>2</v>
      </c>
      <c r="O200" t="s">
        <v>731</v>
      </c>
      <c r="P200" t="s">
        <v>730</v>
      </c>
      <c r="Q200" t="s">
        <v>45</v>
      </c>
      <c r="R200" s="7">
        <v>33817</v>
      </c>
      <c r="S200" s="8">
        <f t="shared" si="24"/>
        <v>1992</v>
      </c>
      <c r="T200" s="8">
        <v>1992</v>
      </c>
      <c r="U200" s="8">
        <f t="shared" si="25"/>
        <v>30</v>
      </c>
      <c r="V200" s="7">
        <v>33817</v>
      </c>
      <c r="W200" t="s">
        <v>36</v>
      </c>
      <c r="X200" s="2">
        <v>0.14099999999999999</v>
      </c>
      <c r="Y200" s="6">
        <f t="shared" si="26"/>
        <v>3.7639144710498915E-3</v>
      </c>
      <c r="AA200">
        <v>402508</v>
      </c>
      <c r="AB200">
        <v>20868</v>
      </c>
      <c r="AD200" t="s">
        <v>1</v>
      </c>
      <c r="AE200">
        <v>47</v>
      </c>
      <c r="AF200">
        <v>8</v>
      </c>
      <c r="AH200" t="s">
        <v>729</v>
      </c>
      <c r="AI200" t="s">
        <v>728</v>
      </c>
      <c r="AK200" t="s">
        <v>727</v>
      </c>
      <c r="AL200">
        <v>0</v>
      </c>
      <c r="AM200" s="5">
        <f t="shared" si="27"/>
        <v>0</v>
      </c>
      <c r="AN200" s="4">
        <f t="shared" si="28"/>
        <v>0</v>
      </c>
      <c r="AO200" s="3"/>
      <c r="AP200">
        <v>0</v>
      </c>
      <c r="AR200" t="s">
        <v>0</v>
      </c>
      <c r="AT200" s="2" t="s">
        <v>5</v>
      </c>
      <c r="AU200" s="1">
        <f t="shared" si="29"/>
        <v>0.26347401297349238</v>
      </c>
      <c r="AV200" s="1">
        <f t="shared" si="30"/>
        <v>0.18819572355249459</v>
      </c>
      <c r="AW200" s="1">
        <f t="shared" si="31"/>
        <v>0.11291743413149673</v>
      </c>
    </row>
    <row r="201" spans="1:49" x14ac:dyDescent="0.2">
      <c r="A201">
        <v>199</v>
      </c>
      <c r="B201" t="s">
        <v>726</v>
      </c>
      <c r="F201" t="s">
        <v>725</v>
      </c>
      <c r="G201" t="s">
        <v>4</v>
      </c>
      <c r="H201" t="s">
        <v>3</v>
      </c>
      <c r="I201" t="s">
        <v>724</v>
      </c>
      <c r="N201">
        <v>2</v>
      </c>
      <c r="O201" t="s">
        <v>723</v>
      </c>
      <c r="P201" t="s">
        <v>722</v>
      </c>
      <c r="Q201" t="s">
        <v>45</v>
      </c>
      <c r="R201" s="7">
        <v>33817</v>
      </c>
      <c r="S201" s="8">
        <f t="shared" si="24"/>
        <v>1992</v>
      </c>
      <c r="T201" s="8">
        <v>1992</v>
      </c>
      <c r="U201" s="8">
        <f t="shared" si="25"/>
        <v>30</v>
      </c>
      <c r="V201" s="7">
        <v>33817</v>
      </c>
      <c r="W201" t="s">
        <v>36</v>
      </c>
      <c r="X201" s="2">
        <v>0.14099999999999999</v>
      </c>
      <c r="Y201" s="6">
        <f t="shared" si="26"/>
        <v>3.7639144710498915E-3</v>
      </c>
      <c r="AA201">
        <v>402508</v>
      </c>
      <c r="AB201">
        <v>20868</v>
      </c>
      <c r="AD201" t="s">
        <v>1</v>
      </c>
      <c r="AE201">
        <v>47</v>
      </c>
      <c r="AF201">
        <v>8</v>
      </c>
      <c r="AH201" t="s">
        <v>721</v>
      </c>
      <c r="AI201" t="s">
        <v>720</v>
      </c>
      <c r="AK201" t="s">
        <v>719</v>
      </c>
      <c r="AL201">
        <v>0</v>
      </c>
      <c r="AM201" s="5">
        <f t="shared" si="27"/>
        <v>0</v>
      </c>
      <c r="AN201" s="4">
        <f t="shared" si="28"/>
        <v>0</v>
      </c>
      <c r="AO201" s="3"/>
      <c r="AP201">
        <v>0</v>
      </c>
      <c r="AR201" t="s">
        <v>0</v>
      </c>
      <c r="AT201" s="2" t="s">
        <v>5</v>
      </c>
      <c r="AU201" s="1">
        <f t="shared" si="29"/>
        <v>0.26347401297349238</v>
      </c>
      <c r="AV201" s="1">
        <f t="shared" si="30"/>
        <v>0.18819572355249459</v>
      </c>
      <c r="AW201" s="1">
        <f t="shared" si="31"/>
        <v>0.11291743413149673</v>
      </c>
    </row>
    <row r="202" spans="1:49" x14ac:dyDescent="0.2">
      <c r="A202">
        <v>200</v>
      </c>
      <c r="B202" t="s">
        <v>718</v>
      </c>
      <c r="F202" t="s">
        <v>717</v>
      </c>
      <c r="G202" t="s">
        <v>4</v>
      </c>
      <c r="H202" t="s">
        <v>3</v>
      </c>
      <c r="I202" t="s">
        <v>716</v>
      </c>
      <c r="N202">
        <v>1</v>
      </c>
      <c r="O202" t="s">
        <v>715</v>
      </c>
      <c r="P202">
        <v>6507998599</v>
      </c>
      <c r="R202" s="7">
        <v>33817</v>
      </c>
      <c r="S202" s="8">
        <f t="shared" si="24"/>
        <v>1992</v>
      </c>
      <c r="T202" s="8">
        <v>1992</v>
      </c>
      <c r="U202" s="8">
        <f t="shared" si="25"/>
        <v>30</v>
      </c>
      <c r="V202" s="7">
        <v>33817</v>
      </c>
      <c r="W202" t="s">
        <v>36</v>
      </c>
      <c r="X202" s="2">
        <v>0.14099999999999999</v>
      </c>
      <c r="Y202" s="6">
        <f t="shared" si="26"/>
        <v>3.7639144710498915E-3</v>
      </c>
      <c r="AA202">
        <v>402508</v>
      </c>
      <c r="AB202">
        <v>20868</v>
      </c>
      <c r="AD202" t="s">
        <v>1</v>
      </c>
      <c r="AE202">
        <v>47</v>
      </c>
      <c r="AF202">
        <v>8</v>
      </c>
      <c r="AH202" t="s">
        <v>714</v>
      </c>
      <c r="AI202" t="s">
        <v>713</v>
      </c>
      <c r="AK202" t="s">
        <v>712</v>
      </c>
      <c r="AL202">
        <v>0</v>
      </c>
      <c r="AM202" s="5">
        <f t="shared" si="27"/>
        <v>0</v>
      </c>
      <c r="AN202" s="4">
        <f t="shared" si="28"/>
        <v>0</v>
      </c>
      <c r="AO202" s="3"/>
      <c r="AP202">
        <v>0</v>
      </c>
      <c r="AR202" t="s">
        <v>0</v>
      </c>
      <c r="AT202" s="2" t="s">
        <v>5</v>
      </c>
      <c r="AU202" s="1">
        <f t="shared" si="29"/>
        <v>0.26347401297349238</v>
      </c>
      <c r="AV202" s="1">
        <f t="shared" si="30"/>
        <v>0.18819572355249459</v>
      </c>
      <c r="AW202" s="1">
        <f t="shared" si="31"/>
        <v>0.11291743413149673</v>
      </c>
    </row>
    <row r="203" spans="1:49" x14ac:dyDescent="0.2">
      <c r="A203">
        <v>201</v>
      </c>
      <c r="B203" t="s">
        <v>711</v>
      </c>
      <c r="C203" t="s">
        <v>710</v>
      </c>
      <c r="E203">
        <v>1643279</v>
      </c>
      <c r="F203" t="s">
        <v>709</v>
      </c>
      <c r="G203" t="s">
        <v>4</v>
      </c>
      <c r="H203" t="s">
        <v>3</v>
      </c>
      <c r="I203" t="s">
        <v>708</v>
      </c>
      <c r="J203" t="s">
        <v>707</v>
      </c>
      <c r="K203" t="s">
        <v>706</v>
      </c>
      <c r="L203" t="s">
        <v>705</v>
      </c>
      <c r="M203" t="s">
        <v>11</v>
      </c>
      <c r="N203">
        <v>5</v>
      </c>
      <c r="O203" t="s">
        <v>704</v>
      </c>
      <c r="P203" t="s">
        <v>703</v>
      </c>
      <c r="Q203" t="s">
        <v>702</v>
      </c>
      <c r="R203" s="7">
        <v>33817</v>
      </c>
      <c r="S203" s="8">
        <f t="shared" si="24"/>
        <v>1992</v>
      </c>
      <c r="T203" s="8">
        <v>1992</v>
      </c>
      <c r="U203" s="8">
        <f t="shared" si="25"/>
        <v>30</v>
      </c>
      <c r="V203" s="7">
        <v>33817</v>
      </c>
      <c r="W203" t="s">
        <v>701</v>
      </c>
      <c r="X203" s="2">
        <v>1.448</v>
      </c>
      <c r="Y203" s="6">
        <f t="shared" si="26"/>
        <v>3.8653533007661299E-2</v>
      </c>
      <c r="AA203">
        <v>1674412</v>
      </c>
      <c r="AB203">
        <v>13042</v>
      </c>
      <c r="AC203">
        <v>15735028</v>
      </c>
      <c r="AD203" t="s">
        <v>1</v>
      </c>
      <c r="AE203">
        <v>19</v>
      </c>
      <c r="AF203">
        <v>5</v>
      </c>
      <c r="AH203" t="s">
        <v>700</v>
      </c>
      <c r="AI203" t="s">
        <v>699</v>
      </c>
      <c r="AJ203" t="s">
        <v>698</v>
      </c>
      <c r="AK203" t="s">
        <v>697</v>
      </c>
      <c r="AL203">
        <v>30</v>
      </c>
      <c r="AM203" s="5">
        <f t="shared" si="27"/>
        <v>1</v>
      </c>
      <c r="AN203" s="4">
        <f t="shared" si="28"/>
        <v>1.5145778114350624E-3</v>
      </c>
      <c r="AO203" s="3"/>
      <c r="AP203">
        <v>0</v>
      </c>
      <c r="AR203" t="s">
        <v>0</v>
      </c>
      <c r="AT203" s="2">
        <v>4.0759999999999996</v>
      </c>
      <c r="AU203" s="1">
        <f t="shared" si="29"/>
        <v>2.7511846448793427</v>
      </c>
      <c r="AV203" s="1">
        <f t="shared" si="30"/>
        <v>2.008405540954818</v>
      </c>
      <c r="AW203" s="1">
        <f t="shared" si="31"/>
        <v>1.2656264370302932</v>
      </c>
    </row>
    <row r="204" spans="1:49" x14ac:dyDescent="0.2">
      <c r="A204">
        <v>202</v>
      </c>
      <c r="B204" t="s">
        <v>696</v>
      </c>
      <c r="C204" t="s">
        <v>695</v>
      </c>
      <c r="F204" t="s">
        <v>694</v>
      </c>
      <c r="G204" t="s">
        <v>4</v>
      </c>
      <c r="H204" t="s">
        <v>3</v>
      </c>
      <c r="I204" t="s">
        <v>693</v>
      </c>
      <c r="J204" t="s">
        <v>692</v>
      </c>
      <c r="K204" t="s">
        <v>691</v>
      </c>
      <c r="L204" t="s">
        <v>690</v>
      </c>
      <c r="M204" t="s">
        <v>689</v>
      </c>
      <c r="N204">
        <v>7</v>
      </c>
      <c r="O204" t="s">
        <v>688</v>
      </c>
      <c r="P204" t="s">
        <v>687</v>
      </c>
      <c r="Q204" t="s">
        <v>686</v>
      </c>
      <c r="R204" s="7">
        <v>33817</v>
      </c>
      <c r="S204" s="8">
        <f t="shared" si="24"/>
        <v>1992</v>
      </c>
      <c r="T204" s="8">
        <v>1992</v>
      </c>
      <c r="U204" s="8">
        <f t="shared" si="25"/>
        <v>30</v>
      </c>
      <c r="V204" s="7">
        <v>33817</v>
      </c>
      <c r="W204" t="s">
        <v>685</v>
      </c>
      <c r="X204" s="2">
        <v>0.78300000000000003</v>
      </c>
      <c r="Y204" s="6">
        <f t="shared" si="26"/>
        <v>2.0901737807319614E-2</v>
      </c>
      <c r="AA204">
        <v>281042</v>
      </c>
      <c r="AB204">
        <v>21662</v>
      </c>
      <c r="AC204">
        <v>14321904</v>
      </c>
      <c r="AD204" t="s">
        <v>1</v>
      </c>
      <c r="AE204">
        <v>79</v>
      </c>
      <c r="AF204">
        <v>8</v>
      </c>
      <c r="AH204" t="s">
        <v>684</v>
      </c>
      <c r="AL204">
        <v>17</v>
      </c>
      <c r="AM204" s="5">
        <f t="shared" si="27"/>
        <v>0.56666666666666665</v>
      </c>
      <c r="AN204" s="4">
        <f t="shared" si="28"/>
        <v>8.5826075981320206E-4</v>
      </c>
      <c r="AO204" s="3"/>
      <c r="AP204">
        <v>0</v>
      </c>
      <c r="AR204" t="s">
        <v>0</v>
      </c>
      <c r="AT204" s="2" t="s">
        <v>5</v>
      </c>
      <c r="AU204" s="1">
        <f t="shared" si="29"/>
        <v>1.488869469306769</v>
      </c>
      <c r="AV204" s="1">
        <f t="shared" si="30"/>
        <v>1.0879999283566408</v>
      </c>
      <c r="AW204" s="1">
        <f t="shared" si="31"/>
        <v>0.68713038740651255</v>
      </c>
    </row>
    <row r="205" spans="1:49" x14ac:dyDescent="0.2">
      <c r="A205">
        <v>203</v>
      </c>
      <c r="B205" t="s">
        <v>683</v>
      </c>
      <c r="C205" t="s">
        <v>682</v>
      </c>
      <c r="F205" t="s">
        <v>681</v>
      </c>
      <c r="G205" t="s">
        <v>4</v>
      </c>
      <c r="H205" t="s">
        <v>3</v>
      </c>
      <c r="I205" t="s">
        <v>680</v>
      </c>
      <c r="J205">
        <v>60009254</v>
      </c>
      <c r="K205" t="s">
        <v>155</v>
      </c>
      <c r="L205" t="s">
        <v>154</v>
      </c>
      <c r="M205" t="s">
        <v>2</v>
      </c>
      <c r="N205">
        <v>3</v>
      </c>
      <c r="O205" t="s">
        <v>679</v>
      </c>
      <c r="P205" t="s">
        <v>678</v>
      </c>
      <c r="Q205" t="s">
        <v>677</v>
      </c>
      <c r="R205" s="7">
        <v>33817</v>
      </c>
      <c r="S205" s="8">
        <f t="shared" si="24"/>
        <v>1992</v>
      </c>
      <c r="T205" s="8">
        <v>1992</v>
      </c>
      <c r="U205" s="8">
        <f t="shared" si="25"/>
        <v>30</v>
      </c>
      <c r="V205" s="7">
        <v>33817</v>
      </c>
      <c r="W205" t="s">
        <v>283</v>
      </c>
      <c r="X205" s="2">
        <v>7.1150000000000002</v>
      </c>
      <c r="Y205" s="6">
        <f t="shared" si="26"/>
        <v>0.18993086142921972</v>
      </c>
      <c r="AA205">
        <v>27863</v>
      </c>
      <c r="AB205">
        <v>22680</v>
      </c>
      <c r="AC205">
        <v>15205126</v>
      </c>
      <c r="AD205" t="s">
        <v>1</v>
      </c>
      <c r="AE205">
        <v>114</v>
      </c>
      <c r="AF205">
        <v>17</v>
      </c>
      <c r="AH205" t="s">
        <v>676</v>
      </c>
      <c r="AI205" t="s">
        <v>675</v>
      </c>
      <c r="AK205" t="s">
        <v>674</v>
      </c>
      <c r="AL205">
        <v>23</v>
      </c>
      <c r="AM205" s="5">
        <f t="shared" si="27"/>
        <v>0.76666666666666672</v>
      </c>
      <c r="AN205" s="4">
        <f t="shared" si="28"/>
        <v>1.1611763221002146E-3</v>
      </c>
      <c r="AO205" s="3"/>
      <c r="AP205">
        <v>0</v>
      </c>
      <c r="AR205" t="s">
        <v>0</v>
      </c>
      <c r="AT205" s="2" t="s">
        <v>5</v>
      </c>
      <c r="AU205" s="1">
        <f t="shared" si="29"/>
        <v>13.329995589708387</v>
      </c>
      <c r="AV205" s="1">
        <f t="shared" si="30"/>
        <v>9.5546018875659975</v>
      </c>
      <c r="AW205" s="1">
        <f t="shared" si="31"/>
        <v>5.7792081854236068</v>
      </c>
    </row>
    <row r="206" spans="1:49" x14ac:dyDescent="0.2">
      <c r="A206">
        <v>204</v>
      </c>
      <c r="B206" t="s">
        <v>673</v>
      </c>
      <c r="C206" t="s">
        <v>672</v>
      </c>
      <c r="F206" t="s">
        <v>671</v>
      </c>
      <c r="G206" t="s">
        <v>4</v>
      </c>
      <c r="H206" t="s">
        <v>3</v>
      </c>
      <c r="I206" t="s">
        <v>670</v>
      </c>
      <c r="J206">
        <v>60018714</v>
      </c>
      <c r="K206" t="s">
        <v>109</v>
      </c>
      <c r="L206" t="s">
        <v>108</v>
      </c>
      <c r="M206" t="s">
        <v>20</v>
      </c>
      <c r="N206">
        <v>3</v>
      </c>
      <c r="O206" t="s">
        <v>669</v>
      </c>
      <c r="P206" t="s">
        <v>668</v>
      </c>
      <c r="Q206" t="s">
        <v>667</v>
      </c>
      <c r="R206" s="7">
        <v>33815</v>
      </c>
      <c r="S206" s="8">
        <f t="shared" si="24"/>
        <v>1992</v>
      </c>
      <c r="T206" s="8">
        <v>1992</v>
      </c>
      <c r="U206" s="8">
        <f t="shared" si="25"/>
        <v>30</v>
      </c>
      <c r="V206" s="7">
        <v>33815</v>
      </c>
      <c r="W206" t="s">
        <v>37</v>
      </c>
      <c r="X206" s="2">
        <v>0.375</v>
      </c>
      <c r="Y206" s="6">
        <f t="shared" si="26"/>
        <v>1.0010410827260351E-2</v>
      </c>
      <c r="AA206">
        <v>135194</v>
      </c>
      <c r="AB206">
        <v>24918</v>
      </c>
      <c r="AD206" t="s">
        <v>1</v>
      </c>
      <c r="AE206">
        <v>28</v>
      </c>
      <c r="AF206">
        <v>16</v>
      </c>
      <c r="AH206" t="s">
        <v>666</v>
      </c>
      <c r="AI206" t="s">
        <v>665</v>
      </c>
      <c r="AJ206" t="s">
        <v>664</v>
      </c>
      <c r="AK206" t="s">
        <v>663</v>
      </c>
      <c r="AL206">
        <v>2</v>
      </c>
      <c r="AM206" s="5">
        <f t="shared" si="27"/>
        <v>6.6666666666666666E-2</v>
      </c>
      <c r="AN206" s="4">
        <f t="shared" si="28"/>
        <v>1.0097185409567084E-4</v>
      </c>
      <c r="AO206" s="3"/>
      <c r="AP206">
        <v>0</v>
      </c>
      <c r="AR206" t="s">
        <v>0</v>
      </c>
      <c r="AT206" s="2">
        <v>1.3140000000000001</v>
      </c>
      <c r="AU206" s="1">
        <f t="shared" si="29"/>
        <v>0.70375791353109474</v>
      </c>
      <c r="AV206" s="1">
        <f t="shared" si="30"/>
        <v>0.50556913406780113</v>
      </c>
      <c r="AW206" s="1">
        <f t="shared" si="31"/>
        <v>0.30738035460450747</v>
      </c>
    </row>
    <row r="207" spans="1:49" x14ac:dyDescent="0.2">
      <c r="A207">
        <v>205</v>
      </c>
      <c r="B207" t="s">
        <v>662</v>
      </c>
      <c r="C207" t="s">
        <v>661</v>
      </c>
      <c r="F207" t="s">
        <v>660</v>
      </c>
      <c r="G207" t="s">
        <v>4</v>
      </c>
      <c r="H207" t="s">
        <v>3</v>
      </c>
      <c r="I207" t="s">
        <v>228</v>
      </c>
      <c r="J207" t="s">
        <v>659</v>
      </c>
      <c r="K207" t="s">
        <v>658</v>
      </c>
      <c r="L207" t="s">
        <v>657</v>
      </c>
      <c r="M207" t="s">
        <v>11</v>
      </c>
      <c r="N207">
        <v>3</v>
      </c>
      <c r="O207" t="s">
        <v>656</v>
      </c>
      <c r="P207" t="s">
        <v>655</v>
      </c>
      <c r="Q207" t="s">
        <v>654</v>
      </c>
      <c r="R207" s="7">
        <v>33815</v>
      </c>
      <c r="S207" s="8">
        <f t="shared" si="24"/>
        <v>1992</v>
      </c>
      <c r="T207" s="8">
        <v>1992</v>
      </c>
      <c r="U207" s="8">
        <f t="shared" si="25"/>
        <v>30</v>
      </c>
      <c r="V207" s="7">
        <v>33815</v>
      </c>
      <c r="W207" t="s">
        <v>37</v>
      </c>
      <c r="X207" s="2">
        <v>0.375</v>
      </c>
      <c r="Y207" s="6">
        <f t="shared" si="26"/>
        <v>1.0010410827260351E-2</v>
      </c>
      <c r="AA207">
        <v>135194</v>
      </c>
      <c r="AB207">
        <v>24918</v>
      </c>
      <c r="AD207" t="s">
        <v>1</v>
      </c>
      <c r="AE207">
        <v>28</v>
      </c>
      <c r="AF207">
        <v>16</v>
      </c>
      <c r="AH207" t="s">
        <v>653</v>
      </c>
      <c r="AI207" t="s">
        <v>652</v>
      </c>
      <c r="AJ207" t="s">
        <v>651</v>
      </c>
      <c r="AK207" t="s">
        <v>650</v>
      </c>
      <c r="AL207">
        <v>6</v>
      </c>
      <c r="AM207" s="5">
        <f t="shared" si="27"/>
        <v>0.2</v>
      </c>
      <c r="AN207" s="4">
        <f t="shared" si="28"/>
        <v>3.0291556228701253E-4</v>
      </c>
      <c r="AO207" s="3"/>
      <c r="AP207">
        <v>0</v>
      </c>
      <c r="AR207" t="s">
        <v>0</v>
      </c>
      <c r="AT207" s="2">
        <v>1.3140000000000001</v>
      </c>
      <c r="AU207" s="1">
        <f t="shared" si="29"/>
        <v>0.70981622477683493</v>
      </c>
      <c r="AV207" s="1">
        <f t="shared" si="30"/>
        <v>0.51566631947736818</v>
      </c>
      <c r="AW207" s="1">
        <f t="shared" si="31"/>
        <v>0.32151641417790139</v>
      </c>
    </row>
    <row r="208" spans="1:49" x14ac:dyDescent="0.2">
      <c r="A208">
        <v>206</v>
      </c>
      <c r="B208" t="s">
        <v>649</v>
      </c>
      <c r="C208" t="s">
        <v>648</v>
      </c>
      <c r="F208" t="s">
        <v>647</v>
      </c>
      <c r="G208" t="s">
        <v>4</v>
      </c>
      <c r="H208" t="s">
        <v>3</v>
      </c>
      <c r="I208" t="s">
        <v>126</v>
      </c>
      <c r="J208">
        <v>60072419</v>
      </c>
      <c r="K208" t="s">
        <v>646</v>
      </c>
      <c r="L208" t="s">
        <v>645</v>
      </c>
      <c r="M208" t="s">
        <v>152</v>
      </c>
      <c r="N208">
        <v>2</v>
      </c>
      <c r="O208" t="s">
        <v>644</v>
      </c>
      <c r="P208" t="s">
        <v>643</v>
      </c>
      <c r="Q208" t="s">
        <v>642</v>
      </c>
      <c r="R208" s="7">
        <v>33815</v>
      </c>
      <c r="S208" s="8">
        <f t="shared" si="24"/>
        <v>1992</v>
      </c>
      <c r="T208" s="8">
        <v>1992</v>
      </c>
      <c r="U208" s="8">
        <f t="shared" si="25"/>
        <v>30</v>
      </c>
      <c r="V208" s="7">
        <v>33815</v>
      </c>
      <c r="W208" t="s">
        <v>37</v>
      </c>
      <c r="X208" s="2">
        <v>0.375</v>
      </c>
      <c r="Y208" s="6">
        <f t="shared" si="26"/>
        <v>1.0010410827260351E-2</v>
      </c>
      <c r="AA208">
        <v>135194</v>
      </c>
      <c r="AB208">
        <v>24918</v>
      </c>
      <c r="AD208" t="s">
        <v>1</v>
      </c>
      <c r="AE208">
        <v>28</v>
      </c>
      <c r="AF208">
        <v>16</v>
      </c>
      <c r="AH208" t="s">
        <v>641</v>
      </c>
      <c r="AI208" t="s">
        <v>640</v>
      </c>
      <c r="AJ208" t="s">
        <v>557</v>
      </c>
      <c r="AK208" t="s">
        <v>639</v>
      </c>
      <c r="AL208">
        <v>55</v>
      </c>
      <c r="AM208" s="5">
        <f t="shared" si="27"/>
        <v>1.8333333333333333</v>
      </c>
      <c r="AN208" s="4">
        <f t="shared" si="28"/>
        <v>2.7767259876309478E-3</v>
      </c>
      <c r="AO208" s="3"/>
      <c r="AP208">
        <v>0</v>
      </c>
      <c r="AR208" t="s">
        <v>0</v>
      </c>
      <c r="AT208" s="2">
        <v>1.3140000000000001</v>
      </c>
      <c r="AU208" s="1">
        <f t="shared" si="29"/>
        <v>0.78403053753715291</v>
      </c>
      <c r="AV208" s="1">
        <f t="shared" si="30"/>
        <v>0.639356840744565</v>
      </c>
      <c r="AW208" s="1">
        <f t="shared" si="31"/>
        <v>0.49468314395197682</v>
      </c>
    </row>
    <row r="209" spans="1:49" x14ac:dyDescent="0.2">
      <c r="A209">
        <v>207</v>
      </c>
      <c r="B209" t="s">
        <v>638</v>
      </c>
      <c r="C209" t="s">
        <v>637</v>
      </c>
      <c r="F209" t="s">
        <v>636</v>
      </c>
      <c r="G209" t="s">
        <v>4</v>
      </c>
      <c r="H209" t="s">
        <v>3</v>
      </c>
      <c r="I209" t="s">
        <v>635</v>
      </c>
      <c r="J209">
        <v>60030821</v>
      </c>
      <c r="K209" t="s">
        <v>76</v>
      </c>
      <c r="L209" t="s">
        <v>70</v>
      </c>
      <c r="M209" t="s">
        <v>2</v>
      </c>
      <c r="N209">
        <v>3</v>
      </c>
      <c r="O209" t="s">
        <v>634</v>
      </c>
      <c r="P209" t="s">
        <v>633</v>
      </c>
      <c r="Q209" t="s">
        <v>632</v>
      </c>
      <c r="R209" s="7">
        <v>33815</v>
      </c>
      <c r="S209" s="8">
        <f t="shared" si="24"/>
        <v>1992</v>
      </c>
      <c r="T209" s="8">
        <v>1992</v>
      </c>
      <c r="U209" s="8">
        <f t="shared" si="25"/>
        <v>30</v>
      </c>
      <c r="V209" s="7">
        <v>33815</v>
      </c>
      <c r="W209" t="s">
        <v>37</v>
      </c>
      <c r="X209" s="2">
        <v>0.375</v>
      </c>
      <c r="Y209" s="6">
        <f t="shared" si="26"/>
        <v>1.0010410827260351E-2</v>
      </c>
      <c r="AA209">
        <v>135194</v>
      </c>
      <c r="AB209">
        <v>24918</v>
      </c>
      <c r="AD209" t="s">
        <v>1</v>
      </c>
      <c r="AE209">
        <v>28</v>
      </c>
      <c r="AF209">
        <v>16</v>
      </c>
      <c r="AH209" t="s">
        <v>631</v>
      </c>
      <c r="AI209" t="s">
        <v>630</v>
      </c>
      <c r="AJ209" t="s">
        <v>629</v>
      </c>
      <c r="AK209" t="s">
        <v>628</v>
      </c>
      <c r="AL209">
        <v>36</v>
      </c>
      <c r="AM209" s="5">
        <f t="shared" si="27"/>
        <v>1.2</v>
      </c>
      <c r="AN209" s="4">
        <f t="shared" si="28"/>
        <v>1.8174933737220749E-3</v>
      </c>
      <c r="AO209" s="3"/>
      <c r="AP209">
        <v>0</v>
      </c>
      <c r="AR209" t="s">
        <v>0</v>
      </c>
      <c r="AT209" s="2">
        <v>1.3140000000000001</v>
      </c>
      <c r="AU209" s="1">
        <f t="shared" si="29"/>
        <v>0.7552535591198869</v>
      </c>
      <c r="AV209" s="1">
        <f t="shared" si="30"/>
        <v>0.59139521004912132</v>
      </c>
      <c r="AW209" s="1">
        <f t="shared" si="31"/>
        <v>0.42753686097835575</v>
      </c>
    </row>
    <row r="210" spans="1:49" x14ac:dyDescent="0.2">
      <c r="A210">
        <v>208</v>
      </c>
      <c r="B210" t="s">
        <v>627</v>
      </c>
      <c r="C210" t="s">
        <v>626</v>
      </c>
      <c r="D210" t="s">
        <v>625</v>
      </c>
      <c r="F210" t="s">
        <v>256</v>
      </c>
      <c r="G210" t="s">
        <v>4</v>
      </c>
      <c r="H210" t="s">
        <v>3</v>
      </c>
      <c r="I210" t="s">
        <v>255</v>
      </c>
      <c r="J210" t="s">
        <v>254</v>
      </c>
      <c r="K210" t="s">
        <v>253</v>
      </c>
      <c r="L210" t="s">
        <v>252</v>
      </c>
      <c r="M210" t="s">
        <v>251</v>
      </c>
      <c r="N210">
        <v>7</v>
      </c>
      <c r="O210" t="s">
        <v>250</v>
      </c>
      <c r="P210" t="s">
        <v>624</v>
      </c>
      <c r="Q210" t="s">
        <v>249</v>
      </c>
      <c r="R210" s="7">
        <v>33802</v>
      </c>
      <c r="S210" s="8">
        <f t="shared" si="24"/>
        <v>1992</v>
      </c>
      <c r="T210" s="8">
        <v>1992</v>
      </c>
      <c r="U210" s="8">
        <f t="shared" si="25"/>
        <v>30</v>
      </c>
      <c r="V210" s="7">
        <v>33802</v>
      </c>
      <c r="W210" t="s">
        <v>262</v>
      </c>
      <c r="X210" s="2">
        <v>1.59</v>
      </c>
      <c r="Y210" s="6">
        <f t="shared" si="26"/>
        <v>4.2444141907583888E-2</v>
      </c>
      <c r="AA210">
        <v>52728</v>
      </c>
      <c r="AB210">
        <v>16791</v>
      </c>
      <c r="AD210" t="s">
        <v>1</v>
      </c>
      <c r="AE210">
        <v>1101</v>
      </c>
      <c r="AF210">
        <v>2</v>
      </c>
      <c r="AH210" t="s">
        <v>248</v>
      </c>
      <c r="AI210" t="s">
        <v>623</v>
      </c>
      <c r="AJ210" t="s">
        <v>622</v>
      </c>
      <c r="AK210" t="s">
        <v>621</v>
      </c>
      <c r="AL210">
        <v>36</v>
      </c>
      <c r="AM210" s="5">
        <f t="shared" si="27"/>
        <v>1.2</v>
      </c>
      <c r="AN210" s="4">
        <f t="shared" si="28"/>
        <v>1.8174933737220749E-3</v>
      </c>
      <c r="AO210" s="3"/>
      <c r="AP210">
        <v>0</v>
      </c>
      <c r="AQ210" t="s">
        <v>122</v>
      </c>
      <c r="AR210" t="s">
        <v>620</v>
      </c>
      <c r="AS210" t="s">
        <v>121</v>
      </c>
      <c r="AT210" s="2" t="s">
        <v>5</v>
      </c>
      <c r="AU210" s="1">
        <f t="shared" si="29"/>
        <v>3.0256147347425344</v>
      </c>
      <c r="AV210" s="1">
        <f t="shared" si="30"/>
        <v>2.2130817640652984</v>
      </c>
      <c r="AW210" s="1">
        <f t="shared" si="31"/>
        <v>1.4005487933880618</v>
      </c>
    </row>
    <row r="211" spans="1:49" x14ac:dyDescent="0.2">
      <c r="A211">
        <v>209</v>
      </c>
      <c r="B211" t="s">
        <v>619</v>
      </c>
      <c r="C211" t="s">
        <v>618</v>
      </c>
      <c r="F211" t="s">
        <v>617</v>
      </c>
      <c r="G211" t="s">
        <v>4</v>
      </c>
      <c r="H211" t="s">
        <v>3</v>
      </c>
      <c r="I211" t="s">
        <v>616</v>
      </c>
      <c r="J211">
        <v>60030553</v>
      </c>
      <c r="K211" t="s">
        <v>147</v>
      </c>
      <c r="L211" t="s">
        <v>146</v>
      </c>
      <c r="M211" t="s">
        <v>38</v>
      </c>
      <c r="N211">
        <v>3</v>
      </c>
      <c r="O211" t="s">
        <v>615</v>
      </c>
      <c r="P211" t="s">
        <v>614</v>
      </c>
      <c r="Q211" t="s">
        <v>464</v>
      </c>
      <c r="R211" s="7">
        <v>33801</v>
      </c>
      <c r="S211" s="8">
        <f t="shared" si="24"/>
        <v>1992</v>
      </c>
      <c r="T211" s="8">
        <v>1992</v>
      </c>
      <c r="U211" s="8">
        <f t="shared" si="25"/>
        <v>30</v>
      </c>
      <c r="V211" s="7">
        <v>33801</v>
      </c>
      <c r="W211" t="s">
        <v>37</v>
      </c>
      <c r="X211" s="2">
        <v>0.375</v>
      </c>
      <c r="Y211" s="6">
        <f t="shared" si="26"/>
        <v>1.0010410827260351E-2</v>
      </c>
      <c r="AA211">
        <v>135194</v>
      </c>
      <c r="AB211">
        <v>24918</v>
      </c>
      <c r="AD211" t="s">
        <v>1</v>
      </c>
      <c r="AE211">
        <v>28</v>
      </c>
      <c r="AF211">
        <v>15</v>
      </c>
      <c r="AH211" t="s">
        <v>613</v>
      </c>
      <c r="AI211" t="s">
        <v>612</v>
      </c>
      <c r="AJ211" t="s">
        <v>611</v>
      </c>
      <c r="AK211" t="s">
        <v>610</v>
      </c>
      <c r="AL211">
        <v>30</v>
      </c>
      <c r="AM211" s="5">
        <f t="shared" si="27"/>
        <v>1</v>
      </c>
      <c r="AN211" s="4">
        <f t="shared" si="28"/>
        <v>1.5145778114350624E-3</v>
      </c>
      <c r="AO211" s="3"/>
      <c r="AP211">
        <v>0</v>
      </c>
      <c r="AR211" t="s">
        <v>0</v>
      </c>
      <c r="AT211" s="2">
        <v>1.3140000000000001</v>
      </c>
      <c r="AU211" s="1">
        <f t="shared" si="29"/>
        <v>0.74616609225127639</v>
      </c>
      <c r="AV211" s="1">
        <f t="shared" si="30"/>
        <v>0.57624943193477074</v>
      </c>
      <c r="AW211" s="1">
        <f t="shared" si="31"/>
        <v>0.40633277161826492</v>
      </c>
    </row>
    <row r="212" spans="1:49" x14ac:dyDescent="0.2">
      <c r="A212">
        <v>210</v>
      </c>
      <c r="B212" t="s">
        <v>609</v>
      </c>
      <c r="C212" t="s">
        <v>608</v>
      </c>
      <c r="F212" t="s">
        <v>607</v>
      </c>
      <c r="G212" t="s">
        <v>4</v>
      </c>
      <c r="H212" t="s">
        <v>3</v>
      </c>
      <c r="I212" t="s">
        <v>606</v>
      </c>
      <c r="J212">
        <v>60022109</v>
      </c>
      <c r="K212" t="s">
        <v>130</v>
      </c>
      <c r="L212" t="s">
        <v>129</v>
      </c>
      <c r="M212" t="s">
        <v>52</v>
      </c>
      <c r="N212">
        <v>3</v>
      </c>
      <c r="O212" t="s">
        <v>605</v>
      </c>
      <c r="P212" t="s">
        <v>604</v>
      </c>
      <c r="Q212" t="s">
        <v>603</v>
      </c>
      <c r="R212" s="7">
        <v>33801</v>
      </c>
      <c r="S212" s="8">
        <f t="shared" si="24"/>
        <v>1992</v>
      </c>
      <c r="T212" s="8">
        <v>1992</v>
      </c>
      <c r="U212" s="8">
        <f t="shared" si="25"/>
        <v>30</v>
      </c>
      <c r="V212" s="7">
        <v>33801</v>
      </c>
      <c r="W212" t="s">
        <v>37</v>
      </c>
      <c r="X212" s="2">
        <v>0.375</v>
      </c>
      <c r="Y212" s="6">
        <f t="shared" si="26"/>
        <v>1.0010410827260351E-2</v>
      </c>
      <c r="AA212">
        <v>135194</v>
      </c>
      <c r="AB212">
        <v>24918</v>
      </c>
      <c r="AD212" t="s">
        <v>1</v>
      </c>
      <c r="AE212">
        <v>28</v>
      </c>
      <c r="AF212">
        <v>15</v>
      </c>
      <c r="AH212" t="s">
        <v>602</v>
      </c>
      <c r="AI212" t="s">
        <v>601</v>
      </c>
      <c r="AJ212" t="s">
        <v>600</v>
      </c>
      <c r="AK212" t="s">
        <v>599</v>
      </c>
      <c r="AL212">
        <v>1</v>
      </c>
      <c r="AM212" s="5">
        <f t="shared" si="27"/>
        <v>3.3333333333333333E-2</v>
      </c>
      <c r="AN212" s="4">
        <f t="shared" si="28"/>
        <v>5.0485927047835418E-5</v>
      </c>
      <c r="AO212" s="3"/>
      <c r="AP212">
        <v>0</v>
      </c>
      <c r="AR212" t="s">
        <v>0</v>
      </c>
      <c r="AT212" s="2">
        <v>1.3140000000000001</v>
      </c>
      <c r="AU212" s="1">
        <f t="shared" si="29"/>
        <v>0.70224333571965969</v>
      </c>
      <c r="AV212" s="1">
        <f t="shared" si="30"/>
        <v>0.50304483771540931</v>
      </c>
      <c r="AW212" s="1">
        <f t="shared" si="31"/>
        <v>0.30384633971115899</v>
      </c>
    </row>
    <row r="213" spans="1:49" x14ac:dyDescent="0.2">
      <c r="A213">
        <v>211</v>
      </c>
      <c r="B213" t="s">
        <v>598</v>
      </c>
      <c r="C213" t="s">
        <v>597</v>
      </c>
      <c r="F213" t="s">
        <v>596</v>
      </c>
      <c r="G213" t="s">
        <v>4</v>
      </c>
      <c r="H213" t="s">
        <v>3</v>
      </c>
      <c r="I213" t="s">
        <v>117</v>
      </c>
      <c r="J213">
        <v>60005510</v>
      </c>
      <c r="K213" t="s">
        <v>137</v>
      </c>
      <c r="L213" t="s">
        <v>119</v>
      </c>
      <c r="M213" t="s">
        <v>118</v>
      </c>
      <c r="N213">
        <v>1</v>
      </c>
      <c r="O213" t="s">
        <v>153</v>
      </c>
      <c r="P213">
        <v>7102842938</v>
      </c>
      <c r="Q213">
        <v>60005510</v>
      </c>
      <c r="R213" s="7">
        <v>33801</v>
      </c>
      <c r="S213" s="8">
        <f t="shared" si="24"/>
        <v>1992</v>
      </c>
      <c r="T213" s="8">
        <v>1992</v>
      </c>
      <c r="U213" s="8">
        <f t="shared" si="25"/>
        <v>30</v>
      </c>
      <c r="V213" s="7">
        <v>33801</v>
      </c>
      <c r="W213" t="s">
        <v>37</v>
      </c>
      <c r="X213" s="2">
        <v>0.375</v>
      </c>
      <c r="Y213" s="6">
        <f t="shared" si="26"/>
        <v>1.0010410827260351E-2</v>
      </c>
      <c r="AA213">
        <v>135194</v>
      </c>
      <c r="AB213">
        <v>24918</v>
      </c>
      <c r="AD213" t="s">
        <v>1</v>
      </c>
      <c r="AE213">
        <v>28</v>
      </c>
      <c r="AF213">
        <v>15</v>
      </c>
      <c r="AH213" t="s">
        <v>595</v>
      </c>
      <c r="AI213" t="s">
        <v>594</v>
      </c>
      <c r="AJ213" t="s">
        <v>593</v>
      </c>
      <c r="AK213" t="s">
        <v>592</v>
      </c>
      <c r="AL213">
        <v>3</v>
      </c>
      <c r="AM213" s="5">
        <f t="shared" si="27"/>
        <v>0.1</v>
      </c>
      <c r="AN213" s="4">
        <f t="shared" si="28"/>
        <v>1.5145778114350627E-4</v>
      </c>
      <c r="AO213" s="3"/>
      <c r="AP213">
        <v>0</v>
      </c>
      <c r="AR213" t="s">
        <v>0</v>
      </c>
      <c r="AT213" s="2">
        <v>1.3140000000000001</v>
      </c>
      <c r="AU213" s="1">
        <f t="shared" si="29"/>
        <v>0.70527249134252978</v>
      </c>
      <c r="AV213" s="1">
        <f t="shared" si="30"/>
        <v>0.50809343042019284</v>
      </c>
      <c r="AW213" s="1">
        <f t="shared" si="31"/>
        <v>0.31091436949785595</v>
      </c>
    </row>
    <row r="214" spans="1:49" x14ac:dyDescent="0.2">
      <c r="A214">
        <v>212</v>
      </c>
      <c r="B214" t="s">
        <v>591</v>
      </c>
      <c r="C214" t="s">
        <v>590</v>
      </c>
      <c r="F214" t="s">
        <v>589</v>
      </c>
      <c r="G214" t="s">
        <v>4</v>
      </c>
      <c r="H214" t="s">
        <v>3</v>
      </c>
      <c r="I214" t="s">
        <v>588</v>
      </c>
      <c r="J214" t="s">
        <v>587</v>
      </c>
      <c r="K214" t="s">
        <v>586</v>
      </c>
      <c r="L214" t="s">
        <v>585</v>
      </c>
      <c r="M214" t="s">
        <v>58</v>
      </c>
      <c r="N214">
        <v>4</v>
      </c>
      <c r="O214" t="s">
        <v>584</v>
      </c>
      <c r="P214" t="s">
        <v>583</v>
      </c>
      <c r="Q214" t="s">
        <v>582</v>
      </c>
      <c r="R214" s="7">
        <v>33801</v>
      </c>
      <c r="S214" s="8">
        <f t="shared" si="24"/>
        <v>1992</v>
      </c>
      <c r="T214" s="8">
        <v>1992</v>
      </c>
      <c r="U214" s="8">
        <f t="shared" si="25"/>
        <v>30</v>
      </c>
      <c r="V214" s="7">
        <v>33801</v>
      </c>
      <c r="W214" t="s">
        <v>37</v>
      </c>
      <c r="X214" s="2">
        <v>0.375</v>
      </c>
      <c r="Y214" s="6">
        <f t="shared" si="26"/>
        <v>1.0010410827260351E-2</v>
      </c>
      <c r="AA214">
        <v>135194</v>
      </c>
      <c r="AB214">
        <v>24918</v>
      </c>
      <c r="AD214" t="s">
        <v>1</v>
      </c>
      <c r="AE214">
        <v>28</v>
      </c>
      <c r="AF214">
        <v>15</v>
      </c>
      <c r="AH214" t="s">
        <v>581</v>
      </c>
      <c r="AI214" t="s">
        <v>580</v>
      </c>
      <c r="AJ214" t="s">
        <v>579</v>
      </c>
      <c r="AK214" t="s">
        <v>578</v>
      </c>
      <c r="AL214">
        <v>16</v>
      </c>
      <c r="AM214" s="5">
        <f t="shared" si="27"/>
        <v>0.53333333333333333</v>
      </c>
      <c r="AN214" s="4">
        <f t="shared" si="28"/>
        <v>8.0777483276536668E-4</v>
      </c>
      <c r="AO214" s="3"/>
      <c r="AP214">
        <v>0</v>
      </c>
      <c r="AR214" t="s">
        <v>0</v>
      </c>
      <c r="AT214" s="2">
        <v>1.3140000000000001</v>
      </c>
      <c r="AU214" s="1">
        <f t="shared" si="29"/>
        <v>0.72496200289118551</v>
      </c>
      <c r="AV214" s="1">
        <f t="shared" si="30"/>
        <v>0.54090928300128582</v>
      </c>
      <c r="AW214" s="1">
        <f t="shared" si="31"/>
        <v>0.35685656311138619</v>
      </c>
    </row>
    <row r="215" spans="1:49" x14ac:dyDescent="0.2">
      <c r="A215">
        <v>213</v>
      </c>
      <c r="B215" t="s">
        <v>577</v>
      </c>
      <c r="C215" t="s">
        <v>576</v>
      </c>
      <c r="F215" t="s">
        <v>575</v>
      </c>
      <c r="G215" t="s">
        <v>4</v>
      </c>
      <c r="H215" t="s">
        <v>3</v>
      </c>
      <c r="I215" t="s">
        <v>574</v>
      </c>
      <c r="J215">
        <v>60012468</v>
      </c>
      <c r="K215" t="s">
        <v>573</v>
      </c>
      <c r="L215" t="s">
        <v>572</v>
      </c>
      <c r="M215" t="s">
        <v>20</v>
      </c>
      <c r="N215">
        <v>1</v>
      </c>
      <c r="O215" t="s">
        <v>571</v>
      </c>
      <c r="P215">
        <v>7103369054</v>
      </c>
      <c r="Q215">
        <v>60012468</v>
      </c>
      <c r="R215" s="7">
        <v>33801</v>
      </c>
      <c r="S215" s="8">
        <f t="shared" si="24"/>
        <v>1992</v>
      </c>
      <c r="T215" s="8">
        <v>1992</v>
      </c>
      <c r="U215" s="8">
        <f t="shared" si="25"/>
        <v>30</v>
      </c>
      <c r="V215" s="7">
        <v>33801</v>
      </c>
      <c r="W215" t="s">
        <v>37</v>
      </c>
      <c r="X215" s="2">
        <v>0.375</v>
      </c>
      <c r="Y215" s="6">
        <f t="shared" si="26"/>
        <v>1.0010410827260351E-2</v>
      </c>
      <c r="AA215">
        <v>135194</v>
      </c>
      <c r="AB215">
        <v>24918</v>
      </c>
      <c r="AD215" t="s">
        <v>1</v>
      </c>
      <c r="AE215">
        <v>28</v>
      </c>
      <c r="AF215">
        <v>15</v>
      </c>
      <c r="AH215" t="s">
        <v>570</v>
      </c>
      <c r="AI215" t="s">
        <v>569</v>
      </c>
      <c r="AJ215" t="s">
        <v>568</v>
      </c>
      <c r="AK215" t="s">
        <v>567</v>
      </c>
      <c r="AL215">
        <v>1</v>
      </c>
      <c r="AM215" s="5">
        <f t="shared" si="27"/>
        <v>3.3333333333333333E-2</v>
      </c>
      <c r="AN215" s="4">
        <f t="shared" si="28"/>
        <v>5.0485927047835418E-5</v>
      </c>
      <c r="AO215" s="3"/>
      <c r="AP215">
        <v>0</v>
      </c>
      <c r="AR215" t="s">
        <v>0</v>
      </c>
      <c r="AT215" s="2">
        <v>1.3140000000000001</v>
      </c>
      <c r="AU215" s="1">
        <f t="shared" si="29"/>
        <v>0.70224333571965969</v>
      </c>
      <c r="AV215" s="1">
        <f t="shared" si="30"/>
        <v>0.50304483771540931</v>
      </c>
      <c r="AW215" s="1">
        <f t="shared" si="31"/>
        <v>0.30384633971115899</v>
      </c>
    </row>
    <row r="216" spans="1:49" x14ac:dyDescent="0.2">
      <c r="A216">
        <v>214</v>
      </c>
      <c r="B216" t="s">
        <v>566</v>
      </c>
      <c r="C216" t="s">
        <v>565</v>
      </c>
      <c r="F216" t="s">
        <v>564</v>
      </c>
      <c r="G216" t="s">
        <v>4</v>
      </c>
      <c r="H216" t="s">
        <v>3</v>
      </c>
      <c r="I216" t="s">
        <v>563</v>
      </c>
      <c r="J216">
        <v>60009658</v>
      </c>
      <c r="K216" t="s">
        <v>170</v>
      </c>
      <c r="L216" t="s">
        <v>169</v>
      </c>
      <c r="M216" t="s">
        <v>52</v>
      </c>
      <c r="N216">
        <v>3</v>
      </c>
      <c r="O216" t="s">
        <v>562</v>
      </c>
      <c r="P216" t="s">
        <v>561</v>
      </c>
      <c r="Q216" t="s">
        <v>560</v>
      </c>
      <c r="R216" s="7">
        <v>33801</v>
      </c>
      <c r="S216" s="8">
        <f t="shared" si="24"/>
        <v>1992</v>
      </c>
      <c r="T216" s="8">
        <v>1992</v>
      </c>
      <c r="U216" s="8">
        <f t="shared" si="25"/>
        <v>30</v>
      </c>
      <c r="V216" s="7">
        <v>33801</v>
      </c>
      <c r="W216" t="s">
        <v>37</v>
      </c>
      <c r="X216" s="2">
        <v>0.375</v>
      </c>
      <c r="Y216" s="6">
        <f t="shared" si="26"/>
        <v>1.0010410827260351E-2</v>
      </c>
      <c r="AA216">
        <v>135194</v>
      </c>
      <c r="AB216">
        <v>24918</v>
      </c>
      <c r="AD216" t="s">
        <v>1</v>
      </c>
      <c r="AE216">
        <v>28</v>
      </c>
      <c r="AF216">
        <v>15</v>
      </c>
      <c r="AH216" t="s">
        <v>559</v>
      </c>
      <c r="AI216" t="s">
        <v>558</v>
      </c>
      <c r="AJ216" t="s">
        <v>557</v>
      </c>
      <c r="AK216" t="s">
        <v>556</v>
      </c>
      <c r="AL216">
        <v>5</v>
      </c>
      <c r="AM216" s="5">
        <f t="shared" si="27"/>
        <v>0.16666666666666666</v>
      </c>
      <c r="AN216" s="4">
        <f t="shared" si="28"/>
        <v>2.5242963523917705E-4</v>
      </c>
      <c r="AO216" s="3"/>
      <c r="AP216">
        <v>0</v>
      </c>
      <c r="AR216" t="s">
        <v>0</v>
      </c>
      <c r="AT216" s="2">
        <v>1.3140000000000001</v>
      </c>
      <c r="AU216" s="1">
        <f t="shared" si="29"/>
        <v>0.70830164696539988</v>
      </c>
      <c r="AV216" s="1">
        <f t="shared" si="30"/>
        <v>0.51314202312497648</v>
      </c>
      <c r="AW216" s="1">
        <f t="shared" si="31"/>
        <v>0.31798239928455291</v>
      </c>
    </row>
    <row r="217" spans="1:49" x14ac:dyDescent="0.2">
      <c r="A217">
        <v>215</v>
      </c>
      <c r="B217" t="s">
        <v>555</v>
      </c>
      <c r="C217" t="s">
        <v>554</v>
      </c>
      <c r="F217" t="s">
        <v>553</v>
      </c>
      <c r="G217" t="s">
        <v>4</v>
      </c>
      <c r="H217" t="s">
        <v>3</v>
      </c>
      <c r="I217" t="s">
        <v>552</v>
      </c>
      <c r="J217">
        <v>60022109</v>
      </c>
      <c r="K217" t="s">
        <v>130</v>
      </c>
      <c r="L217" t="s">
        <v>129</v>
      </c>
      <c r="M217" t="s">
        <v>52</v>
      </c>
      <c r="N217">
        <v>2</v>
      </c>
      <c r="O217" t="s">
        <v>551</v>
      </c>
      <c r="P217" t="s">
        <v>550</v>
      </c>
      <c r="Q217" t="s">
        <v>549</v>
      </c>
      <c r="R217" s="7">
        <v>33801</v>
      </c>
      <c r="S217" s="8">
        <f t="shared" si="24"/>
        <v>1992</v>
      </c>
      <c r="T217" s="8">
        <v>1992</v>
      </c>
      <c r="U217" s="8">
        <f t="shared" si="25"/>
        <v>30</v>
      </c>
      <c r="V217" s="7">
        <v>33801</v>
      </c>
      <c r="W217" t="s">
        <v>37</v>
      </c>
      <c r="X217" s="2">
        <v>0.375</v>
      </c>
      <c r="Y217" s="6">
        <f t="shared" si="26"/>
        <v>1.0010410827260351E-2</v>
      </c>
      <c r="AA217">
        <v>135194</v>
      </c>
      <c r="AB217">
        <v>24918</v>
      </c>
      <c r="AD217" t="s">
        <v>1</v>
      </c>
      <c r="AE217">
        <v>28</v>
      </c>
      <c r="AF217">
        <v>15</v>
      </c>
      <c r="AH217" t="s">
        <v>548</v>
      </c>
      <c r="AI217" t="s">
        <v>547</v>
      </c>
      <c r="AJ217" t="s">
        <v>546</v>
      </c>
      <c r="AK217" t="s">
        <v>545</v>
      </c>
      <c r="AL217">
        <v>0</v>
      </c>
      <c r="AM217" s="5">
        <f t="shared" si="27"/>
        <v>0</v>
      </c>
      <c r="AN217" s="4">
        <f t="shared" si="28"/>
        <v>0</v>
      </c>
      <c r="AO217" s="3"/>
      <c r="AP217">
        <v>0</v>
      </c>
      <c r="AR217" t="s">
        <v>0</v>
      </c>
      <c r="AT217" s="2">
        <v>1.3140000000000001</v>
      </c>
      <c r="AU217" s="1">
        <f t="shared" si="29"/>
        <v>0.70072875790822453</v>
      </c>
      <c r="AV217" s="1">
        <f t="shared" si="30"/>
        <v>0.5005205413630176</v>
      </c>
      <c r="AW217" s="1">
        <f t="shared" si="31"/>
        <v>0.30031232481781051</v>
      </c>
    </row>
    <row r="218" spans="1:49" x14ac:dyDescent="0.2">
      <c r="A218">
        <v>216</v>
      </c>
      <c r="B218" t="s">
        <v>544</v>
      </c>
      <c r="C218" t="s">
        <v>543</v>
      </c>
      <c r="F218" t="s">
        <v>542</v>
      </c>
      <c r="G218" t="s">
        <v>4</v>
      </c>
      <c r="H218" t="s">
        <v>3</v>
      </c>
      <c r="I218" t="s">
        <v>541</v>
      </c>
      <c r="J218">
        <v>60011001</v>
      </c>
      <c r="K218" t="s">
        <v>49</v>
      </c>
      <c r="L218" t="s">
        <v>48</v>
      </c>
      <c r="M218" t="s">
        <v>12</v>
      </c>
      <c r="N218">
        <v>3</v>
      </c>
      <c r="O218" t="s">
        <v>540</v>
      </c>
      <c r="P218" t="s">
        <v>539</v>
      </c>
      <c r="Q218" t="s">
        <v>538</v>
      </c>
      <c r="R218" s="7">
        <v>33801</v>
      </c>
      <c r="S218" s="8">
        <f t="shared" si="24"/>
        <v>1992</v>
      </c>
      <c r="T218" s="8">
        <v>1992</v>
      </c>
      <c r="U218" s="8">
        <f t="shared" si="25"/>
        <v>30</v>
      </c>
      <c r="V218" s="7">
        <v>33801</v>
      </c>
      <c r="W218" t="s">
        <v>37</v>
      </c>
      <c r="X218" s="2">
        <v>0.375</v>
      </c>
      <c r="Y218" s="6">
        <f t="shared" si="26"/>
        <v>1.0010410827260351E-2</v>
      </c>
      <c r="AA218">
        <v>135194</v>
      </c>
      <c r="AB218">
        <v>24918</v>
      </c>
      <c r="AD218" t="s">
        <v>1</v>
      </c>
      <c r="AE218">
        <v>28</v>
      </c>
      <c r="AF218">
        <v>15</v>
      </c>
      <c r="AH218" t="s">
        <v>537</v>
      </c>
      <c r="AI218" t="s">
        <v>536</v>
      </c>
      <c r="AJ218" t="s">
        <v>535</v>
      </c>
      <c r="AK218" t="s">
        <v>534</v>
      </c>
      <c r="AL218">
        <v>2</v>
      </c>
      <c r="AM218" s="5">
        <f t="shared" si="27"/>
        <v>6.6666666666666666E-2</v>
      </c>
      <c r="AN218" s="4">
        <f t="shared" si="28"/>
        <v>1.0097185409567084E-4</v>
      </c>
      <c r="AO218" s="3"/>
      <c r="AP218">
        <v>0</v>
      </c>
      <c r="AR218" t="s">
        <v>0</v>
      </c>
      <c r="AT218" s="2">
        <v>1.3140000000000001</v>
      </c>
      <c r="AU218" s="1">
        <f t="shared" si="29"/>
        <v>0.70375791353109474</v>
      </c>
      <c r="AV218" s="1">
        <f t="shared" si="30"/>
        <v>0.50556913406780113</v>
      </c>
      <c r="AW218" s="1">
        <f t="shared" si="31"/>
        <v>0.30738035460450747</v>
      </c>
    </row>
    <row r="219" spans="1:49" x14ac:dyDescent="0.2">
      <c r="A219">
        <v>217</v>
      </c>
      <c r="B219" t="s">
        <v>533</v>
      </c>
      <c r="C219" t="s">
        <v>532</v>
      </c>
      <c r="F219" t="s">
        <v>531</v>
      </c>
      <c r="G219" t="s">
        <v>4</v>
      </c>
      <c r="H219" t="s">
        <v>3</v>
      </c>
      <c r="I219" t="s">
        <v>530</v>
      </c>
      <c r="J219">
        <v>60001271</v>
      </c>
      <c r="K219" t="s">
        <v>196</v>
      </c>
      <c r="L219" t="s">
        <v>48</v>
      </c>
      <c r="M219" t="s">
        <v>12</v>
      </c>
      <c r="N219">
        <v>1</v>
      </c>
      <c r="O219" t="s">
        <v>529</v>
      </c>
      <c r="P219">
        <v>6701400398</v>
      </c>
      <c r="Q219">
        <v>60001271</v>
      </c>
      <c r="R219" s="7">
        <v>33801</v>
      </c>
      <c r="S219" s="8">
        <f t="shared" si="24"/>
        <v>1992</v>
      </c>
      <c r="T219" s="8">
        <v>1992</v>
      </c>
      <c r="U219" s="8">
        <f t="shared" si="25"/>
        <v>30</v>
      </c>
      <c r="V219" s="7">
        <v>33801</v>
      </c>
      <c r="W219" t="s">
        <v>37</v>
      </c>
      <c r="X219" s="2">
        <v>0.375</v>
      </c>
      <c r="Y219" s="6">
        <f t="shared" si="26"/>
        <v>1.0010410827260351E-2</v>
      </c>
      <c r="AA219">
        <v>135194</v>
      </c>
      <c r="AB219">
        <v>24918</v>
      </c>
      <c r="AD219" t="s">
        <v>1</v>
      </c>
      <c r="AE219">
        <v>28</v>
      </c>
      <c r="AF219">
        <v>15</v>
      </c>
      <c r="AH219" t="s">
        <v>528</v>
      </c>
      <c r="AI219" t="s">
        <v>527</v>
      </c>
      <c r="AJ219" t="s">
        <v>526</v>
      </c>
      <c r="AK219" t="s">
        <v>525</v>
      </c>
      <c r="AL219">
        <v>4</v>
      </c>
      <c r="AM219" s="5">
        <f t="shared" si="27"/>
        <v>0.13333333333333333</v>
      </c>
      <c r="AN219" s="4">
        <f t="shared" si="28"/>
        <v>2.0194370819134167E-4</v>
      </c>
      <c r="AO219" s="3"/>
      <c r="AP219">
        <v>0</v>
      </c>
      <c r="AR219" t="s">
        <v>0</v>
      </c>
      <c r="AT219" s="2">
        <v>1.3140000000000001</v>
      </c>
      <c r="AU219" s="1">
        <f t="shared" si="29"/>
        <v>0.70678706915396483</v>
      </c>
      <c r="AV219" s="1">
        <f t="shared" si="30"/>
        <v>0.51061772677258466</v>
      </c>
      <c r="AW219" s="1">
        <f t="shared" si="31"/>
        <v>0.31444838439120443</v>
      </c>
    </row>
    <row r="220" spans="1:49" x14ac:dyDescent="0.2">
      <c r="A220">
        <v>218</v>
      </c>
      <c r="B220" t="s">
        <v>524</v>
      </c>
      <c r="C220" t="s">
        <v>523</v>
      </c>
      <c r="D220">
        <v>550321392906039</v>
      </c>
      <c r="F220" t="s">
        <v>522</v>
      </c>
      <c r="G220" t="s">
        <v>4</v>
      </c>
      <c r="H220" t="s">
        <v>3</v>
      </c>
      <c r="I220" t="s">
        <v>521</v>
      </c>
      <c r="J220" t="s">
        <v>520</v>
      </c>
      <c r="K220" t="s">
        <v>519</v>
      </c>
      <c r="L220" t="s">
        <v>518</v>
      </c>
      <c r="M220" t="s">
        <v>517</v>
      </c>
      <c r="N220">
        <v>3</v>
      </c>
      <c r="O220" t="s">
        <v>516</v>
      </c>
      <c r="P220" t="s">
        <v>515</v>
      </c>
      <c r="Q220" t="s">
        <v>514</v>
      </c>
      <c r="R220" s="7">
        <v>33798</v>
      </c>
      <c r="S220" s="8">
        <f t="shared" si="24"/>
        <v>1992</v>
      </c>
      <c r="T220" s="8">
        <v>1992</v>
      </c>
      <c r="U220" s="8">
        <f t="shared" si="25"/>
        <v>30</v>
      </c>
      <c r="V220" s="7">
        <v>33798</v>
      </c>
      <c r="W220" t="s">
        <v>513</v>
      </c>
      <c r="X220" s="2" t="s">
        <v>5</v>
      </c>
      <c r="Y220" s="6" t="e">
        <f t="shared" si="26"/>
        <v>#VALUE!</v>
      </c>
      <c r="AA220">
        <v>5503213</v>
      </c>
      <c r="AB220">
        <v>29086</v>
      </c>
      <c r="AD220" t="s">
        <v>1</v>
      </c>
      <c r="AE220">
        <v>378</v>
      </c>
      <c r="AF220">
        <v>3</v>
      </c>
      <c r="AH220" t="s">
        <v>512</v>
      </c>
      <c r="AI220" t="s">
        <v>511</v>
      </c>
      <c r="AK220" t="s">
        <v>510</v>
      </c>
      <c r="AL220">
        <v>47</v>
      </c>
      <c r="AM220" s="5">
        <f t="shared" si="27"/>
        <v>1.5666666666666667</v>
      </c>
      <c r="AN220" s="4">
        <f t="shared" si="28"/>
        <v>2.3728385712482643E-3</v>
      </c>
      <c r="AO220" s="3"/>
      <c r="AP220">
        <v>0</v>
      </c>
      <c r="AR220" t="s">
        <v>0</v>
      </c>
      <c r="AT220" s="2" t="s">
        <v>5</v>
      </c>
      <c r="AU220" s="1" t="e">
        <f t="shared" si="29"/>
        <v>#VALUE!</v>
      </c>
      <c r="AV220" s="1" t="e">
        <f t="shared" si="30"/>
        <v>#VALUE!</v>
      </c>
      <c r="AW220" s="1" t="e">
        <f t="shared" si="31"/>
        <v>#VALUE!</v>
      </c>
    </row>
    <row r="221" spans="1:49" x14ac:dyDescent="0.2">
      <c r="A221">
        <v>219</v>
      </c>
      <c r="B221" t="s">
        <v>509</v>
      </c>
      <c r="C221" t="s">
        <v>508</v>
      </c>
      <c r="D221" t="s">
        <v>507</v>
      </c>
      <c r="F221" t="s">
        <v>506</v>
      </c>
      <c r="G221" t="s">
        <v>4</v>
      </c>
      <c r="H221" t="s">
        <v>3</v>
      </c>
      <c r="I221" t="s">
        <v>505</v>
      </c>
      <c r="J221">
        <v>60030318</v>
      </c>
      <c r="K221" t="s">
        <v>238</v>
      </c>
      <c r="L221" t="s">
        <v>150</v>
      </c>
      <c r="M221" t="s">
        <v>16</v>
      </c>
      <c r="N221">
        <v>4</v>
      </c>
      <c r="O221" t="s">
        <v>504</v>
      </c>
      <c r="P221" t="s">
        <v>503</v>
      </c>
      <c r="Q221" t="s">
        <v>502</v>
      </c>
      <c r="R221" s="7">
        <v>33791</v>
      </c>
      <c r="S221" s="8">
        <f t="shared" si="24"/>
        <v>1992</v>
      </c>
      <c r="T221" s="8">
        <v>1992</v>
      </c>
      <c r="U221" s="8">
        <f t="shared" si="25"/>
        <v>30</v>
      </c>
      <c r="V221" s="7">
        <v>33791</v>
      </c>
      <c r="W221" t="s">
        <v>290</v>
      </c>
      <c r="X221" s="2" t="s">
        <v>5</v>
      </c>
      <c r="Y221" s="6" t="e">
        <f t="shared" si="26"/>
        <v>#VALUE!</v>
      </c>
      <c r="AA221">
        <v>1674838</v>
      </c>
      <c r="AB221">
        <v>52056</v>
      </c>
      <c r="AD221" t="s">
        <v>1</v>
      </c>
      <c r="AE221">
        <v>1101</v>
      </c>
      <c r="AF221">
        <v>1</v>
      </c>
      <c r="AH221" t="s">
        <v>138</v>
      </c>
      <c r="AI221" t="s">
        <v>501</v>
      </c>
      <c r="AJ221" t="s">
        <v>500</v>
      </c>
      <c r="AK221" t="s">
        <v>499</v>
      </c>
      <c r="AL221">
        <v>9</v>
      </c>
      <c r="AM221" s="5">
        <f t="shared" si="27"/>
        <v>0.3</v>
      </c>
      <c r="AN221" s="4">
        <f t="shared" si="28"/>
        <v>4.5437334343051872E-4</v>
      </c>
      <c r="AO221" s="3"/>
      <c r="AP221">
        <v>0</v>
      </c>
      <c r="AR221" t="s">
        <v>0</v>
      </c>
      <c r="AS221" t="s">
        <v>498</v>
      </c>
      <c r="AT221" s="2" t="s">
        <v>5</v>
      </c>
      <c r="AU221" s="1" t="e">
        <f t="shared" si="29"/>
        <v>#VALUE!</v>
      </c>
      <c r="AV221" s="1" t="e">
        <f t="shared" si="30"/>
        <v>#VALUE!</v>
      </c>
      <c r="AW221" s="1" t="e">
        <f t="shared" si="31"/>
        <v>#VALUE!</v>
      </c>
    </row>
    <row r="222" spans="1:49" x14ac:dyDescent="0.2">
      <c r="A222">
        <v>220</v>
      </c>
      <c r="B222" t="s">
        <v>497</v>
      </c>
      <c r="C222" t="s">
        <v>496</v>
      </c>
      <c r="F222" t="s">
        <v>495</v>
      </c>
      <c r="G222" t="s">
        <v>4</v>
      </c>
      <c r="H222" t="s">
        <v>3</v>
      </c>
      <c r="I222" t="s">
        <v>260</v>
      </c>
      <c r="J222">
        <v>60029738</v>
      </c>
      <c r="K222" t="s">
        <v>259</v>
      </c>
      <c r="L222" t="s">
        <v>258</v>
      </c>
      <c r="M222" t="s">
        <v>52</v>
      </c>
      <c r="N222">
        <v>1</v>
      </c>
      <c r="O222" t="s">
        <v>257</v>
      </c>
      <c r="P222">
        <v>7102894931</v>
      </c>
      <c r="Q222">
        <v>60029738</v>
      </c>
      <c r="R222" s="7">
        <v>33787</v>
      </c>
      <c r="S222" s="8">
        <f t="shared" si="24"/>
        <v>1992</v>
      </c>
      <c r="T222" s="8">
        <v>1992</v>
      </c>
      <c r="U222" s="8">
        <f t="shared" si="25"/>
        <v>30</v>
      </c>
      <c r="V222" s="7">
        <v>33787</v>
      </c>
      <c r="W222" t="s">
        <v>37</v>
      </c>
      <c r="X222" s="2">
        <v>0.375</v>
      </c>
      <c r="Y222" s="6">
        <f t="shared" si="26"/>
        <v>1.0010410827260351E-2</v>
      </c>
      <c r="AA222">
        <v>135194</v>
      </c>
      <c r="AB222">
        <v>24918</v>
      </c>
      <c r="AD222" t="s">
        <v>1</v>
      </c>
      <c r="AE222">
        <v>28</v>
      </c>
      <c r="AF222">
        <v>14</v>
      </c>
      <c r="AH222" t="s">
        <v>494</v>
      </c>
      <c r="AI222" t="s">
        <v>493</v>
      </c>
      <c r="AJ222" t="s">
        <v>492</v>
      </c>
      <c r="AK222" t="s">
        <v>491</v>
      </c>
      <c r="AL222">
        <v>9</v>
      </c>
      <c r="AM222" s="5">
        <f t="shared" si="27"/>
        <v>0.3</v>
      </c>
      <c r="AN222" s="4">
        <f t="shared" si="28"/>
        <v>4.5437334343051872E-4</v>
      </c>
      <c r="AO222" s="3"/>
      <c r="AP222">
        <v>0</v>
      </c>
      <c r="AR222" t="s">
        <v>0</v>
      </c>
      <c r="AT222" s="2">
        <v>1.3140000000000001</v>
      </c>
      <c r="AU222" s="1">
        <f t="shared" si="29"/>
        <v>0.71435995821114018</v>
      </c>
      <c r="AV222" s="1">
        <f t="shared" si="30"/>
        <v>0.52323920853454353</v>
      </c>
      <c r="AW222" s="1">
        <f t="shared" si="31"/>
        <v>0.33211845885794683</v>
      </c>
    </row>
    <row r="223" spans="1:49" x14ac:dyDescent="0.2">
      <c r="A223">
        <v>221</v>
      </c>
      <c r="B223" t="s">
        <v>490</v>
      </c>
      <c r="C223" t="s">
        <v>489</v>
      </c>
      <c r="F223" t="s">
        <v>488</v>
      </c>
      <c r="G223" t="s">
        <v>4</v>
      </c>
      <c r="H223" t="s">
        <v>3</v>
      </c>
      <c r="I223" t="s">
        <v>189</v>
      </c>
      <c r="J223">
        <v>101648858</v>
      </c>
      <c r="K223" t="s">
        <v>487</v>
      </c>
      <c r="L223" t="s">
        <v>182</v>
      </c>
      <c r="M223" t="s">
        <v>13</v>
      </c>
      <c r="N223">
        <v>5</v>
      </c>
      <c r="O223" t="s">
        <v>486</v>
      </c>
      <c r="P223" t="s">
        <v>485</v>
      </c>
      <c r="Q223" t="s">
        <v>484</v>
      </c>
      <c r="R223" s="7">
        <v>33787</v>
      </c>
      <c r="S223" s="8">
        <f t="shared" si="24"/>
        <v>1992</v>
      </c>
      <c r="T223" s="8">
        <v>1992</v>
      </c>
      <c r="U223" s="8">
        <f t="shared" si="25"/>
        <v>30</v>
      </c>
      <c r="V223" s="7">
        <v>33787</v>
      </c>
      <c r="W223" t="s">
        <v>37</v>
      </c>
      <c r="X223" s="2">
        <v>0.375</v>
      </c>
      <c r="Y223" s="6">
        <f t="shared" si="26"/>
        <v>1.0010410827260351E-2</v>
      </c>
      <c r="AA223">
        <v>135194</v>
      </c>
      <c r="AB223">
        <v>24918</v>
      </c>
      <c r="AD223" t="s">
        <v>1</v>
      </c>
      <c r="AE223">
        <v>28</v>
      </c>
      <c r="AF223">
        <v>14</v>
      </c>
      <c r="AH223" t="s">
        <v>483</v>
      </c>
      <c r="AI223" t="s">
        <v>482</v>
      </c>
      <c r="AJ223" t="s">
        <v>213</v>
      </c>
      <c r="AK223" t="s">
        <v>481</v>
      </c>
      <c r="AL223">
        <v>6</v>
      </c>
      <c r="AM223" s="5">
        <f t="shared" si="27"/>
        <v>0.2</v>
      </c>
      <c r="AN223" s="4">
        <f t="shared" si="28"/>
        <v>3.0291556228701253E-4</v>
      </c>
      <c r="AO223" s="3"/>
      <c r="AP223">
        <v>0</v>
      </c>
      <c r="AR223" t="s">
        <v>0</v>
      </c>
      <c r="AT223" s="2">
        <v>1.3140000000000001</v>
      </c>
      <c r="AU223" s="1">
        <f t="shared" si="29"/>
        <v>0.70981622477683493</v>
      </c>
      <c r="AV223" s="1">
        <f t="shared" si="30"/>
        <v>0.51566631947736818</v>
      </c>
      <c r="AW223" s="1">
        <f t="shared" si="31"/>
        <v>0.32151641417790139</v>
      </c>
    </row>
    <row r="224" spans="1:49" x14ac:dyDescent="0.2">
      <c r="A224">
        <v>222</v>
      </c>
      <c r="B224" t="s">
        <v>480</v>
      </c>
      <c r="C224" t="s">
        <v>479</v>
      </c>
      <c r="F224" t="s">
        <v>478</v>
      </c>
      <c r="G224" t="s">
        <v>4</v>
      </c>
      <c r="H224" t="s">
        <v>3</v>
      </c>
      <c r="I224" t="s">
        <v>477</v>
      </c>
      <c r="J224">
        <v>60030553</v>
      </c>
      <c r="K224" t="s">
        <v>147</v>
      </c>
      <c r="L224" t="s">
        <v>146</v>
      </c>
      <c r="M224" t="s">
        <v>38</v>
      </c>
      <c r="N224">
        <v>3</v>
      </c>
      <c r="O224" t="s">
        <v>476</v>
      </c>
      <c r="P224" t="s">
        <v>475</v>
      </c>
      <c r="Q224" t="s">
        <v>464</v>
      </c>
      <c r="R224" s="7">
        <v>33787</v>
      </c>
      <c r="S224" s="8">
        <f t="shared" si="24"/>
        <v>1992</v>
      </c>
      <c r="T224" s="8">
        <v>1992</v>
      </c>
      <c r="U224" s="8">
        <f t="shared" si="25"/>
        <v>30</v>
      </c>
      <c r="V224" s="7">
        <v>33787</v>
      </c>
      <c r="W224" t="s">
        <v>37</v>
      </c>
      <c r="X224" s="2">
        <v>0.375</v>
      </c>
      <c r="Y224" s="6">
        <f t="shared" si="26"/>
        <v>1.0010410827260351E-2</v>
      </c>
      <c r="AA224">
        <v>135194</v>
      </c>
      <c r="AB224">
        <v>24918</v>
      </c>
      <c r="AD224" t="s">
        <v>1</v>
      </c>
      <c r="AE224">
        <v>28</v>
      </c>
      <c r="AF224">
        <v>14</v>
      </c>
      <c r="AH224" t="s">
        <v>474</v>
      </c>
      <c r="AI224" t="s">
        <v>473</v>
      </c>
      <c r="AJ224" t="s">
        <v>472</v>
      </c>
      <c r="AK224" t="s">
        <v>471</v>
      </c>
      <c r="AL224">
        <v>2</v>
      </c>
      <c r="AM224" s="5">
        <f t="shared" si="27"/>
        <v>6.6666666666666666E-2</v>
      </c>
      <c r="AN224" s="4">
        <f t="shared" si="28"/>
        <v>1.0097185409567084E-4</v>
      </c>
      <c r="AO224" s="3"/>
      <c r="AP224">
        <v>0</v>
      </c>
      <c r="AR224" t="s">
        <v>0</v>
      </c>
      <c r="AT224" s="2">
        <v>1.3140000000000001</v>
      </c>
      <c r="AU224" s="1">
        <f t="shared" si="29"/>
        <v>0.70375791353109474</v>
      </c>
      <c r="AV224" s="1">
        <f t="shared" si="30"/>
        <v>0.50556913406780113</v>
      </c>
      <c r="AW224" s="1">
        <f t="shared" si="31"/>
        <v>0.30738035460450747</v>
      </c>
    </row>
    <row r="225" spans="1:49" x14ac:dyDescent="0.2">
      <c r="A225">
        <v>223</v>
      </c>
      <c r="B225" t="s">
        <v>470</v>
      </c>
      <c r="C225" t="s">
        <v>469</v>
      </c>
      <c r="F225" t="s">
        <v>468</v>
      </c>
      <c r="G225" t="s">
        <v>4</v>
      </c>
      <c r="H225" t="s">
        <v>3</v>
      </c>
      <c r="I225" t="s">
        <v>467</v>
      </c>
      <c r="J225">
        <v>60030553</v>
      </c>
      <c r="K225" t="s">
        <v>147</v>
      </c>
      <c r="L225" t="s">
        <v>146</v>
      </c>
      <c r="M225" t="s">
        <v>38</v>
      </c>
      <c r="N225">
        <v>3</v>
      </c>
      <c r="O225" t="s">
        <v>466</v>
      </c>
      <c r="P225" t="s">
        <v>465</v>
      </c>
      <c r="Q225" t="s">
        <v>464</v>
      </c>
      <c r="R225" s="7">
        <v>33787</v>
      </c>
      <c r="S225" s="8">
        <f t="shared" si="24"/>
        <v>1992</v>
      </c>
      <c r="T225" s="8">
        <v>1992</v>
      </c>
      <c r="U225" s="8">
        <f t="shared" si="25"/>
        <v>30</v>
      </c>
      <c r="V225" s="7">
        <v>33787</v>
      </c>
      <c r="W225" t="s">
        <v>37</v>
      </c>
      <c r="X225" s="2">
        <v>0.375</v>
      </c>
      <c r="Y225" s="6">
        <f t="shared" si="26"/>
        <v>1.0010410827260351E-2</v>
      </c>
      <c r="AA225">
        <v>135194</v>
      </c>
      <c r="AB225">
        <v>24918</v>
      </c>
      <c r="AD225" t="s">
        <v>1</v>
      </c>
      <c r="AE225">
        <v>28</v>
      </c>
      <c r="AF225">
        <v>14</v>
      </c>
      <c r="AH225" t="s">
        <v>463</v>
      </c>
      <c r="AI225" t="s">
        <v>462</v>
      </c>
      <c r="AJ225" t="s">
        <v>461</v>
      </c>
      <c r="AK225" t="s">
        <v>460</v>
      </c>
      <c r="AL225">
        <v>12</v>
      </c>
      <c r="AM225" s="5">
        <f t="shared" si="27"/>
        <v>0.4</v>
      </c>
      <c r="AN225" s="4">
        <f t="shared" si="28"/>
        <v>6.0583112457402507E-4</v>
      </c>
      <c r="AO225" s="3"/>
      <c r="AP225">
        <v>0</v>
      </c>
      <c r="AR225" t="s">
        <v>0</v>
      </c>
      <c r="AT225" s="2">
        <v>1.3140000000000001</v>
      </c>
      <c r="AU225" s="1">
        <f t="shared" si="29"/>
        <v>0.71890369164544532</v>
      </c>
      <c r="AV225" s="1">
        <f t="shared" si="30"/>
        <v>0.53081209759171888</v>
      </c>
      <c r="AW225" s="1">
        <f t="shared" si="31"/>
        <v>0.34272050353799227</v>
      </c>
    </row>
    <row r="226" spans="1:49" x14ac:dyDescent="0.2">
      <c r="A226">
        <v>224</v>
      </c>
      <c r="B226" t="s">
        <v>459</v>
      </c>
      <c r="C226" t="s">
        <v>458</v>
      </c>
      <c r="F226" t="s">
        <v>457</v>
      </c>
      <c r="G226" t="s">
        <v>4</v>
      </c>
      <c r="H226" t="s">
        <v>3</v>
      </c>
      <c r="I226" t="s">
        <v>456</v>
      </c>
      <c r="J226">
        <v>60011604</v>
      </c>
      <c r="K226" t="s">
        <v>455</v>
      </c>
      <c r="L226" t="s">
        <v>51</v>
      </c>
      <c r="M226" t="s">
        <v>50</v>
      </c>
      <c r="N226">
        <v>4</v>
      </c>
      <c r="O226" t="s">
        <v>454</v>
      </c>
      <c r="P226" t="s">
        <v>453</v>
      </c>
      <c r="Q226" t="s">
        <v>452</v>
      </c>
      <c r="R226" s="7">
        <v>33787</v>
      </c>
      <c r="S226" s="8">
        <f t="shared" si="24"/>
        <v>1992</v>
      </c>
      <c r="T226" s="8">
        <v>1992</v>
      </c>
      <c r="U226" s="8">
        <f t="shared" si="25"/>
        <v>30</v>
      </c>
      <c r="V226" s="7">
        <v>33787</v>
      </c>
      <c r="W226" t="s">
        <v>37</v>
      </c>
      <c r="X226" s="2">
        <v>0.375</v>
      </c>
      <c r="Y226" s="6">
        <f t="shared" si="26"/>
        <v>1.0010410827260351E-2</v>
      </c>
      <c r="AA226">
        <v>135194</v>
      </c>
      <c r="AB226">
        <v>24918</v>
      </c>
      <c r="AD226" t="s">
        <v>1</v>
      </c>
      <c r="AE226">
        <v>28</v>
      </c>
      <c r="AF226">
        <v>14</v>
      </c>
      <c r="AH226" t="s">
        <v>451</v>
      </c>
      <c r="AI226" t="s">
        <v>450</v>
      </c>
      <c r="AJ226" t="s">
        <v>449</v>
      </c>
      <c r="AK226" t="s">
        <v>448</v>
      </c>
      <c r="AL226">
        <v>25</v>
      </c>
      <c r="AM226" s="5">
        <f t="shared" si="27"/>
        <v>0.83333333333333337</v>
      </c>
      <c r="AN226" s="4">
        <f t="shared" si="28"/>
        <v>1.2621481761958854E-3</v>
      </c>
      <c r="AO226" s="3"/>
      <c r="AP226">
        <v>0</v>
      </c>
      <c r="AR226" t="s">
        <v>0</v>
      </c>
      <c r="AT226" s="2">
        <v>1.3140000000000001</v>
      </c>
      <c r="AU226" s="1">
        <f t="shared" si="29"/>
        <v>0.73859320319410116</v>
      </c>
      <c r="AV226" s="1">
        <f t="shared" si="30"/>
        <v>0.56362795017281186</v>
      </c>
      <c r="AW226" s="1">
        <f t="shared" si="31"/>
        <v>0.38866269715152246</v>
      </c>
    </row>
    <row r="227" spans="1:49" x14ac:dyDescent="0.2">
      <c r="A227">
        <v>225</v>
      </c>
      <c r="B227" t="s">
        <v>447</v>
      </c>
      <c r="C227" t="s">
        <v>446</v>
      </c>
      <c r="F227" t="s">
        <v>445</v>
      </c>
      <c r="G227" t="s">
        <v>4</v>
      </c>
      <c r="H227" t="s">
        <v>3</v>
      </c>
      <c r="I227" t="s">
        <v>444</v>
      </c>
      <c r="J227" t="s">
        <v>443</v>
      </c>
      <c r="K227" t="s">
        <v>442</v>
      </c>
      <c r="L227" t="s">
        <v>441</v>
      </c>
      <c r="M227" t="s">
        <v>440</v>
      </c>
      <c r="N227">
        <v>6</v>
      </c>
      <c r="O227" t="s">
        <v>439</v>
      </c>
      <c r="P227" t="s">
        <v>438</v>
      </c>
      <c r="Q227" t="s">
        <v>437</v>
      </c>
      <c r="R227" s="7">
        <v>33786</v>
      </c>
      <c r="S227" s="8">
        <f t="shared" si="24"/>
        <v>1992</v>
      </c>
      <c r="T227" s="8">
        <v>1992</v>
      </c>
      <c r="U227" s="8">
        <f t="shared" si="25"/>
        <v>30</v>
      </c>
      <c r="V227" s="7">
        <v>33786</v>
      </c>
      <c r="W227" t="s">
        <v>436</v>
      </c>
      <c r="X227" s="2">
        <v>0.11700000000000001</v>
      </c>
      <c r="Y227" s="6">
        <f t="shared" si="26"/>
        <v>3.1232481781052297E-3</v>
      </c>
      <c r="AA227">
        <v>2179822</v>
      </c>
      <c r="AB227">
        <v>5300152612</v>
      </c>
      <c r="AC227">
        <v>19930615</v>
      </c>
      <c r="AD227" t="s">
        <v>1</v>
      </c>
      <c r="AE227">
        <v>9</v>
      </c>
      <c r="AF227">
        <v>3</v>
      </c>
      <c r="AH227" t="s">
        <v>435</v>
      </c>
      <c r="AI227" t="s">
        <v>434</v>
      </c>
      <c r="AJ227" t="s">
        <v>433</v>
      </c>
      <c r="AK227" t="s">
        <v>432</v>
      </c>
      <c r="AL227">
        <v>0</v>
      </c>
      <c r="AM227" s="5">
        <f t="shared" si="27"/>
        <v>0</v>
      </c>
      <c r="AN227" s="4">
        <f t="shared" si="28"/>
        <v>0</v>
      </c>
      <c r="AO227" s="3"/>
      <c r="AP227">
        <v>0</v>
      </c>
      <c r="AR227" t="s">
        <v>0</v>
      </c>
      <c r="AT227" s="2" t="s">
        <v>5</v>
      </c>
      <c r="AU227" s="1">
        <f t="shared" si="29"/>
        <v>0.21862737246736608</v>
      </c>
      <c r="AV227" s="1">
        <f t="shared" si="30"/>
        <v>0.15616240890526148</v>
      </c>
      <c r="AW227" s="1">
        <f t="shared" si="31"/>
        <v>9.3697445343156896E-2</v>
      </c>
    </row>
    <row r="228" spans="1:49" x14ac:dyDescent="0.2">
      <c r="A228">
        <v>226</v>
      </c>
      <c r="B228" t="s">
        <v>431</v>
      </c>
      <c r="C228" t="s">
        <v>430</v>
      </c>
      <c r="F228" t="s">
        <v>429</v>
      </c>
      <c r="G228" t="s">
        <v>4</v>
      </c>
      <c r="H228" t="s">
        <v>3</v>
      </c>
      <c r="I228" t="s">
        <v>231</v>
      </c>
      <c r="J228" t="s">
        <v>428</v>
      </c>
      <c r="K228" t="s">
        <v>427</v>
      </c>
      <c r="L228" t="s">
        <v>426</v>
      </c>
      <c r="M228" t="s">
        <v>425</v>
      </c>
      <c r="N228">
        <v>5</v>
      </c>
      <c r="O228" t="s">
        <v>424</v>
      </c>
      <c r="P228" t="s">
        <v>423</v>
      </c>
      <c r="Q228" t="s">
        <v>422</v>
      </c>
      <c r="R228" s="7">
        <v>33786</v>
      </c>
      <c r="S228" s="8">
        <f t="shared" si="24"/>
        <v>1992</v>
      </c>
      <c r="T228" s="8">
        <v>1992</v>
      </c>
      <c r="U228" s="8">
        <f t="shared" si="25"/>
        <v>30</v>
      </c>
      <c r="V228" s="7">
        <v>33786</v>
      </c>
      <c r="W228" t="s">
        <v>421</v>
      </c>
      <c r="X228" s="2" t="s">
        <v>5</v>
      </c>
      <c r="Y228" s="6" t="e">
        <f t="shared" si="26"/>
        <v>#VALUE!</v>
      </c>
      <c r="AA228">
        <v>3905551</v>
      </c>
      <c r="AB228">
        <v>15400155600</v>
      </c>
      <c r="AD228" t="s">
        <v>1</v>
      </c>
      <c r="AE228">
        <v>15</v>
      </c>
      <c r="AF228">
        <v>4</v>
      </c>
      <c r="AH228" t="s">
        <v>420</v>
      </c>
      <c r="AI228" t="s">
        <v>419</v>
      </c>
      <c r="AJ228" t="s">
        <v>418</v>
      </c>
      <c r="AK228" t="s">
        <v>417</v>
      </c>
      <c r="AL228">
        <v>9</v>
      </c>
      <c r="AM228" s="5">
        <f t="shared" si="27"/>
        <v>0.3</v>
      </c>
      <c r="AN228" s="4">
        <f t="shared" si="28"/>
        <v>4.5437334343051872E-4</v>
      </c>
      <c r="AO228" s="3"/>
      <c r="AP228">
        <v>0</v>
      </c>
      <c r="AR228" t="s">
        <v>0</v>
      </c>
      <c r="AT228" s="2" t="s">
        <v>5</v>
      </c>
      <c r="AU228" s="1" t="e">
        <f t="shared" si="29"/>
        <v>#VALUE!</v>
      </c>
      <c r="AV228" s="1" t="e">
        <f t="shared" si="30"/>
        <v>#VALUE!</v>
      </c>
      <c r="AW228" s="1" t="e">
        <f t="shared" si="31"/>
        <v>#VALUE!</v>
      </c>
    </row>
    <row r="229" spans="1:49" x14ac:dyDescent="0.2">
      <c r="A229">
        <v>227</v>
      </c>
      <c r="B229" t="s">
        <v>416</v>
      </c>
      <c r="C229" t="s">
        <v>415</v>
      </c>
      <c r="F229" t="s">
        <v>414</v>
      </c>
      <c r="G229" t="s">
        <v>4</v>
      </c>
      <c r="H229" t="s">
        <v>3</v>
      </c>
      <c r="I229" t="s">
        <v>413</v>
      </c>
      <c r="J229" t="s">
        <v>412</v>
      </c>
      <c r="K229" t="s">
        <v>411</v>
      </c>
      <c r="L229" t="s">
        <v>410</v>
      </c>
      <c r="M229" t="s">
        <v>409</v>
      </c>
      <c r="N229">
        <v>3</v>
      </c>
      <c r="O229" t="s">
        <v>408</v>
      </c>
      <c r="P229" t="s">
        <v>407</v>
      </c>
      <c r="Q229" t="s">
        <v>406</v>
      </c>
      <c r="R229" s="7">
        <v>33786</v>
      </c>
      <c r="S229" s="8">
        <f t="shared" si="24"/>
        <v>1992</v>
      </c>
      <c r="T229" s="8">
        <v>1992</v>
      </c>
      <c r="U229" s="8">
        <f t="shared" si="25"/>
        <v>30</v>
      </c>
      <c r="V229" s="7">
        <v>33786</v>
      </c>
      <c r="W229" t="s">
        <v>87</v>
      </c>
      <c r="X229" s="2">
        <v>0.61499999999999999</v>
      </c>
      <c r="Y229" s="6">
        <f t="shared" si="26"/>
        <v>1.6417073756706976E-2</v>
      </c>
      <c r="AA229">
        <v>1959271</v>
      </c>
      <c r="AB229">
        <v>12141</v>
      </c>
      <c r="AC229">
        <v>15729559</v>
      </c>
      <c r="AD229" t="s">
        <v>1</v>
      </c>
      <c r="AE229">
        <v>13</v>
      </c>
      <c r="AF229">
        <v>7</v>
      </c>
      <c r="AH229" t="s">
        <v>218</v>
      </c>
      <c r="AI229" t="s">
        <v>405</v>
      </c>
      <c r="AJ229" t="s">
        <v>404</v>
      </c>
      <c r="AK229" t="s">
        <v>403</v>
      </c>
      <c r="AL229">
        <v>2</v>
      </c>
      <c r="AM229" s="5">
        <f t="shared" si="27"/>
        <v>6.6666666666666666E-2</v>
      </c>
      <c r="AN229" s="4">
        <f t="shared" si="28"/>
        <v>1.0097185409567084E-4</v>
      </c>
      <c r="AO229" s="3"/>
      <c r="AP229">
        <v>0</v>
      </c>
      <c r="AR229" t="s">
        <v>0</v>
      </c>
      <c r="AT229" s="2" t="s">
        <v>5</v>
      </c>
      <c r="AU229" s="1">
        <f t="shared" si="29"/>
        <v>1.1522243185923584</v>
      </c>
      <c r="AV229" s="1">
        <f t="shared" si="30"/>
        <v>0.82590228054013237</v>
      </c>
      <c r="AW229" s="1">
        <f t="shared" si="31"/>
        <v>0.49958024248790622</v>
      </c>
    </row>
    <row r="230" spans="1:49" x14ac:dyDescent="0.2">
      <c r="A230">
        <v>228</v>
      </c>
      <c r="B230" t="s">
        <v>402</v>
      </c>
      <c r="F230" t="s">
        <v>401</v>
      </c>
      <c r="G230" t="s">
        <v>4</v>
      </c>
      <c r="H230" t="s">
        <v>3</v>
      </c>
      <c r="R230" s="7">
        <v>33786</v>
      </c>
      <c r="S230" s="8">
        <f t="shared" si="24"/>
        <v>1992</v>
      </c>
      <c r="T230" s="8">
        <v>1992</v>
      </c>
      <c r="U230" s="8">
        <f t="shared" si="25"/>
        <v>30</v>
      </c>
      <c r="V230" s="7">
        <v>33786</v>
      </c>
      <c r="W230" t="s">
        <v>22</v>
      </c>
      <c r="X230" s="2">
        <v>2.141</v>
      </c>
      <c r="Y230" s="6">
        <f t="shared" si="26"/>
        <v>5.7152772216438434E-2</v>
      </c>
      <c r="AA230">
        <v>1962892</v>
      </c>
      <c r="AB230">
        <v>17360</v>
      </c>
      <c r="AD230" t="s">
        <v>1</v>
      </c>
      <c r="AE230">
        <v>30</v>
      </c>
      <c r="AF230">
        <v>4</v>
      </c>
      <c r="AH230" t="s">
        <v>400</v>
      </c>
      <c r="AI230" t="s">
        <v>399</v>
      </c>
      <c r="AK230" t="s">
        <v>398</v>
      </c>
      <c r="AL230">
        <v>0</v>
      </c>
      <c r="AM230" s="5">
        <f t="shared" si="27"/>
        <v>0</v>
      </c>
      <c r="AN230" s="4">
        <f t="shared" si="28"/>
        <v>0</v>
      </c>
      <c r="AO230" s="3"/>
      <c r="AP230">
        <v>0</v>
      </c>
      <c r="AR230" t="s">
        <v>0</v>
      </c>
      <c r="AT230" s="2" t="s">
        <v>5</v>
      </c>
      <c r="AU230" s="1">
        <f t="shared" si="29"/>
        <v>4.0006940551506904</v>
      </c>
      <c r="AV230" s="1">
        <f t="shared" si="30"/>
        <v>2.8576386108219216</v>
      </c>
      <c r="AW230" s="1">
        <f t="shared" si="31"/>
        <v>1.714583166493153</v>
      </c>
    </row>
    <row r="231" spans="1:49" x14ac:dyDescent="0.2">
      <c r="A231">
        <v>229</v>
      </c>
      <c r="B231" t="s">
        <v>397</v>
      </c>
      <c r="C231" t="s">
        <v>396</v>
      </c>
      <c r="E231">
        <v>1432850</v>
      </c>
      <c r="F231" t="s">
        <v>395</v>
      </c>
      <c r="G231" t="s">
        <v>4</v>
      </c>
      <c r="H231" t="s">
        <v>3</v>
      </c>
      <c r="I231" t="s">
        <v>394</v>
      </c>
      <c r="J231">
        <v>60000986</v>
      </c>
      <c r="K231" t="s">
        <v>393</v>
      </c>
      <c r="L231" t="s">
        <v>289</v>
      </c>
      <c r="M231" t="s">
        <v>2</v>
      </c>
      <c r="N231">
        <v>2</v>
      </c>
      <c r="O231" t="s">
        <v>392</v>
      </c>
      <c r="P231" t="s">
        <v>391</v>
      </c>
      <c r="Q231" t="s">
        <v>390</v>
      </c>
      <c r="R231" s="7">
        <v>33786</v>
      </c>
      <c r="S231" s="8">
        <f t="shared" si="24"/>
        <v>1992</v>
      </c>
      <c r="T231" s="8">
        <v>1992</v>
      </c>
      <c r="U231" s="8">
        <f t="shared" si="25"/>
        <v>30</v>
      </c>
      <c r="V231" s="7">
        <v>33786</v>
      </c>
      <c r="W231" t="s">
        <v>284</v>
      </c>
      <c r="X231" s="2">
        <v>0.8</v>
      </c>
      <c r="Y231" s="6">
        <f t="shared" si="26"/>
        <v>2.1355543098155415E-2</v>
      </c>
      <c r="AA231">
        <v>3407594</v>
      </c>
      <c r="AB231">
        <v>23456</v>
      </c>
      <c r="AC231">
        <v>14321351</v>
      </c>
      <c r="AD231" t="s">
        <v>1</v>
      </c>
      <c r="AE231">
        <v>170</v>
      </c>
      <c r="AF231">
        <v>6</v>
      </c>
      <c r="AH231" t="s">
        <v>389</v>
      </c>
      <c r="AI231" t="s">
        <v>388</v>
      </c>
      <c r="AJ231" t="s">
        <v>387</v>
      </c>
      <c r="AK231" t="s">
        <v>386</v>
      </c>
      <c r="AL231">
        <v>9</v>
      </c>
      <c r="AM231" s="5">
        <f t="shared" si="27"/>
        <v>0.3</v>
      </c>
      <c r="AN231" s="4">
        <f t="shared" si="28"/>
        <v>4.5437334343051872E-4</v>
      </c>
      <c r="AO231" s="3"/>
      <c r="AP231">
        <v>0</v>
      </c>
      <c r="AQ231" t="s">
        <v>385</v>
      </c>
      <c r="AR231" t="s">
        <v>384</v>
      </c>
      <c r="AS231" t="s">
        <v>383</v>
      </c>
      <c r="AT231" s="2" t="s">
        <v>5</v>
      </c>
      <c r="AU231" s="1">
        <f t="shared" si="29"/>
        <v>1.5085192171737947</v>
      </c>
      <c r="AV231" s="1">
        <f t="shared" si="30"/>
        <v>1.0904958220792966</v>
      </c>
      <c r="AW231" s="1">
        <f t="shared" si="31"/>
        <v>0.6724724269847987</v>
      </c>
    </row>
    <row r="232" spans="1:49" x14ac:dyDescent="0.2">
      <c r="A232">
        <v>230</v>
      </c>
      <c r="B232" t="s">
        <v>382</v>
      </c>
      <c r="F232" t="s">
        <v>381</v>
      </c>
      <c r="G232" t="s">
        <v>4</v>
      </c>
      <c r="H232" t="s">
        <v>3</v>
      </c>
      <c r="I232" t="s">
        <v>380</v>
      </c>
      <c r="N232">
        <v>3</v>
      </c>
      <c r="O232" t="s">
        <v>379</v>
      </c>
      <c r="P232" t="s">
        <v>378</v>
      </c>
      <c r="Q232" t="s">
        <v>71</v>
      </c>
      <c r="R232" s="7">
        <v>33786</v>
      </c>
      <c r="S232" s="8">
        <f t="shared" si="24"/>
        <v>1992</v>
      </c>
      <c r="T232" s="8">
        <v>1992</v>
      </c>
      <c r="U232" s="8">
        <f t="shared" si="25"/>
        <v>30</v>
      </c>
      <c r="V232" s="7">
        <v>33786</v>
      </c>
      <c r="W232" t="s">
        <v>36</v>
      </c>
      <c r="X232" s="2">
        <v>0.14099999999999999</v>
      </c>
      <c r="Y232" s="6">
        <f t="shared" si="26"/>
        <v>3.7639144710498915E-3</v>
      </c>
      <c r="AA232">
        <v>402508</v>
      </c>
      <c r="AB232">
        <v>20868</v>
      </c>
      <c r="AD232" t="s">
        <v>1</v>
      </c>
      <c r="AE232">
        <v>47</v>
      </c>
      <c r="AF232">
        <v>7</v>
      </c>
      <c r="AH232" t="s">
        <v>377</v>
      </c>
      <c r="AI232" t="s">
        <v>376</v>
      </c>
      <c r="AK232" t="s">
        <v>375</v>
      </c>
      <c r="AL232">
        <v>5</v>
      </c>
      <c r="AM232" s="5">
        <f t="shared" si="27"/>
        <v>0.16666666666666666</v>
      </c>
      <c r="AN232" s="4">
        <f t="shared" si="28"/>
        <v>2.5242963523917705E-4</v>
      </c>
      <c r="AO232" s="3"/>
      <c r="AP232">
        <v>0</v>
      </c>
      <c r="AR232" t="s">
        <v>0</v>
      </c>
      <c r="AT232" s="2" t="s">
        <v>5</v>
      </c>
      <c r="AU232" s="1">
        <f t="shared" si="29"/>
        <v>0.27104690203066772</v>
      </c>
      <c r="AV232" s="1">
        <f t="shared" si="30"/>
        <v>0.20081720531445343</v>
      </c>
      <c r="AW232" s="1">
        <f t="shared" si="31"/>
        <v>0.13058750859823914</v>
      </c>
    </row>
    <row r="233" spans="1:49" x14ac:dyDescent="0.2">
      <c r="A233">
        <v>231</v>
      </c>
      <c r="B233" t="s">
        <v>374</v>
      </c>
      <c r="F233" t="s">
        <v>373</v>
      </c>
      <c r="G233" t="s">
        <v>4</v>
      </c>
      <c r="H233" t="s">
        <v>3</v>
      </c>
      <c r="I233" t="s">
        <v>372</v>
      </c>
      <c r="N233">
        <v>2</v>
      </c>
      <c r="O233" t="s">
        <v>371</v>
      </c>
      <c r="P233" t="s">
        <v>370</v>
      </c>
      <c r="Q233" t="s">
        <v>45</v>
      </c>
      <c r="R233" s="7">
        <v>33786</v>
      </c>
      <c r="S233" s="8">
        <f t="shared" si="24"/>
        <v>1992</v>
      </c>
      <c r="T233" s="8">
        <v>1992</v>
      </c>
      <c r="U233" s="8">
        <f t="shared" si="25"/>
        <v>30</v>
      </c>
      <c r="V233" s="7">
        <v>33786</v>
      </c>
      <c r="W233" t="s">
        <v>36</v>
      </c>
      <c r="X233" s="2">
        <v>0.14099999999999999</v>
      </c>
      <c r="Y233" s="6">
        <f t="shared" si="26"/>
        <v>3.7639144710498915E-3</v>
      </c>
      <c r="AA233">
        <v>402508</v>
      </c>
      <c r="AB233">
        <v>20868</v>
      </c>
      <c r="AD233" t="s">
        <v>1</v>
      </c>
      <c r="AE233">
        <v>47</v>
      </c>
      <c r="AF233">
        <v>7</v>
      </c>
      <c r="AH233" t="s">
        <v>369</v>
      </c>
      <c r="AI233" t="s">
        <v>368</v>
      </c>
      <c r="AK233" t="s">
        <v>367</v>
      </c>
      <c r="AL233">
        <v>0</v>
      </c>
      <c r="AM233" s="5">
        <f t="shared" si="27"/>
        <v>0</v>
      </c>
      <c r="AN233" s="4">
        <f t="shared" si="28"/>
        <v>0</v>
      </c>
      <c r="AO233" s="3"/>
      <c r="AP233">
        <v>0</v>
      </c>
      <c r="AR233" t="s">
        <v>0</v>
      </c>
      <c r="AT233" s="2" t="s">
        <v>5</v>
      </c>
      <c r="AU233" s="1">
        <f t="shared" si="29"/>
        <v>0.26347401297349238</v>
      </c>
      <c r="AV233" s="1">
        <f t="shared" si="30"/>
        <v>0.18819572355249459</v>
      </c>
      <c r="AW233" s="1">
        <f t="shared" si="31"/>
        <v>0.11291743413149673</v>
      </c>
    </row>
    <row r="234" spans="1:49" x14ac:dyDescent="0.2">
      <c r="A234">
        <v>232</v>
      </c>
      <c r="B234" t="s">
        <v>366</v>
      </c>
      <c r="F234" t="s">
        <v>365</v>
      </c>
      <c r="G234" t="s">
        <v>4</v>
      </c>
      <c r="H234" t="s">
        <v>3</v>
      </c>
      <c r="I234" t="s">
        <v>364</v>
      </c>
      <c r="N234">
        <v>2</v>
      </c>
      <c r="O234" t="s">
        <v>363</v>
      </c>
      <c r="P234" t="s">
        <v>362</v>
      </c>
      <c r="Q234" t="s">
        <v>45</v>
      </c>
      <c r="R234" s="7">
        <v>33786</v>
      </c>
      <c r="S234" s="8">
        <f t="shared" si="24"/>
        <v>1992</v>
      </c>
      <c r="T234" s="8">
        <v>1992</v>
      </c>
      <c r="U234" s="8">
        <f t="shared" si="25"/>
        <v>30</v>
      </c>
      <c r="V234" s="7">
        <v>33786</v>
      </c>
      <c r="W234" t="s">
        <v>36</v>
      </c>
      <c r="X234" s="2">
        <v>0.14099999999999999</v>
      </c>
      <c r="Y234" s="6">
        <f t="shared" si="26"/>
        <v>3.7639144710498915E-3</v>
      </c>
      <c r="AA234">
        <v>402508</v>
      </c>
      <c r="AB234">
        <v>20868</v>
      </c>
      <c r="AD234" t="s">
        <v>1</v>
      </c>
      <c r="AE234">
        <v>47</v>
      </c>
      <c r="AF234">
        <v>7</v>
      </c>
      <c r="AH234" t="s">
        <v>361</v>
      </c>
      <c r="AI234" t="s">
        <v>360</v>
      </c>
      <c r="AK234" t="s">
        <v>359</v>
      </c>
      <c r="AL234">
        <v>0</v>
      </c>
      <c r="AM234" s="5">
        <f t="shared" si="27"/>
        <v>0</v>
      </c>
      <c r="AN234" s="4">
        <f t="shared" si="28"/>
        <v>0</v>
      </c>
      <c r="AO234" s="3"/>
      <c r="AP234">
        <v>0</v>
      </c>
      <c r="AR234" t="s">
        <v>0</v>
      </c>
      <c r="AT234" s="2" t="s">
        <v>5</v>
      </c>
      <c r="AU234" s="1">
        <f t="shared" si="29"/>
        <v>0.26347401297349238</v>
      </c>
      <c r="AV234" s="1">
        <f t="shared" si="30"/>
        <v>0.18819572355249459</v>
      </c>
      <c r="AW234" s="1">
        <f t="shared" si="31"/>
        <v>0.11291743413149673</v>
      </c>
    </row>
    <row r="235" spans="1:49" x14ac:dyDescent="0.2">
      <c r="A235">
        <v>233</v>
      </c>
      <c r="B235" t="s">
        <v>358</v>
      </c>
      <c r="F235" t="s">
        <v>357</v>
      </c>
      <c r="G235" t="s">
        <v>4</v>
      </c>
      <c r="H235" t="s">
        <v>3</v>
      </c>
      <c r="I235" t="s">
        <v>356</v>
      </c>
      <c r="N235">
        <v>2</v>
      </c>
      <c r="O235" t="s">
        <v>355</v>
      </c>
      <c r="P235" t="s">
        <v>354</v>
      </c>
      <c r="Q235" t="s">
        <v>45</v>
      </c>
      <c r="R235" s="7">
        <v>33786</v>
      </c>
      <c r="S235" s="8">
        <f t="shared" si="24"/>
        <v>1992</v>
      </c>
      <c r="T235" s="8">
        <v>1992</v>
      </c>
      <c r="U235" s="8">
        <f t="shared" si="25"/>
        <v>30</v>
      </c>
      <c r="V235" s="7">
        <v>33786</v>
      </c>
      <c r="W235" t="s">
        <v>36</v>
      </c>
      <c r="X235" s="2">
        <v>0.14099999999999999</v>
      </c>
      <c r="Y235" s="6">
        <f t="shared" si="26"/>
        <v>3.7639144710498915E-3</v>
      </c>
      <c r="AA235">
        <v>402508</v>
      </c>
      <c r="AB235">
        <v>20868</v>
      </c>
      <c r="AD235" t="s">
        <v>1</v>
      </c>
      <c r="AE235">
        <v>47</v>
      </c>
      <c r="AF235">
        <v>7</v>
      </c>
      <c r="AH235" t="s">
        <v>353</v>
      </c>
      <c r="AI235" t="s">
        <v>352</v>
      </c>
      <c r="AK235" t="s">
        <v>351</v>
      </c>
      <c r="AL235">
        <v>0</v>
      </c>
      <c r="AM235" s="5">
        <f t="shared" si="27"/>
        <v>0</v>
      </c>
      <c r="AN235" s="4">
        <f t="shared" si="28"/>
        <v>0</v>
      </c>
      <c r="AO235" s="3"/>
      <c r="AP235">
        <v>0</v>
      </c>
      <c r="AR235" t="s">
        <v>0</v>
      </c>
      <c r="AT235" s="2" t="s">
        <v>5</v>
      </c>
      <c r="AU235" s="1">
        <f t="shared" si="29"/>
        <v>0.26347401297349238</v>
      </c>
      <c r="AV235" s="1">
        <f t="shared" si="30"/>
        <v>0.18819572355249459</v>
      </c>
      <c r="AW235" s="1">
        <f t="shared" si="31"/>
        <v>0.11291743413149673</v>
      </c>
    </row>
    <row r="236" spans="1:49" x14ac:dyDescent="0.2">
      <c r="A236">
        <v>234</v>
      </c>
      <c r="B236" t="s">
        <v>350</v>
      </c>
      <c r="F236" t="s">
        <v>349</v>
      </c>
      <c r="G236" t="s">
        <v>4</v>
      </c>
      <c r="H236" t="s">
        <v>3</v>
      </c>
      <c r="I236" t="s">
        <v>112</v>
      </c>
      <c r="N236">
        <v>2</v>
      </c>
      <c r="O236" t="s">
        <v>348</v>
      </c>
      <c r="P236" t="s">
        <v>347</v>
      </c>
      <c r="Q236" t="s">
        <v>45</v>
      </c>
      <c r="R236" s="7">
        <v>33786</v>
      </c>
      <c r="S236" s="8">
        <f t="shared" si="24"/>
        <v>1992</v>
      </c>
      <c r="T236" s="8">
        <v>1992</v>
      </c>
      <c r="U236" s="8">
        <f t="shared" si="25"/>
        <v>30</v>
      </c>
      <c r="V236" s="7">
        <v>33786</v>
      </c>
      <c r="W236" t="s">
        <v>36</v>
      </c>
      <c r="X236" s="2">
        <v>0.14099999999999999</v>
      </c>
      <c r="Y236" s="6">
        <f t="shared" si="26"/>
        <v>3.7639144710498915E-3</v>
      </c>
      <c r="AA236">
        <v>402508</v>
      </c>
      <c r="AB236">
        <v>20868</v>
      </c>
      <c r="AD236" t="s">
        <v>1</v>
      </c>
      <c r="AE236">
        <v>47</v>
      </c>
      <c r="AF236">
        <v>7</v>
      </c>
      <c r="AH236" s="9">
        <v>44256</v>
      </c>
      <c r="AI236" t="s">
        <v>346</v>
      </c>
      <c r="AK236" t="s">
        <v>345</v>
      </c>
      <c r="AL236">
        <v>0</v>
      </c>
      <c r="AM236" s="5">
        <f t="shared" si="27"/>
        <v>0</v>
      </c>
      <c r="AN236" s="4">
        <f t="shared" si="28"/>
        <v>0</v>
      </c>
      <c r="AO236" s="3"/>
      <c r="AP236">
        <v>0</v>
      </c>
      <c r="AR236" t="s">
        <v>0</v>
      </c>
      <c r="AT236" s="2" t="s">
        <v>5</v>
      </c>
      <c r="AU236" s="1">
        <f t="shared" si="29"/>
        <v>0.26347401297349238</v>
      </c>
      <c r="AV236" s="1">
        <f t="shared" si="30"/>
        <v>0.18819572355249459</v>
      </c>
      <c r="AW236" s="1">
        <f t="shared" si="31"/>
        <v>0.11291743413149673</v>
      </c>
    </row>
    <row r="237" spans="1:49" x14ac:dyDescent="0.2">
      <c r="A237">
        <v>235</v>
      </c>
      <c r="B237" t="s">
        <v>344</v>
      </c>
      <c r="F237" t="s">
        <v>343</v>
      </c>
      <c r="G237" t="s">
        <v>4</v>
      </c>
      <c r="H237" t="s">
        <v>3</v>
      </c>
      <c r="I237" t="s">
        <v>342</v>
      </c>
      <c r="N237">
        <v>2</v>
      </c>
      <c r="O237" t="s">
        <v>341</v>
      </c>
      <c r="P237" t="s">
        <v>340</v>
      </c>
      <c r="Q237" t="s">
        <v>45</v>
      </c>
      <c r="R237" s="7">
        <v>33786</v>
      </c>
      <c r="S237" s="8">
        <f t="shared" si="24"/>
        <v>1992</v>
      </c>
      <c r="T237" s="8">
        <v>1992</v>
      </c>
      <c r="U237" s="8">
        <f t="shared" si="25"/>
        <v>30</v>
      </c>
      <c r="V237" s="7">
        <v>33786</v>
      </c>
      <c r="W237" t="s">
        <v>36</v>
      </c>
      <c r="X237" s="2">
        <v>0.14099999999999999</v>
      </c>
      <c r="Y237" s="6">
        <f t="shared" si="26"/>
        <v>3.7639144710498915E-3</v>
      </c>
      <c r="AA237">
        <v>402508</v>
      </c>
      <c r="AB237">
        <v>20868</v>
      </c>
      <c r="AD237" t="s">
        <v>1</v>
      </c>
      <c r="AE237">
        <v>47</v>
      </c>
      <c r="AF237">
        <v>7</v>
      </c>
      <c r="AH237" t="s">
        <v>125</v>
      </c>
      <c r="AI237" t="s">
        <v>339</v>
      </c>
      <c r="AK237" t="s">
        <v>338</v>
      </c>
      <c r="AL237">
        <v>0</v>
      </c>
      <c r="AM237" s="5">
        <f t="shared" si="27"/>
        <v>0</v>
      </c>
      <c r="AN237" s="4">
        <f t="shared" si="28"/>
        <v>0</v>
      </c>
      <c r="AO237" s="3"/>
      <c r="AP237">
        <v>0</v>
      </c>
      <c r="AR237" t="s">
        <v>0</v>
      </c>
      <c r="AT237" s="2" t="s">
        <v>5</v>
      </c>
      <c r="AU237" s="1">
        <f t="shared" si="29"/>
        <v>0.26347401297349238</v>
      </c>
      <c r="AV237" s="1">
        <f t="shared" si="30"/>
        <v>0.18819572355249459</v>
      </c>
      <c r="AW237" s="1">
        <f t="shared" si="31"/>
        <v>0.11291743413149673</v>
      </c>
    </row>
    <row r="238" spans="1:49" x14ac:dyDescent="0.2">
      <c r="A238">
        <v>236</v>
      </c>
      <c r="B238" t="s">
        <v>337</v>
      </c>
      <c r="F238" t="s">
        <v>336</v>
      </c>
      <c r="G238" t="s">
        <v>4</v>
      </c>
      <c r="H238" t="s">
        <v>3</v>
      </c>
      <c r="I238" t="s">
        <v>131</v>
      </c>
      <c r="J238">
        <v>60029747</v>
      </c>
      <c r="K238" t="s">
        <v>335</v>
      </c>
      <c r="L238" t="s">
        <v>157</v>
      </c>
      <c r="M238" t="s">
        <v>2</v>
      </c>
      <c r="N238">
        <v>4</v>
      </c>
      <c r="O238" t="s">
        <v>334</v>
      </c>
      <c r="P238" t="s">
        <v>333</v>
      </c>
      <c r="Q238" t="s">
        <v>332</v>
      </c>
      <c r="R238" s="7">
        <v>33786</v>
      </c>
      <c r="S238" s="8">
        <f t="shared" si="24"/>
        <v>1992</v>
      </c>
      <c r="T238" s="8">
        <v>1992</v>
      </c>
      <c r="U238" s="8">
        <f t="shared" si="25"/>
        <v>30</v>
      </c>
      <c r="V238" s="7">
        <v>33786</v>
      </c>
      <c r="W238" t="s">
        <v>331</v>
      </c>
      <c r="X238" s="2" t="s">
        <v>5</v>
      </c>
      <c r="Y238" s="6" t="e">
        <f t="shared" si="26"/>
        <v>#VALUE!</v>
      </c>
      <c r="AA238">
        <v>12351</v>
      </c>
      <c r="AB238">
        <v>15776</v>
      </c>
      <c r="AD238" t="s">
        <v>1</v>
      </c>
      <c r="AE238">
        <v>35</v>
      </c>
      <c r="AF238">
        <v>4</v>
      </c>
      <c r="AH238" t="s">
        <v>330</v>
      </c>
      <c r="AI238" t="s">
        <v>329</v>
      </c>
      <c r="AK238" t="s">
        <v>328</v>
      </c>
      <c r="AL238">
        <v>17</v>
      </c>
      <c r="AM238" s="5">
        <f t="shared" si="27"/>
        <v>0.56666666666666665</v>
      </c>
      <c r="AN238" s="4">
        <f t="shared" si="28"/>
        <v>8.5826075981320206E-4</v>
      </c>
      <c r="AO238" s="3"/>
      <c r="AP238">
        <v>0</v>
      </c>
      <c r="AR238" t="s">
        <v>0</v>
      </c>
      <c r="AT238" s="2" t="s">
        <v>5</v>
      </c>
      <c r="AU238" s="1" t="e">
        <f t="shared" si="29"/>
        <v>#VALUE!</v>
      </c>
      <c r="AV238" s="1" t="e">
        <f t="shared" si="30"/>
        <v>#VALUE!</v>
      </c>
      <c r="AW238" s="1" t="e">
        <f t="shared" si="31"/>
        <v>#VALUE!</v>
      </c>
    </row>
    <row r="239" spans="1:49" x14ac:dyDescent="0.2">
      <c r="A239">
        <v>237</v>
      </c>
      <c r="B239" t="s">
        <v>327</v>
      </c>
      <c r="C239" t="s">
        <v>326</v>
      </c>
      <c r="F239" t="s">
        <v>325</v>
      </c>
      <c r="G239" t="s">
        <v>4</v>
      </c>
      <c r="H239" t="s">
        <v>3</v>
      </c>
      <c r="I239" t="s">
        <v>324</v>
      </c>
      <c r="J239">
        <v>60011047</v>
      </c>
      <c r="K239" t="s">
        <v>323</v>
      </c>
      <c r="L239" t="s">
        <v>322</v>
      </c>
      <c r="M239" t="s">
        <v>12</v>
      </c>
      <c r="N239">
        <v>2</v>
      </c>
      <c r="O239" t="s">
        <v>321</v>
      </c>
      <c r="P239" t="s">
        <v>320</v>
      </c>
      <c r="Q239" t="s">
        <v>319</v>
      </c>
      <c r="R239" s="7">
        <v>33786</v>
      </c>
      <c r="S239" s="8">
        <f t="shared" si="24"/>
        <v>1992</v>
      </c>
      <c r="T239" s="8">
        <v>1992</v>
      </c>
      <c r="U239" s="8">
        <f t="shared" si="25"/>
        <v>30</v>
      </c>
      <c r="V239" s="7">
        <v>33786</v>
      </c>
      <c r="W239" t="s">
        <v>8</v>
      </c>
      <c r="X239" s="2">
        <v>0.53400000000000003</v>
      </c>
      <c r="Y239" s="6">
        <f t="shared" si="26"/>
        <v>1.4254825018018741E-2</v>
      </c>
      <c r="AA239">
        <v>8927553</v>
      </c>
      <c r="AB239">
        <v>20484</v>
      </c>
      <c r="AC239">
        <v>15728889</v>
      </c>
      <c r="AD239" t="s">
        <v>1</v>
      </c>
      <c r="AE239">
        <v>5</v>
      </c>
      <c r="AF239">
        <v>4</v>
      </c>
      <c r="AH239" t="s">
        <v>318</v>
      </c>
      <c r="AI239" t="s">
        <v>317</v>
      </c>
      <c r="AJ239" t="s">
        <v>316</v>
      </c>
      <c r="AK239" t="s">
        <v>315</v>
      </c>
      <c r="AL239">
        <v>9</v>
      </c>
      <c r="AM239" s="5">
        <f t="shared" si="27"/>
        <v>0.3</v>
      </c>
      <c r="AN239" s="4">
        <f t="shared" si="28"/>
        <v>4.5437334343051872E-4</v>
      </c>
      <c r="AO239" s="3"/>
      <c r="AP239">
        <v>0</v>
      </c>
      <c r="AR239" t="s">
        <v>0</v>
      </c>
      <c r="AT239" s="2">
        <v>1.3089999999999999</v>
      </c>
      <c r="AU239" s="1">
        <f t="shared" si="29"/>
        <v>1.0114689515642274</v>
      </c>
      <c r="AV239" s="1">
        <f t="shared" si="30"/>
        <v>0.73545991807246303</v>
      </c>
      <c r="AW239" s="1">
        <f t="shared" si="31"/>
        <v>0.45945088458069849</v>
      </c>
    </row>
    <row r="240" spans="1:49" x14ac:dyDescent="0.2">
      <c r="A240">
        <v>238</v>
      </c>
      <c r="B240" t="s">
        <v>314</v>
      </c>
      <c r="C240" t="s">
        <v>313</v>
      </c>
      <c r="F240" t="s">
        <v>312</v>
      </c>
      <c r="G240" t="s">
        <v>4</v>
      </c>
      <c r="H240" t="s">
        <v>3</v>
      </c>
      <c r="I240" t="s">
        <v>311</v>
      </c>
      <c r="J240">
        <v>60007816</v>
      </c>
      <c r="K240" t="s">
        <v>310</v>
      </c>
      <c r="L240" t="s">
        <v>309</v>
      </c>
      <c r="M240" t="s">
        <v>38</v>
      </c>
      <c r="N240">
        <v>2</v>
      </c>
      <c r="O240" t="s">
        <v>308</v>
      </c>
      <c r="P240" t="s">
        <v>307</v>
      </c>
      <c r="Q240" t="s">
        <v>306</v>
      </c>
      <c r="R240" s="7">
        <v>33786</v>
      </c>
      <c r="S240" s="8">
        <f t="shared" si="24"/>
        <v>1992</v>
      </c>
      <c r="T240" s="8">
        <v>1992</v>
      </c>
      <c r="U240" s="8">
        <f t="shared" si="25"/>
        <v>30</v>
      </c>
      <c r="V240" s="7">
        <v>33786</v>
      </c>
      <c r="W240" t="s">
        <v>265</v>
      </c>
      <c r="X240" s="2">
        <v>1.1579999999999999</v>
      </c>
      <c r="Y240" s="6">
        <f t="shared" si="26"/>
        <v>3.0912148634579962E-2</v>
      </c>
      <c r="AA240">
        <v>1668595</v>
      </c>
      <c r="AB240">
        <v>14223</v>
      </c>
      <c r="AC240">
        <v>15735079</v>
      </c>
      <c r="AD240" t="s">
        <v>1</v>
      </c>
      <c r="AE240">
        <v>33</v>
      </c>
      <c r="AF240">
        <v>1</v>
      </c>
      <c r="AH240" t="s">
        <v>305</v>
      </c>
      <c r="AI240" t="s">
        <v>304</v>
      </c>
      <c r="AJ240" t="s">
        <v>303</v>
      </c>
      <c r="AK240" t="s">
        <v>302</v>
      </c>
      <c r="AL240">
        <v>66</v>
      </c>
      <c r="AM240" s="5">
        <f t="shared" si="27"/>
        <v>2.2000000000000002</v>
      </c>
      <c r="AN240" s="4">
        <f t="shared" si="28"/>
        <v>3.3320711851571377E-3</v>
      </c>
      <c r="AO240" s="3"/>
      <c r="AP240">
        <v>0</v>
      </c>
      <c r="AR240" t="s">
        <v>0</v>
      </c>
      <c r="AT240" s="2">
        <v>3.573</v>
      </c>
      <c r="AU240" s="1">
        <f t="shared" si="29"/>
        <v>2.2638125399753113</v>
      </c>
      <c r="AV240" s="1">
        <f t="shared" si="30"/>
        <v>1.7122109909868548</v>
      </c>
      <c r="AW240" s="1">
        <f t="shared" si="31"/>
        <v>1.1606094419983983</v>
      </c>
    </row>
    <row r="241" spans="1:49" x14ac:dyDescent="0.2">
      <c r="A241">
        <v>239</v>
      </c>
      <c r="B241" t="s">
        <v>301</v>
      </c>
      <c r="F241" t="s">
        <v>300</v>
      </c>
      <c r="G241" t="s">
        <v>4</v>
      </c>
      <c r="H241" t="s">
        <v>3</v>
      </c>
      <c r="I241" t="s">
        <v>274</v>
      </c>
      <c r="J241">
        <v>60025038</v>
      </c>
      <c r="K241" t="s">
        <v>224</v>
      </c>
      <c r="L241" t="s">
        <v>223</v>
      </c>
      <c r="M241" t="s">
        <v>2</v>
      </c>
      <c r="N241">
        <v>2</v>
      </c>
      <c r="O241" t="s">
        <v>299</v>
      </c>
      <c r="P241" t="s">
        <v>298</v>
      </c>
      <c r="Q241" t="s">
        <v>297</v>
      </c>
      <c r="R241" s="7">
        <v>33786</v>
      </c>
      <c r="S241" s="8">
        <f t="shared" si="24"/>
        <v>1992</v>
      </c>
      <c r="T241" s="8">
        <v>1992</v>
      </c>
      <c r="U241" s="8">
        <f t="shared" si="25"/>
        <v>30</v>
      </c>
      <c r="V241" s="7">
        <v>33786</v>
      </c>
      <c r="W241" t="s">
        <v>296</v>
      </c>
      <c r="X241" s="2">
        <v>1.9750000000000001</v>
      </c>
      <c r="Y241" s="6">
        <f t="shared" si="26"/>
        <v>5.2721497023571186E-2</v>
      </c>
      <c r="AA241">
        <v>320781</v>
      </c>
      <c r="AB241">
        <v>19019</v>
      </c>
      <c r="AD241" t="s">
        <v>1</v>
      </c>
      <c r="AE241">
        <v>33</v>
      </c>
      <c r="AF241">
        <v>5</v>
      </c>
      <c r="AH241" t="s">
        <v>295</v>
      </c>
      <c r="AI241" t="s">
        <v>294</v>
      </c>
      <c r="AJ241" t="s">
        <v>293</v>
      </c>
      <c r="AK241" t="s">
        <v>292</v>
      </c>
      <c r="AL241">
        <v>75</v>
      </c>
      <c r="AM241" s="5">
        <f t="shared" si="27"/>
        <v>2.5</v>
      </c>
      <c r="AN241" s="4">
        <f t="shared" si="28"/>
        <v>3.7864445285876562E-3</v>
      </c>
      <c r="AO241" s="3"/>
      <c r="AP241">
        <v>0</v>
      </c>
      <c r="AQ241" t="s">
        <v>104</v>
      </c>
      <c r="AR241" t="s">
        <v>0</v>
      </c>
      <c r="AS241" t="s">
        <v>103</v>
      </c>
      <c r="AT241" s="2">
        <v>4.9269999999999996</v>
      </c>
      <c r="AU241" s="1">
        <f t="shared" si="29"/>
        <v>3.8040981275076131</v>
      </c>
      <c r="AV241" s="1">
        <f t="shared" si="30"/>
        <v>2.825397077607942</v>
      </c>
      <c r="AW241" s="1">
        <f t="shared" si="31"/>
        <v>1.8466960277082716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1992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Young-Ok Cha</cp:lastModifiedBy>
  <dcterms:created xsi:type="dcterms:W3CDTF">2021-11-11T11:39:58Z</dcterms:created>
  <dcterms:modified xsi:type="dcterms:W3CDTF">2022-01-19T20:19:38Z</dcterms:modified>
</cp:coreProperties>
</file>